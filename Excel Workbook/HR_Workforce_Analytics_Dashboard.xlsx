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Excel adv\HR-Workforce-Analytics-Repo\Excel Workbook\"/>
    </mc:Choice>
  </mc:AlternateContent>
  <xr:revisionPtr revIDLastSave="0" documentId="13_ncr:1_{AC89D31C-4C9F-4E7F-8003-6B155828BB9B}" xr6:coauthVersionLast="47" xr6:coauthVersionMax="47" xr10:uidLastSave="{00000000-0000-0000-0000-000000000000}"/>
  <bookViews>
    <workbookView xWindow="-98" yWindow="-98" windowWidth="19396" windowHeight="11475" firstSheet="1" activeTab="1" xr2:uid="{00000000-000D-0000-FFFF-FFFF00000000}"/>
  </bookViews>
  <sheets>
    <sheet name="Dashboard" sheetId="1" r:id="rId1"/>
    <sheet name="KPI_Calculations" sheetId="2" r:id="rId2"/>
    <sheet name="Pivot_Analysis" sheetId="3" r:id="rId3"/>
    <sheet name="Cleaned_Data" sheetId="4" r:id="rId4"/>
    <sheet name="Employee_Lookups" sheetId="5" r:id="rId5"/>
    <sheet name="Raw_Data" sheetId="6" r:id="rId6"/>
    <sheet name="Data_Dictionary" sheetId="7" r:id="rId7"/>
    <sheet name="Methodology_QA" sheetId="8" r:id="rId8"/>
  </sheets>
  <definedNames>
    <definedName name="_xlnm._FilterDatabase" localSheetId="5" hidden="1">Raw_Data!$A$1:$T$1486</definedName>
    <definedName name="DepartmentFilterList">Employee_Lookups!$O$4:$O$10</definedName>
    <definedName name="_xlnm.Print_Area" localSheetId="0">Dashboard!$B$1:$M$52</definedName>
    <definedName name="ReportingYearList">Employee_Lookups!$P$4:$P$10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486" i="6" l="1"/>
  <c r="T1485" i="6"/>
  <c r="T1484" i="6"/>
  <c r="T1483" i="6"/>
  <c r="T1482" i="6"/>
  <c r="T1481" i="6"/>
  <c r="T1480" i="6"/>
  <c r="T1479" i="6"/>
  <c r="T1478" i="6"/>
  <c r="T1477" i="6"/>
  <c r="T1476" i="6"/>
  <c r="T1475" i="6"/>
  <c r="T1474" i="6"/>
  <c r="T1473" i="6"/>
  <c r="T1472" i="6"/>
  <c r="T1471" i="6"/>
  <c r="T1470" i="6"/>
  <c r="T1469" i="6"/>
  <c r="T1468" i="6"/>
  <c r="T1467" i="6"/>
  <c r="T1466" i="6"/>
  <c r="T1465" i="6"/>
  <c r="T1464" i="6"/>
  <c r="T1463" i="6"/>
  <c r="T1462" i="6"/>
  <c r="T1461" i="6"/>
  <c r="T1460" i="6"/>
  <c r="T1459" i="6"/>
  <c r="T1458" i="6"/>
  <c r="T1457" i="6"/>
  <c r="T1456" i="6"/>
  <c r="T1455" i="6"/>
  <c r="T1454" i="6"/>
  <c r="T1453" i="6"/>
  <c r="T1452" i="6"/>
  <c r="T1451" i="6"/>
  <c r="T1450" i="6"/>
  <c r="T1449" i="6"/>
  <c r="T1448" i="6"/>
  <c r="T1447" i="6"/>
  <c r="T1446" i="6"/>
  <c r="T1445" i="6"/>
  <c r="T1444" i="6"/>
  <c r="T1443" i="6"/>
  <c r="T1442" i="6"/>
  <c r="T1441" i="6"/>
  <c r="T1440" i="6"/>
  <c r="T1439" i="6"/>
  <c r="T1438" i="6"/>
  <c r="T1437" i="6"/>
  <c r="T1436" i="6"/>
  <c r="T1435" i="6"/>
  <c r="T1434" i="6"/>
  <c r="T1433" i="6"/>
  <c r="T1432" i="6"/>
  <c r="T1431" i="6"/>
  <c r="T1430" i="6"/>
  <c r="T1429" i="6"/>
  <c r="T1428" i="6"/>
  <c r="T1427" i="6"/>
  <c r="T1426" i="6"/>
  <c r="T1425" i="6"/>
  <c r="T1424" i="6"/>
  <c r="T1423" i="6"/>
  <c r="T1422" i="6"/>
  <c r="T1421" i="6"/>
  <c r="T1420" i="6"/>
  <c r="T1419" i="6"/>
  <c r="T1418" i="6"/>
  <c r="T1417" i="6"/>
  <c r="T1416" i="6"/>
  <c r="T1415" i="6"/>
  <c r="T1414" i="6"/>
  <c r="T1413" i="6"/>
  <c r="T1412" i="6"/>
  <c r="T1411" i="6"/>
  <c r="T1410" i="6"/>
  <c r="T1409" i="6"/>
  <c r="T1408" i="6"/>
  <c r="T1407" i="6"/>
  <c r="T1406" i="6"/>
  <c r="T1405" i="6"/>
  <c r="T1404" i="6"/>
  <c r="T1403" i="6"/>
  <c r="T1402" i="6"/>
  <c r="T1401" i="6"/>
  <c r="T1400" i="6"/>
  <c r="T1399" i="6"/>
  <c r="T1398" i="6"/>
  <c r="T1397" i="6"/>
  <c r="T1396" i="6"/>
  <c r="T1395" i="6"/>
  <c r="T1394" i="6"/>
  <c r="T1393" i="6"/>
  <c r="T1392" i="6"/>
  <c r="T1391" i="6"/>
  <c r="T1390" i="6"/>
  <c r="T1389" i="6"/>
  <c r="T1388" i="6"/>
  <c r="T1387" i="6"/>
  <c r="T1386" i="6"/>
  <c r="T1385" i="6"/>
  <c r="T1384" i="6"/>
  <c r="T1383" i="6"/>
  <c r="T1382" i="6"/>
  <c r="T1381" i="6"/>
  <c r="T1380" i="6"/>
  <c r="T1379" i="6"/>
  <c r="T1378" i="6"/>
  <c r="T1377" i="6"/>
  <c r="T1376" i="6"/>
  <c r="T1375" i="6"/>
  <c r="T1374" i="6"/>
  <c r="T1373" i="6"/>
  <c r="T1372" i="6"/>
  <c r="T1371" i="6"/>
  <c r="T1370" i="6"/>
  <c r="T1369" i="6"/>
  <c r="T1368" i="6"/>
  <c r="T1367" i="6"/>
  <c r="T1366" i="6"/>
  <c r="T1365" i="6"/>
  <c r="T1364" i="6"/>
  <c r="T1363" i="6"/>
  <c r="T1362" i="6"/>
  <c r="T1361" i="6"/>
  <c r="T1360" i="6"/>
  <c r="T1359" i="6"/>
  <c r="T1358" i="6"/>
  <c r="T1357" i="6"/>
  <c r="T1356" i="6"/>
  <c r="T1355" i="6"/>
  <c r="T1354" i="6"/>
  <c r="T1353" i="6"/>
  <c r="T1352" i="6"/>
  <c r="T1351" i="6"/>
  <c r="T1350" i="6"/>
  <c r="T1349" i="6"/>
  <c r="T1348" i="6"/>
  <c r="T1347" i="6"/>
  <c r="T1346" i="6"/>
  <c r="T1345" i="6"/>
  <c r="T1344" i="6"/>
  <c r="T1343" i="6"/>
  <c r="T1342" i="6"/>
  <c r="T1341" i="6"/>
  <c r="T1340" i="6"/>
  <c r="T1339" i="6"/>
  <c r="T1338" i="6"/>
  <c r="T1337" i="6"/>
  <c r="T1336" i="6"/>
  <c r="T1335" i="6"/>
  <c r="T1334" i="6"/>
  <c r="T1333" i="6"/>
  <c r="T1332" i="6"/>
  <c r="T1331" i="6"/>
  <c r="T1330" i="6"/>
  <c r="T1329" i="6"/>
  <c r="T1328" i="6"/>
  <c r="T1327" i="6"/>
  <c r="T1326" i="6"/>
  <c r="T1325" i="6"/>
  <c r="T1324" i="6"/>
  <c r="T1323" i="6"/>
  <c r="T1322" i="6"/>
  <c r="T1321" i="6"/>
  <c r="T1320" i="6"/>
  <c r="T1319" i="6"/>
  <c r="T1318" i="6"/>
  <c r="T1317" i="6"/>
  <c r="T1316" i="6"/>
  <c r="T1315" i="6"/>
  <c r="T1314" i="6"/>
  <c r="T1313" i="6"/>
  <c r="T1312" i="6"/>
  <c r="T1311" i="6"/>
  <c r="T1310" i="6"/>
  <c r="T1309" i="6"/>
  <c r="T1308" i="6"/>
  <c r="T1307" i="6"/>
  <c r="T1306" i="6"/>
  <c r="T1305" i="6"/>
  <c r="T1304" i="6"/>
  <c r="T1303" i="6"/>
  <c r="T1302" i="6"/>
  <c r="T1301" i="6"/>
  <c r="T1300" i="6"/>
  <c r="T1299" i="6"/>
  <c r="T1298" i="6"/>
  <c r="T1297" i="6"/>
  <c r="T1296" i="6"/>
  <c r="T1295" i="6"/>
  <c r="T1294" i="6"/>
  <c r="T1293" i="6"/>
  <c r="T1292" i="6"/>
  <c r="T1291" i="6"/>
  <c r="T1290" i="6"/>
  <c r="T1289" i="6"/>
  <c r="T1288" i="6"/>
  <c r="T1287" i="6"/>
  <c r="T1286" i="6"/>
  <c r="T1285" i="6"/>
  <c r="T1284" i="6"/>
  <c r="T1283" i="6"/>
  <c r="T1282" i="6"/>
  <c r="T1281" i="6"/>
  <c r="T1280" i="6"/>
  <c r="T1279" i="6"/>
  <c r="T1278" i="6"/>
  <c r="T1277" i="6"/>
  <c r="T1276" i="6"/>
  <c r="T1275" i="6"/>
  <c r="T1274" i="6"/>
  <c r="T1273" i="6"/>
  <c r="T1272" i="6"/>
  <c r="T1271" i="6"/>
  <c r="T1270" i="6"/>
  <c r="T1269" i="6"/>
  <c r="T1268" i="6"/>
  <c r="T1267" i="6"/>
  <c r="T1266" i="6"/>
  <c r="T1265" i="6"/>
  <c r="T1264" i="6"/>
  <c r="T1263" i="6"/>
  <c r="T1262" i="6"/>
  <c r="T1261" i="6"/>
  <c r="T1260" i="6"/>
  <c r="T1259" i="6"/>
  <c r="T1258" i="6"/>
  <c r="T1257" i="6"/>
  <c r="T1256" i="6"/>
  <c r="T1255" i="6"/>
  <c r="T1254" i="6"/>
  <c r="T1253" i="6"/>
  <c r="T1252" i="6"/>
  <c r="T1251" i="6"/>
  <c r="T1250" i="6"/>
  <c r="T1249" i="6"/>
  <c r="T1248" i="6"/>
  <c r="T1247" i="6"/>
  <c r="T1246" i="6"/>
  <c r="T1245" i="6"/>
  <c r="T1244" i="6"/>
  <c r="T1243" i="6"/>
  <c r="T1242" i="6"/>
  <c r="T1241" i="6"/>
  <c r="T1240" i="6"/>
  <c r="T1239" i="6"/>
  <c r="T1238" i="6"/>
  <c r="T1237" i="6"/>
  <c r="T1236" i="6"/>
  <c r="T1235" i="6"/>
  <c r="T1234" i="6"/>
  <c r="T1233" i="6"/>
  <c r="T1232" i="6"/>
  <c r="T1231" i="6"/>
  <c r="T1230" i="6"/>
  <c r="T1229" i="6"/>
  <c r="T1228" i="6"/>
  <c r="T1227" i="6"/>
  <c r="T1226" i="6"/>
  <c r="T1225" i="6"/>
  <c r="T1224" i="6"/>
  <c r="T1223" i="6"/>
  <c r="T1222" i="6"/>
  <c r="T1221" i="6"/>
  <c r="T1220" i="6"/>
  <c r="T1219" i="6"/>
  <c r="T1218" i="6"/>
  <c r="T1217" i="6"/>
  <c r="T1216" i="6"/>
  <c r="T1215" i="6"/>
  <c r="T1214" i="6"/>
  <c r="T1213" i="6"/>
  <c r="T1212" i="6"/>
  <c r="T1211" i="6"/>
  <c r="T1210" i="6"/>
  <c r="T1209" i="6"/>
  <c r="T1208" i="6"/>
  <c r="T1207" i="6"/>
  <c r="T1206" i="6"/>
  <c r="T1205" i="6"/>
  <c r="T1204" i="6"/>
  <c r="T1203" i="6"/>
  <c r="T1202" i="6"/>
  <c r="T1201" i="6"/>
  <c r="T1200" i="6"/>
  <c r="T1199" i="6"/>
  <c r="T1198" i="6"/>
  <c r="T1197" i="6"/>
  <c r="T1196" i="6"/>
  <c r="T1195" i="6"/>
  <c r="T1194" i="6"/>
  <c r="T1193" i="6"/>
  <c r="T1192" i="6"/>
  <c r="T1191" i="6"/>
  <c r="T1190" i="6"/>
  <c r="T1189" i="6"/>
  <c r="T1188" i="6"/>
  <c r="T1187" i="6"/>
  <c r="T1186" i="6"/>
  <c r="T1185" i="6"/>
  <c r="T1184" i="6"/>
  <c r="T1183" i="6"/>
  <c r="T1182" i="6"/>
  <c r="T1181" i="6"/>
  <c r="T1180" i="6"/>
  <c r="T1179" i="6"/>
  <c r="T1178" i="6"/>
  <c r="T1177" i="6"/>
  <c r="T1176" i="6"/>
  <c r="T1175" i="6"/>
  <c r="T1174" i="6"/>
  <c r="T1173" i="6"/>
  <c r="T1172" i="6"/>
  <c r="T1171" i="6"/>
  <c r="T1170" i="6"/>
  <c r="T1169" i="6"/>
  <c r="T1168" i="6"/>
  <c r="T1167" i="6"/>
  <c r="T1166" i="6"/>
  <c r="T1165" i="6"/>
  <c r="T1164" i="6"/>
  <c r="T1163" i="6"/>
  <c r="T1162" i="6"/>
  <c r="T1161" i="6"/>
  <c r="T1160" i="6"/>
  <c r="T1159" i="6"/>
  <c r="T1158" i="6"/>
  <c r="T1157" i="6"/>
  <c r="T1156" i="6"/>
  <c r="T1155" i="6"/>
  <c r="T1154" i="6"/>
  <c r="T1153" i="6"/>
  <c r="T1152" i="6"/>
  <c r="T1151" i="6"/>
  <c r="T1150" i="6"/>
  <c r="T1149" i="6"/>
  <c r="T1148" i="6"/>
  <c r="T1147" i="6"/>
  <c r="T1146" i="6"/>
  <c r="T1145" i="6"/>
  <c r="T1144" i="6"/>
  <c r="T1143" i="6"/>
  <c r="T1142" i="6"/>
  <c r="T1141" i="6"/>
  <c r="T1140" i="6"/>
  <c r="T1139" i="6"/>
  <c r="T1138" i="6"/>
  <c r="T1137" i="6"/>
  <c r="T1136" i="6"/>
  <c r="T1135" i="6"/>
  <c r="T1134" i="6"/>
  <c r="T1133" i="6"/>
  <c r="T1132" i="6"/>
  <c r="T1131" i="6"/>
  <c r="T1130" i="6"/>
  <c r="T1129" i="6"/>
  <c r="T1128" i="6"/>
  <c r="T1127" i="6"/>
  <c r="T1126" i="6"/>
  <c r="T1125" i="6"/>
  <c r="T1124" i="6"/>
  <c r="T1123" i="6"/>
  <c r="T1122" i="6"/>
  <c r="T1121" i="6"/>
  <c r="T1120" i="6"/>
  <c r="T1119" i="6"/>
  <c r="T1118" i="6"/>
  <c r="T1117" i="6"/>
  <c r="T1116" i="6"/>
  <c r="T1115" i="6"/>
  <c r="T1114" i="6"/>
  <c r="T1113" i="6"/>
  <c r="T1112" i="6"/>
  <c r="T1111" i="6"/>
  <c r="T1110" i="6"/>
  <c r="T1109" i="6"/>
  <c r="T1108" i="6"/>
  <c r="T1107" i="6"/>
  <c r="T1106" i="6"/>
  <c r="T1105" i="6"/>
  <c r="T1104" i="6"/>
  <c r="T1103" i="6"/>
  <c r="T1102" i="6"/>
  <c r="T1101" i="6"/>
  <c r="T1100" i="6"/>
  <c r="T1099" i="6"/>
  <c r="T1098" i="6"/>
  <c r="T1097" i="6"/>
  <c r="T1096" i="6"/>
  <c r="T1095" i="6"/>
  <c r="T1094" i="6"/>
  <c r="T1093" i="6"/>
  <c r="T1092" i="6"/>
  <c r="T1091" i="6"/>
  <c r="T1090" i="6"/>
  <c r="T1089" i="6"/>
  <c r="T1088" i="6"/>
  <c r="T1087" i="6"/>
  <c r="T1086" i="6"/>
  <c r="T1085" i="6"/>
  <c r="T1084" i="6"/>
  <c r="T1083" i="6"/>
  <c r="T1082" i="6"/>
  <c r="T1081" i="6"/>
  <c r="T1080" i="6"/>
  <c r="T1079" i="6"/>
  <c r="T1078" i="6"/>
  <c r="T1077" i="6"/>
  <c r="T1076" i="6"/>
  <c r="T1075" i="6"/>
  <c r="T1074" i="6"/>
  <c r="T1073" i="6"/>
  <c r="T1072" i="6"/>
  <c r="T1071" i="6"/>
  <c r="T1070" i="6"/>
  <c r="T1069" i="6"/>
  <c r="T1068" i="6"/>
  <c r="T1067" i="6"/>
  <c r="T1066" i="6"/>
  <c r="T1065" i="6"/>
  <c r="T1064" i="6"/>
  <c r="T1063" i="6"/>
  <c r="T1062" i="6"/>
  <c r="T1061" i="6"/>
  <c r="T1060" i="6"/>
  <c r="T1059" i="6"/>
  <c r="T1058" i="6"/>
  <c r="T1057" i="6"/>
  <c r="T1056" i="6"/>
  <c r="T1055" i="6"/>
  <c r="T1054" i="6"/>
  <c r="T1053" i="6"/>
  <c r="T1052" i="6"/>
  <c r="T1051" i="6"/>
  <c r="T1050" i="6"/>
  <c r="T1049" i="6"/>
  <c r="T1048" i="6"/>
  <c r="T1047" i="6"/>
  <c r="T1046" i="6"/>
  <c r="T1045" i="6"/>
  <c r="T1044" i="6"/>
  <c r="T1043" i="6"/>
  <c r="T1042" i="6"/>
  <c r="T1041" i="6"/>
  <c r="T1040" i="6"/>
  <c r="T1039" i="6"/>
  <c r="T1038" i="6"/>
  <c r="T1037" i="6"/>
  <c r="T1036" i="6"/>
  <c r="T1035" i="6"/>
  <c r="T1034" i="6"/>
  <c r="T1033" i="6"/>
  <c r="T1032" i="6"/>
  <c r="T1031" i="6"/>
  <c r="T1030" i="6"/>
  <c r="T1029" i="6"/>
  <c r="T1028" i="6"/>
  <c r="T1027" i="6"/>
  <c r="T1026" i="6"/>
  <c r="T1025" i="6"/>
  <c r="T1024" i="6"/>
  <c r="T1023" i="6"/>
  <c r="T1022" i="6"/>
  <c r="T1021" i="6"/>
  <c r="T1020" i="6"/>
  <c r="T1019" i="6"/>
  <c r="T1018" i="6"/>
  <c r="T1017" i="6"/>
  <c r="T1016" i="6"/>
  <c r="T1015" i="6"/>
  <c r="T1014" i="6"/>
  <c r="T1013" i="6"/>
  <c r="T1012" i="6"/>
  <c r="T1011" i="6"/>
  <c r="T1010" i="6"/>
  <c r="T1009" i="6"/>
  <c r="T1008" i="6"/>
  <c r="T1007" i="6"/>
  <c r="T1006" i="6"/>
  <c r="T1005" i="6"/>
  <c r="T1004" i="6"/>
  <c r="T1003" i="6"/>
  <c r="T1002" i="6"/>
  <c r="T1001" i="6"/>
  <c r="T1000" i="6"/>
  <c r="T999" i="6"/>
  <c r="T998" i="6"/>
  <c r="T997" i="6"/>
  <c r="T996" i="6"/>
  <c r="T995" i="6"/>
  <c r="T994" i="6"/>
  <c r="T993" i="6"/>
  <c r="T992" i="6"/>
  <c r="T991" i="6"/>
  <c r="T990" i="6"/>
  <c r="T989" i="6"/>
  <c r="T988" i="6"/>
  <c r="T987" i="6"/>
  <c r="T986" i="6"/>
  <c r="T985" i="6"/>
  <c r="T984" i="6"/>
  <c r="T983" i="6"/>
  <c r="T982" i="6"/>
  <c r="T981" i="6"/>
  <c r="T980" i="6"/>
  <c r="T979" i="6"/>
  <c r="T978" i="6"/>
  <c r="T977" i="6"/>
  <c r="T976" i="6"/>
  <c r="T975" i="6"/>
  <c r="T974" i="6"/>
  <c r="T973" i="6"/>
  <c r="T972" i="6"/>
  <c r="T971" i="6"/>
  <c r="T970" i="6"/>
  <c r="T969" i="6"/>
  <c r="T968" i="6"/>
  <c r="T967" i="6"/>
  <c r="T966" i="6"/>
  <c r="T965" i="6"/>
  <c r="T964" i="6"/>
  <c r="T963" i="6"/>
  <c r="T962" i="6"/>
  <c r="T961" i="6"/>
  <c r="T960" i="6"/>
  <c r="T959" i="6"/>
  <c r="T958" i="6"/>
  <c r="T957" i="6"/>
  <c r="T956" i="6"/>
  <c r="T955" i="6"/>
  <c r="T954" i="6"/>
  <c r="T953" i="6"/>
  <c r="T952" i="6"/>
  <c r="T951" i="6"/>
  <c r="T950" i="6"/>
  <c r="T949" i="6"/>
  <c r="T948" i="6"/>
  <c r="T947" i="6"/>
  <c r="T946" i="6"/>
  <c r="T945" i="6"/>
  <c r="T944" i="6"/>
  <c r="T943" i="6"/>
  <c r="T942" i="6"/>
  <c r="T941" i="6"/>
  <c r="T940" i="6"/>
  <c r="T939" i="6"/>
  <c r="T938" i="6"/>
  <c r="T937" i="6"/>
  <c r="T936" i="6"/>
  <c r="T935" i="6"/>
  <c r="T934" i="6"/>
  <c r="T933" i="6"/>
  <c r="T932" i="6"/>
  <c r="T931" i="6"/>
  <c r="T930" i="6"/>
  <c r="T929" i="6"/>
  <c r="T928" i="6"/>
  <c r="T927" i="6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51" i="6"/>
  <c r="T850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4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7" i="6"/>
  <c r="T816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6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77" i="6"/>
  <c r="T776" i="6"/>
  <c r="T775" i="6"/>
  <c r="T774" i="6"/>
  <c r="T773" i="6"/>
  <c r="T772" i="6"/>
  <c r="T771" i="6"/>
  <c r="T770" i="6"/>
  <c r="T769" i="6"/>
  <c r="T76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T162" i="6"/>
  <c r="T161" i="6"/>
  <c r="T160" i="6"/>
  <c r="T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2" i="6"/>
  <c r="AD1451" i="4"/>
  <c r="AE1451" i="4" s="1"/>
  <c r="AC1451" i="4"/>
  <c r="AB1451" i="4"/>
  <c r="AA1451" i="4"/>
  <c r="AF1451" i="4" s="1"/>
  <c r="Z1451" i="4"/>
  <c r="Y1451" i="4"/>
  <c r="X1451" i="4"/>
  <c r="W1451" i="4"/>
  <c r="V1451" i="4"/>
  <c r="U1451" i="4"/>
  <c r="T1451" i="4"/>
  <c r="AD1450" i="4"/>
  <c r="AE1450" i="4" s="1"/>
  <c r="AC1450" i="4"/>
  <c r="AB1450" i="4"/>
  <c r="AA1450" i="4"/>
  <c r="AF1450" i="4" s="1"/>
  <c r="Z1450" i="4"/>
  <c r="Y1450" i="4"/>
  <c r="X1450" i="4"/>
  <c r="W1450" i="4"/>
  <c r="V1450" i="4"/>
  <c r="U1450" i="4"/>
  <c r="T1450" i="4"/>
  <c r="AD1449" i="4"/>
  <c r="AE1449" i="4" s="1"/>
  <c r="AC1449" i="4"/>
  <c r="AB1449" i="4"/>
  <c r="AA1449" i="4"/>
  <c r="AF1449" i="4" s="1"/>
  <c r="Z1449" i="4"/>
  <c r="Y1449" i="4"/>
  <c r="X1449" i="4"/>
  <c r="W1449" i="4"/>
  <c r="V1449" i="4"/>
  <c r="U1449" i="4"/>
  <c r="T1449" i="4"/>
  <c r="AD1448" i="4"/>
  <c r="AE1448" i="4" s="1"/>
  <c r="AC1448" i="4"/>
  <c r="AB1448" i="4"/>
  <c r="AA1448" i="4"/>
  <c r="AF1448" i="4" s="1"/>
  <c r="Z1448" i="4"/>
  <c r="Y1448" i="4"/>
  <c r="X1448" i="4"/>
  <c r="W1448" i="4"/>
  <c r="V1448" i="4"/>
  <c r="U1448" i="4"/>
  <c r="T1448" i="4"/>
  <c r="AD1447" i="4"/>
  <c r="AE1447" i="4" s="1"/>
  <c r="AC1447" i="4"/>
  <c r="AB1447" i="4"/>
  <c r="AA1447" i="4"/>
  <c r="AF1447" i="4" s="1"/>
  <c r="Z1447" i="4"/>
  <c r="Y1447" i="4"/>
  <c r="X1447" i="4"/>
  <c r="W1447" i="4"/>
  <c r="V1447" i="4"/>
  <c r="U1447" i="4"/>
  <c r="T1447" i="4"/>
  <c r="AD1446" i="4"/>
  <c r="AE1446" i="4" s="1"/>
  <c r="AC1446" i="4"/>
  <c r="AB1446" i="4"/>
  <c r="AA1446" i="4"/>
  <c r="AF1446" i="4" s="1"/>
  <c r="Z1446" i="4"/>
  <c r="Y1446" i="4"/>
  <c r="X1446" i="4"/>
  <c r="W1446" i="4"/>
  <c r="V1446" i="4"/>
  <c r="U1446" i="4"/>
  <c r="T1446" i="4"/>
  <c r="AD1445" i="4"/>
  <c r="AE1445" i="4" s="1"/>
  <c r="AC1445" i="4"/>
  <c r="AB1445" i="4"/>
  <c r="AA1445" i="4"/>
  <c r="AF1445" i="4" s="1"/>
  <c r="Z1445" i="4"/>
  <c r="Y1445" i="4"/>
  <c r="X1445" i="4"/>
  <c r="W1445" i="4"/>
  <c r="V1445" i="4"/>
  <c r="U1445" i="4"/>
  <c r="T1445" i="4"/>
  <c r="AD1444" i="4"/>
  <c r="AE1444" i="4" s="1"/>
  <c r="AC1444" i="4"/>
  <c r="AB1444" i="4"/>
  <c r="AA1444" i="4"/>
  <c r="AF1444" i="4" s="1"/>
  <c r="Z1444" i="4"/>
  <c r="Y1444" i="4"/>
  <c r="X1444" i="4"/>
  <c r="W1444" i="4"/>
  <c r="V1444" i="4"/>
  <c r="U1444" i="4"/>
  <c r="T1444" i="4"/>
  <c r="AD1443" i="4"/>
  <c r="AE1443" i="4" s="1"/>
  <c r="AC1443" i="4"/>
  <c r="AB1443" i="4"/>
  <c r="AA1443" i="4"/>
  <c r="AF1443" i="4" s="1"/>
  <c r="Z1443" i="4"/>
  <c r="Y1443" i="4"/>
  <c r="X1443" i="4"/>
  <c r="W1443" i="4"/>
  <c r="V1443" i="4"/>
  <c r="U1443" i="4"/>
  <c r="T1443" i="4"/>
  <c r="AD1442" i="4"/>
  <c r="AE1442" i="4" s="1"/>
  <c r="AC1442" i="4"/>
  <c r="AB1442" i="4"/>
  <c r="AA1442" i="4"/>
  <c r="AF1442" i="4" s="1"/>
  <c r="Z1442" i="4"/>
  <c r="Y1442" i="4"/>
  <c r="X1442" i="4"/>
  <c r="W1442" i="4"/>
  <c r="V1442" i="4"/>
  <c r="U1442" i="4"/>
  <c r="T1442" i="4"/>
  <c r="AD1441" i="4"/>
  <c r="AE1441" i="4" s="1"/>
  <c r="AC1441" i="4"/>
  <c r="AB1441" i="4"/>
  <c r="AA1441" i="4"/>
  <c r="AF1441" i="4" s="1"/>
  <c r="Z1441" i="4"/>
  <c r="Y1441" i="4"/>
  <c r="X1441" i="4"/>
  <c r="W1441" i="4"/>
  <c r="V1441" i="4"/>
  <c r="U1441" i="4"/>
  <c r="T1441" i="4"/>
  <c r="AD1440" i="4"/>
  <c r="AE1440" i="4" s="1"/>
  <c r="AC1440" i="4"/>
  <c r="AB1440" i="4"/>
  <c r="AA1440" i="4"/>
  <c r="AF1440" i="4" s="1"/>
  <c r="Z1440" i="4"/>
  <c r="Y1440" i="4"/>
  <c r="X1440" i="4"/>
  <c r="W1440" i="4"/>
  <c r="V1440" i="4"/>
  <c r="U1440" i="4"/>
  <c r="T1440" i="4"/>
  <c r="AD1439" i="4"/>
  <c r="AE1439" i="4" s="1"/>
  <c r="AC1439" i="4"/>
  <c r="AB1439" i="4"/>
  <c r="AA1439" i="4"/>
  <c r="AF1439" i="4" s="1"/>
  <c r="Z1439" i="4"/>
  <c r="Y1439" i="4"/>
  <c r="X1439" i="4"/>
  <c r="W1439" i="4"/>
  <c r="V1439" i="4"/>
  <c r="U1439" i="4"/>
  <c r="T1439" i="4"/>
  <c r="AD1438" i="4"/>
  <c r="AE1438" i="4" s="1"/>
  <c r="AC1438" i="4"/>
  <c r="AB1438" i="4"/>
  <c r="AA1438" i="4"/>
  <c r="AF1438" i="4" s="1"/>
  <c r="Z1438" i="4"/>
  <c r="Y1438" i="4"/>
  <c r="X1438" i="4"/>
  <c r="W1438" i="4"/>
  <c r="V1438" i="4"/>
  <c r="U1438" i="4"/>
  <c r="T1438" i="4"/>
  <c r="AD1437" i="4"/>
  <c r="AE1437" i="4" s="1"/>
  <c r="AC1437" i="4"/>
  <c r="AB1437" i="4"/>
  <c r="AA1437" i="4"/>
  <c r="AF1437" i="4" s="1"/>
  <c r="Z1437" i="4"/>
  <c r="Y1437" i="4"/>
  <c r="X1437" i="4"/>
  <c r="W1437" i="4"/>
  <c r="V1437" i="4"/>
  <c r="U1437" i="4"/>
  <c r="T1437" i="4"/>
  <c r="AD1436" i="4"/>
  <c r="AE1436" i="4" s="1"/>
  <c r="AC1436" i="4"/>
  <c r="AB1436" i="4"/>
  <c r="AA1436" i="4"/>
  <c r="AF1436" i="4" s="1"/>
  <c r="Z1436" i="4"/>
  <c r="Y1436" i="4"/>
  <c r="X1436" i="4"/>
  <c r="W1436" i="4"/>
  <c r="V1436" i="4"/>
  <c r="U1436" i="4"/>
  <c r="T1436" i="4"/>
  <c r="AD1435" i="4"/>
  <c r="AE1435" i="4" s="1"/>
  <c r="AC1435" i="4"/>
  <c r="AB1435" i="4"/>
  <c r="AA1435" i="4"/>
  <c r="AF1435" i="4" s="1"/>
  <c r="Z1435" i="4"/>
  <c r="Y1435" i="4"/>
  <c r="X1435" i="4"/>
  <c r="W1435" i="4"/>
  <c r="V1435" i="4"/>
  <c r="U1435" i="4"/>
  <c r="T1435" i="4"/>
  <c r="AD1434" i="4"/>
  <c r="AE1434" i="4" s="1"/>
  <c r="AC1434" i="4"/>
  <c r="AB1434" i="4"/>
  <c r="AA1434" i="4"/>
  <c r="AF1434" i="4" s="1"/>
  <c r="Z1434" i="4"/>
  <c r="Y1434" i="4"/>
  <c r="X1434" i="4"/>
  <c r="W1434" i="4"/>
  <c r="V1434" i="4"/>
  <c r="U1434" i="4"/>
  <c r="T1434" i="4"/>
  <c r="AD1433" i="4"/>
  <c r="AE1433" i="4" s="1"/>
  <c r="AC1433" i="4"/>
  <c r="AB1433" i="4"/>
  <c r="AA1433" i="4"/>
  <c r="AF1433" i="4" s="1"/>
  <c r="Z1433" i="4"/>
  <c r="Y1433" i="4"/>
  <c r="X1433" i="4"/>
  <c r="W1433" i="4"/>
  <c r="V1433" i="4"/>
  <c r="U1433" i="4"/>
  <c r="T1433" i="4"/>
  <c r="AD1432" i="4"/>
  <c r="AE1432" i="4" s="1"/>
  <c r="AC1432" i="4"/>
  <c r="AB1432" i="4"/>
  <c r="AA1432" i="4"/>
  <c r="AF1432" i="4" s="1"/>
  <c r="Z1432" i="4"/>
  <c r="Y1432" i="4"/>
  <c r="X1432" i="4"/>
  <c r="W1432" i="4"/>
  <c r="V1432" i="4"/>
  <c r="U1432" i="4"/>
  <c r="T1432" i="4"/>
  <c r="AD1431" i="4"/>
  <c r="AE1431" i="4" s="1"/>
  <c r="AC1431" i="4"/>
  <c r="AB1431" i="4"/>
  <c r="AA1431" i="4"/>
  <c r="AF1431" i="4" s="1"/>
  <c r="Z1431" i="4"/>
  <c r="Y1431" i="4"/>
  <c r="X1431" i="4"/>
  <c r="W1431" i="4"/>
  <c r="V1431" i="4"/>
  <c r="U1431" i="4"/>
  <c r="T1431" i="4"/>
  <c r="AD1430" i="4"/>
  <c r="AE1430" i="4" s="1"/>
  <c r="AC1430" i="4"/>
  <c r="AB1430" i="4"/>
  <c r="AA1430" i="4"/>
  <c r="AF1430" i="4" s="1"/>
  <c r="Z1430" i="4"/>
  <c r="Y1430" i="4"/>
  <c r="X1430" i="4"/>
  <c r="W1430" i="4"/>
  <c r="V1430" i="4"/>
  <c r="U1430" i="4"/>
  <c r="T1430" i="4"/>
  <c r="AD1429" i="4"/>
  <c r="AE1429" i="4" s="1"/>
  <c r="AC1429" i="4"/>
  <c r="AB1429" i="4"/>
  <c r="AA1429" i="4"/>
  <c r="AF1429" i="4" s="1"/>
  <c r="Z1429" i="4"/>
  <c r="Y1429" i="4"/>
  <c r="X1429" i="4"/>
  <c r="W1429" i="4"/>
  <c r="V1429" i="4"/>
  <c r="U1429" i="4"/>
  <c r="T1429" i="4"/>
  <c r="AD1428" i="4"/>
  <c r="AE1428" i="4" s="1"/>
  <c r="AC1428" i="4"/>
  <c r="AB1428" i="4"/>
  <c r="AA1428" i="4"/>
  <c r="AF1428" i="4" s="1"/>
  <c r="Z1428" i="4"/>
  <c r="Y1428" i="4"/>
  <c r="X1428" i="4"/>
  <c r="W1428" i="4"/>
  <c r="V1428" i="4"/>
  <c r="U1428" i="4"/>
  <c r="T1428" i="4"/>
  <c r="AD1427" i="4"/>
  <c r="AE1427" i="4" s="1"/>
  <c r="AC1427" i="4"/>
  <c r="AB1427" i="4"/>
  <c r="AA1427" i="4"/>
  <c r="AF1427" i="4" s="1"/>
  <c r="Z1427" i="4"/>
  <c r="Y1427" i="4"/>
  <c r="X1427" i="4"/>
  <c r="W1427" i="4"/>
  <c r="V1427" i="4"/>
  <c r="U1427" i="4"/>
  <c r="T1427" i="4"/>
  <c r="AD1426" i="4"/>
  <c r="AE1426" i="4" s="1"/>
  <c r="AC1426" i="4"/>
  <c r="AB1426" i="4"/>
  <c r="AA1426" i="4"/>
  <c r="AF1426" i="4" s="1"/>
  <c r="Z1426" i="4"/>
  <c r="Y1426" i="4"/>
  <c r="X1426" i="4"/>
  <c r="W1426" i="4"/>
  <c r="V1426" i="4"/>
  <c r="U1426" i="4"/>
  <c r="T1426" i="4"/>
  <c r="AD1425" i="4"/>
  <c r="AE1425" i="4" s="1"/>
  <c r="AC1425" i="4"/>
  <c r="AB1425" i="4"/>
  <c r="AA1425" i="4"/>
  <c r="AF1425" i="4" s="1"/>
  <c r="Z1425" i="4"/>
  <c r="Y1425" i="4"/>
  <c r="X1425" i="4"/>
  <c r="W1425" i="4"/>
  <c r="V1425" i="4"/>
  <c r="U1425" i="4"/>
  <c r="T1425" i="4"/>
  <c r="AD1424" i="4"/>
  <c r="AE1424" i="4" s="1"/>
  <c r="AC1424" i="4"/>
  <c r="AB1424" i="4"/>
  <c r="AA1424" i="4"/>
  <c r="AF1424" i="4" s="1"/>
  <c r="Z1424" i="4"/>
  <c r="Y1424" i="4"/>
  <c r="X1424" i="4"/>
  <c r="W1424" i="4"/>
  <c r="V1424" i="4"/>
  <c r="U1424" i="4"/>
  <c r="T1424" i="4"/>
  <c r="AD1423" i="4"/>
  <c r="AE1423" i="4" s="1"/>
  <c r="AC1423" i="4"/>
  <c r="AB1423" i="4"/>
  <c r="AA1423" i="4"/>
  <c r="AF1423" i="4" s="1"/>
  <c r="Z1423" i="4"/>
  <c r="Y1423" i="4"/>
  <c r="X1423" i="4"/>
  <c r="W1423" i="4"/>
  <c r="V1423" i="4"/>
  <c r="U1423" i="4"/>
  <c r="T1423" i="4"/>
  <c r="AD1422" i="4"/>
  <c r="AE1422" i="4" s="1"/>
  <c r="AC1422" i="4"/>
  <c r="AB1422" i="4"/>
  <c r="AA1422" i="4"/>
  <c r="AF1422" i="4" s="1"/>
  <c r="Z1422" i="4"/>
  <c r="Y1422" i="4"/>
  <c r="X1422" i="4"/>
  <c r="W1422" i="4"/>
  <c r="V1422" i="4"/>
  <c r="U1422" i="4"/>
  <c r="T1422" i="4"/>
  <c r="AD1421" i="4"/>
  <c r="AE1421" i="4" s="1"/>
  <c r="AC1421" i="4"/>
  <c r="AB1421" i="4"/>
  <c r="AA1421" i="4"/>
  <c r="AF1421" i="4" s="1"/>
  <c r="Z1421" i="4"/>
  <c r="Y1421" i="4"/>
  <c r="X1421" i="4"/>
  <c r="W1421" i="4"/>
  <c r="V1421" i="4"/>
  <c r="U1421" i="4"/>
  <c r="T1421" i="4"/>
  <c r="AD1420" i="4"/>
  <c r="AE1420" i="4" s="1"/>
  <c r="AC1420" i="4"/>
  <c r="AB1420" i="4"/>
  <c r="AA1420" i="4"/>
  <c r="AF1420" i="4" s="1"/>
  <c r="Z1420" i="4"/>
  <c r="Y1420" i="4"/>
  <c r="X1420" i="4"/>
  <c r="W1420" i="4"/>
  <c r="V1420" i="4"/>
  <c r="U1420" i="4"/>
  <c r="T1420" i="4"/>
  <c r="AD1419" i="4"/>
  <c r="AE1419" i="4" s="1"/>
  <c r="AC1419" i="4"/>
  <c r="AB1419" i="4"/>
  <c r="AA1419" i="4"/>
  <c r="AF1419" i="4" s="1"/>
  <c r="Z1419" i="4"/>
  <c r="Y1419" i="4"/>
  <c r="X1419" i="4"/>
  <c r="W1419" i="4"/>
  <c r="V1419" i="4"/>
  <c r="U1419" i="4"/>
  <c r="T1419" i="4"/>
  <c r="AD1418" i="4"/>
  <c r="AE1418" i="4" s="1"/>
  <c r="AC1418" i="4"/>
  <c r="AB1418" i="4"/>
  <c r="AA1418" i="4"/>
  <c r="AF1418" i="4" s="1"/>
  <c r="Z1418" i="4"/>
  <c r="Y1418" i="4"/>
  <c r="X1418" i="4"/>
  <c r="W1418" i="4"/>
  <c r="V1418" i="4"/>
  <c r="U1418" i="4"/>
  <c r="T1418" i="4"/>
  <c r="AD1417" i="4"/>
  <c r="AE1417" i="4" s="1"/>
  <c r="AC1417" i="4"/>
  <c r="AB1417" i="4"/>
  <c r="AA1417" i="4"/>
  <c r="AF1417" i="4" s="1"/>
  <c r="Z1417" i="4"/>
  <c r="Y1417" i="4"/>
  <c r="X1417" i="4"/>
  <c r="W1417" i="4"/>
  <c r="V1417" i="4"/>
  <c r="U1417" i="4"/>
  <c r="T1417" i="4"/>
  <c r="AD1416" i="4"/>
  <c r="AE1416" i="4" s="1"/>
  <c r="AC1416" i="4"/>
  <c r="AB1416" i="4"/>
  <c r="AA1416" i="4"/>
  <c r="AF1416" i="4" s="1"/>
  <c r="Z1416" i="4"/>
  <c r="Y1416" i="4"/>
  <c r="X1416" i="4"/>
  <c r="W1416" i="4"/>
  <c r="V1416" i="4"/>
  <c r="U1416" i="4"/>
  <c r="T1416" i="4"/>
  <c r="AD1415" i="4"/>
  <c r="AE1415" i="4" s="1"/>
  <c r="AC1415" i="4"/>
  <c r="AB1415" i="4"/>
  <c r="AA1415" i="4"/>
  <c r="AF1415" i="4" s="1"/>
  <c r="Z1415" i="4"/>
  <c r="Y1415" i="4"/>
  <c r="X1415" i="4"/>
  <c r="W1415" i="4"/>
  <c r="V1415" i="4"/>
  <c r="U1415" i="4"/>
  <c r="T1415" i="4"/>
  <c r="AD1414" i="4"/>
  <c r="AE1414" i="4" s="1"/>
  <c r="AC1414" i="4"/>
  <c r="AB1414" i="4"/>
  <c r="AA1414" i="4"/>
  <c r="AF1414" i="4" s="1"/>
  <c r="Z1414" i="4"/>
  <c r="Y1414" i="4"/>
  <c r="X1414" i="4"/>
  <c r="W1414" i="4"/>
  <c r="V1414" i="4"/>
  <c r="U1414" i="4"/>
  <c r="T1414" i="4"/>
  <c r="AF1413" i="4"/>
  <c r="AD1413" i="4"/>
  <c r="AE1413" i="4" s="1"/>
  <c r="AC1413" i="4"/>
  <c r="AB1413" i="4"/>
  <c r="AA1413" i="4"/>
  <c r="Z1413" i="4"/>
  <c r="Y1413" i="4"/>
  <c r="X1413" i="4"/>
  <c r="W1413" i="4"/>
  <c r="V1413" i="4"/>
  <c r="U1413" i="4"/>
  <c r="T1413" i="4"/>
  <c r="AD1412" i="4"/>
  <c r="AE1412" i="4" s="1"/>
  <c r="AC1412" i="4"/>
  <c r="AB1412" i="4"/>
  <c r="AA1412" i="4"/>
  <c r="AF1412" i="4" s="1"/>
  <c r="Z1412" i="4"/>
  <c r="Y1412" i="4"/>
  <c r="X1412" i="4"/>
  <c r="W1412" i="4"/>
  <c r="V1412" i="4"/>
  <c r="U1412" i="4"/>
  <c r="T1412" i="4"/>
  <c r="AD1411" i="4"/>
  <c r="AE1411" i="4" s="1"/>
  <c r="AC1411" i="4"/>
  <c r="AB1411" i="4"/>
  <c r="AA1411" i="4"/>
  <c r="AF1411" i="4" s="1"/>
  <c r="Z1411" i="4"/>
  <c r="Y1411" i="4"/>
  <c r="X1411" i="4"/>
  <c r="W1411" i="4"/>
  <c r="V1411" i="4"/>
  <c r="U1411" i="4"/>
  <c r="T1411" i="4"/>
  <c r="AD1410" i="4"/>
  <c r="AE1410" i="4" s="1"/>
  <c r="AC1410" i="4"/>
  <c r="AB1410" i="4"/>
  <c r="AA1410" i="4"/>
  <c r="AF1410" i="4" s="1"/>
  <c r="Z1410" i="4"/>
  <c r="Y1410" i="4"/>
  <c r="X1410" i="4"/>
  <c r="W1410" i="4"/>
  <c r="V1410" i="4"/>
  <c r="U1410" i="4"/>
  <c r="T1410" i="4"/>
  <c r="AD1409" i="4"/>
  <c r="AE1409" i="4" s="1"/>
  <c r="AC1409" i="4"/>
  <c r="AB1409" i="4"/>
  <c r="AA1409" i="4"/>
  <c r="AF1409" i="4" s="1"/>
  <c r="Z1409" i="4"/>
  <c r="Y1409" i="4"/>
  <c r="X1409" i="4"/>
  <c r="W1409" i="4"/>
  <c r="V1409" i="4"/>
  <c r="U1409" i="4"/>
  <c r="T1409" i="4"/>
  <c r="AD1408" i="4"/>
  <c r="AE1408" i="4" s="1"/>
  <c r="AC1408" i="4"/>
  <c r="AB1408" i="4"/>
  <c r="AA1408" i="4"/>
  <c r="AF1408" i="4" s="1"/>
  <c r="Z1408" i="4"/>
  <c r="Y1408" i="4"/>
  <c r="X1408" i="4"/>
  <c r="W1408" i="4"/>
  <c r="V1408" i="4"/>
  <c r="U1408" i="4"/>
  <c r="T1408" i="4"/>
  <c r="AD1407" i="4"/>
  <c r="AE1407" i="4" s="1"/>
  <c r="AC1407" i="4"/>
  <c r="AB1407" i="4"/>
  <c r="AA1407" i="4"/>
  <c r="AF1407" i="4" s="1"/>
  <c r="Z1407" i="4"/>
  <c r="Y1407" i="4"/>
  <c r="X1407" i="4"/>
  <c r="W1407" i="4"/>
  <c r="V1407" i="4"/>
  <c r="U1407" i="4"/>
  <c r="T1407" i="4"/>
  <c r="AF1406" i="4"/>
  <c r="AD1406" i="4"/>
  <c r="AC1406" i="4"/>
  <c r="AB1406" i="4"/>
  <c r="AA1406" i="4"/>
  <c r="Z1406" i="4"/>
  <c r="Y1406" i="4"/>
  <c r="X1406" i="4"/>
  <c r="W1406" i="4"/>
  <c r="V1406" i="4"/>
  <c r="U1406" i="4"/>
  <c r="T1406" i="4"/>
  <c r="AD1405" i="4"/>
  <c r="AE1405" i="4" s="1"/>
  <c r="AC1405" i="4"/>
  <c r="AB1405" i="4"/>
  <c r="AA1405" i="4"/>
  <c r="AF1405" i="4" s="1"/>
  <c r="Z1405" i="4"/>
  <c r="Y1405" i="4"/>
  <c r="X1405" i="4"/>
  <c r="W1405" i="4"/>
  <c r="V1405" i="4"/>
  <c r="U1405" i="4"/>
  <c r="T1405" i="4"/>
  <c r="AD1404" i="4"/>
  <c r="AE1404" i="4" s="1"/>
  <c r="AC1404" i="4"/>
  <c r="AB1404" i="4"/>
  <c r="AA1404" i="4"/>
  <c r="AF1404" i="4" s="1"/>
  <c r="Z1404" i="4"/>
  <c r="Y1404" i="4"/>
  <c r="X1404" i="4"/>
  <c r="W1404" i="4"/>
  <c r="V1404" i="4"/>
  <c r="U1404" i="4"/>
  <c r="T1404" i="4"/>
  <c r="AD1403" i="4"/>
  <c r="AE1403" i="4" s="1"/>
  <c r="AC1403" i="4"/>
  <c r="AB1403" i="4"/>
  <c r="AA1403" i="4"/>
  <c r="AF1403" i="4" s="1"/>
  <c r="Z1403" i="4"/>
  <c r="Y1403" i="4"/>
  <c r="X1403" i="4"/>
  <c r="W1403" i="4"/>
  <c r="V1403" i="4"/>
  <c r="U1403" i="4"/>
  <c r="T1403" i="4"/>
  <c r="AD1402" i="4"/>
  <c r="AE1402" i="4" s="1"/>
  <c r="AC1402" i="4"/>
  <c r="AB1402" i="4"/>
  <c r="AA1402" i="4"/>
  <c r="AF1402" i="4" s="1"/>
  <c r="Z1402" i="4"/>
  <c r="Y1402" i="4"/>
  <c r="X1402" i="4"/>
  <c r="W1402" i="4"/>
  <c r="V1402" i="4"/>
  <c r="U1402" i="4"/>
  <c r="T1402" i="4"/>
  <c r="AD1401" i="4"/>
  <c r="AE1401" i="4" s="1"/>
  <c r="AC1401" i="4"/>
  <c r="AB1401" i="4"/>
  <c r="AA1401" i="4"/>
  <c r="AF1401" i="4" s="1"/>
  <c r="Z1401" i="4"/>
  <c r="Y1401" i="4"/>
  <c r="X1401" i="4"/>
  <c r="W1401" i="4"/>
  <c r="V1401" i="4"/>
  <c r="U1401" i="4"/>
  <c r="T1401" i="4"/>
  <c r="AD1400" i="4"/>
  <c r="AE1400" i="4" s="1"/>
  <c r="AC1400" i="4"/>
  <c r="AB1400" i="4"/>
  <c r="AA1400" i="4"/>
  <c r="AF1400" i="4" s="1"/>
  <c r="Z1400" i="4"/>
  <c r="Y1400" i="4"/>
  <c r="X1400" i="4"/>
  <c r="W1400" i="4"/>
  <c r="V1400" i="4"/>
  <c r="U1400" i="4"/>
  <c r="T1400" i="4"/>
  <c r="AD1399" i="4"/>
  <c r="AE1399" i="4" s="1"/>
  <c r="AC1399" i="4"/>
  <c r="AB1399" i="4"/>
  <c r="AA1399" i="4"/>
  <c r="AF1399" i="4" s="1"/>
  <c r="Z1399" i="4"/>
  <c r="Y1399" i="4"/>
  <c r="X1399" i="4"/>
  <c r="W1399" i="4"/>
  <c r="V1399" i="4"/>
  <c r="U1399" i="4"/>
  <c r="T1399" i="4"/>
  <c r="AD1398" i="4"/>
  <c r="AE1398" i="4" s="1"/>
  <c r="AC1398" i="4"/>
  <c r="AB1398" i="4"/>
  <c r="AA1398" i="4"/>
  <c r="AF1398" i="4" s="1"/>
  <c r="Z1398" i="4"/>
  <c r="Y1398" i="4"/>
  <c r="X1398" i="4"/>
  <c r="W1398" i="4"/>
  <c r="V1398" i="4"/>
  <c r="U1398" i="4"/>
  <c r="T1398" i="4"/>
  <c r="AD1397" i="4"/>
  <c r="AE1397" i="4" s="1"/>
  <c r="AC1397" i="4"/>
  <c r="AB1397" i="4"/>
  <c r="AA1397" i="4"/>
  <c r="AF1397" i="4" s="1"/>
  <c r="Z1397" i="4"/>
  <c r="Y1397" i="4"/>
  <c r="X1397" i="4"/>
  <c r="W1397" i="4"/>
  <c r="V1397" i="4"/>
  <c r="U1397" i="4"/>
  <c r="T1397" i="4"/>
  <c r="AD1396" i="4"/>
  <c r="AE1396" i="4" s="1"/>
  <c r="AC1396" i="4"/>
  <c r="AB1396" i="4"/>
  <c r="AA1396" i="4"/>
  <c r="AF1396" i="4" s="1"/>
  <c r="Z1396" i="4"/>
  <c r="Y1396" i="4"/>
  <c r="X1396" i="4"/>
  <c r="W1396" i="4"/>
  <c r="V1396" i="4"/>
  <c r="U1396" i="4"/>
  <c r="T1396" i="4"/>
  <c r="AD1395" i="4"/>
  <c r="AE1395" i="4" s="1"/>
  <c r="AC1395" i="4"/>
  <c r="AB1395" i="4"/>
  <c r="AA1395" i="4"/>
  <c r="AF1395" i="4" s="1"/>
  <c r="Z1395" i="4"/>
  <c r="Y1395" i="4"/>
  <c r="X1395" i="4"/>
  <c r="W1395" i="4"/>
  <c r="V1395" i="4"/>
  <c r="U1395" i="4"/>
  <c r="T1395" i="4"/>
  <c r="AD1394" i="4"/>
  <c r="AE1394" i="4" s="1"/>
  <c r="AC1394" i="4"/>
  <c r="AB1394" i="4"/>
  <c r="AA1394" i="4"/>
  <c r="AF1394" i="4" s="1"/>
  <c r="Z1394" i="4"/>
  <c r="Y1394" i="4"/>
  <c r="X1394" i="4"/>
  <c r="W1394" i="4"/>
  <c r="V1394" i="4"/>
  <c r="U1394" i="4"/>
  <c r="T1394" i="4"/>
  <c r="AD1393" i="4"/>
  <c r="AE1393" i="4" s="1"/>
  <c r="AC1393" i="4"/>
  <c r="AB1393" i="4"/>
  <c r="AA1393" i="4"/>
  <c r="AF1393" i="4" s="1"/>
  <c r="Z1393" i="4"/>
  <c r="Y1393" i="4"/>
  <c r="X1393" i="4"/>
  <c r="W1393" i="4"/>
  <c r="V1393" i="4"/>
  <c r="U1393" i="4"/>
  <c r="T1393" i="4"/>
  <c r="AD1392" i="4"/>
  <c r="AE1392" i="4" s="1"/>
  <c r="AC1392" i="4"/>
  <c r="AB1392" i="4"/>
  <c r="AA1392" i="4"/>
  <c r="AF1392" i="4" s="1"/>
  <c r="Z1392" i="4"/>
  <c r="Y1392" i="4"/>
  <c r="X1392" i="4"/>
  <c r="W1392" i="4"/>
  <c r="V1392" i="4"/>
  <c r="U1392" i="4"/>
  <c r="T1392" i="4"/>
  <c r="AD1391" i="4"/>
  <c r="AE1391" i="4" s="1"/>
  <c r="AC1391" i="4"/>
  <c r="AB1391" i="4"/>
  <c r="AA1391" i="4"/>
  <c r="AF1391" i="4" s="1"/>
  <c r="Z1391" i="4"/>
  <c r="Y1391" i="4"/>
  <c r="X1391" i="4"/>
  <c r="W1391" i="4"/>
  <c r="V1391" i="4"/>
  <c r="U1391" i="4"/>
  <c r="T1391" i="4"/>
  <c r="AD1390" i="4"/>
  <c r="AE1390" i="4" s="1"/>
  <c r="AC1390" i="4"/>
  <c r="AB1390" i="4"/>
  <c r="AA1390" i="4"/>
  <c r="AF1390" i="4" s="1"/>
  <c r="Z1390" i="4"/>
  <c r="Y1390" i="4"/>
  <c r="X1390" i="4"/>
  <c r="W1390" i="4"/>
  <c r="V1390" i="4"/>
  <c r="U1390" i="4"/>
  <c r="T1390" i="4"/>
  <c r="AD1389" i="4"/>
  <c r="AE1389" i="4" s="1"/>
  <c r="AC1389" i="4"/>
  <c r="AB1389" i="4"/>
  <c r="AA1389" i="4"/>
  <c r="AF1389" i="4" s="1"/>
  <c r="Z1389" i="4"/>
  <c r="Y1389" i="4"/>
  <c r="X1389" i="4"/>
  <c r="W1389" i="4"/>
  <c r="V1389" i="4"/>
  <c r="U1389" i="4"/>
  <c r="T1389" i="4"/>
  <c r="AD1388" i="4"/>
  <c r="AE1388" i="4" s="1"/>
  <c r="AC1388" i="4"/>
  <c r="AB1388" i="4"/>
  <c r="AA1388" i="4"/>
  <c r="AF1388" i="4" s="1"/>
  <c r="Z1388" i="4"/>
  <c r="Y1388" i="4"/>
  <c r="X1388" i="4"/>
  <c r="W1388" i="4"/>
  <c r="V1388" i="4"/>
  <c r="U1388" i="4"/>
  <c r="T1388" i="4"/>
  <c r="AD1387" i="4"/>
  <c r="AE1387" i="4" s="1"/>
  <c r="AC1387" i="4"/>
  <c r="AB1387" i="4"/>
  <c r="AA1387" i="4"/>
  <c r="AF1387" i="4" s="1"/>
  <c r="Z1387" i="4"/>
  <c r="Y1387" i="4"/>
  <c r="X1387" i="4"/>
  <c r="W1387" i="4"/>
  <c r="V1387" i="4"/>
  <c r="U1387" i="4"/>
  <c r="T1387" i="4"/>
  <c r="AD1386" i="4"/>
  <c r="AE1386" i="4" s="1"/>
  <c r="AC1386" i="4"/>
  <c r="AB1386" i="4"/>
  <c r="AA1386" i="4"/>
  <c r="AF1386" i="4" s="1"/>
  <c r="Z1386" i="4"/>
  <c r="Y1386" i="4"/>
  <c r="X1386" i="4"/>
  <c r="W1386" i="4"/>
  <c r="V1386" i="4"/>
  <c r="U1386" i="4"/>
  <c r="T1386" i="4"/>
  <c r="AD1385" i="4"/>
  <c r="AE1385" i="4" s="1"/>
  <c r="AC1385" i="4"/>
  <c r="AB1385" i="4"/>
  <c r="AA1385" i="4"/>
  <c r="AF1385" i="4" s="1"/>
  <c r="Z1385" i="4"/>
  <c r="Y1385" i="4"/>
  <c r="X1385" i="4"/>
  <c r="W1385" i="4"/>
  <c r="V1385" i="4"/>
  <c r="U1385" i="4"/>
  <c r="T1385" i="4"/>
  <c r="AD1384" i="4"/>
  <c r="AE1384" i="4" s="1"/>
  <c r="AC1384" i="4"/>
  <c r="AB1384" i="4"/>
  <c r="AA1384" i="4"/>
  <c r="AF1384" i="4" s="1"/>
  <c r="Z1384" i="4"/>
  <c r="Y1384" i="4"/>
  <c r="X1384" i="4"/>
  <c r="W1384" i="4"/>
  <c r="V1384" i="4"/>
  <c r="U1384" i="4"/>
  <c r="T1384" i="4"/>
  <c r="AD1383" i="4"/>
  <c r="AE1383" i="4" s="1"/>
  <c r="AC1383" i="4"/>
  <c r="AB1383" i="4"/>
  <c r="AA1383" i="4"/>
  <c r="AF1383" i="4" s="1"/>
  <c r="Z1383" i="4"/>
  <c r="Y1383" i="4"/>
  <c r="X1383" i="4"/>
  <c r="W1383" i="4"/>
  <c r="V1383" i="4"/>
  <c r="U1383" i="4"/>
  <c r="T1383" i="4"/>
  <c r="AD1382" i="4"/>
  <c r="AE1382" i="4" s="1"/>
  <c r="AC1382" i="4"/>
  <c r="AB1382" i="4"/>
  <c r="AA1382" i="4"/>
  <c r="AF1382" i="4" s="1"/>
  <c r="Z1382" i="4"/>
  <c r="Y1382" i="4"/>
  <c r="X1382" i="4"/>
  <c r="W1382" i="4"/>
  <c r="V1382" i="4"/>
  <c r="U1382" i="4"/>
  <c r="T1382" i="4"/>
  <c r="AD1381" i="4"/>
  <c r="AE1381" i="4" s="1"/>
  <c r="AC1381" i="4"/>
  <c r="AB1381" i="4"/>
  <c r="AA1381" i="4"/>
  <c r="AF1381" i="4" s="1"/>
  <c r="Z1381" i="4"/>
  <c r="Y1381" i="4"/>
  <c r="X1381" i="4"/>
  <c r="W1381" i="4"/>
  <c r="V1381" i="4"/>
  <c r="U1381" i="4"/>
  <c r="T1381" i="4"/>
  <c r="AD1380" i="4"/>
  <c r="AE1380" i="4" s="1"/>
  <c r="AC1380" i="4"/>
  <c r="AB1380" i="4"/>
  <c r="AA1380" i="4"/>
  <c r="AF1380" i="4" s="1"/>
  <c r="Z1380" i="4"/>
  <c r="Y1380" i="4"/>
  <c r="X1380" i="4"/>
  <c r="W1380" i="4"/>
  <c r="V1380" i="4"/>
  <c r="U1380" i="4"/>
  <c r="T1380" i="4"/>
  <c r="AD1379" i="4"/>
  <c r="AE1379" i="4" s="1"/>
  <c r="AC1379" i="4"/>
  <c r="AB1379" i="4"/>
  <c r="AA1379" i="4"/>
  <c r="AF1379" i="4" s="1"/>
  <c r="Z1379" i="4"/>
  <c r="Y1379" i="4"/>
  <c r="X1379" i="4"/>
  <c r="W1379" i="4"/>
  <c r="V1379" i="4"/>
  <c r="U1379" i="4"/>
  <c r="T1379" i="4"/>
  <c r="AD1378" i="4"/>
  <c r="AE1378" i="4" s="1"/>
  <c r="AC1378" i="4"/>
  <c r="AB1378" i="4"/>
  <c r="AA1378" i="4"/>
  <c r="AF1378" i="4" s="1"/>
  <c r="Z1378" i="4"/>
  <c r="Y1378" i="4"/>
  <c r="X1378" i="4"/>
  <c r="W1378" i="4"/>
  <c r="V1378" i="4"/>
  <c r="U1378" i="4"/>
  <c r="T1378" i="4"/>
  <c r="AD1377" i="4"/>
  <c r="AE1377" i="4" s="1"/>
  <c r="AC1377" i="4"/>
  <c r="AB1377" i="4"/>
  <c r="AA1377" i="4"/>
  <c r="AF1377" i="4" s="1"/>
  <c r="Z1377" i="4"/>
  <c r="Y1377" i="4"/>
  <c r="X1377" i="4"/>
  <c r="W1377" i="4"/>
  <c r="V1377" i="4"/>
  <c r="U1377" i="4"/>
  <c r="T1377" i="4"/>
  <c r="AD1376" i="4"/>
  <c r="AE1376" i="4" s="1"/>
  <c r="AC1376" i="4"/>
  <c r="AB1376" i="4"/>
  <c r="AA1376" i="4"/>
  <c r="AF1376" i="4" s="1"/>
  <c r="Z1376" i="4"/>
  <c r="Y1376" i="4"/>
  <c r="X1376" i="4"/>
  <c r="W1376" i="4"/>
  <c r="V1376" i="4"/>
  <c r="U1376" i="4"/>
  <c r="T1376" i="4"/>
  <c r="AD1375" i="4"/>
  <c r="AE1375" i="4" s="1"/>
  <c r="AC1375" i="4"/>
  <c r="AB1375" i="4"/>
  <c r="AA1375" i="4"/>
  <c r="AF1375" i="4" s="1"/>
  <c r="Z1375" i="4"/>
  <c r="Y1375" i="4"/>
  <c r="X1375" i="4"/>
  <c r="W1375" i="4"/>
  <c r="V1375" i="4"/>
  <c r="U1375" i="4"/>
  <c r="T1375" i="4"/>
  <c r="AD1374" i="4"/>
  <c r="AE1374" i="4" s="1"/>
  <c r="AC1374" i="4"/>
  <c r="AB1374" i="4"/>
  <c r="AA1374" i="4"/>
  <c r="AF1374" i="4" s="1"/>
  <c r="Z1374" i="4"/>
  <c r="Y1374" i="4"/>
  <c r="X1374" i="4"/>
  <c r="W1374" i="4"/>
  <c r="V1374" i="4"/>
  <c r="U1374" i="4"/>
  <c r="T1374" i="4"/>
  <c r="AD1373" i="4"/>
  <c r="AE1373" i="4" s="1"/>
  <c r="AC1373" i="4"/>
  <c r="AB1373" i="4"/>
  <c r="AA1373" i="4"/>
  <c r="AF1373" i="4" s="1"/>
  <c r="Z1373" i="4"/>
  <c r="Y1373" i="4"/>
  <c r="X1373" i="4"/>
  <c r="W1373" i="4"/>
  <c r="V1373" i="4"/>
  <c r="U1373" i="4"/>
  <c r="T1373" i="4"/>
  <c r="AD1372" i="4"/>
  <c r="AE1372" i="4" s="1"/>
  <c r="AC1372" i="4"/>
  <c r="AB1372" i="4"/>
  <c r="AA1372" i="4"/>
  <c r="AF1372" i="4" s="1"/>
  <c r="Z1372" i="4"/>
  <c r="Y1372" i="4"/>
  <c r="X1372" i="4"/>
  <c r="W1372" i="4"/>
  <c r="V1372" i="4"/>
  <c r="U1372" i="4"/>
  <c r="T1372" i="4"/>
  <c r="AD1371" i="4"/>
  <c r="AE1371" i="4" s="1"/>
  <c r="AC1371" i="4"/>
  <c r="AB1371" i="4"/>
  <c r="AA1371" i="4"/>
  <c r="AF1371" i="4" s="1"/>
  <c r="Z1371" i="4"/>
  <c r="Y1371" i="4"/>
  <c r="X1371" i="4"/>
  <c r="W1371" i="4"/>
  <c r="V1371" i="4"/>
  <c r="U1371" i="4"/>
  <c r="T1371" i="4"/>
  <c r="AD1370" i="4"/>
  <c r="AE1370" i="4" s="1"/>
  <c r="AC1370" i="4"/>
  <c r="AB1370" i="4"/>
  <c r="AA1370" i="4"/>
  <c r="AF1370" i="4" s="1"/>
  <c r="Z1370" i="4"/>
  <c r="Y1370" i="4"/>
  <c r="X1370" i="4"/>
  <c r="W1370" i="4"/>
  <c r="V1370" i="4"/>
  <c r="U1370" i="4"/>
  <c r="T1370" i="4"/>
  <c r="AD1369" i="4"/>
  <c r="AC1369" i="4"/>
  <c r="L10" i="2" s="1"/>
  <c r="AB1369" i="4"/>
  <c r="AA1369" i="4"/>
  <c r="AF1369" i="4" s="1"/>
  <c r="Z1369" i="4"/>
  <c r="Y1369" i="4"/>
  <c r="X1369" i="4"/>
  <c r="W1369" i="4"/>
  <c r="V1369" i="4"/>
  <c r="U1369" i="4"/>
  <c r="T1369" i="4"/>
  <c r="AD1368" i="4"/>
  <c r="AE1368" i="4" s="1"/>
  <c r="AC1368" i="4"/>
  <c r="AB1368" i="4"/>
  <c r="AA1368" i="4"/>
  <c r="AF1368" i="4" s="1"/>
  <c r="Z1368" i="4"/>
  <c r="Y1368" i="4"/>
  <c r="X1368" i="4"/>
  <c r="W1368" i="4"/>
  <c r="V1368" i="4"/>
  <c r="U1368" i="4"/>
  <c r="T1368" i="4"/>
  <c r="AD1367" i="4"/>
  <c r="AE1367" i="4" s="1"/>
  <c r="AC1367" i="4"/>
  <c r="AB1367" i="4"/>
  <c r="AA1367" i="4"/>
  <c r="AF1367" i="4" s="1"/>
  <c r="Z1367" i="4"/>
  <c r="Y1367" i="4"/>
  <c r="X1367" i="4"/>
  <c r="W1367" i="4"/>
  <c r="V1367" i="4"/>
  <c r="U1367" i="4"/>
  <c r="T1367" i="4"/>
  <c r="AD1366" i="4"/>
  <c r="AE1366" i="4" s="1"/>
  <c r="AC1366" i="4"/>
  <c r="AB1366" i="4"/>
  <c r="AA1366" i="4"/>
  <c r="AF1366" i="4" s="1"/>
  <c r="Z1366" i="4"/>
  <c r="Y1366" i="4"/>
  <c r="X1366" i="4"/>
  <c r="W1366" i="4"/>
  <c r="V1366" i="4"/>
  <c r="U1366" i="4"/>
  <c r="T1366" i="4"/>
  <c r="AD1365" i="4"/>
  <c r="AE1365" i="4" s="1"/>
  <c r="AC1365" i="4"/>
  <c r="AB1365" i="4"/>
  <c r="AA1365" i="4"/>
  <c r="AF1365" i="4" s="1"/>
  <c r="Z1365" i="4"/>
  <c r="Y1365" i="4"/>
  <c r="X1365" i="4"/>
  <c r="W1365" i="4"/>
  <c r="V1365" i="4"/>
  <c r="U1365" i="4"/>
  <c r="T1365" i="4"/>
  <c r="AD1364" i="4"/>
  <c r="AC1364" i="4"/>
  <c r="L11" i="2" s="1"/>
  <c r="AB1364" i="4"/>
  <c r="AA1364" i="4"/>
  <c r="AF1364" i="4" s="1"/>
  <c r="Z1364" i="4"/>
  <c r="Y1364" i="4"/>
  <c r="X1364" i="4"/>
  <c r="W1364" i="4"/>
  <c r="V1364" i="4"/>
  <c r="U1364" i="4"/>
  <c r="T1364" i="4"/>
  <c r="AD1363" i="4"/>
  <c r="AE1363" i="4" s="1"/>
  <c r="AC1363" i="4"/>
  <c r="AB1363" i="4"/>
  <c r="AA1363" i="4"/>
  <c r="AF1363" i="4" s="1"/>
  <c r="Z1363" i="4"/>
  <c r="Y1363" i="4"/>
  <c r="X1363" i="4"/>
  <c r="W1363" i="4"/>
  <c r="V1363" i="4"/>
  <c r="U1363" i="4"/>
  <c r="T1363" i="4"/>
  <c r="AD1362" i="4"/>
  <c r="AC1362" i="4"/>
  <c r="AB1362" i="4"/>
  <c r="AA1362" i="4"/>
  <c r="AF1362" i="4" s="1"/>
  <c r="Z1362" i="4"/>
  <c r="Y1362" i="4"/>
  <c r="X1362" i="4"/>
  <c r="W1362" i="4"/>
  <c r="V1362" i="4"/>
  <c r="U1362" i="4"/>
  <c r="T1362" i="4"/>
  <c r="AD1361" i="4"/>
  <c r="AC1361" i="4"/>
  <c r="L6" i="2" s="1"/>
  <c r="AB1361" i="4"/>
  <c r="AA1361" i="4"/>
  <c r="AF1361" i="4" s="1"/>
  <c r="Z1361" i="4"/>
  <c r="Y1361" i="4"/>
  <c r="X1361" i="4"/>
  <c r="W1361" i="4"/>
  <c r="V1361" i="4"/>
  <c r="U1361" i="4"/>
  <c r="T1361" i="4"/>
  <c r="AD1360" i="4"/>
  <c r="AC1360" i="4"/>
  <c r="L9" i="2" s="1"/>
  <c r="AB1360" i="4"/>
  <c r="AA1360" i="4"/>
  <c r="AF1360" i="4" s="1"/>
  <c r="Z1360" i="4"/>
  <c r="Y1360" i="4"/>
  <c r="X1360" i="4"/>
  <c r="W1360" i="4"/>
  <c r="V1360" i="4"/>
  <c r="U1360" i="4"/>
  <c r="T1360" i="4"/>
  <c r="AF1359" i="4"/>
  <c r="AD1359" i="4"/>
  <c r="AC1359" i="4"/>
  <c r="AB1359" i="4"/>
  <c r="AA1359" i="4"/>
  <c r="Z1359" i="4"/>
  <c r="Y1359" i="4"/>
  <c r="X1359" i="4"/>
  <c r="W1359" i="4"/>
  <c r="V1359" i="4"/>
  <c r="U1359" i="4"/>
  <c r="T1359" i="4"/>
  <c r="AF1358" i="4"/>
  <c r="AD1358" i="4"/>
  <c r="AC1358" i="4"/>
  <c r="L7" i="2" s="1"/>
  <c r="AB1358" i="4"/>
  <c r="AA1358" i="4"/>
  <c r="Z1358" i="4"/>
  <c r="Y1358" i="4"/>
  <c r="X1358" i="4"/>
  <c r="W1358" i="4"/>
  <c r="V1358" i="4"/>
  <c r="U1358" i="4"/>
  <c r="T1358" i="4"/>
  <c r="AF1357" i="4"/>
  <c r="AD1357" i="4"/>
  <c r="AC1357" i="4"/>
  <c r="AB1357" i="4"/>
  <c r="AA1357" i="4"/>
  <c r="Z1357" i="4"/>
  <c r="Y1357" i="4"/>
  <c r="X1357" i="4"/>
  <c r="W1357" i="4"/>
  <c r="V1357" i="4"/>
  <c r="U1357" i="4"/>
  <c r="T1357" i="4"/>
  <c r="AD1356" i="4"/>
  <c r="AE1356" i="4" s="1"/>
  <c r="AC1356" i="4"/>
  <c r="AB1356" i="4"/>
  <c r="AA1356" i="4"/>
  <c r="AF1356" i="4" s="1"/>
  <c r="Z1356" i="4"/>
  <c r="Y1356" i="4"/>
  <c r="X1356" i="4"/>
  <c r="W1356" i="4"/>
  <c r="V1356" i="4"/>
  <c r="U1356" i="4"/>
  <c r="T1356" i="4"/>
  <c r="AD1355" i="4"/>
  <c r="AE1355" i="4" s="1"/>
  <c r="AC1355" i="4"/>
  <c r="AB1355" i="4"/>
  <c r="AA1355" i="4"/>
  <c r="AF1355" i="4" s="1"/>
  <c r="Z1355" i="4"/>
  <c r="Y1355" i="4"/>
  <c r="X1355" i="4"/>
  <c r="W1355" i="4"/>
  <c r="V1355" i="4"/>
  <c r="U1355" i="4"/>
  <c r="T1355" i="4"/>
  <c r="AD1354" i="4"/>
  <c r="AE1354" i="4" s="1"/>
  <c r="AC1354" i="4"/>
  <c r="AB1354" i="4"/>
  <c r="AA1354" i="4"/>
  <c r="AF1354" i="4" s="1"/>
  <c r="Z1354" i="4"/>
  <c r="Y1354" i="4"/>
  <c r="X1354" i="4"/>
  <c r="W1354" i="4"/>
  <c r="V1354" i="4"/>
  <c r="U1354" i="4"/>
  <c r="T1354" i="4"/>
  <c r="AD1353" i="4"/>
  <c r="AE1353" i="4" s="1"/>
  <c r="AC1353" i="4"/>
  <c r="AB1353" i="4"/>
  <c r="AA1353" i="4"/>
  <c r="AF1353" i="4" s="1"/>
  <c r="Z1353" i="4"/>
  <c r="Y1353" i="4"/>
  <c r="X1353" i="4"/>
  <c r="W1353" i="4"/>
  <c r="V1353" i="4"/>
  <c r="U1353" i="4"/>
  <c r="T1353" i="4"/>
  <c r="AD1352" i="4"/>
  <c r="AE1352" i="4" s="1"/>
  <c r="AC1352" i="4"/>
  <c r="AB1352" i="4"/>
  <c r="AA1352" i="4"/>
  <c r="AF1352" i="4" s="1"/>
  <c r="Z1352" i="4"/>
  <c r="Y1352" i="4"/>
  <c r="X1352" i="4"/>
  <c r="W1352" i="4"/>
  <c r="V1352" i="4"/>
  <c r="U1352" i="4"/>
  <c r="T1352" i="4"/>
  <c r="AD1351" i="4"/>
  <c r="AE1351" i="4" s="1"/>
  <c r="AC1351" i="4"/>
  <c r="AB1351" i="4"/>
  <c r="AA1351" i="4"/>
  <c r="AF1351" i="4" s="1"/>
  <c r="Z1351" i="4"/>
  <c r="Y1351" i="4"/>
  <c r="X1351" i="4"/>
  <c r="W1351" i="4"/>
  <c r="V1351" i="4"/>
  <c r="U1351" i="4"/>
  <c r="T1351" i="4"/>
  <c r="AD1350" i="4"/>
  <c r="AE1350" i="4" s="1"/>
  <c r="AC1350" i="4"/>
  <c r="AB1350" i="4"/>
  <c r="AA1350" i="4"/>
  <c r="AF1350" i="4" s="1"/>
  <c r="Z1350" i="4"/>
  <c r="Y1350" i="4"/>
  <c r="X1350" i="4"/>
  <c r="W1350" i="4"/>
  <c r="V1350" i="4"/>
  <c r="U1350" i="4"/>
  <c r="T1350" i="4"/>
  <c r="AD1349" i="4"/>
  <c r="AE1349" i="4" s="1"/>
  <c r="AC1349" i="4"/>
  <c r="AB1349" i="4"/>
  <c r="AA1349" i="4"/>
  <c r="AF1349" i="4" s="1"/>
  <c r="Z1349" i="4"/>
  <c r="Y1349" i="4"/>
  <c r="X1349" i="4"/>
  <c r="W1349" i="4"/>
  <c r="V1349" i="4"/>
  <c r="U1349" i="4"/>
  <c r="T1349" i="4"/>
  <c r="AD1348" i="4"/>
  <c r="AE1348" i="4" s="1"/>
  <c r="AC1348" i="4"/>
  <c r="AB1348" i="4"/>
  <c r="AA1348" i="4"/>
  <c r="AF1348" i="4" s="1"/>
  <c r="Z1348" i="4"/>
  <c r="Y1348" i="4"/>
  <c r="X1348" i="4"/>
  <c r="W1348" i="4"/>
  <c r="V1348" i="4"/>
  <c r="U1348" i="4"/>
  <c r="T1348" i="4"/>
  <c r="AD1347" i="4"/>
  <c r="AE1347" i="4" s="1"/>
  <c r="AC1347" i="4"/>
  <c r="AB1347" i="4"/>
  <c r="AA1347" i="4"/>
  <c r="AF1347" i="4" s="1"/>
  <c r="Z1347" i="4"/>
  <c r="Y1347" i="4"/>
  <c r="X1347" i="4"/>
  <c r="W1347" i="4"/>
  <c r="V1347" i="4"/>
  <c r="U1347" i="4"/>
  <c r="T1347" i="4"/>
  <c r="AD1346" i="4"/>
  <c r="AE1346" i="4" s="1"/>
  <c r="AC1346" i="4"/>
  <c r="AB1346" i="4"/>
  <c r="AA1346" i="4"/>
  <c r="AF1346" i="4" s="1"/>
  <c r="Z1346" i="4"/>
  <c r="Y1346" i="4"/>
  <c r="X1346" i="4"/>
  <c r="W1346" i="4"/>
  <c r="V1346" i="4"/>
  <c r="U1346" i="4"/>
  <c r="T1346" i="4"/>
  <c r="AD1345" i="4"/>
  <c r="AE1345" i="4" s="1"/>
  <c r="AC1345" i="4"/>
  <c r="AB1345" i="4"/>
  <c r="AA1345" i="4"/>
  <c r="AF1345" i="4" s="1"/>
  <c r="Z1345" i="4"/>
  <c r="Y1345" i="4"/>
  <c r="X1345" i="4"/>
  <c r="W1345" i="4"/>
  <c r="V1345" i="4"/>
  <c r="U1345" i="4"/>
  <c r="T1345" i="4"/>
  <c r="AD1344" i="4"/>
  <c r="AE1344" i="4" s="1"/>
  <c r="AC1344" i="4"/>
  <c r="AB1344" i="4"/>
  <c r="AA1344" i="4"/>
  <c r="AF1344" i="4" s="1"/>
  <c r="Z1344" i="4"/>
  <c r="Y1344" i="4"/>
  <c r="X1344" i="4"/>
  <c r="W1344" i="4"/>
  <c r="V1344" i="4"/>
  <c r="U1344" i="4"/>
  <c r="T1344" i="4"/>
  <c r="AD1343" i="4"/>
  <c r="AE1343" i="4" s="1"/>
  <c r="AC1343" i="4"/>
  <c r="AB1343" i="4"/>
  <c r="AA1343" i="4"/>
  <c r="AF1343" i="4" s="1"/>
  <c r="Z1343" i="4"/>
  <c r="Y1343" i="4"/>
  <c r="X1343" i="4"/>
  <c r="W1343" i="4"/>
  <c r="V1343" i="4"/>
  <c r="U1343" i="4"/>
  <c r="T1343" i="4"/>
  <c r="AD1342" i="4"/>
  <c r="AE1342" i="4" s="1"/>
  <c r="AC1342" i="4"/>
  <c r="AB1342" i="4"/>
  <c r="AA1342" i="4"/>
  <c r="AF1342" i="4" s="1"/>
  <c r="Z1342" i="4"/>
  <c r="Y1342" i="4"/>
  <c r="X1342" i="4"/>
  <c r="W1342" i="4"/>
  <c r="V1342" i="4"/>
  <c r="U1342" i="4"/>
  <c r="T1342" i="4"/>
  <c r="AD1341" i="4"/>
  <c r="AE1341" i="4" s="1"/>
  <c r="AC1341" i="4"/>
  <c r="AB1341" i="4"/>
  <c r="AA1341" i="4"/>
  <c r="AF1341" i="4" s="1"/>
  <c r="Z1341" i="4"/>
  <c r="Y1341" i="4"/>
  <c r="X1341" i="4"/>
  <c r="W1341" i="4"/>
  <c r="V1341" i="4"/>
  <c r="U1341" i="4"/>
  <c r="T1341" i="4"/>
  <c r="AD1340" i="4"/>
  <c r="AE1340" i="4" s="1"/>
  <c r="AC1340" i="4"/>
  <c r="AB1340" i="4"/>
  <c r="AA1340" i="4"/>
  <c r="AF1340" i="4" s="1"/>
  <c r="Z1340" i="4"/>
  <c r="Y1340" i="4"/>
  <c r="X1340" i="4"/>
  <c r="W1340" i="4"/>
  <c r="V1340" i="4"/>
  <c r="U1340" i="4"/>
  <c r="T1340" i="4"/>
  <c r="AD1339" i="4"/>
  <c r="AE1339" i="4" s="1"/>
  <c r="AC1339" i="4"/>
  <c r="AB1339" i="4"/>
  <c r="AA1339" i="4"/>
  <c r="AF1339" i="4" s="1"/>
  <c r="Z1339" i="4"/>
  <c r="Y1339" i="4"/>
  <c r="X1339" i="4"/>
  <c r="W1339" i="4"/>
  <c r="V1339" i="4"/>
  <c r="U1339" i="4"/>
  <c r="T1339" i="4"/>
  <c r="AD1338" i="4"/>
  <c r="AE1338" i="4" s="1"/>
  <c r="AC1338" i="4"/>
  <c r="AB1338" i="4"/>
  <c r="AA1338" i="4"/>
  <c r="AF1338" i="4" s="1"/>
  <c r="Z1338" i="4"/>
  <c r="Y1338" i="4"/>
  <c r="X1338" i="4"/>
  <c r="W1338" i="4"/>
  <c r="V1338" i="4"/>
  <c r="U1338" i="4"/>
  <c r="T1338" i="4"/>
  <c r="AD1337" i="4"/>
  <c r="AE1337" i="4" s="1"/>
  <c r="AC1337" i="4"/>
  <c r="AB1337" i="4"/>
  <c r="AA1337" i="4"/>
  <c r="AF1337" i="4" s="1"/>
  <c r="Z1337" i="4"/>
  <c r="Y1337" i="4"/>
  <c r="X1337" i="4"/>
  <c r="W1337" i="4"/>
  <c r="V1337" i="4"/>
  <c r="U1337" i="4"/>
  <c r="T1337" i="4"/>
  <c r="AD1336" i="4"/>
  <c r="AE1336" i="4" s="1"/>
  <c r="AC1336" i="4"/>
  <c r="AB1336" i="4"/>
  <c r="AA1336" i="4"/>
  <c r="AF1336" i="4" s="1"/>
  <c r="Z1336" i="4"/>
  <c r="Y1336" i="4"/>
  <c r="X1336" i="4"/>
  <c r="W1336" i="4"/>
  <c r="V1336" i="4"/>
  <c r="U1336" i="4"/>
  <c r="T1336" i="4"/>
  <c r="AD1335" i="4"/>
  <c r="AE1335" i="4" s="1"/>
  <c r="AC1335" i="4"/>
  <c r="AB1335" i="4"/>
  <c r="AA1335" i="4"/>
  <c r="AF1335" i="4" s="1"/>
  <c r="Z1335" i="4"/>
  <c r="Y1335" i="4"/>
  <c r="X1335" i="4"/>
  <c r="W1335" i="4"/>
  <c r="V1335" i="4"/>
  <c r="U1335" i="4"/>
  <c r="T1335" i="4"/>
  <c r="AD1334" i="4"/>
  <c r="AE1334" i="4" s="1"/>
  <c r="AC1334" i="4"/>
  <c r="AB1334" i="4"/>
  <c r="AA1334" i="4"/>
  <c r="AF1334" i="4" s="1"/>
  <c r="Z1334" i="4"/>
  <c r="Y1334" i="4"/>
  <c r="X1334" i="4"/>
  <c r="W1334" i="4"/>
  <c r="V1334" i="4"/>
  <c r="U1334" i="4"/>
  <c r="T1334" i="4"/>
  <c r="AD1333" i="4"/>
  <c r="AE1333" i="4" s="1"/>
  <c r="AC1333" i="4"/>
  <c r="AB1333" i="4"/>
  <c r="AA1333" i="4"/>
  <c r="AF1333" i="4" s="1"/>
  <c r="Z1333" i="4"/>
  <c r="Y1333" i="4"/>
  <c r="X1333" i="4"/>
  <c r="W1333" i="4"/>
  <c r="V1333" i="4"/>
  <c r="U1333" i="4"/>
  <c r="T1333" i="4"/>
  <c r="AD1332" i="4"/>
  <c r="AE1332" i="4" s="1"/>
  <c r="AC1332" i="4"/>
  <c r="AB1332" i="4"/>
  <c r="AA1332" i="4"/>
  <c r="AF1332" i="4" s="1"/>
  <c r="Z1332" i="4"/>
  <c r="Y1332" i="4"/>
  <c r="X1332" i="4"/>
  <c r="W1332" i="4"/>
  <c r="V1332" i="4"/>
  <c r="U1332" i="4"/>
  <c r="T1332" i="4"/>
  <c r="AD1331" i="4"/>
  <c r="AE1331" i="4" s="1"/>
  <c r="AC1331" i="4"/>
  <c r="AB1331" i="4"/>
  <c r="AA1331" i="4"/>
  <c r="AF1331" i="4" s="1"/>
  <c r="Z1331" i="4"/>
  <c r="Y1331" i="4"/>
  <c r="X1331" i="4"/>
  <c r="W1331" i="4"/>
  <c r="V1331" i="4"/>
  <c r="U1331" i="4"/>
  <c r="T1331" i="4"/>
  <c r="AD1330" i="4"/>
  <c r="AE1330" i="4" s="1"/>
  <c r="AC1330" i="4"/>
  <c r="AB1330" i="4"/>
  <c r="AA1330" i="4"/>
  <c r="AF1330" i="4" s="1"/>
  <c r="Z1330" i="4"/>
  <c r="Y1330" i="4"/>
  <c r="X1330" i="4"/>
  <c r="W1330" i="4"/>
  <c r="V1330" i="4"/>
  <c r="U1330" i="4"/>
  <c r="T1330" i="4"/>
  <c r="AD1329" i="4"/>
  <c r="AE1329" i="4" s="1"/>
  <c r="AC1329" i="4"/>
  <c r="AB1329" i="4"/>
  <c r="AA1329" i="4"/>
  <c r="AF1329" i="4" s="1"/>
  <c r="Z1329" i="4"/>
  <c r="Y1329" i="4"/>
  <c r="X1329" i="4"/>
  <c r="W1329" i="4"/>
  <c r="V1329" i="4"/>
  <c r="U1329" i="4"/>
  <c r="T1329" i="4"/>
  <c r="AD1328" i="4"/>
  <c r="AE1328" i="4" s="1"/>
  <c r="AC1328" i="4"/>
  <c r="AB1328" i="4"/>
  <c r="AA1328" i="4"/>
  <c r="AF1328" i="4" s="1"/>
  <c r="Z1328" i="4"/>
  <c r="Y1328" i="4"/>
  <c r="X1328" i="4"/>
  <c r="W1328" i="4"/>
  <c r="V1328" i="4"/>
  <c r="U1328" i="4"/>
  <c r="T1328" i="4"/>
  <c r="AF1327" i="4"/>
  <c r="AD1327" i="4"/>
  <c r="AE1327" i="4" s="1"/>
  <c r="AC1327" i="4"/>
  <c r="AB1327" i="4"/>
  <c r="AA1327" i="4"/>
  <c r="Z1327" i="4"/>
  <c r="Y1327" i="4"/>
  <c r="X1327" i="4"/>
  <c r="W1327" i="4"/>
  <c r="V1327" i="4"/>
  <c r="U1327" i="4"/>
  <c r="T1327" i="4"/>
  <c r="AD1326" i="4"/>
  <c r="AE1326" i="4" s="1"/>
  <c r="AC1326" i="4"/>
  <c r="AB1326" i="4"/>
  <c r="AA1326" i="4"/>
  <c r="AF1326" i="4" s="1"/>
  <c r="Z1326" i="4"/>
  <c r="Y1326" i="4"/>
  <c r="X1326" i="4"/>
  <c r="W1326" i="4"/>
  <c r="V1326" i="4"/>
  <c r="U1326" i="4"/>
  <c r="T1326" i="4"/>
  <c r="AD1325" i="4"/>
  <c r="AE1325" i="4" s="1"/>
  <c r="AC1325" i="4"/>
  <c r="AB1325" i="4"/>
  <c r="AA1325" i="4"/>
  <c r="AF1325" i="4" s="1"/>
  <c r="Z1325" i="4"/>
  <c r="Y1325" i="4"/>
  <c r="X1325" i="4"/>
  <c r="W1325" i="4"/>
  <c r="V1325" i="4"/>
  <c r="U1325" i="4"/>
  <c r="T1325" i="4"/>
  <c r="AD1324" i="4"/>
  <c r="AE1324" i="4" s="1"/>
  <c r="AC1324" i="4"/>
  <c r="AB1324" i="4"/>
  <c r="AA1324" i="4"/>
  <c r="AF1324" i="4" s="1"/>
  <c r="Z1324" i="4"/>
  <c r="Y1324" i="4"/>
  <c r="X1324" i="4"/>
  <c r="W1324" i="4"/>
  <c r="V1324" i="4"/>
  <c r="U1324" i="4"/>
  <c r="T1324" i="4"/>
  <c r="AD1323" i="4"/>
  <c r="AE1323" i="4" s="1"/>
  <c r="AC1323" i="4"/>
  <c r="AB1323" i="4"/>
  <c r="AA1323" i="4"/>
  <c r="AF1323" i="4" s="1"/>
  <c r="Z1323" i="4"/>
  <c r="Y1323" i="4"/>
  <c r="X1323" i="4"/>
  <c r="W1323" i="4"/>
  <c r="V1323" i="4"/>
  <c r="U1323" i="4"/>
  <c r="T1323" i="4"/>
  <c r="AD1322" i="4"/>
  <c r="AE1322" i="4" s="1"/>
  <c r="AC1322" i="4"/>
  <c r="AB1322" i="4"/>
  <c r="AA1322" i="4"/>
  <c r="AF1322" i="4" s="1"/>
  <c r="Z1322" i="4"/>
  <c r="Y1322" i="4"/>
  <c r="X1322" i="4"/>
  <c r="W1322" i="4"/>
  <c r="V1322" i="4"/>
  <c r="U1322" i="4"/>
  <c r="T1322" i="4"/>
  <c r="AD1321" i="4"/>
  <c r="AE1321" i="4" s="1"/>
  <c r="AC1321" i="4"/>
  <c r="AB1321" i="4"/>
  <c r="AA1321" i="4"/>
  <c r="AF1321" i="4" s="1"/>
  <c r="Z1321" i="4"/>
  <c r="Y1321" i="4"/>
  <c r="X1321" i="4"/>
  <c r="W1321" i="4"/>
  <c r="V1321" i="4"/>
  <c r="U1321" i="4"/>
  <c r="T1321" i="4"/>
  <c r="AD1320" i="4"/>
  <c r="AE1320" i="4" s="1"/>
  <c r="AC1320" i="4"/>
  <c r="AB1320" i="4"/>
  <c r="AA1320" i="4"/>
  <c r="AF1320" i="4" s="1"/>
  <c r="Z1320" i="4"/>
  <c r="Y1320" i="4"/>
  <c r="X1320" i="4"/>
  <c r="W1320" i="4"/>
  <c r="V1320" i="4"/>
  <c r="U1320" i="4"/>
  <c r="T1320" i="4"/>
  <c r="AF1319" i="4"/>
  <c r="AD1319" i="4"/>
  <c r="AE1319" i="4" s="1"/>
  <c r="AC1319" i="4"/>
  <c r="AB1319" i="4"/>
  <c r="AA1319" i="4"/>
  <c r="Z1319" i="4"/>
  <c r="Y1319" i="4"/>
  <c r="X1319" i="4"/>
  <c r="W1319" i="4"/>
  <c r="V1319" i="4"/>
  <c r="U1319" i="4"/>
  <c r="T1319" i="4"/>
  <c r="AF1318" i="4"/>
  <c r="AD1318" i="4"/>
  <c r="AE1318" i="4" s="1"/>
  <c r="AC1318" i="4"/>
  <c r="AB1318" i="4"/>
  <c r="AA1318" i="4"/>
  <c r="Z1318" i="4"/>
  <c r="Y1318" i="4"/>
  <c r="X1318" i="4"/>
  <c r="W1318" i="4"/>
  <c r="V1318" i="4"/>
  <c r="U1318" i="4"/>
  <c r="T1318" i="4"/>
  <c r="AD1317" i="4"/>
  <c r="AE1317" i="4" s="1"/>
  <c r="AC1317" i="4"/>
  <c r="AB1317" i="4"/>
  <c r="AA1317" i="4"/>
  <c r="AF1317" i="4" s="1"/>
  <c r="Z1317" i="4"/>
  <c r="Y1317" i="4"/>
  <c r="X1317" i="4"/>
  <c r="W1317" i="4"/>
  <c r="V1317" i="4"/>
  <c r="U1317" i="4"/>
  <c r="T1317" i="4"/>
  <c r="AD1316" i="4"/>
  <c r="AE1316" i="4" s="1"/>
  <c r="AC1316" i="4"/>
  <c r="AB1316" i="4"/>
  <c r="AA1316" i="4"/>
  <c r="AF1316" i="4" s="1"/>
  <c r="Z1316" i="4"/>
  <c r="Y1316" i="4"/>
  <c r="X1316" i="4"/>
  <c r="W1316" i="4"/>
  <c r="V1316" i="4"/>
  <c r="U1316" i="4"/>
  <c r="T1316" i="4"/>
  <c r="AD1315" i="4"/>
  <c r="AE1315" i="4" s="1"/>
  <c r="AC1315" i="4"/>
  <c r="AB1315" i="4"/>
  <c r="AA1315" i="4"/>
  <c r="AF1315" i="4" s="1"/>
  <c r="Z1315" i="4"/>
  <c r="Y1315" i="4"/>
  <c r="X1315" i="4"/>
  <c r="W1315" i="4"/>
  <c r="V1315" i="4"/>
  <c r="U1315" i="4"/>
  <c r="T1315" i="4"/>
  <c r="AD1314" i="4"/>
  <c r="AE1314" i="4" s="1"/>
  <c r="AC1314" i="4"/>
  <c r="AB1314" i="4"/>
  <c r="AA1314" i="4"/>
  <c r="AF1314" i="4" s="1"/>
  <c r="Z1314" i="4"/>
  <c r="Y1314" i="4"/>
  <c r="X1314" i="4"/>
  <c r="W1314" i="4"/>
  <c r="V1314" i="4"/>
  <c r="U1314" i="4"/>
  <c r="T1314" i="4"/>
  <c r="AD1313" i="4"/>
  <c r="AE1313" i="4" s="1"/>
  <c r="AC1313" i="4"/>
  <c r="AB1313" i="4"/>
  <c r="AA1313" i="4"/>
  <c r="AF1313" i="4" s="1"/>
  <c r="Z1313" i="4"/>
  <c r="Y1313" i="4"/>
  <c r="X1313" i="4"/>
  <c r="W1313" i="4"/>
  <c r="V1313" i="4"/>
  <c r="U1313" i="4"/>
  <c r="T1313" i="4"/>
  <c r="AD1312" i="4"/>
  <c r="AE1312" i="4" s="1"/>
  <c r="AC1312" i="4"/>
  <c r="AB1312" i="4"/>
  <c r="AA1312" i="4"/>
  <c r="AF1312" i="4" s="1"/>
  <c r="Z1312" i="4"/>
  <c r="Y1312" i="4"/>
  <c r="X1312" i="4"/>
  <c r="W1312" i="4"/>
  <c r="V1312" i="4"/>
  <c r="U1312" i="4"/>
  <c r="T1312" i="4"/>
  <c r="AD1311" i="4"/>
  <c r="AE1311" i="4" s="1"/>
  <c r="AC1311" i="4"/>
  <c r="AB1311" i="4"/>
  <c r="AA1311" i="4"/>
  <c r="AF1311" i="4" s="1"/>
  <c r="Z1311" i="4"/>
  <c r="Y1311" i="4"/>
  <c r="X1311" i="4"/>
  <c r="W1311" i="4"/>
  <c r="V1311" i="4"/>
  <c r="U1311" i="4"/>
  <c r="T1311" i="4"/>
  <c r="AD1310" i="4"/>
  <c r="AE1310" i="4" s="1"/>
  <c r="AC1310" i="4"/>
  <c r="AB1310" i="4"/>
  <c r="AA1310" i="4"/>
  <c r="AF1310" i="4" s="1"/>
  <c r="Z1310" i="4"/>
  <c r="Y1310" i="4"/>
  <c r="X1310" i="4"/>
  <c r="W1310" i="4"/>
  <c r="V1310" i="4"/>
  <c r="U1310" i="4"/>
  <c r="T1310" i="4"/>
  <c r="AD1309" i="4"/>
  <c r="AE1309" i="4" s="1"/>
  <c r="AC1309" i="4"/>
  <c r="AB1309" i="4"/>
  <c r="AA1309" i="4"/>
  <c r="AF1309" i="4" s="1"/>
  <c r="Z1309" i="4"/>
  <c r="Y1309" i="4"/>
  <c r="X1309" i="4"/>
  <c r="W1309" i="4"/>
  <c r="V1309" i="4"/>
  <c r="U1309" i="4"/>
  <c r="T1309" i="4"/>
  <c r="AD1308" i="4"/>
  <c r="AE1308" i="4" s="1"/>
  <c r="AC1308" i="4"/>
  <c r="AB1308" i="4"/>
  <c r="AA1308" i="4"/>
  <c r="AF1308" i="4" s="1"/>
  <c r="Z1308" i="4"/>
  <c r="Y1308" i="4"/>
  <c r="X1308" i="4"/>
  <c r="W1308" i="4"/>
  <c r="V1308" i="4"/>
  <c r="U1308" i="4"/>
  <c r="T1308" i="4"/>
  <c r="AD1307" i="4"/>
  <c r="AE1307" i="4" s="1"/>
  <c r="AC1307" i="4"/>
  <c r="AB1307" i="4"/>
  <c r="AA1307" i="4"/>
  <c r="AF1307" i="4" s="1"/>
  <c r="Z1307" i="4"/>
  <c r="Y1307" i="4"/>
  <c r="X1307" i="4"/>
  <c r="W1307" i="4"/>
  <c r="V1307" i="4"/>
  <c r="U1307" i="4"/>
  <c r="T1307" i="4"/>
  <c r="AD1306" i="4"/>
  <c r="AE1306" i="4" s="1"/>
  <c r="AC1306" i="4"/>
  <c r="AB1306" i="4"/>
  <c r="AA1306" i="4"/>
  <c r="AF1306" i="4" s="1"/>
  <c r="Z1306" i="4"/>
  <c r="Y1306" i="4"/>
  <c r="X1306" i="4"/>
  <c r="W1306" i="4"/>
  <c r="V1306" i="4"/>
  <c r="U1306" i="4"/>
  <c r="T1306" i="4"/>
  <c r="AF1305" i="4"/>
  <c r="AD1305" i="4"/>
  <c r="AE1305" i="4" s="1"/>
  <c r="AC1305" i="4"/>
  <c r="AB1305" i="4"/>
  <c r="AA1305" i="4"/>
  <c r="Z1305" i="4"/>
  <c r="Y1305" i="4"/>
  <c r="X1305" i="4"/>
  <c r="W1305" i="4"/>
  <c r="V1305" i="4"/>
  <c r="U1305" i="4"/>
  <c r="T1305" i="4"/>
  <c r="AD1304" i="4"/>
  <c r="AE1304" i="4" s="1"/>
  <c r="AC1304" i="4"/>
  <c r="AB1304" i="4"/>
  <c r="AA1304" i="4"/>
  <c r="AF1304" i="4" s="1"/>
  <c r="Z1304" i="4"/>
  <c r="Y1304" i="4"/>
  <c r="X1304" i="4"/>
  <c r="W1304" i="4"/>
  <c r="V1304" i="4"/>
  <c r="U1304" i="4"/>
  <c r="T1304" i="4"/>
  <c r="AD1303" i="4"/>
  <c r="AE1303" i="4" s="1"/>
  <c r="AC1303" i="4"/>
  <c r="AB1303" i="4"/>
  <c r="AA1303" i="4"/>
  <c r="AF1303" i="4" s="1"/>
  <c r="Z1303" i="4"/>
  <c r="Y1303" i="4"/>
  <c r="X1303" i="4"/>
  <c r="W1303" i="4"/>
  <c r="V1303" i="4"/>
  <c r="U1303" i="4"/>
  <c r="T1303" i="4"/>
  <c r="AD1302" i="4"/>
  <c r="AE1302" i="4" s="1"/>
  <c r="AC1302" i="4"/>
  <c r="AB1302" i="4"/>
  <c r="AA1302" i="4"/>
  <c r="AF1302" i="4" s="1"/>
  <c r="Z1302" i="4"/>
  <c r="Y1302" i="4"/>
  <c r="X1302" i="4"/>
  <c r="W1302" i="4"/>
  <c r="V1302" i="4"/>
  <c r="U1302" i="4"/>
  <c r="T1302" i="4"/>
  <c r="AD1301" i="4"/>
  <c r="AE1301" i="4" s="1"/>
  <c r="AC1301" i="4"/>
  <c r="AB1301" i="4"/>
  <c r="AA1301" i="4"/>
  <c r="AF1301" i="4" s="1"/>
  <c r="Z1301" i="4"/>
  <c r="Y1301" i="4"/>
  <c r="X1301" i="4"/>
  <c r="W1301" i="4"/>
  <c r="V1301" i="4"/>
  <c r="U1301" i="4"/>
  <c r="T1301" i="4"/>
  <c r="AD1300" i="4"/>
  <c r="AE1300" i="4" s="1"/>
  <c r="AC1300" i="4"/>
  <c r="AB1300" i="4"/>
  <c r="AA1300" i="4"/>
  <c r="AF1300" i="4" s="1"/>
  <c r="Z1300" i="4"/>
  <c r="Y1300" i="4"/>
  <c r="X1300" i="4"/>
  <c r="W1300" i="4"/>
  <c r="V1300" i="4"/>
  <c r="U1300" i="4"/>
  <c r="T1300" i="4"/>
  <c r="AF1299" i="4"/>
  <c r="AD1299" i="4"/>
  <c r="AE1299" i="4" s="1"/>
  <c r="AC1299" i="4"/>
  <c r="AB1299" i="4"/>
  <c r="AA1299" i="4"/>
  <c r="Z1299" i="4"/>
  <c r="Y1299" i="4"/>
  <c r="X1299" i="4"/>
  <c r="W1299" i="4"/>
  <c r="V1299" i="4"/>
  <c r="U1299" i="4"/>
  <c r="T1299" i="4"/>
  <c r="AD1298" i="4"/>
  <c r="AE1298" i="4" s="1"/>
  <c r="AC1298" i="4"/>
  <c r="AB1298" i="4"/>
  <c r="AA1298" i="4"/>
  <c r="AF1298" i="4" s="1"/>
  <c r="Z1298" i="4"/>
  <c r="Y1298" i="4"/>
  <c r="X1298" i="4"/>
  <c r="W1298" i="4"/>
  <c r="V1298" i="4"/>
  <c r="U1298" i="4"/>
  <c r="T1298" i="4"/>
  <c r="AD1297" i="4"/>
  <c r="AE1297" i="4" s="1"/>
  <c r="AC1297" i="4"/>
  <c r="AB1297" i="4"/>
  <c r="AA1297" i="4"/>
  <c r="AF1297" i="4" s="1"/>
  <c r="Z1297" i="4"/>
  <c r="Y1297" i="4"/>
  <c r="X1297" i="4"/>
  <c r="W1297" i="4"/>
  <c r="V1297" i="4"/>
  <c r="U1297" i="4"/>
  <c r="T1297" i="4"/>
  <c r="AD1296" i="4"/>
  <c r="AE1296" i="4" s="1"/>
  <c r="AC1296" i="4"/>
  <c r="AB1296" i="4"/>
  <c r="AA1296" i="4"/>
  <c r="AF1296" i="4" s="1"/>
  <c r="Z1296" i="4"/>
  <c r="Y1296" i="4"/>
  <c r="X1296" i="4"/>
  <c r="W1296" i="4"/>
  <c r="V1296" i="4"/>
  <c r="U1296" i="4"/>
  <c r="T1296" i="4"/>
  <c r="AD1295" i="4"/>
  <c r="AE1295" i="4" s="1"/>
  <c r="AC1295" i="4"/>
  <c r="AB1295" i="4"/>
  <c r="AA1295" i="4"/>
  <c r="AF1295" i="4" s="1"/>
  <c r="Z1295" i="4"/>
  <c r="Y1295" i="4"/>
  <c r="X1295" i="4"/>
  <c r="W1295" i="4"/>
  <c r="V1295" i="4"/>
  <c r="U1295" i="4"/>
  <c r="T1295" i="4"/>
  <c r="AD1294" i="4"/>
  <c r="AE1294" i="4" s="1"/>
  <c r="AC1294" i="4"/>
  <c r="AB1294" i="4"/>
  <c r="AA1294" i="4"/>
  <c r="AF1294" i="4" s="1"/>
  <c r="Z1294" i="4"/>
  <c r="Y1294" i="4"/>
  <c r="X1294" i="4"/>
  <c r="W1294" i="4"/>
  <c r="V1294" i="4"/>
  <c r="U1294" i="4"/>
  <c r="T1294" i="4"/>
  <c r="AF1293" i="4"/>
  <c r="AD1293" i="4"/>
  <c r="AE1293" i="4" s="1"/>
  <c r="AC1293" i="4"/>
  <c r="AB1293" i="4"/>
  <c r="AA1293" i="4"/>
  <c r="Z1293" i="4"/>
  <c r="Y1293" i="4"/>
  <c r="X1293" i="4"/>
  <c r="W1293" i="4"/>
  <c r="V1293" i="4"/>
  <c r="U1293" i="4"/>
  <c r="T1293" i="4"/>
  <c r="AD1292" i="4"/>
  <c r="AE1292" i="4" s="1"/>
  <c r="AC1292" i="4"/>
  <c r="AB1292" i="4"/>
  <c r="AA1292" i="4"/>
  <c r="AF1292" i="4" s="1"/>
  <c r="Z1292" i="4"/>
  <c r="Y1292" i="4"/>
  <c r="X1292" i="4"/>
  <c r="W1292" i="4"/>
  <c r="V1292" i="4"/>
  <c r="U1292" i="4"/>
  <c r="T1292" i="4"/>
  <c r="AD1291" i="4"/>
  <c r="AE1291" i="4" s="1"/>
  <c r="AC1291" i="4"/>
  <c r="AB1291" i="4"/>
  <c r="AA1291" i="4"/>
  <c r="AF1291" i="4" s="1"/>
  <c r="Z1291" i="4"/>
  <c r="Y1291" i="4"/>
  <c r="X1291" i="4"/>
  <c r="W1291" i="4"/>
  <c r="V1291" i="4"/>
  <c r="U1291" i="4"/>
  <c r="T1291" i="4"/>
  <c r="AD1290" i="4"/>
  <c r="AE1290" i="4" s="1"/>
  <c r="AC1290" i="4"/>
  <c r="AB1290" i="4"/>
  <c r="AA1290" i="4"/>
  <c r="AF1290" i="4" s="1"/>
  <c r="Z1290" i="4"/>
  <c r="Y1290" i="4"/>
  <c r="X1290" i="4"/>
  <c r="W1290" i="4"/>
  <c r="V1290" i="4"/>
  <c r="U1290" i="4"/>
  <c r="T1290" i="4"/>
  <c r="AD1289" i="4"/>
  <c r="AE1289" i="4" s="1"/>
  <c r="AC1289" i="4"/>
  <c r="AB1289" i="4"/>
  <c r="AA1289" i="4"/>
  <c r="AF1289" i="4" s="1"/>
  <c r="Z1289" i="4"/>
  <c r="Y1289" i="4"/>
  <c r="X1289" i="4"/>
  <c r="W1289" i="4"/>
  <c r="V1289" i="4"/>
  <c r="U1289" i="4"/>
  <c r="T1289" i="4"/>
  <c r="AD1288" i="4"/>
  <c r="AE1288" i="4" s="1"/>
  <c r="AC1288" i="4"/>
  <c r="AB1288" i="4"/>
  <c r="AA1288" i="4"/>
  <c r="AF1288" i="4" s="1"/>
  <c r="Z1288" i="4"/>
  <c r="Y1288" i="4"/>
  <c r="X1288" i="4"/>
  <c r="W1288" i="4"/>
  <c r="V1288" i="4"/>
  <c r="U1288" i="4"/>
  <c r="T1288" i="4"/>
  <c r="AD1287" i="4"/>
  <c r="AE1287" i="4" s="1"/>
  <c r="AC1287" i="4"/>
  <c r="AB1287" i="4"/>
  <c r="AA1287" i="4"/>
  <c r="AF1287" i="4" s="1"/>
  <c r="Z1287" i="4"/>
  <c r="Y1287" i="4"/>
  <c r="X1287" i="4"/>
  <c r="W1287" i="4"/>
  <c r="V1287" i="4"/>
  <c r="U1287" i="4"/>
  <c r="T1287" i="4"/>
  <c r="AD1286" i="4"/>
  <c r="AE1286" i="4" s="1"/>
  <c r="AC1286" i="4"/>
  <c r="AB1286" i="4"/>
  <c r="AA1286" i="4"/>
  <c r="AF1286" i="4" s="1"/>
  <c r="Z1286" i="4"/>
  <c r="Y1286" i="4"/>
  <c r="X1286" i="4"/>
  <c r="W1286" i="4"/>
  <c r="V1286" i="4"/>
  <c r="U1286" i="4"/>
  <c r="T1286" i="4"/>
  <c r="AD1285" i="4"/>
  <c r="AE1285" i="4" s="1"/>
  <c r="AC1285" i="4"/>
  <c r="AB1285" i="4"/>
  <c r="AA1285" i="4"/>
  <c r="AF1285" i="4" s="1"/>
  <c r="Z1285" i="4"/>
  <c r="Y1285" i="4"/>
  <c r="X1285" i="4"/>
  <c r="W1285" i="4"/>
  <c r="V1285" i="4"/>
  <c r="U1285" i="4"/>
  <c r="T1285" i="4"/>
  <c r="AD1284" i="4"/>
  <c r="AE1284" i="4" s="1"/>
  <c r="AC1284" i="4"/>
  <c r="AB1284" i="4"/>
  <c r="AA1284" i="4"/>
  <c r="AF1284" i="4" s="1"/>
  <c r="Z1284" i="4"/>
  <c r="Y1284" i="4"/>
  <c r="X1284" i="4"/>
  <c r="W1284" i="4"/>
  <c r="V1284" i="4"/>
  <c r="U1284" i="4"/>
  <c r="T1284" i="4"/>
  <c r="AD1283" i="4"/>
  <c r="AE1283" i="4" s="1"/>
  <c r="AC1283" i="4"/>
  <c r="AB1283" i="4"/>
  <c r="AA1283" i="4"/>
  <c r="AF1283" i="4" s="1"/>
  <c r="Z1283" i="4"/>
  <c r="Y1283" i="4"/>
  <c r="X1283" i="4"/>
  <c r="W1283" i="4"/>
  <c r="V1283" i="4"/>
  <c r="U1283" i="4"/>
  <c r="T1283" i="4"/>
  <c r="AD1282" i="4"/>
  <c r="AE1282" i="4" s="1"/>
  <c r="AC1282" i="4"/>
  <c r="AB1282" i="4"/>
  <c r="AA1282" i="4"/>
  <c r="AF1282" i="4" s="1"/>
  <c r="Z1282" i="4"/>
  <c r="Y1282" i="4"/>
  <c r="X1282" i="4"/>
  <c r="W1282" i="4"/>
  <c r="V1282" i="4"/>
  <c r="U1282" i="4"/>
  <c r="T1282" i="4"/>
  <c r="AD1281" i="4"/>
  <c r="AE1281" i="4" s="1"/>
  <c r="AC1281" i="4"/>
  <c r="AB1281" i="4"/>
  <c r="AA1281" i="4"/>
  <c r="AF1281" i="4" s="1"/>
  <c r="Z1281" i="4"/>
  <c r="Y1281" i="4"/>
  <c r="X1281" i="4"/>
  <c r="W1281" i="4"/>
  <c r="V1281" i="4"/>
  <c r="U1281" i="4"/>
  <c r="T1281" i="4"/>
  <c r="AD1280" i="4"/>
  <c r="AE1280" i="4" s="1"/>
  <c r="AC1280" i="4"/>
  <c r="AB1280" i="4"/>
  <c r="AA1280" i="4"/>
  <c r="AF1280" i="4" s="1"/>
  <c r="Z1280" i="4"/>
  <c r="Y1280" i="4"/>
  <c r="X1280" i="4"/>
  <c r="W1280" i="4"/>
  <c r="V1280" i="4"/>
  <c r="U1280" i="4"/>
  <c r="T1280" i="4"/>
  <c r="AD1279" i="4"/>
  <c r="AE1279" i="4" s="1"/>
  <c r="AC1279" i="4"/>
  <c r="AB1279" i="4"/>
  <c r="AA1279" i="4"/>
  <c r="AF1279" i="4" s="1"/>
  <c r="Z1279" i="4"/>
  <c r="Y1279" i="4"/>
  <c r="X1279" i="4"/>
  <c r="W1279" i="4"/>
  <c r="V1279" i="4"/>
  <c r="U1279" i="4"/>
  <c r="T1279" i="4"/>
  <c r="AD1278" i="4"/>
  <c r="AE1278" i="4" s="1"/>
  <c r="AC1278" i="4"/>
  <c r="AB1278" i="4"/>
  <c r="AA1278" i="4"/>
  <c r="AF1278" i="4" s="1"/>
  <c r="Z1278" i="4"/>
  <c r="Y1278" i="4"/>
  <c r="X1278" i="4"/>
  <c r="W1278" i="4"/>
  <c r="V1278" i="4"/>
  <c r="U1278" i="4"/>
  <c r="T1278" i="4"/>
  <c r="AD1277" i="4"/>
  <c r="AE1277" i="4" s="1"/>
  <c r="AC1277" i="4"/>
  <c r="AB1277" i="4"/>
  <c r="AA1277" i="4"/>
  <c r="AF1277" i="4" s="1"/>
  <c r="Z1277" i="4"/>
  <c r="Y1277" i="4"/>
  <c r="X1277" i="4"/>
  <c r="W1277" i="4"/>
  <c r="V1277" i="4"/>
  <c r="U1277" i="4"/>
  <c r="T1277" i="4"/>
  <c r="AD1276" i="4"/>
  <c r="AE1276" i="4" s="1"/>
  <c r="AC1276" i="4"/>
  <c r="AB1276" i="4"/>
  <c r="AA1276" i="4"/>
  <c r="AF1276" i="4" s="1"/>
  <c r="Z1276" i="4"/>
  <c r="Y1276" i="4"/>
  <c r="X1276" i="4"/>
  <c r="W1276" i="4"/>
  <c r="V1276" i="4"/>
  <c r="U1276" i="4"/>
  <c r="T1276" i="4"/>
  <c r="AF1275" i="4"/>
  <c r="AD1275" i="4"/>
  <c r="AE1275" i="4" s="1"/>
  <c r="AC1275" i="4"/>
  <c r="AB1275" i="4"/>
  <c r="AA1275" i="4"/>
  <c r="Z1275" i="4"/>
  <c r="Y1275" i="4"/>
  <c r="X1275" i="4"/>
  <c r="W1275" i="4"/>
  <c r="V1275" i="4"/>
  <c r="U1275" i="4"/>
  <c r="T1275" i="4"/>
  <c r="AD1274" i="4"/>
  <c r="AE1274" i="4" s="1"/>
  <c r="AC1274" i="4"/>
  <c r="AB1274" i="4"/>
  <c r="AA1274" i="4"/>
  <c r="AF1274" i="4" s="1"/>
  <c r="Z1274" i="4"/>
  <c r="Y1274" i="4"/>
  <c r="X1274" i="4"/>
  <c r="W1274" i="4"/>
  <c r="V1274" i="4"/>
  <c r="U1274" i="4"/>
  <c r="T1274" i="4"/>
  <c r="AF1273" i="4"/>
  <c r="AD1273" i="4"/>
  <c r="AE1273" i="4" s="1"/>
  <c r="AC1273" i="4"/>
  <c r="AB1273" i="4"/>
  <c r="AA1273" i="4"/>
  <c r="Z1273" i="4"/>
  <c r="Y1273" i="4"/>
  <c r="X1273" i="4"/>
  <c r="W1273" i="4"/>
  <c r="V1273" i="4"/>
  <c r="U1273" i="4"/>
  <c r="T1273" i="4"/>
  <c r="AD1272" i="4"/>
  <c r="AE1272" i="4" s="1"/>
  <c r="AC1272" i="4"/>
  <c r="AB1272" i="4"/>
  <c r="AA1272" i="4"/>
  <c r="AF1272" i="4" s="1"/>
  <c r="Z1272" i="4"/>
  <c r="Y1272" i="4"/>
  <c r="X1272" i="4"/>
  <c r="W1272" i="4"/>
  <c r="V1272" i="4"/>
  <c r="U1272" i="4"/>
  <c r="T1272" i="4"/>
  <c r="AD1271" i="4"/>
  <c r="AE1271" i="4" s="1"/>
  <c r="AC1271" i="4"/>
  <c r="AB1271" i="4"/>
  <c r="AA1271" i="4"/>
  <c r="AF1271" i="4" s="1"/>
  <c r="Z1271" i="4"/>
  <c r="Y1271" i="4"/>
  <c r="X1271" i="4"/>
  <c r="W1271" i="4"/>
  <c r="V1271" i="4"/>
  <c r="U1271" i="4"/>
  <c r="T1271" i="4"/>
  <c r="AD1270" i="4"/>
  <c r="AE1270" i="4" s="1"/>
  <c r="AC1270" i="4"/>
  <c r="AB1270" i="4"/>
  <c r="AA1270" i="4"/>
  <c r="AF1270" i="4" s="1"/>
  <c r="Z1270" i="4"/>
  <c r="Y1270" i="4"/>
  <c r="X1270" i="4"/>
  <c r="W1270" i="4"/>
  <c r="V1270" i="4"/>
  <c r="U1270" i="4"/>
  <c r="T1270" i="4"/>
  <c r="AD1269" i="4"/>
  <c r="AE1269" i="4" s="1"/>
  <c r="AC1269" i="4"/>
  <c r="AB1269" i="4"/>
  <c r="AA1269" i="4"/>
  <c r="AF1269" i="4" s="1"/>
  <c r="Z1269" i="4"/>
  <c r="Y1269" i="4"/>
  <c r="X1269" i="4"/>
  <c r="W1269" i="4"/>
  <c r="V1269" i="4"/>
  <c r="U1269" i="4"/>
  <c r="T1269" i="4"/>
  <c r="AD1268" i="4"/>
  <c r="AE1268" i="4" s="1"/>
  <c r="AC1268" i="4"/>
  <c r="AB1268" i="4"/>
  <c r="AA1268" i="4"/>
  <c r="AF1268" i="4" s="1"/>
  <c r="Z1268" i="4"/>
  <c r="Y1268" i="4"/>
  <c r="X1268" i="4"/>
  <c r="W1268" i="4"/>
  <c r="V1268" i="4"/>
  <c r="U1268" i="4"/>
  <c r="T1268" i="4"/>
  <c r="AD1267" i="4"/>
  <c r="AE1267" i="4" s="1"/>
  <c r="AC1267" i="4"/>
  <c r="AB1267" i="4"/>
  <c r="AA1267" i="4"/>
  <c r="AF1267" i="4" s="1"/>
  <c r="Z1267" i="4"/>
  <c r="Y1267" i="4"/>
  <c r="X1267" i="4"/>
  <c r="W1267" i="4"/>
  <c r="V1267" i="4"/>
  <c r="U1267" i="4"/>
  <c r="T1267" i="4"/>
  <c r="AD1266" i="4"/>
  <c r="AE1266" i="4" s="1"/>
  <c r="AC1266" i="4"/>
  <c r="AB1266" i="4"/>
  <c r="AA1266" i="4"/>
  <c r="AF1266" i="4" s="1"/>
  <c r="Z1266" i="4"/>
  <c r="Y1266" i="4"/>
  <c r="X1266" i="4"/>
  <c r="W1266" i="4"/>
  <c r="V1266" i="4"/>
  <c r="U1266" i="4"/>
  <c r="T1266" i="4"/>
  <c r="AD1265" i="4"/>
  <c r="AE1265" i="4" s="1"/>
  <c r="AC1265" i="4"/>
  <c r="AB1265" i="4"/>
  <c r="AA1265" i="4"/>
  <c r="AF1265" i="4" s="1"/>
  <c r="Z1265" i="4"/>
  <c r="Y1265" i="4"/>
  <c r="X1265" i="4"/>
  <c r="W1265" i="4"/>
  <c r="V1265" i="4"/>
  <c r="U1265" i="4"/>
  <c r="T1265" i="4"/>
  <c r="AD1264" i="4"/>
  <c r="AE1264" i="4" s="1"/>
  <c r="AC1264" i="4"/>
  <c r="AB1264" i="4"/>
  <c r="AA1264" i="4"/>
  <c r="AF1264" i="4" s="1"/>
  <c r="Z1264" i="4"/>
  <c r="Y1264" i="4"/>
  <c r="X1264" i="4"/>
  <c r="W1264" i="4"/>
  <c r="V1264" i="4"/>
  <c r="U1264" i="4"/>
  <c r="T1264" i="4"/>
  <c r="AD1263" i="4"/>
  <c r="AE1263" i="4" s="1"/>
  <c r="AC1263" i="4"/>
  <c r="AB1263" i="4"/>
  <c r="AA1263" i="4"/>
  <c r="AF1263" i="4" s="1"/>
  <c r="Z1263" i="4"/>
  <c r="Y1263" i="4"/>
  <c r="X1263" i="4"/>
  <c r="W1263" i="4"/>
  <c r="V1263" i="4"/>
  <c r="U1263" i="4"/>
  <c r="T1263" i="4"/>
  <c r="AD1262" i="4"/>
  <c r="AE1262" i="4" s="1"/>
  <c r="AC1262" i="4"/>
  <c r="AB1262" i="4"/>
  <c r="AA1262" i="4"/>
  <c r="AF1262" i="4" s="1"/>
  <c r="Z1262" i="4"/>
  <c r="Y1262" i="4"/>
  <c r="X1262" i="4"/>
  <c r="W1262" i="4"/>
  <c r="V1262" i="4"/>
  <c r="U1262" i="4"/>
  <c r="T1262" i="4"/>
  <c r="AD1261" i="4"/>
  <c r="AE1261" i="4" s="1"/>
  <c r="AC1261" i="4"/>
  <c r="AB1261" i="4"/>
  <c r="AA1261" i="4"/>
  <c r="AF1261" i="4" s="1"/>
  <c r="Z1261" i="4"/>
  <c r="Y1261" i="4"/>
  <c r="X1261" i="4"/>
  <c r="W1261" i="4"/>
  <c r="V1261" i="4"/>
  <c r="U1261" i="4"/>
  <c r="T1261" i="4"/>
  <c r="AD1260" i="4"/>
  <c r="AE1260" i="4" s="1"/>
  <c r="AC1260" i="4"/>
  <c r="AB1260" i="4"/>
  <c r="AA1260" i="4"/>
  <c r="AF1260" i="4" s="1"/>
  <c r="Z1260" i="4"/>
  <c r="Y1260" i="4"/>
  <c r="X1260" i="4"/>
  <c r="W1260" i="4"/>
  <c r="V1260" i="4"/>
  <c r="U1260" i="4"/>
  <c r="T1260" i="4"/>
  <c r="AF1259" i="4"/>
  <c r="AD1259" i="4"/>
  <c r="AE1259" i="4" s="1"/>
  <c r="AC1259" i="4"/>
  <c r="AB1259" i="4"/>
  <c r="AA1259" i="4"/>
  <c r="Z1259" i="4"/>
  <c r="Y1259" i="4"/>
  <c r="X1259" i="4"/>
  <c r="W1259" i="4"/>
  <c r="V1259" i="4"/>
  <c r="U1259" i="4"/>
  <c r="T1259" i="4"/>
  <c r="AD1258" i="4"/>
  <c r="AE1258" i="4" s="1"/>
  <c r="AC1258" i="4"/>
  <c r="AB1258" i="4"/>
  <c r="AA1258" i="4"/>
  <c r="AF1258" i="4" s="1"/>
  <c r="Z1258" i="4"/>
  <c r="Y1258" i="4"/>
  <c r="X1258" i="4"/>
  <c r="W1258" i="4"/>
  <c r="V1258" i="4"/>
  <c r="U1258" i="4"/>
  <c r="T1258" i="4"/>
  <c r="AD1257" i="4"/>
  <c r="AE1257" i="4" s="1"/>
  <c r="AC1257" i="4"/>
  <c r="AB1257" i="4"/>
  <c r="AA1257" i="4"/>
  <c r="AF1257" i="4" s="1"/>
  <c r="Z1257" i="4"/>
  <c r="Y1257" i="4"/>
  <c r="X1257" i="4"/>
  <c r="W1257" i="4"/>
  <c r="V1257" i="4"/>
  <c r="U1257" i="4"/>
  <c r="T1257" i="4"/>
  <c r="AD1256" i="4"/>
  <c r="AE1256" i="4" s="1"/>
  <c r="AC1256" i="4"/>
  <c r="AB1256" i="4"/>
  <c r="AA1256" i="4"/>
  <c r="AF1256" i="4" s="1"/>
  <c r="Z1256" i="4"/>
  <c r="Y1256" i="4"/>
  <c r="X1256" i="4"/>
  <c r="W1256" i="4"/>
  <c r="V1256" i="4"/>
  <c r="U1256" i="4"/>
  <c r="T1256" i="4"/>
  <c r="AD1255" i="4"/>
  <c r="AE1255" i="4" s="1"/>
  <c r="AC1255" i="4"/>
  <c r="AB1255" i="4"/>
  <c r="AA1255" i="4"/>
  <c r="AF1255" i="4" s="1"/>
  <c r="Z1255" i="4"/>
  <c r="Y1255" i="4"/>
  <c r="X1255" i="4"/>
  <c r="W1255" i="4"/>
  <c r="V1255" i="4"/>
  <c r="U1255" i="4"/>
  <c r="T1255" i="4"/>
  <c r="AD1254" i="4"/>
  <c r="AE1254" i="4" s="1"/>
  <c r="AC1254" i="4"/>
  <c r="AB1254" i="4"/>
  <c r="AA1254" i="4"/>
  <c r="AF1254" i="4" s="1"/>
  <c r="Z1254" i="4"/>
  <c r="Y1254" i="4"/>
  <c r="X1254" i="4"/>
  <c r="W1254" i="4"/>
  <c r="V1254" i="4"/>
  <c r="U1254" i="4"/>
  <c r="T1254" i="4"/>
  <c r="AF1253" i="4"/>
  <c r="AD1253" i="4"/>
  <c r="AE1253" i="4" s="1"/>
  <c r="AC1253" i="4"/>
  <c r="AB1253" i="4"/>
  <c r="AA1253" i="4"/>
  <c r="Z1253" i="4"/>
  <c r="Y1253" i="4"/>
  <c r="X1253" i="4"/>
  <c r="W1253" i="4"/>
  <c r="V1253" i="4"/>
  <c r="U1253" i="4"/>
  <c r="T1253" i="4"/>
  <c r="AD1252" i="4"/>
  <c r="AE1252" i="4" s="1"/>
  <c r="AC1252" i="4"/>
  <c r="AB1252" i="4"/>
  <c r="AA1252" i="4"/>
  <c r="AF1252" i="4" s="1"/>
  <c r="Z1252" i="4"/>
  <c r="Y1252" i="4"/>
  <c r="X1252" i="4"/>
  <c r="W1252" i="4"/>
  <c r="V1252" i="4"/>
  <c r="U1252" i="4"/>
  <c r="T1252" i="4"/>
  <c r="AD1251" i="4"/>
  <c r="AE1251" i="4" s="1"/>
  <c r="AC1251" i="4"/>
  <c r="AB1251" i="4"/>
  <c r="AA1251" i="4"/>
  <c r="AF1251" i="4" s="1"/>
  <c r="Z1251" i="4"/>
  <c r="Y1251" i="4"/>
  <c r="X1251" i="4"/>
  <c r="W1251" i="4"/>
  <c r="V1251" i="4"/>
  <c r="U1251" i="4"/>
  <c r="T1251" i="4"/>
  <c r="AD1250" i="4"/>
  <c r="AE1250" i="4" s="1"/>
  <c r="AC1250" i="4"/>
  <c r="AB1250" i="4"/>
  <c r="AA1250" i="4"/>
  <c r="AF1250" i="4" s="1"/>
  <c r="Z1250" i="4"/>
  <c r="Y1250" i="4"/>
  <c r="X1250" i="4"/>
  <c r="W1250" i="4"/>
  <c r="V1250" i="4"/>
  <c r="U1250" i="4"/>
  <c r="T1250" i="4"/>
  <c r="AF1249" i="4"/>
  <c r="AD1249" i="4"/>
  <c r="AE1249" i="4" s="1"/>
  <c r="AC1249" i="4"/>
  <c r="AB1249" i="4"/>
  <c r="AA1249" i="4"/>
  <c r="Z1249" i="4"/>
  <c r="Y1249" i="4"/>
  <c r="X1249" i="4"/>
  <c r="W1249" i="4"/>
  <c r="V1249" i="4"/>
  <c r="U1249" i="4"/>
  <c r="T1249" i="4"/>
  <c r="AD1248" i="4"/>
  <c r="AE1248" i="4" s="1"/>
  <c r="AC1248" i="4"/>
  <c r="AB1248" i="4"/>
  <c r="AA1248" i="4"/>
  <c r="AF1248" i="4" s="1"/>
  <c r="Z1248" i="4"/>
  <c r="Y1248" i="4"/>
  <c r="X1248" i="4"/>
  <c r="W1248" i="4"/>
  <c r="V1248" i="4"/>
  <c r="U1248" i="4"/>
  <c r="T1248" i="4"/>
  <c r="AD1247" i="4"/>
  <c r="AE1247" i="4" s="1"/>
  <c r="AC1247" i="4"/>
  <c r="AB1247" i="4"/>
  <c r="AA1247" i="4"/>
  <c r="AF1247" i="4" s="1"/>
  <c r="Z1247" i="4"/>
  <c r="Y1247" i="4"/>
  <c r="X1247" i="4"/>
  <c r="W1247" i="4"/>
  <c r="V1247" i="4"/>
  <c r="U1247" i="4"/>
  <c r="T1247" i="4"/>
  <c r="AD1246" i="4"/>
  <c r="AE1246" i="4" s="1"/>
  <c r="AC1246" i="4"/>
  <c r="AB1246" i="4"/>
  <c r="AA1246" i="4"/>
  <c r="AF1246" i="4" s="1"/>
  <c r="Z1246" i="4"/>
  <c r="Y1246" i="4"/>
  <c r="X1246" i="4"/>
  <c r="W1246" i="4"/>
  <c r="V1246" i="4"/>
  <c r="U1246" i="4"/>
  <c r="T1246" i="4"/>
  <c r="AD1245" i="4"/>
  <c r="AE1245" i="4" s="1"/>
  <c r="AC1245" i="4"/>
  <c r="AB1245" i="4"/>
  <c r="AA1245" i="4"/>
  <c r="AF1245" i="4" s="1"/>
  <c r="Z1245" i="4"/>
  <c r="Y1245" i="4"/>
  <c r="X1245" i="4"/>
  <c r="W1245" i="4"/>
  <c r="V1245" i="4"/>
  <c r="U1245" i="4"/>
  <c r="T1245" i="4"/>
  <c r="AD1244" i="4"/>
  <c r="AE1244" i="4" s="1"/>
  <c r="AC1244" i="4"/>
  <c r="AB1244" i="4"/>
  <c r="AA1244" i="4"/>
  <c r="AF1244" i="4" s="1"/>
  <c r="Z1244" i="4"/>
  <c r="Y1244" i="4"/>
  <c r="X1244" i="4"/>
  <c r="W1244" i="4"/>
  <c r="V1244" i="4"/>
  <c r="U1244" i="4"/>
  <c r="T1244" i="4"/>
  <c r="AD1243" i="4"/>
  <c r="AE1243" i="4" s="1"/>
  <c r="AC1243" i="4"/>
  <c r="AB1243" i="4"/>
  <c r="AA1243" i="4"/>
  <c r="AF1243" i="4" s="1"/>
  <c r="Z1243" i="4"/>
  <c r="Y1243" i="4"/>
  <c r="X1243" i="4"/>
  <c r="W1243" i="4"/>
  <c r="V1243" i="4"/>
  <c r="U1243" i="4"/>
  <c r="T1243" i="4"/>
  <c r="AD1242" i="4"/>
  <c r="AE1242" i="4" s="1"/>
  <c r="AC1242" i="4"/>
  <c r="AB1242" i="4"/>
  <c r="AA1242" i="4"/>
  <c r="AF1242" i="4" s="1"/>
  <c r="Z1242" i="4"/>
  <c r="Y1242" i="4"/>
  <c r="X1242" i="4"/>
  <c r="W1242" i="4"/>
  <c r="V1242" i="4"/>
  <c r="U1242" i="4"/>
  <c r="T1242" i="4"/>
  <c r="AD1241" i="4"/>
  <c r="AE1241" i="4" s="1"/>
  <c r="AC1241" i="4"/>
  <c r="AB1241" i="4"/>
  <c r="AA1241" i="4"/>
  <c r="AF1241" i="4" s="1"/>
  <c r="Z1241" i="4"/>
  <c r="Y1241" i="4"/>
  <c r="X1241" i="4"/>
  <c r="W1241" i="4"/>
  <c r="V1241" i="4"/>
  <c r="U1241" i="4"/>
  <c r="T1241" i="4"/>
  <c r="AD1240" i="4"/>
  <c r="AE1240" i="4" s="1"/>
  <c r="AC1240" i="4"/>
  <c r="AB1240" i="4"/>
  <c r="AA1240" i="4"/>
  <c r="AF1240" i="4" s="1"/>
  <c r="Z1240" i="4"/>
  <c r="Y1240" i="4"/>
  <c r="X1240" i="4"/>
  <c r="W1240" i="4"/>
  <c r="V1240" i="4"/>
  <c r="U1240" i="4"/>
  <c r="T1240" i="4"/>
  <c r="AD1239" i="4"/>
  <c r="AE1239" i="4" s="1"/>
  <c r="AC1239" i="4"/>
  <c r="AB1239" i="4"/>
  <c r="AA1239" i="4"/>
  <c r="AF1239" i="4" s="1"/>
  <c r="Z1239" i="4"/>
  <c r="Y1239" i="4"/>
  <c r="X1239" i="4"/>
  <c r="W1239" i="4"/>
  <c r="V1239" i="4"/>
  <c r="U1239" i="4"/>
  <c r="T1239" i="4"/>
  <c r="AD1238" i="4"/>
  <c r="AE1238" i="4" s="1"/>
  <c r="AC1238" i="4"/>
  <c r="AB1238" i="4"/>
  <c r="AA1238" i="4"/>
  <c r="AF1238" i="4" s="1"/>
  <c r="Z1238" i="4"/>
  <c r="Y1238" i="4"/>
  <c r="X1238" i="4"/>
  <c r="W1238" i="4"/>
  <c r="V1238" i="4"/>
  <c r="U1238" i="4"/>
  <c r="T1238" i="4"/>
  <c r="AD1237" i="4"/>
  <c r="AE1237" i="4" s="1"/>
  <c r="AC1237" i="4"/>
  <c r="AB1237" i="4"/>
  <c r="AA1237" i="4"/>
  <c r="AF1237" i="4" s="1"/>
  <c r="Z1237" i="4"/>
  <c r="Y1237" i="4"/>
  <c r="X1237" i="4"/>
  <c r="W1237" i="4"/>
  <c r="V1237" i="4"/>
  <c r="U1237" i="4"/>
  <c r="T1237" i="4"/>
  <c r="AD1236" i="4"/>
  <c r="AE1236" i="4" s="1"/>
  <c r="AC1236" i="4"/>
  <c r="AB1236" i="4"/>
  <c r="AA1236" i="4"/>
  <c r="AF1236" i="4" s="1"/>
  <c r="Z1236" i="4"/>
  <c r="Y1236" i="4"/>
  <c r="X1236" i="4"/>
  <c r="W1236" i="4"/>
  <c r="V1236" i="4"/>
  <c r="U1236" i="4"/>
  <c r="T1236" i="4"/>
  <c r="AD1235" i="4"/>
  <c r="AE1235" i="4" s="1"/>
  <c r="AC1235" i="4"/>
  <c r="AB1235" i="4"/>
  <c r="AA1235" i="4"/>
  <c r="AF1235" i="4" s="1"/>
  <c r="Z1235" i="4"/>
  <c r="Y1235" i="4"/>
  <c r="X1235" i="4"/>
  <c r="W1235" i="4"/>
  <c r="V1235" i="4"/>
  <c r="U1235" i="4"/>
  <c r="T1235" i="4"/>
  <c r="AD1234" i="4"/>
  <c r="AE1234" i="4" s="1"/>
  <c r="AC1234" i="4"/>
  <c r="AB1234" i="4"/>
  <c r="AA1234" i="4"/>
  <c r="AF1234" i="4" s="1"/>
  <c r="Z1234" i="4"/>
  <c r="Y1234" i="4"/>
  <c r="X1234" i="4"/>
  <c r="W1234" i="4"/>
  <c r="V1234" i="4"/>
  <c r="U1234" i="4"/>
  <c r="T1234" i="4"/>
  <c r="AD1233" i="4"/>
  <c r="AE1233" i="4" s="1"/>
  <c r="AC1233" i="4"/>
  <c r="AB1233" i="4"/>
  <c r="AA1233" i="4"/>
  <c r="AF1233" i="4" s="1"/>
  <c r="Z1233" i="4"/>
  <c r="Y1233" i="4"/>
  <c r="X1233" i="4"/>
  <c r="W1233" i="4"/>
  <c r="V1233" i="4"/>
  <c r="U1233" i="4"/>
  <c r="T1233" i="4"/>
  <c r="AD1232" i="4"/>
  <c r="AE1232" i="4" s="1"/>
  <c r="AC1232" i="4"/>
  <c r="AB1232" i="4"/>
  <c r="AA1232" i="4"/>
  <c r="AF1232" i="4" s="1"/>
  <c r="Z1232" i="4"/>
  <c r="Y1232" i="4"/>
  <c r="X1232" i="4"/>
  <c r="W1232" i="4"/>
  <c r="V1232" i="4"/>
  <c r="U1232" i="4"/>
  <c r="T1232" i="4"/>
  <c r="AD1231" i="4"/>
  <c r="AE1231" i="4" s="1"/>
  <c r="AC1231" i="4"/>
  <c r="AB1231" i="4"/>
  <c r="AA1231" i="4"/>
  <c r="AF1231" i="4" s="1"/>
  <c r="Z1231" i="4"/>
  <c r="Y1231" i="4"/>
  <c r="X1231" i="4"/>
  <c r="W1231" i="4"/>
  <c r="V1231" i="4"/>
  <c r="U1231" i="4"/>
  <c r="T1231" i="4"/>
  <c r="AD1230" i="4"/>
  <c r="AE1230" i="4" s="1"/>
  <c r="AC1230" i="4"/>
  <c r="AB1230" i="4"/>
  <c r="AA1230" i="4"/>
  <c r="AF1230" i="4" s="1"/>
  <c r="Z1230" i="4"/>
  <c r="Y1230" i="4"/>
  <c r="X1230" i="4"/>
  <c r="W1230" i="4"/>
  <c r="V1230" i="4"/>
  <c r="U1230" i="4"/>
  <c r="T1230" i="4"/>
  <c r="AD1229" i="4"/>
  <c r="AE1229" i="4" s="1"/>
  <c r="AC1229" i="4"/>
  <c r="AB1229" i="4"/>
  <c r="AA1229" i="4"/>
  <c r="AF1229" i="4" s="1"/>
  <c r="Z1229" i="4"/>
  <c r="Y1229" i="4"/>
  <c r="X1229" i="4"/>
  <c r="W1229" i="4"/>
  <c r="V1229" i="4"/>
  <c r="U1229" i="4"/>
  <c r="T1229" i="4"/>
  <c r="AD1228" i="4"/>
  <c r="AE1228" i="4" s="1"/>
  <c r="AC1228" i="4"/>
  <c r="AB1228" i="4"/>
  <c r="AA1228" i="4"/>
  <c r="AF1228" i="4" s="1"/>
  <c r="Z1228" i="4"/>
  <c r="Y1228" i="4"/>
  <c r="X1228" i="4"/>
  <c r="W1228" i="4"/>
  <c r="V1228" i="4"/>
  <c r="U1228" i="4"/>
  <c r="T1228" i="4"/>
  <c r="AD1227" i="4"/>
  <c r="AE1227" i="4" s="1"/>
  <c r="AC1227" i="4"/>
  <c r="AB1227" i="4"/>
  <c r="AA1227" i="4"/>
  <c r="AF1227" i="4" s="1"/>
  <c r="Z1227" i="4"/>
  <c r="Y1227" i="4"/>
  <c r="X1227" i="4"/>
  <c r="W1227" i="4"/>
  <c r="V1227" i="4"/>
  <c r="U1227" i="4"/>
  <c r="T1227" i="4"/>
  <c r="AF1226" i="4"/>
  <c r="AD1226" i="4"/>
  <c r="AE1226" i="4" s="1"/>
  <c r="AC1226" i="4"/>
  <c r="AB1226" i="4"/>
  <c r="AA1226" i="4"/>
  <c r="Z1226" i="4"/>
  <c r="Y1226" i="4"/>
  <c r="X1226" i="4"/>
  <c r="W1226" i="4"/>
  <c r="V1226" i="4"/>
  <c r="U1226" i="4"/>
  <c r="T1226" i="4"/>
  <c r="AD1225" i="4"/>
  <c r="AE1225" i="4" s="1"/>
  <c r="AC1225" i="4"/>
  <c r="AB1225" i="4"/>
  <c r="AA1225" i="4"/>
  <c r="AF1225" i="4" s="1"/>
  <c r="Z1225" i="4"/>
  <c r="Y1225" i="4"/>
  <c r="X1225" i="4"/>
  <c r="W1225" i="4"/>
  <c r="V1225" i="4"/>
  <c r="U1225" i="4"/>
  <c r="T1225" i="4"/>
  <c r="AD1224" i="4"/>
  <c r="AE1224" i="4" s="1"/>
  <c r="AC1224" i="4"/>
  <c r="AB1224" i="4"/>
  <c r="AA1224" i="4"/>
  <c r="AF1224" i="4" s="1"/>
  <c r="Z1224" i="4"/>
  <c r="Y1224" i="4"/>
  <c r="X1224" i="4"/>
  <c r="W1224" i="4"/>
  <c r="V1224" i="4"/>
  <c r="U1224" i="4"/>
  <c r="T1224" i="4"/>
  <c r="AF1223" i="4"/>
  <c r="AD1223" i="4"/>
  <c r="AE1223" i="4" s="1"/>
  <c r="AC1223" i="4"/>
  <c r="AB1223" i="4"/>
  <c r="AA1223" i="4"/>
  <c r="Z1223" i="4"/>
  <c r="Y1223" i="4"/>
  <c r="X1223" i="4"/>
  <c r="W1223" i="4"/>
  <c r="V1223" i="4"/>
  <c r="U1223" i="4"/>
  <c r="T1223" i="4"/>
  <c r="AD1222" i="4"/>
  <c r="AE1222" i="4" s="1"/>
  <c r="AC1222" i="4"/>
  <c r="AB1222" i="4"/>
  <c r="AA1222" i="4"/>
  <c r="AF1222" i="4" s="1"/>
  <c r="Z1222" i="4"/>
  <c r="Y1222" i="4"/>
  <c r="X1222" i="4"/>
  <c r="W1222" i="4"/>
  <c r="V1222" i="4"/>
  <c r="U1222" i="4"/>
  <c r="T1222" i="4"/>
  <c r="AD1221" i="4"/>
  <c r="AE1221" i="4" s="1"/>
  <c r="AC1221" i="4"/>
  <c r="AB1221" i="4"/>
  <c r="AA1221" i="4"/>
  <c r="AF1221" i="4" s="1"/>
  <c r="Z1221" i="4"/>
  <c r="Y1221" i="4"/>
  <c r="X1221" i="4"/>
  <c r="W1221" i="4"/>
  <c r="V1221" i="4"/>
  <c r="U1221" i="4"/>
  <c r="T1221" i="4"/>
  <c r="AD1220" i="4"/>
  <c r="AE1220" i="4" s="1"/>
  <c r="AC1220" i="4"/>
  <c r="AB1220" i="4"/>
  <c r="AA1220" i="4"/>
  <c r="AF1220" i="4" s="1"/>
  <c r="Z1220" i="4"/>
  <c r="Y1220" i="4"/>
  <c r="X1220" i="4"/>
  <c r="W1220" i="4"/>
  <c r="V1220" i="4"/>
  <c r="U1220" i="4"/>
  <c r="T1220" i="4"/>
  <c r="AF1219" i="4"/>
  <c r="AD1219" i="4"/>
  <c r="AE1219" i="4" s="1"/>
  <c r="AC1219" i="4"/>
  <c r="AB1219" i="4"/>
  <c r="AA1219" i="4"/>
  <c r="Z1219" i="4"/>
  <c r="Y1219" i="4"/>
  <c r="X1219" i="4"/>
  <c r="W1219" i="4"/>
  <c r="V1219" i="4"/>
  <c r="U1219" i="4"/>
  <c r="T1219" i="4"/>
  <c r="AD1218" i="4"/>
  <c r="AE1218" i="4" s="1"/>
  <c r="AC1218" i="4"/>
  <c r="AB1218" i="4"/>
  <c r="AA1218" i="4"/>
  <c r="AF1218" i="4" s="1"/>
  <c r="Z1218" i="4"/>
  <c r="Y1218" i="4"/>
  <c r="X1218" i="4"/>
  <c r="W1218" i="4"/>
  <c r="V1218" i="4"/>
  <c r="U1218" i="4"/>
  <c r="T1218" i="4"/>
  <c r="AD1217" i="4"/>
  <c r="AE1217" i="4" s="1"/>
  <c r="AC1217" i="4"/>
  <c r="AB1217" i="4"/>
  <c r="AA1217" i="4"/>
  <c r="AF1217" i="4" s="1"/>
  <c r="Z1217" i="4"/>
  <c r="Y1217" i="4"/>
  <c r="X1217" i="4"/>
  <c r="W1217" i="4"/>
  <c r="V1217" i="4"/>
  <c r="U1217" i="4"/>
  <c r="T1217" i="4"/>
  <c r="AF1216" i="4"/>
  <c r="AD1216" i="4"/>
  <c r="AE1216" i="4" s="1"/>
  <c r="AC1216" i="4"/>
  <c r="AB1216" i="4"/>
  <c r="AA1216" i="4"/>
  <c r="Z1216" i="4"/>
  <c r="Y1216" i="4"/>
  <c r="X1216" i="4"/>
  <c r="W1216" i="4"/>
  <c r="V1216" i="4"/>
  <c r="U1216" i="4"/>
  <c r="T1216" i="4"/>
  <c r="AD1215" i="4"/>
  <c r="AE1215" i="4" s="1"/>
  <c r="AC1215" i="4"/>
  <c r="AB1215" i="4"/>
  <c r="AA1215" i="4"/>
  <c r="AF1215" i="4" s="1"/>
  <c r="Z1215" i="4"/>
  <c r="Y1215" i="4"/>
  <c r="X1215" i="4"/>
  <c r="W1215" i="4"/>
  <c r="V1215" i="4"/>
  <c r="U1215" i="4"/>
  <c r="T1215" i="4"/>
  <c r="AD1214" i="4"/>
  <c r="AE1214" i="4" s="1"/>
  <c r="AC1214" i="4"/>
  <c r="AB1214" i="4"/>
  <c r="AA1214" i="4"/>
  <c r="AF1214" i="4" s="1"/>
  <c r="Z1214" i="4"/>
  <c r="Y1214" i="4"/>
  <c r="X1214" i="4"/>
  <c r="W1214" i="4"/>
  <c r="V1214" i="4"/>
  <c r="U1214" i="4"/>
  <c r="T1214" i="4"/>
  <c r="AD1213" i="4"/>
  <c r="AE1213" i="4" s="1"/>
  <c r="AC1213" i="4"/>
  <c r="AB1213" i="4"/>
  <c r="AA1213" i="4"/>
  <c r="AF1213" i="4" s="1"/>
  <c r="Z1213" i="4"/>
  <c r="Y1213" i="4"/>
  <c r="X1213" i="4"/>
  <c r="W1213" i="4"/>
  <c r="V1213" i="4"/>
  <c r="U1213" i="4"/>
  <c r="T1213" i="4"/>
  <c r="AD1212" i="4"/>
  <c r="AE1212" i="4" s="1"/>
  <c r="AC1212" i="4"/>
  <c r="AB1212" i="4"/>
  <c r="AA1212" i="4"/>
  <c r="AF1212" i="4" s="1"/>
  <c r="Z1212" i="4"/>
  <c r="Y1212" i="4"/>
  <c r="X1212" i="4"/>
  <c r="W1212" i="4"/>
  <c r="V1212" i="4"/>
  <c r="U1212" i="4"/>
  <c r="T1212" i="4"/>
  <c r="AD1211" i="4"/>
  <c r="AE1211" i="4" s="1"/>
  <c r="AC1211" i="4"/>
  <c r="AB1211" i="4"/>
  <c r="AA1211" i="4"/>
  <c r="AF1211" i="4" s="1"/>
  <c r="Z1211" i="4"/>
  <c r="Y1211" i="4"/>
  <c r="X1211" i="4"/>
  <c r="W1211" i="4"/>
  <c r="V1211" i="4"/>
  <c r="U1211" i="4"/>
  <c r="T1211" i="4"/>
  <c r="AD1210" i="4"/>
  <c r="AE1210" i="4" s="1"/>
  <c r="AC1210" i="4"/>
  <c r="AB1210" i="4"/>
  <c r="AA1210" i="4"/>
  <c r="AF1210" i="4" s="1"/>
  <c r="Z1210" i="4"/>
  <c r="Y1210" i="4"/>
  <c r="X1210" i="4"/>
  <c r="W1210" i="4"/>
  <c r="V1210" i="4"/>
  <c r="U1210" i="4"/>
  <c r="T1210" i="4"/>
  <c r="AD1209" i="4"/>
  <c r="AE1209" i="4" s="1"/>
  <c r="AC1209" i="4"/>
  <c r="AB1209" i="4"/>
  <c r="AA1209" i="4"/>
  <c r="AF1209" i="4" s="1"/>
  <c r="Z1209" i="4"/>
  <c r="Y1209" i="4"/>
  <c r="X1209" i="4"/>
  <c r="W1209" i="4"/>
  <c r="V1209" i="4"/>
  <c r="U1209" i="4"/>
  <c r="T1209" i="4"/>
  <c r="AD1208" i="4"/>
  <c r="AE1208" i="4" s="1"/>
  <c r="AC1208" i="4"/>
  <c r="AB1208" i="4"/>
  <c r="AA1208" i="4"/>
  <c r="AF1208" i="4" s="1"/>
  <c r="Z1208" i="4"/>
  <c r="Y1208" i="4"/>
  <c r="X1208" i="4"/>
  <c r="W1208" i="4"/>
  <c r="V1208" i="4"/>
  <c r="U1208" i="4"/>
  <c r="T1208" i="4"/>
  <c r="AD1207" i="4"/>
  <c r="AE1207" i="4" s="1"/>
  <c r="AC1207" i="4"/>
  <c r="AB1207" i="4"/>
  <c r="AA1207" i="4"/>
  <c r="AF1207" i="4" s="1"/>
  <c r="Z1207" i="4"/>
  <c r="Y1207" i="4"/>
  <c r="X1207" i="4"/>
  <c r="W1207" i="4"/>
  <c r="V1207" i="4"/>
  <c r="U1207" i="4"/>
  <c r="T1207" i="4"/>
  <c r="AD1206" i="4"/>
  <c r="AE1206" i="4" s="1"/>
  <c r="AC1206" i="4"/>
  <c r="AB1206" i="4"/>
  <c r="AA1206" i="4"/>
  <c r="AF1206" i="4" s="1"/>
  <c r="Z1206" i="4"/>
  <c r="Y1206" i="4"/>
  <c r="X1206" i="4"/>
  <c r="W1206" i="4"/>
  <c r="V1206" i="4"/>
  <c r="U1206" i="4"/>
  <c r="T1206" i="4"/>
  <c r="AD1205" i="4"/>
  <c r="AE1205" i="4" s="1"/>
  <c r="AC1205" i="4"/>
  <c r="AB1205" i="4"/>
  <c r="AA1205" i="4"/>
  <c r="AF1205" i="4" s="1"/>
  <c r="Z1205" i="4"/>
  <c r="Y1205" i="4"/>
  <c r="X1205" i="4"/>
  <c r="W1205" i="4"/>
  <c r="V1205" i="4"/>
  <c r="U1205" i="4"/>
  <c r="T1205" i="4"/>
  <c r="AD1204" i="4"/>
  <c r="AE1204" i="4" s="1"/>
  <c r="AC1204" i="4"/>
  <c r="AB1204" i="4"/>
  <c r="AA1204" i="4"/>
  <c r="AF1204" i="4" s="1"/>
  <c r="Z1204" i="4"/>
  <c r="Y1204" i="4"/>
  <c r="X1204" i="4"/>
  <c r="W1204" i="4"/>
  <c r="V1204" i="4"/>
  <c r="U1204" i="4"/>
  <c r="T1204" i="4"/>
  <c r="AD1203" i="4"/>
  <c r="AE1203" i="4" s="1"/>
  <c r="AC1203" i="4"/>
  <c r="AB1203" i="4"/>
  <c r="AA1203" i="4"/>
  <c r="AF1203" i="4" s="1"/>
  <c r="Z1203" i="4"/>
  <c r="Y1203" i="4"/>
  <c r="X1203" i="4"/>
  <c r="W1203" i="4"/>
  <c r="V1203" i="4"/>
  <c r="U1203" i="4"/>
  <c r="T1203" i="4"/>
  <c r="AF1202" i="4"/>
  <c r="AD1202" i="4"/>
  <c r="AE1202" i="4" s="1"/>
  <c r="AC1202" i="4"/>
  <c r="AB1202" i="4"/>
  <c r="AA1202" i="4"/>
  <c r="Z1202" i="4"/>
  <c r="Y1202" i="4"/>
  <c r="X1202" i="4"/>
  <c r="W1202" i="4"/>
  <c r="V1202" i="4"/>
  <c r="U1202" i="4"/>
  <c r="T1202" i="4"/>
  <c r="AD1201" i="4"/>
  <c r="AE1201" i="4" s="1"/>
  <c r="AC1201" i="4"/>
  <c r="AB1201" i="4"/>
  <c r="AA1201" i="4"/>
  <c r="AF1201" i="4" s="1"/>
  <c r="Z1201" i="4"/>
  <c r="Y1201" i="4"/>
  <c r="X1201" i="4"/>
  <c r="W1201" i="4"/>
  <c r="V1201" i="4"/>
  <c r="U1201" i="4"/>
  <c r="T1201" i="4"/>
  <c r="AD1200" i="4"/>
  <c r="AE1200" i="4" s="1"/>
  <c r="AC1200" i="4"/>
  <c r="AB1200" i="4"/>
  <c r="AA1200" i="4"/>
  <c r="AF1200" i="4" s="1"/>
  <c r="Z1200" i="4"/>
  <c r="Y1200" i="4"/>
  <c r="X1200" i="4"/>
  <c r="W1200" i="4"/>
  <c r="V1200" i="4"/>
  <c r="U1200" i="4"/>
  <c r="T1200" i="4"/>
  <c r="AD1199" i="4"/>
  <c r="AE1199" i="4" s="1"/>
  <c r="AC1199" i="4"/>
  <c r="AB1199" i="4"/>
  <c r="AA1199" i="4"/>
  <c r="AF1199" i="4" s="1"/>
  <c r="Z1199" i="4"/>
  <c r="Y1199" i="4"/>
  <c r="X1199" i="4"/>
  <c r="W1199" i="4"/>
  <c r="V1199" i="4"/>
  <c r="U1199" i="4"/>
  <c r="T1199" i="4"/>
  <c r="AD1198" i="4"/>
  <c r="AE1198" i="4" s="1"/>
  <c r="AC1198" i="4"/>
  <c r="AB1198" i="4"/>
  <c r="AA1198" i="4"/>
  <c r="AF1198" i="4" s="1"/>
  <c r="Z1198" i="4"/>
  <c r="Y1198" i="4"/>
  <c r="X1198" i="4"/>
  <c r="W1198" i="4"/>
  <c r="V1198" i="4"/>
  <c r="U1198" i="4"/>
  <c r="T1198" i="4"/>
  <c r="AD1197" i="4"/>
  <c r="AE1197" i="4" s="1"/>
  <c r="AC1197" i="4"/>
  <c r="AB1197" i="4"/>
  <c r="AA1197" i="4"/>
  <c r="AF1197" i="4" s="1"/>
  <c r="Z1197" i="4"/>
  <c r="Y1197" i="4"/>
  <c r="X1197" i="4"/>
  <c r="W1197" i="4"/>
  <c r="V1197" i="4"/>
  <c r="U1197" i="4"/>
  <c r="T1197" i="4"/>
  <c r="AD1196" i="4"/>
  <c r="AE1196" i="4" s="1"/>
  <c r="AC1196" i="4"/>
  <c r="AB1196" i="4"/>
  <c r="AA1196" i="4"/>
  <c r="AF1196" i="4" s="1"/>
  <c r="Z1196" i="4"/>
  <c r="Y1196" i="4"/>
  <c r="X1196" i="4"/>
  <c r="W1196" i="4"/>
  <c r="V1196" i="4"/>
  <c r="U1196" i="4"/>
  <c r="T1196" i="4"/>
  <c r="AD1195" i="4"/>
  <c r="AE1195" i="4" s="1"/>
  <c r="AC1195" i="4"/>
  <c r="AB1195" i="4"/>
  <c r="AA1195" i="4"/>
  <c r="AF1195" i="4" s="1"/>
  <c r="Z1195" i="4"/>
  <c r="Y1195" i="4"/>
  <c r="X1195" i="4"/>
  <c r="W1195" i="4"/>
  <c r="V1195" i="4"/>
  <c r="U1195" i="4"/>
  <c r="T1195" i="4"/>
  <c r="AD1194" i="4"/>
  <c r="AE1194" i="4" s="1"/>
  <c r="AC1194" i="4"/>
  <c r="AB1194" i="4"/>
  <c r="AA1194" i="4"/>
  <c r="AF1194" i="4" s="1"/>
  <c r="Z1194" i="4"/>
  <c r="Y1194" i="4"/>
  <c r="X1194" i="4"/>
  <c r="W1194" i="4"/>
  <c r="V1194" i="4"/>
  <c r="U1194" i="4"/>
  <c r="T1194" i="4"/>
  <c r="AD1193" i="4"/>
  <c r="AE1193" i="4" s="1"/>
  <c r="AC1193" i="4"/>
  <c r="AB1193" i="4"/>
  <c r="AA1193" i="4"/>
  <c r="AF1193" i="4" s="1"/>
  <c r="Z1193" i="4"/>
  <c r="Y1193" i="4"/>
  <c r="X1193" i="4"/>
  <c r="W1193" i="4"/>
  <c r="V1193" i="4"/>
  <c r="U1193" i="4"/>
  <c r="T1193" i="4"/>
  <c r="AD1192" i="4"/>
  <c r="AE1192" i="4" s="1"/>
  <c r="AC1192" i="4"/>
  <c r="AB1192" i="4"/>
  <c r="AA1192" i="4"/>
  <c r="AF1192" i="4" s="1"/>
  <c r="Z1192" i="4"/>
  <c r="Y1192" i="4"/>
  <c r="X1192" i="4"/>
  <c r="W1192" i="4"/>
  <c r="V1192" i="4"/>
  <c r="U1192" i="4"/>
  <c r="T1192" i="4"/>
  <c r="AD1191" i="4"/>
  <c r="AE1191" i="4" s="1"/>
  <c r="AC1191" i="4"/>
  <c r="AB1191" i="4"/>
  <c r="AA1191" i="4"/>
  <c r="AF1191" i="4" s="1"/>
  <c r="Z1191" i="4"/>
  <c r="Y1191" i="4"/>
  <c r="X1191" i="4"/>
  <c r="W1191" i="4"/>
  <c r="V1191" i="4"/>
  <c r="U1191" i="4"/>
  <c r="T1191" i="4"/>
  <c r="AD1190" i="4"/>
  <c r="AE1190" i="4" s="1"/>
  <c r="AC1190" i="4"/>
  <c r="AB1190" i="4"/>
  <c r="AA1190" i="4"/>
  <c r="AF1190" i="4" s="1"/>
  <c r="Z1190" i="4"/>
  <c r="Y1190" i="4"/>
  <c r="X1190" i="4"/>
  <c r="W1190" i="4"/>
  <c r="V1190" i="4"/>
  <c r="U1190" i="4"/>
  <c r="T1190" i="4"/>
  <c r="AD1189" i="4"/>
  <c r="AE1189" i="4" s="1"/>
  <c r="AC1189" i="4"/>
  <c r="AB1189" i="4"/>
  <c r="AA1189" i="4"/>
  <c r="AF1189" i="4" s="1"/>
  <c r="Z1189" i="4"/>
  <c r="Y1189" i="4"/>
  <c r="X1189" i="4"/>
  <c r="W1189" i="4"/>
  <c r="V1189" i="4"/>
  <c r="U1189" i="4"/>
  <c r="T1189" i="4"/>
  <c r="AD1188" i="4"/>
  <c r="AE1188" i="4" s="1"/>
  <c r="AC1188" i="4"/>
  <c r="AB1188" i="4"/>
  <c r="AA1188" i="4"/>
  <c r="AF1188" i="4" s="1"/>
  <c r="Z1188" i="4"/>
  <c r="Y1188" i="4"/>
  <c r="X1188" i="4"/>
  <c r="W1188" i="4"/>
  <c r="V1188" i="4"/>
  <c r="U1188" i="4"/>
  <c r="T1188" i="4"/>
  <c r="AD1187" i="4"/>
  <c r="AE1187" i="4" s="1"/>
  <c r="AC1187" i="4"/>
  <c r="AB1187" i="4"/>
  <c r="AA1187" i="4"/>
  <c r="AF1187" i="4" s="1"/>
  <c r="Z1187" i="4"/>
  <c r="Y1187" i="4"/>
  <c r="X1187" i="4"/>
  <c r="W1187" i="4"/>
  <c r="V1187" i="4"/>
  <c r="U1187" i="4"/>
  <c r="T1187" i="4"/>
  <c r="AD1186" i="4"/>
  <c r="AE1186" i="4" s="1"/>
  <c r="AC1186" i="4"/>
  <c r="AB1186" i="4"/>
  <c r="AA1186" i="4"/>
  <c r="AF1186" i="4" s="1"/>
  <c r="Z1186" i="4"/>
  <c r="Y1186" i="4"/>
  <c r="X1186" i="4"/>
  <c r="W1186" i="4"/>
  <c r="V1186" i="4"/>
  <c r="U1186" i="4"/>
  <c r="T1186" i="4"/>
  <c r="AD1185" i="4"/>
  <c r="AE1185" i="4" s="1"/>
  <c r="AC1185" i="4"/>
  <c r="AB1185" i="4"/>
  <c r="AA1185" i="4"/>
  <c r="AF1185" i="4" s="1"/>
  <c r="Z1185" i="4"/>
  <c r="Y1185" i="4"/>
  <c r="X1185" i="4"/>
  <c r="W1185" i="4"/>
  <c r="V1185" i="4"/>
  <c r="U1185" i="4"/>
  <c r="T1185" i="4"/>
  <c r="AD1184" i="4"/>
  <c r="AE1184" i="4" s="1"/>
  <c r="AC1184" i="4"/>
  <c r="AB1184" i="4"/>
  <c r="AA1184" i="4"/>
  <c r="AF1184" i="4" s="1"/>
  <c r="Z1184" i="4"/>
  <c r="Y1184" i="4"/>
  <c r="X1184" i="4"/>
  <c r="W1184" i="4"/>
  <c r="V1184" i="4"/>
  <c r="U1184" i="4"/>
  <c r="T1184" i="4"/>
  <c r="AD1183" i="4"/>
  <c r="AE1183" i="4" s="1"/>
  <c r="AC1183" i="4"/>
  <c r="AB1183" i="4"/>
  <c r="AA1183" i="4"/>
  <c r="AF1183" i="4" s="1"/>
  <c r="Z1183" i="4"/>
  <c r="Y1183" i="4"/>
  <c r="X1183" i="4"/>
  <c r="W1183" i="4"/>
  <c r="V1183" i="4"/>
  <c r="U1183" i="4"/>
  <c r="T1183" i="4"/>
  <c r="AD1182" i="4"/>
  <c r="AE1182" i="4" s="1"/>
  <c r="AC1182" i="4"/>
  <c r="AB1182" i="4"/>
  <c r="AA1182" i="4"/>
  <c r="AF1182" i="4" s="1"/>
  <c r="Z1182" i="4"/>
  <c r="Y1182" i="4"/>
  <c r="X1182" i="4"/>
  <c r="W1182" i="4"/>
  <c r="V1182" i="4"/>
  <c r="U1182" i="4"/>
  <c r="T1182" i="4"/>
  <c r="AF1181" i="4"/>
  <c r="AD1181" i="4"/>
  <c r="AE1181" i="4" s="1"/>
  <c r="AC1181" i="4"/>
  <c r="AB1181" i="4"/>
  <c r="AA1181" i="4"/>
  <c r="Z1181" i="4"/>
  <c r="Y1181" i="4"/>
  <c r="X1181" i="4"/>
  <c r="W1181" i="4"/>
  <c r="V1181" i="4"/>
  <c r="U1181" i="4"/>
  <c r="T1181" i="4"/>
  <c r="AD1180" i="4"/>
  <c r="AE1180" i="4" s="1"/>
  <c r="AC1180" i="4"/>
  <c r="AB1180" i="4"/>
  <c r="AA1180" i="4"/>
  <c r="AF1180" i="4" s="1"/>
  <c r="Z1180" i="4"/>
  <c r="Y1180" i="4"/>
  <c r="X1180" i="4"/>
  <c r="W1180" i="4"/>
  <c r="V1180" i="4"/>
  <c r="U1180" i="4"/>
  <c r="T1180" i="4"/>
  <c r="AD1179" i="4"/>
  <c r="AE1179" i="4" s="1"/>
  <c r="AC1179" i="4"/>
  <c r="AB1179" i="4"/>
  <c r="AA1179" i="4"/>
  <c r="AF1179" i="4" s="1"/>
  <c r="Z1179" i="4"/>
  <c r="Y1179" i="4"/>
  <c r="X1179" i="4"/>
  <c r="W1179" i="4"/>
  <c r="V1179" i="4"/>
  <c r="U1179" i="4"/>
  <c r="T1179" i="4"/>
  <c r="AD1178" i="4"/>
  <c r="AE1178" i="4" s="1"/>
  <c r="AC1178" i="4"/>
  <c r="AB1178" i="4"/>
  <c r="AA1178" i="4"/>
  <c r="AF1178" i="4" s="1"/>
  <c r="Z1178" i="4"/>
  <c r="Y1178" i="4"/>
  <c r="X1178" i="4"/>
  <c r="W1178" i="4"/>
  <c r="V1178" i="4"/>
  <c r="U1178" i="4"/>
  <c r="T1178" i="4"/>
  <c r="AD1177" i="4"/>
  <c r="AE1177" i="4" s="1"/>
  <c r="AC1177" i="4"/>
  <c r="AB1177" i="4"/>
  <c r="AA1177" i="4"/>
  <c r="AF1177" i="4" s="1"/>
  <c r="Z1177" i="4"/>
  <c r="Y1177" i="4"/>
  <c r="X1177" i="4"/>
  <c r="W1177" i="4"/>
  <c r="V1177" i="4"/>
  <c r="U1177" i="4"/>
  <c r="T1177" i="4"/>
  <c r="AD1176" i="4"/>
  <c r="AE1176" i="4" s="1"/>
  <c r="AC1176" i="4"/>
  <c r="AB1176" i="4"/>
  <c r="AA1176" i="4"/>
  <c r="AF1176" i="4" s="1"/>
  <c r="Z1176" i="4"/>
  <c r="Y1176" i="4"/>
  <c r="X1176" i="4"/>
  <c r="W1176" i="4"/>
  <c r="V1176" i="4"/>
  <c r="U1176" i="4"/>
  <c r="T1176" i="4"/>
  <c r="AD1175" i="4"/>
  <c r="AE1175" i="4" s="1"/>
  <c r="AC1175" i="4"/>
  <c r="AB1175" i="4"/>
  <c r="AA1175" i="4"/>
  <c r="AF1175" i="4" s="1"/>
  <c r="Z1175" i="4"/>
  <c r="Y1175" i="4"/>
  <c r="X1175" i="4"/>
  <c r="W1175" i="4"/>
  <c r="V1175" i="4"/>
  <c r="U1175" i="4"/>
  <c r="T1175" i="4"/>
  <c r="AD1174" i="4"/>
  <c r="AE1174" i="4" s="1"/>
  <c r="AC1174" i="4"/>
  <c r="AB1174" i="4"/>
  <c r="AA1174" i="4"/>
  <c r="AF1174" i="4" s="1"/>
  <c r="Z1174" i="4"/>
  <c r="Y1174" i="4"/>
  <c r="X1174" i="4"/>
  <c r="W1174" i="4"/>
  <c r="V1174" i="4"/>
  <c r="U1174" i="4"/>
  <c r="T1174" i="4"/>
  <c r="AD1173" i="4"/>
  <c r="AE1173" i="4" s="1"/>
  <c r="AC1173" i="4"/>
  <c r="AB1173" i="4"/>
  <c r="AA1173" i="4"/>
  <c r="AF1173" i="4" s="1"/>
  <c r="Z1173" i="4"/>
  <c r="Y1173" i="4"/>
  <c r="X1173" i="4"/>
  <c r="W1173" i="4"/>
  <c r="V1173" i="4"/>
  <c r="U1173" i="4"/>
  <c r="T1173" i="4"/>
  <c r="AD1172" i="4"/>
  <c r="AE1172" i="4" s="1"/>
  <c r="AC1172" i="4"/>
  <c r="AB1172" i="4"/>
  <c r="AA1172" i="4"/>
  <c r="AF1172" i="4" s="1"/>
  <c r="Z1172" i="4"/>
  <c r="Y1172" i="4"/>
  <c r="X1172" i="4"/>
  <c r="W1172" i="4"/>
  <c r="V1172" i="4"/>
  <c r="U1172" i="4"/>
  <c r="T1172" i="4"/>
  <c r="AD1171" i="4"/>
  <c r="AE1171" i="4" s="1"/>
  <c r="AC1171" i="4"/>
  <c r="AB1171" i="4"/>
  <c r="AA1171" i="4"/>
  <c r="AF1171" i="4" s="1"/>
  <c r="Z1171" i="4"/>
  <c r="Y1171" i="4"/>
  <c r="X1171" i="4"/>
  <c r="W1171" i="4"/>
  <c r="V1171" i="4"/>
  <c r="U1171" i="4"/>
  <c r="T1171" i="4"/>
  <c r="AD1170" i="4"/>
  <c r="AE1170" i="4" s="1"/>
  <c r="AC1170" i="4"/>
  <c r="AB1170" i="4"/>
  <c r="AA1170" i="4"/>
  <c r="AF1170" i="4" s="1"/>
  <c r="Z1170" i="4"/>
  <c r="Y1170" i="4"/>
  <c r="X1170" i="4"/>
  <c r="W1170" i="4"/>
  <c r="V1170" i="4"/>
  <c r="U1170" i="4"/>
  <c r="T1170" i="4"/>
  <c r="AD1169" i="4"/>
  <c r="AE1169" i="4" s="1"/>
  <c r="AC1169" i="4"/>
  <c r="AB1169" i="4"/>
  <c r="AA1169" i="4"/>
  <c r="AF1169" i="4" s="1"/>
  <c r="Z1169" i="4"/>
  <c r="Y1169" i="4"/>
  <c r="X1169" i="4"/>
  <c r="W1169" i="4"/>
  <c r="V1169" i="4"/>
  <c r="U1169" i="4"/>
  <c r="T1169" i="4"/>
  <c r="AF1168" i="4"/>
  <c r="AD1168" i="4"/>
  <c r="AE1168" i="4" s="1"/>
  <c r="AC1168" i="4"/>
  <c r="AB1168" i="4"/>
  <c r="AA1168" i="4"/>
  <c r="Z1168" i="4"/>
  <c r="Y1168" i="4"/>
  <c r="X1168" i="4"/>
  <c r="W1168" i="4"/>
  <c r="V1168" i="4"/>
  <c r="U1168" i="4"/>
  <c r="T1168" i="4"/>
  <c r="AF1167" i="4"/>
  <c r="AD1167" i="4"/>
  <c r="AE1167" i="4" s="1"/>
  <c r="AC1167" i="4"/>
  <c r="AB1167" i="4"/>
  <c r="AA1167" i="4"/>
  <c r="Z1167" i="4"/>
  <c r="Y1167" i="4"/>
  <c r="X1167" i="4"/>
  <c r="W1167" i="4"/>
  <c r="V1167" i="4"/>
  <c r="U1167" i="4"/>
  <c r="T1167" i="4"/>
  <c r="AD1166" i="4"/>
  <c r="AE1166" i="4" s="1"/>
  <c r="AC1166" i="4"/>
  <c r="AB1166" i="4"/>
  <c r="AA1166" i="4"/>
  <c r="AF1166" i="4" s="1"/>
  <c r="Z1166" i="4"/>
  <c r="Y1166" i="4"/>
  <c r="X1166" i="4"/>
  <c r="W1166" i="4"/>
  <c r="V1166" i="4"/>
  <c r="U1166" i="4"/>
  <c r="T1166" i="4"/>
  <c r="AD1165" i="4"/>
  <c r="AE1165" i="4" s="1"/>
  <c r="AC1165" i="4"/>
  <c r="AB1165" i="4"/>
  <c r="AA1165" i="4"/>
  <c r="AF1165" i="4" s="1"/>
  <c r="Z1165" i="4"/>
  <c r="Y1165" i="4"/>
  <c r="X1165" i="4"/>
  <c r="W1165" i="4"/>
  <c r="V1165" i="4"/>
  <c r="U1165" i="4"/>
  <c r="T1165" i="4"/>
  <c r="AD1164" i="4"/>
  <c r="AE1164" i="4" s="1"/>
  <c r="AC1164" i="4"/>
  <c r="AB1164" i="4"/>
  <c r="AA1164" i="4"/>
  <c r="AF1164" i="4" s="1"/>
  <c r="Z1164" i="4"/>
  <c r="Y1164" i="4"/>
  <c r="X1164" i="4"/>
  <c r="W1164" i="4"/>
  <c r="V1164" i="4"/>
  <c r="U1164" i="4"/>
  <c r="T1164" i="4"/>
  <c r="AD1163" i="4"/>
  <c r="AE1163" i="4" s="1"/>
  <c r="AC1163" i="4"/>
  <c r="AB1163" i="4"/>
  <c r="AA1163" i="4"/>
  <c r="AF1163" i="4" s="1"/>
  <c r="Z1163" i="4"/>
  <c r="Y1163" i="4"/>
  <c r="X1163" i="4"/>
  <c r="W1163" i="4"/>
  <c r="V1163" i="4"/>
  <c r="U1163" i="4"/>
  <c r="T1163" i="4"/>
  <c r="AD1162" i="4"/>
  <c r="AE1162" i="4" s="1"/>
  <c r="AC1162" i="4"/>
  <c r="AB1162" i="4"/>
  <c r="AA1162" i="4"/>
  <c r="AF1162" i="4" s="1"/>
  <c r="Z1162" i="4"/>
  <c r="Y1162" i="4"/>
  <c r="X1162" i="4"/>
  <c r="W1162" i="4"/>
  <c r="V1162" i="4"/>
  <c r="U1162" i="4"/>
  <c r="T1162" i="4"/>
  <c r="AF1161" i="4"/>
  <c r="AD1161" i="4"/>
  <c r="AE1161" i="4" s="1"/>
  <c r="AC1161" i="4"/>
  <c r="AB1161" i="4"/>
  <c r="AA1161" i="4"/>
  <c r="Z1161" i="4"/>
  <c r="Y1161" i="4"/>
  <c r="X1161" i="4"/>
  <c r="W1161" i="4"/>
  <c r="V1161" i="4"/>
  <c r="U1161" i="4"/>
  <c r="T1161" i="4"/>
  <c r="AD1160" i="4"/>
  <c r="AE1160" i="4" s="1"/>
  <c r="AC1160" i="4"/>
  <c r="AB1160" i="4"/>
  <c r="AA1160" i="4"/>
  <c r="AF1160" i="4" s="1"/>
  <c r="Z1160" i="4"/>
  <c r="Y1160" i="4"/>
  <c r="X1160" i="4"/>
  <c r="W1160" i="4"/>
  <c r="V1160" i="4"/>
  <c r="U1160" i="4"/>
  <c r="T1160" i="4"/>
  <c r="AD1159" i="4"/>
  <c r="AE1159" i="4" s="1"/>
  <c r="AC1159" i="4"/>
  <c r="AB1159" i="4"/>
  <c r="AA1159" i="4"/>
  <c r="AF1159" i="4" s="1"/>
  <c r="Z1159" i="4"/>
  <c r="Y1159" i="4"/>
  <c r="X1159" i="4"/>
  <c r="W1159" i="4"/>
  <c r="V1159" i="4"/>
  <c r="U1159" i="4"/>
  <c r="T1159" i="4"/>
  <c r="AD1158" i="4"/>
  <c r="AE1158" i="4" s="1"/>
  <c r="AC1158" i="4"/>
  <c r="AB1158" i="4"/>
  <c r="AA1158" i="4"/>
  <c r="AF1158" i="4" s="1"/>
  <c r="Z1158" i="4"/>
  <c r="Y1158" i="4"/>
  <c r="X1158" i="4"/>
  <c r="W1158" i="4"/>
  <c r="V1158" i="4"/>
  <c r="U1158" i="4"/>
  <c r="T1158" i="4"/>
  <c r="AD1157" i="4"/>
  <c r="AE1157" i="4" s="1"/>
  <c r="AC1157" i="4"/>
  <c r="AB1157" i="4"/>
  <c r="AA1157" i="4"/>
  <c r="AF1157" i="4" s="1"/>
  <c r="Z1157" i="4"/>
  <c r="Y1157" i="4"/>
  <c r="X1157" i="4"/>
  <c r="W1157" i="4"/>
  <c r="V1157" i="4"/>
  <c r="U1157" i="4"/>
  <c r="T1157" i="4"/>
  <c r="AD1156" i="4"/>
  <c r="AE1156" i="4" s="1"/>
  <c r="AC1156" i="4"/>
  <c r="AB1156" i="4"/>
  <c r="AA1156" i="4"/>
  <c r="AF1156" i="4" s="1"/>
  <c r="Z1156" i="4"/>
  <c r="Y1156" i="4"/>
  <c r="X1156" i="4"/>
  <c r="W1156" i="4"/>
  <c r="V1156" i="4"/>
  <c r="U1156" i="4"/>
  <c r="T1156" i="4"/>
  <c r="AD1155" i="4"/>
  <c r="AE1155" i="4" s="1"/>
  <c r="AC1155" i="4"/>
  <c r="AB1155" i="4"/>
  <c r="AA1155" i="4"/>
  <c r="AF1155" i="4" s="1"/>
  <c r="Z1155" i="4"/>
  <c r="Y1155" i="4"/>
  <c r="X1155" i="4"/>
  <c r="W1155" i="4"/>
  <c r="V1155" i="4"/>
  <c r="U1155" i="4"/>
  <c r="T1155" i="4"/>
  <c r="AF1154" i="4"/>
  <c r="AD1154" i="4"/>
  <c r="AE1154" i="4" s="1"/>
  <c r="AC1154" i="4"/>
  <c r="AB1154" i="4"/>
  <c r="AA1154" i="4"/>
  <c r="Z1154" i="4"/>
  <c r="Y1154" i="4"/>
  <c r="X1154" i="4"/>
  <c r="W1154" i="4"/>
  <c r="V1154" i="4"/>
  <c r="U1154" i="4"/>
  <c r="T1154" i="4"/>
  <c r="AD1153" i="4"/>
  <c r="AE1153" i="4" s="1"/>
  <c r="AC1153" i="4"/>
  <c r="AB1153" i="4"/>
  <c r="AA1153" i="4"/>
  <c r="AF1153" i="4" s="1"/>
  <c r="Z1153" i="4"/>
  <c r="Y1153" i="4"/>
  <c r="X1153" i="4"/>
  <c r="W1153" i="4"/>
  <c r="V1153" i="4"/>
  <c r="U1153" i="4"/>
  <c r="T1153" i="4"/>
  <c r="AF1152" i="4"/>
  <c r="AD1152" i="4"/>
  <c r="AE1152" i="4" s="1"/>
  <c r="AC1152" i="4"/>
  <c r="AB1152" i="4"/>
  <c r="AA1152" i="4"/>
  <c r="Z1152" i="4"/>
  <c r="Y1152" i="4"/>
  <c r="X1152" i="4"/>
  <c r="W1152" i="4"/>
  <c r="V1152" i="4"/>
  <c r="U1152" i="4"/>
  <c r="T1152" i="4"/>
  <c r="AD1151" i="4"/>
  <c r="AE1151" i="4" s="1"/>
  <c r="AC1151" i="4"/>
  <c r="AB1151" i="4"/>
  <c r="AA1151" i="4"/>
  <c r="AF1151" i="4" s="1"/>
  <c r="Z1151" i="4"/>
  <c r="Y1151" i="4"/>
  <c r="X1151" i="4"/>
  <c r="W1151" i="4"/>
  <c r="V1151" i="4"/>
  <c r="U1151" i="4"/>
  <c r="T1151" i="4"/>
  <c r="AD1150" i="4"/>
  <c r="AE1150" i="4" s="1"/>
  <c r="AC1150" i="4"/>
  <c r="AB1150" i="4"/>
  <c r="AA1150" i="4"/>
  <c r="AF1150" i="4" s="1"/>
  <c r="Z1150" i="4"/>
  <c r="Y1150" i="4"/>
  <c r="X1150" i="4"/>
  <c r="W1150" i="4"/>
  <c r="V1150" i="4"/>
  <c r="U1150" i="4"/>
  <c r="T1150" i="4"/>
  <c r="AD1149" i="4"/>
  <c r="AE1149" i="4" s="1"/>
  <c r="AC1149" i="4"/>
  <c r="AB1149" i="4"/>
  <c r="AA1149" i="4"/>
  <c r="AF1149" i="4" s="1"/>
  <c r="Z1149" i="4"/>
  <c r="Y1149" i="4"/>
  <c r="X1149" i="4"/>
  <c r="W1149" i="4"/>
  <c r="V1149" i="4"/>
  <c r="U1149" i="4"/>
  <c r="T1149" i="4"/>
  <c r="AD1148" i="4"/>
  <c r="AE1148" i="4" s="1"/>
  <c r="AC1148" i="4"/>
  <c r="AB1148" i="4"/>
  <c r="AA1148" i="4"/>
  <c r="AF1148" i="4" s="1"/>
  <c r="Z1148" i="4"/>
  <c r="Y1148" i="4"/>
  <c r="X1148" i="4"/>
  <c r="W1148" i="4"/>
  <c r="V1148" i="4"/>
  <c r="U1148" i="4"/>
  <c r="T1148" i="4"/>
  <c r="AD1147" i="4"/>
  <c r="AE1147" i="4" s="1"/>
  <c r="AC1147" i="4"/>
  <c r="AB1147" i="4"/>
  <c r="AA1147" i="4"/>
  <c r="AF1147" i="4" s="1"/>
  <c r="Z1147" i="4"/>
  <c r="Y1147" i="4"/>
  <c r="X1147" i="4"/>
  <c r="W1147" i="4"/>
  <c r="V1147" i="4"/>
  <c r="U1147" i="4"/>
  <c r="T1147" i="4"/>
  <c r="AD1146" i="4"/>
  <c r="AE1146" i="4" s="1"/>
  <c r="AC1146" i="4"/>
  <c r="AB1146" i="4"/>
  <c r="AA1146" i="4"/>
  <c r="AF1146" i="4" s="1"/>
  <c r="Z1146" i="4"/>
  <c r="Y1146" i="4"/>
  <c r="X1146" i="4"/>
  <c r="W1146" i="4"/>
  <c r="V1146" i="4"/>
  <c r="U1146" i="4"/>
  <c r="T1146" i="4"/>
  <c r="AD1145" i="4"/>
  <c r="AE1145" i="4" s="1"/>
  <c r="AC1145" i="4"/>
  <c r="AB1145" i="4"/>
  <c r="AA1145" i="4"/>
  <c r="AF1145" i="4" s="1"/>
  <c r="Z1145" i="4"/>
  <c r="Y1145" i="4"/>
  <c r="X1145" i="4"/>
  <c r="W1145" i="4"/>
  <c r="V1145" i="4"/>
  <c r="U1145" i="4"/>
  <c r="T1145" i="4"/>
  <c r="AD1144" i="4"/>
  <c r="AE1144" i="4" s="1"/>
  <c r="AC1144" i="4"/>
  <c r="AB1144" i="4"/>
  <c r="AA1144" i="4"/>
  <c r="AF1144" i="4" s="1"/>
  <c r="Z1144" i="4"/>
  <c r="Y1144" i="4"/>
  <c r="X1144" i="4"/>
  <c r="W1144" i="4"/>
  <c r="V1144" i="4"/>
  <c r="U1144" i="4"/>
  <c r="T1144" i="4"/>
  <c r="AD1143" i="4"/>
  <c r="AE1143" i="4" s="1"/>
  <c r="AC1143" i="4"/>
  <c r="AB1143" i="4"/>
  <c r="AA1143" i="4"/>
  <c r="AF1143" i="4" s="1"/>
  <c r="Z1143" i="4"/>
  <c r="Y1143" i="4"/>
  <c r="X1143" i="4"/>
  <c r="W1143" i="4"/>
  <c r="V1143" i="4"/>
  <c r="U1143" i="4"/>
  <c r="T1143" i="4"/>
  <c r="AD1142" i="4"/>
  <c r="AE1142" i="4" s="1"/>
  <c r="AC1142" i="4"/>
  <c r="AB1142" i="4"/>
  <c r="AA1142" i="4"/>
  <c r="AF1142" i="4" s="1"/>
  <c r="Z1142" i="4"/>
  <c r="Y1142" i="4"/>
  <c r="X1142" i="4"/>
  <c r="W1142" i="4"/>
  <c r="V1142" i="4"/>
  <c r="U1142" i="4"/>
  <c r="T1142" i="4"/>
  <c r="AD1141" i="4"/>
  <c r="AE1141" i="4" s="1"/>
  <c r="AC1141" i="4"/>
  <c r="AB1141" i="4"/>
  <c r="AA1141" i="4"/>
  <c r="AF1141" i="4" s="1"/>
  <c r="Z1141" i="4"/>
  <c r="Y1141" i="4"/>
  <c r="X1141" i="4"/>
  <c r="W1141" i="4"/>
  <c r="V1141" i="4"/>
  <c r="U1141" i="4"/>
  <c r="T1141" i="4"/>
  <c r="AD1140" i="4"/>
  <c r="AE1140" i="4" s="1"/>
  <c r="AC1140" i="4"/>
  <c r="AB1140" i="4"/>
  <c r="AA1140" i="4"/>
  <c r="AF1140" i="4" s="1"/>
  <c r="Z1140" i="4"/>
  <c r="Y1140" i="4"/>
  <c r="X1140" i="4"/>
  <c r="W1140" i="4"/>
  <c r="V1140" i="4"/>
  <c r="U1140" i="4"/>
  <c r="T1140" i="4"/>
  <c r="AF1139" i="4"/>
  <c r="AD1139" i="4"/>
  <c r="AE1139" i="4" s="1"/>
  <c r="AC1139" i="4"/>
  <c r="AB1139" i="4"/>
  <c r="AA1139" i="4"/>
  <c r="Z1139" i="4"/>
  <c r="Y1139" i="4"/>
  <c r="X1139" i="4"/>
  <c r="W1139" i="4"/>
  <c r="V1139" i="4"/>
  <c r="U1139" i="4"/>
  <c r="T1139" i="4"/>
  <c r="AF1138" i="4"/>
  <c r="AD1138" i="4"/>
  <c r="AE1138" i="4" s="1"/>
  <c r="AC1138" i="4"/>
  <c r="AB1138" i="4"/>
  <c r="AA1138" i="4"/>
  <c r="Z1138" i="4"/>
  <c r="Y1138" i="4"/>
  <c r="X1138" i="4"/>
  <c r="W1138" i="4"/>
  <c r="V1138" i="4"/>
  <c r="U1138" i="4"/>
  <c r="T1138" i="4"/>
  <c r="AD1137" i="4"/>
  <c r="AE1137" i="4" s="1"/>
  <c r="AC1137" i="4"/>
  <c r="AB1137" i="4"/>
  <c r="AA1137" i="4"/>
  <c r="AF1137" i="4" s="1"/>
  <c r="Z1137" i="4"/>
  <c r="Y1137" i="4"/>
  <c r="X1137" i="4"/>
  <c r="W1137" i="4"/>
  <c r="V1137" i="4"/>
  <c r="U1137" i="4"/>
  <c r="T1137" i="4"/>
  <c r="AD1136" i="4"/>
  <c r="AE1136" i="4" s="1"/>
  <c r="AC1136" i="4"/>
  <c r="AB1136" i="4"/>
  <c r="AA1136" i="4"/>
  <c r="AF1136" i="4" s="1"/>
  <c r="Z1136" i="4"/>
  <c r="Y1136" i="4"/>
  <c r="X1136" i="4"/>
  <c r="W1136" i="4"/>
  <c r="V1136" i="4"/>
  <c r="U1136" i="4"/>
  <c r="T1136" i="4"/>
  <c r="AD1135" i="4"/>
  <c r="AE1135" i="4" s="1"/>
  <c r="AC1135" i="4"/>
  <c r="AB1135" i="4"/>
  <c r="AA1135" i="4"/>
  <c r="AF1135" i="4" s="1"/>
  <c r="Z1135" i="4"/>
  <c r="Y1135" i="4"/>
  <c r="X1135" i="4"/>
  <c r="W1135" i="4"/>
  <c r="V1135" i="4"/>
  <c r="U1135" i="4"/>
  <c r="T1135" i="4"/>
  <c r="AF1134" i="4"/>
  <c r="AD1134" i="4"/>
  <c r="AE1134" i="4" s="1"/>
  <c r="AC1134" i="4"/>
  <c r="AB1134" i="4"/>
  <c r="AA1134" i="4"/>
  <c r="Z1134" i="4"/>
  <c r="Y1134" i="4"/>
  <c r="X1134" i="4"/>
  <c r="W1134" i="4"/>
  <c r="V1134" i="4"/>
  <c r="U1134" i="4"/>
  <c r="T1134" i="4"/>
  <c r="AF1133" i="4"/>
  <c r="AD1133" i="4"/>
  <c r="AE1133" i="4" s="1"/>
  <c r="AC1133" i="4"/>
  <c r="AB1133" i="4"/>
  <c r="AA1133" i="4"/>
  <c r="Z1133" i="4"/>
  <c r="Y1133" i="4"/>
  <c r="X1133" i="4"/>
  <c r="W1133" i="4"/>
  <c r="V1133" i="4"/>
  <c r="U1133" i="4"/>
  <c r="T1133" i="4"/>
  <c r="AD1132" i="4"/>
  <c r="AE1132" i="4" s="1"/>
  <c r="AC1132" i="4"/>
  <c r="AB1132" i="4"/>
  <c r="AA1132" i="4"/>
  <c r="AF1132" i="4" s="1"/>
  <c r="Z1132" i="4"/>
  <c r="Y1132" i="4"/>
  <c r="X1132" i="4"/>
  <c r="W1132" i="4"/>
  <c r="V1132" i="4"/>
  <c r="U1132" i="4"/>
  <c r="T1132" i="4"/>
  <c r="AD1131" i="4"/>
  <c r="AE1131" i="4" s="1"/>
  <c r="AC1131" i="4"/>
  <c r="AB1131" i="4"/>
  <c r="AA1131" i="4"/>
  <c r="AF1131" i="4" s="1"/>
  <c r="Z1131" i="4"/>
  <c r="Y1131" i="4"/>
  <c r="X1131" i="4"/>
  <c r="W1131" i="4"/>
  <c r="V1131" i="4"/>
  <c r="U1131" i="4"/>
  <c r="T1131" i="4"/>
  <c r="AF1130" i="4"/>
  <c r="AD1130" i="4"/>
  <c r="AE1130" i="4" s="1"/>
  <c r="AC1130" i="4"/>
  <c r="AB1130" i="4"/>
  <c r="AA1130" i="4"/>
  <c r="Z1130" i="4"/>
  <c r="Y1130" i="4"/>
  <c r="X1130" i="4"/>
  <c r="W1130" i="4"/>
  <c r="V1130" i="4"/>
  <c r="U1130" i="4"/>
  <c r="T1130" i="4"/>
  <c r="AD1129" i="4"/>
  <c r="AE1129" i="4" s="1"/>
  <c r="AC1129" i="4"/>
  <c r="AB1129" i="4"/>
  <c r="AA1129" i="4"/>
  <c r="AF1129" i="4" s="1"/>
  <c r="Z1129" i="4"/>
  <c r="Y1129" i="4"/>
  <c r="X1129" i="4"/>
  <c r="W1129" i="4"/>
  <c r="V1129" i="4"/>
  <c r="U1129" i="4"/>
  <c r="T1129" i="4"/>
  <c r="AD1128" i="4"/>
  <c r="AE1128" i="4" s="1"/>
  <c r="AC1128" i="4"/>
  <c r="AB1128" i="4"/>
  <c r="AA1128" i="4"/>
  <c r="AF1128" i="4" s="1"/>
  <c r="Z1128" i="4"/>
  <c r="Y1128" i="4"/>
  <c r="X1128" i="4"/>
  <c r="W1128" i="4"/>
  <c r="V1128" i="4"/>
  <c r="U1128" i="4"/>
  <c r="T1128" i="4"/>
  <c r="AD1127" i="4"/>
  <c r="AE1127" i="4" s="1"/>
  <c r="AC1127" i="4"/>
  <c r="AB1127" i="4"/>
  <c r="AA1127" i="4"/>
  <c r="AF1127" i="4" s="1"/>
  <c r="Z1127" i="4"/>
  <c r="Y1127" i="4"/>
  <c r="X1127" i="4"/>
  <c r="W1127" i="4"/>
  <c r="V1127" i="4"/>
  <c r="U1127" i="4"/>
  <c r="T1127" i="4"/>
  <c r="AD1126" i="4"/>
  <c r="AE1126" i="4" s="1"/>
  <c r="AC1126" i="4"/>
  <c r="AB1126" i="4"/>
  <c r="AA1126" i="4"/>
  <c r="AF1126" i="4" s="1"/>
  <c r="Z1126" i="4"/>
  <c r="Y1126" i="4"/>
  <c r="X1126" i="4"/>
  <c r="W1126" i="4"/>
  <c r="V1126" i="4"/>
  <c r="U1126" i="4"/>
  <c r="T1126" i="4"/>
  <c r="AD1125" i="4"/>
  <c r="AE1125" i="4" s="1"/>
  <c r="AC1125" i="4"/>
  <c r="AB1125" i="4"/>
  <c r="AA1125" i="4"/>
  <c r="AF1125" i="4" s="1"/>
  <c r="Z1125" i="4"/>
  <c r="Y1125" i="4"/>
  <c r="X1125" i="4"/>
  <c r="W1125" i="4"/>
  <c r="V1125" i="4"/>
  <c r="U1125" i="4"/>
  <c r="T1125" i="4"/>
  <c r="AD1124" i="4"/>
  <c r="AE1124" i="4" s="1"/>
  <c r="AC1124" i="4"/>
  <c r="AB1124" i="4"/>
  <c r="AA1124" i="4"/>
  <c r="AF1124" i="4" s="1"/>
  <c r="Z1124" i="4"/>
  <c r="Y1124" i="4"/>
  <c r="X1124" i="4"/>
  <c r="W1124" i="4"/>
  <c r="V1124" i="4"/>
  <c r="U1124" i="4"/>
  <c r="T1124" i="4"/>
  <c r="AD1123" i="4"/>
  <c r="AE1123" i="4" s="1"/>
  <c r="AC1123" i="4"/>
  <c r="AB1123" i="4"/>
  <c r="AA1123" i="4"/>
  <c r="AF1123" i="4" s="1"/>
  <c r="Z1123" i="4"/>
  <c r="Y1123" i="4"/>
  <c r="X1123" i="4"/>
  <c r="W1123" i="4"/>
  <c r="V1123" i="4"/>
  <c r="U1123" i="4"/>
  <c r="T1123" i="4"/>
  <c r="AF1122" i="4"/>
  <c r="AD1122" i="4"/>
  <c r="AE1122" i="4" s="1"/>
  <c r="AC1122" i="4"/>
  <c r="AB1122" i="4"/>
  <c r="AA1122" i="4"/>
  <c r="Z1122" i="4"/>
  <c r="Y1122" i="4"/>
  <c r="X1122" i="4"/>
  <c r="W1122" i="4"/>
  <c r="V1122" i="4"/>
  <c r="U1122" i="4"/>
  <c r="T1122" i="4"/>
  <c r="AD1121" i="4"/>
  <c r="AE1121" i="4" s="1"/>
  <c r="AC1121" i="4"/>
  <c r="AB1121" i="4"/>
  <c r="AA1121" i="4"/>
  <c r="AF1121" i="4" s="1"/>
  <c r="Z1121" i="4"/>
  <c r="Y1121" i="4"/>
  <c r="X1121" i="4"/>
  <c r="W1121" i="4"/>
  <c r="V1121" i="4"/>
  <c r="U1121" i="4"/>
  <c r="T1121" i="4"/>
  <c r="AD1120" i="4"/>
  <c r="AE1120" i="4" s="1"/>
  <c r="AC1120" i="4"/>
  <c r="AB1120" i="4"/>
  <c r="AA1120" i="4"/>
  <c r="AF1120" i="4" s="1"/>
  <c r="Z1120" i="4"/>
  <c r="Y1120" i="4"/>
  <c r="X1120" i="4"/>
  <c r="W1120" i="4"/>
  <c r="V1120" i="4"/>
  <c r="U1120" i="4"/>
  <c r="T1120" i="4"/>
  <c r="AD1119" i="4"/>
  <c r="AE1119" i="4" s="1"/>
  <c r="AC1119" i="4"/>
  <c r="AB1119" i="4"/>
  <c r="AA1119" i="4"/>
  <c r="AF1119" i="4" s="1"/>
  <c r="Z1119" i="4"/>
  <c r="Y1119" i="4"/>
  <c r="X1119" i="4"/>
  <c r="W1119" i="4"/>
  <c r="V1119" i="4"/>
  <c r="U1119" i="4"/>
  <c r="T1119" i="4"/>
  <c r="AD1118" i="4"/>
  <c r="AE1118" i="4" s="1"/>
  <c r="AC1118" i="4"/>
  <c r="AB1118" i="4"/>
  <c r="AA1118" i="4"/>
  <c r="AF1118" i="4" s="1"/>
  <c r="Z1118" i="4"/>
  <c r="Y1118" i="4"/>
  <c r="X1118" i="4"/>
  <c r="W1118" i="4"/>
  <c r="V1118" i="4"/>
  <c r="U1118" i="4"/>
  <c r="T1118" i="4"/>
  <c r="AD1117" i="4"/>
  <c r="AE1117" i="4" s="1"/>
  <c r="AC1117" i="4"/>
  <c r="AB1117" i="4"/>
  <c r="AA1117" i="4"/>
  <c r="AF1117" i="4" s="1"/>
  <c r="Z1117" i="4"/>
  <c r="Y1117" i="4"/>
  <c r="X1117" i="4"/>
  <c r="W1117" i="4"/>
  <c r="V1117" i="4"/>
  <c r="U1117" i="4"/>
  <c r="T1117" i="4"/>
  <c r="AD1116" i="4"/>
  <c r="AE1116" i="4" s="1"/>
  <c r="AC1116" i="4"/>
  <c r="AB1116" i="4"/>
  <c r="AA1116" i="4"/>
  <c r="AF1116" i="4" s="1"/>
  <c r="Z1116" i="4"/>
  <c r="Y1116" i="4"/>
  <c r="X1116" i="4"/>
  <c r="W1116" i="4"/>
  <c r="V1116" i="4"/>
  <c r="U1116" i="4"/>
  <c r="T1116" i="4"/>
  <c r="AD1115" i="4"/>
  <c r="AE1115" i="4" s="1"/>
  <c r="AC1115" i="4"/>
  <c r="AB1115" i="4"/>
  <c r="AA1115" i="4"/>
  <c r="AF1115" i="4" s="1"/>
  <c r="Z1115" i="4"/>
  <c r="Y1115" i="4"/>
  <c r="X1115" i="4"/>
  <c r="W1115" i="4"/>
  <c r="V1115" i="4"/>
  <c r="U1115" i="4"/>
  <c r="T1115" i="4"/>
  <c r="AD1114" i="4"/>
  <c r="AE1114" i="4" s="1"/>
  <c r="AC1114" i="4"/>
  <c r="AB1114" i="4"/>
  <c r="AA1114" i="4"/>
  <c r="AF1114" i="4" s="1"/>
  <c r="Z1114" i="4"/>
  <c r="Y1114" i="4"/>
  <c r="X1114" i="4"/>
  <c r="W1114" i="4"/>
  <c r="V1114" i="4"/>
  <c r="U1114" i="4"/>
  <c r="T1114" i="4"/>
  <c r="AD1113" i="4"/>
  <c r="AE1113" i="4" s="1"/>
  <c r="AC1113" i="4"/>
  <c r="AB1113" i="4"/>
  <c r="AA1113" i="4"/>
  <c r="AF1113" i="4" s="1"/>
  <c r="Z1113" i="4"/>
  <c r="Y1113" i="4"/>
  <c r="X1113" i="4"/>
  <c r="W1113" i="4"/>
  <c r="V1113" i="4"/>
  <c r="U1113" i="4"/>
  <c r="T1113" i="4"/>
  <c r="AD1112" i="4"/>
  <c r="AE1112" i="4" s="1"/>
  <c r="AC1112" i="4"/>
  <c r="AB1112" i="4"/>
  <c r="AA1112" i="4"/>
  <c r="AF1112" i="4" s="1"/>
  <c r="Z1112" i="4"/>
  <c r="Y1112" i="4"/>
  <c r="X1112" i="4"/>
  <c r="W1112" i="4"/>
  <c r="V1112" i="4"/>
  <c r="U1112" i="4"/>
  <c r="T1112" i="4"/>
  <c r="AD1111" i="4"/>
  <c r="AE1111" i="4" s="1"/>
  <c r="AC1111" i="4"/>
  <c r="AB1111" i="4"/>
  <c r="AA1111" i="4"/>
  <c r="AF1111" i="4" s="1"/>
  <c r="Z1111" i="4"/>
  <c r="Y1111" i="4"/>
  <c r="X1111" i="4"/>
  <c r="W1111" i="4"/>
  <c r="V1111" i="4"/>
  <c r="U1111" i="4"/>
  <c r="T1111" i="4"/>
  <c r="AD1110" i="4"/>
  <c r="AE1110" i="4" s="1"/>
  <c r="AC1110" i="4"/>
  <c r="AB1110" i="4"/>
  <c r="AA1110" i="4"/>
  <c r="AF1110" i="4" s="1"/>
  <c r="Z1110" i="4"/>
  <c r="Y1110" i="4"/>
  <c r="X1110" i="4"/>
  <c r="W1110" i="4"/>
  <c r="V1110" i="4"/>
  <c r="U1110" i="4"/>
  <c r="T1110" i="4"/>
  <c r="AD1109" i="4"/>
  <c r="AE1109" i="4" s="1"/>
  <c r="AC1109" i="4"/>
  <c r="AB1109" i="4"/>
  <c r="AA1109" i="4"/>
  <c r="AF1109" i="4" s="1"/>
  <c r="Z1109" i="4"/>
  <c r="Y1109" i="4"/>
  <c r="X1109" i="4"/>
  <c r="W1109" i="4"/>
  <c r="V1109" i="4"/>
  <c r="U1109" i="4"/>
  <c r="T1109" i="4"/>
  <c r="AD1108" i="4"/>
  <c r="AE1108" i="4" s="1"/>
  <c r="AC1108" i="4"/>
  <c r="AB1108" i="4"/>
  <c r="AA1108" i="4"/>
  <c r="AF1108" i="4" s="1"/>
  <c r="Z1108" i="4"/>
  <c r="Y1108" i="4"/>
  <c r="X1108" i="4"/>
  <c r="W1108" i="4"/>
  <c r="V1108" i="4"/>
  <c r="U1108" i="4"/>
  <c r="T1108" i="4"/>
  <c r="AF1107" i="4"/>
  <c r="AD1107" i="4"/>
  <c r="AE1107" i="4" s="1"/>
  <c r="AC1107" i="4"/>
  <c r="AB1107" i="4"/>
  <c r="AA1107" i="4"/>
  <c r="Z1107" i="4"/>
  <c r="Y1107" i="4"/>
  <c r="X1107" i="4"/>
  <c r="W1107" i="4"/>
  <c r="V1107" i="4"/>
  <c r="U1107" i="4"/>
  <c r="T1107" i="4"/>
  <c r="AF1106" i="4"/>
  <c r="AD1106" i="4"/>
  <c r="AE1106" i="4" s="1"/>
  <c r="AC1106" i="4"/>
  <c r="AB1106" i="4"/>
  <c r="AA1106" i="4"/>
  <c r="Z1106" i="4"/>
  <c r="Y1106" i="4"/>
  <c r="X1106" i="4"/>
  <c r="W1106" i="4"/>
  <c r="V1106" i="4"/>
  <c r="U1106" i="4"/>
  <c r="T1106" i="4"/>
  <c r="AD1105" i="4"/>
  <c r="AE1105" i="4" s="1"/>
  <c r="AC1105" i="4"/>
  <c r="AB1105" i="4"/>
  <c r="AA1105" i="4"/>
  <c r="AF1105" i="4" s="1"/>
  <c r="Z1105" i="4"/>
  <c r="Y1105" i="4"/>
  <c r="X1105" i="4"/>
  <c r="W1105" i="4"/>
  <c r="V1105" i="4"/>
  <c r="U1105" i="4"/>
  <c r="T1105" i="4"/>
  <c r="AD1104" i="4"/>
  <c r="AE1104" i="4" s="1"/>
  <c r="AC1104" i="4"/>
  <c r="AB1104" i="4"/>
  <c r="AA1104" i="4"/>
  <c r="AF1104" i="4" s="1"/>
  <c r="Z1104" i="4"/>
  <c r="Y1104" i="4"/>
  <c r="X1104" i="4"/>
  <c r="W1104" i="4"/>
  <c r="V1104" i="4"/>
  <c r="U1104" i="4"/>
  <c r="T1104" i="4"/>
  <c r="AD1103" i="4"/>
  <c r="AE1103" i="4" s="1"/>
  <c r="AC1103" i="4"/>
  <c r="AB1103" i="4"/>
  <c r="AA1103" i="4"/>
  <c r="AF1103" i="4" s="1"/>
  <c r="Z1103" i="4"/>
  <c r="Y1103" i="4"/>
  <c r="X1103" i="4"/>
  <c r="W1103" i="4"/>
  <c r="V1103" i="4"/>
  <c r="U1103" i="4"/>
  <c r="T1103" i="4"/>
  <c r="AD1102" i="4"/>
  <c r="AE1102" i="4" s="1"/>
  <c r="AC1102" i="4"/>
  <c r="AB1102" i="4"/>
  <c r="AA1102" i="4"/>
  <c r="AF1102" i="4" s="1"/>
  <c r="Z1102" i="4"/>
  <c r="Y1102" i="4"/>
  <c r="X1102" i="4"/>
  <c r="W1102" i="4"/>
  <c r="V1102" i="4"/>
  <c r="U1102" i="4"/>
  <c r="T1102" i="4"/>
  <c r="AD1101" i="4"/>
  <c r="AE1101" i="4" s="1"/>
  <c r="AC1101" i="4"/>
  <c r="AB1101" i="4"/>
  <c r="AA1101" i="4"/>
  <c r="AF1101" i="4" s="1"/>
  <c r="Z1101" i="4"/>
  <c r="Y1101" i="4"/>
  <c r="X1101" i="4"/>
  <c r="W1101" i="4"/>
  <c r="V1101" i="4"/>
  <c r="U1101" i="4"/>
  <c r="T1101" i="4"/>
  <c r="AD1100" i="4"/>
  <c r="AE1100" i="4" s="1"/>
  <c r="AC1100" i="4"/>
  <c r="AB1100" i="4"/>
  <c r="AA1100" i="4"/>
  <c r="AF1100" i="4" s="1"/>
  <c r="Z1100" i="4"/>
  <c r="Y1100" i="4"/>
  <c r="X1100" i="4"/>
  <c r="W1100" i="4"/>
  <c r="V1100" i="4"/>
  <c r="U1100" i="4"/>
  <c r="T1100" i="4"/>
  <c r="AD1099" i="4"/>
  <c r="AE1099" i="4" s="1"/>
  <c r="AC1099" i="4"/>
  <c r="AB1099" i="4"/>
  <c r="AA1099" i="4"/>
  <c r="AF1099" i="4" s="1"/>
  <c r="Z1099" i="4"/>
  <c r="Y1099" i="4"/>
  <c r="X1099" i="4"/>
  <c r="W1099" i="4"/>
  <c r="V1099" i="4"/>
  <c r="U1099" i="4"/>
  <c r="T1099" i="4"/>
  <c r="AD1098" i="4"/>
  <c r="AE1098" i="4" s="1"/>
  <c r="AC1098" i="4"/>
  <c r="AB1098" i="4"/>
  <c r="AA1098" i="4"/>
  <c r="AF1098" i="4" s="1"/>
  <c r="Z1098" i="4"/>
  <c r="Y1098" i="4"/>
  <c r="X1098" i="4"/>
  <c r="W1098" i="4"/>
  <c r="V1098" i="4"/>
  <c r="U1098" i="4"/>
  <c r="T1098" i="4"/>
  <c r="AF1097" i="4"/>
  <c r="AD1097" i="4"/>
  <c r="AE1097" i="4" s="1"/>
  <c r="AC1097" i="4"/>
  <c r="AB1097" i="4"/>
  <c r="AA1097" i="4"/>
  <c r="Z1097" i="4"/>
  <c r="Y1097" i="4"/>
  <c r="X1097" i="4"/>
  <c r="W1097" i="4"/>
  <c r="V1097" i="4"/>
  <c r="U1097" i="4"/>
  <c r="T1097" i="4"/>
  <c r="AD1096" i="4"/>
  <c r="AE1096" i="4" s="1"/>
  <c r="AC1096" i="4"/>
  <c r="AB1096" i="4"/>
  <c r="AA1096" i="4"/>
  <c r="AF1096" i="4" s="1"/>
  <c r="Z1096" i="4"/>
  <c r="Y1096" i="4"/>
  <c r="X1096" i="4"/>
  <c r="W1096" i="4"/>
  <c r="V1096" i="4"/>
  <c r="U1096" i="4"/>
  <c r="T1096" i="4"/>
  <c r="AF1095" i="4"/>
  <c r="AD1095" i="4"/>
  <c r="AE1095" i="4" s="1"/>
  <c r="AC1095" i="4"/>
  <c r="AB1095" i="4"/>
  <c r="AA1095" i="4"/>
  <c r="Z1095" i="4"/>
  <c r="Y1095" i="4"/>
  <c r="X1095" i="4"/>
  <c r="W1095" i="4"/>
  <c r="V1095" i="4"/>
  <c r="U1095" i="4"/>
  <c r="T1095" i="4"/>
  <c r="AD1094" i="4"/>
  <c r="AE1094" i="4" s="1"/>
  <c r="AC1094" i="4"/>
  <c r="AB1094" i="4"/>
  <c r="AA1094" i="4"/>
  <c r="AF1094" i="4" s="1"/>
  <c r="Z1094" i="4"/>
  <c r="Y1094" i="4"/>
  <c r="X1094" i="4"/>
  <c r="W1094" i="4"/>
  <c r="V1094" i="4"/>
  <c r="U1094" i="4"/>
  <c r="T1094" i="4"/>
  <c r="AF1093" i="4"/>
  <c r="AD1093" i="4"/>
  <c r="AE1093" i="4" s="1"/>
  <c r="AC1093" i="4"/>
  <c r="AB1093" i="4"/>
  <c r="AA1093" i="4"/>
  <c r="Z1093" i="4"/>
  <c r="Y1093" i="4"/>
  <c r="X1093" i="4"/>
  <c r="W1093" i="4"/>
  <c r="V1093" i="4"/>
  <c r="U1093" i="4"/>
  <c r="T1093" i="4"/>
  <c r="AD1092" i="4"/>
  <c r="AE1092" i="4" s="1"/>
  <c r="AC1092" i="4"/>
  <c r="AB1092" i="4"/>
  <c r="AA1092" i="4"/>
  <c r="AF1092" i="4" s="1"/>
  <c r="Z1092" i="4"/>
  <c r="Y1092" i="4"/>
  <c r="X1092" i="4"/>
  <c r="W1092" i="4"/>
  <c r="V1092" i="4"/>
  <c r="U1092" i="4"/>
  <c r="T1092" i="4"/>
  <c r="AF1091" i="4"/>
  <c r="AD1091" i="4"/>
  <c r="AE1091" i="4" s="1"/>
  <c r="AC1091" i="4"/>
  <c r="AB1091" i="4"/>
  <c r="AA1091" i="4"/>
  <c r="Z1091" i="4"/>
  <c r="Y1091" i="4"/>
  <c r="X1091" i="4"/>
  <c r="W1091" i="4"/>
  <c r="V1091" i="4"/>
  <c r="U1091" i="4"/>
  <c r="T1091" i="4"/>
  <c r="AF1090" i="4"/>
  <c r="AD1090" i="4"/>
  <c r="AE1090" i="4" s="1"/>
  <c r="AC1090" i="4"/>
  <c r="AB1090" i="4"/>
  <c r="AA1090" i="4"/>
  <c r="Z1090" i="4"/>
  <c r="Y1090" i="4"/>
  <c r="X1090" i="4"/>
  <c r="W1090" i="4"/>
  <c r="V1090" i="4"/>
  <c r="U1090" i="4"/>
  <c r="T1090" i="4"/>
  <c r="AD1089" i="4"/>
  <c r="AE1089" i="4" s="1"/>
  <c r="AC1089" i="4"/>
  <c r="AB1089" i="4"/>
  <c r="AA1089" i="4"/>
  <c r="AF1089" i="4" s="1"/>
  <c r="Z1089" i="4"/>
  <c r="Y1089" i="4"/>
  <c r="X1089" i="4"/>
  <c r="W1089" i="4"/>
  <c r="V1089" i="4"/>
  <c r="U1089" i="4"/>
  <c r="T1089" i="4"/>
  <c r="AD1088" i="4"/>
  <c r="AE1088" i="4" s="1"/>
  <c r="AC1088" i="4"/>
  <c r="AB1088" i="4"/>
  <c r="AA1088" i="4"/>
  <c r="AF1088" i="4" s="1"/>
  <c r="Z1088" i="4"/>
  <c r="Y1088" i="4"/>
  <c r="X1088" i="4"/>
  <c r="W1088" i="4"/>
  <c r="V1088" i="4"/>
  <c r="U1088" i="4"/>
  <c r="T1088" i="4"/>
  <c r="AD1087" i="4"/>
  <c r="AE1087" i="4" s="1"/>
  <c r="AC1087" i="4"/>
  <c r="AB1087" i="4"/>
  <c r="AA1087" i="4"/>
  <c r="AF1087" i="4" s="1"/>
  <c r="Z1087" i="4"/>
  <c r="Y1087" i="4"/>
  <c r="X1087" i="4"/>
  <c r="W1087" i="4"/>
  <c r="V1087" i="4"/>
  <c r="U1087" i="4"/>
  <c r="T1087" i="4"/>
  <c r="AD1086" i="4"/>
  <c r="AE1086" i="4" s="1"/>
  <c r="AC1086" i="4"/>
  <c r="AB1086" i="4"/>
  <c r="AA1086" i="4"/>
  <c r="AF1086" i="4" s="1"/>
  <c r="Z1086" i="4"/>
  <c r="Y1086" i="4"/>
  <c r="X1086" i="4"/>
  <c r="W1086" i="4"/>
  <c r="V1086" i="4"/>
  <c r="U1086" i="4"/>
  <c r="T1086" i="4"/>
  <c r="AD1085" i="4"/>
  <c r="AE1085" i="4" s="1"/>
  <c r="AC1085" i="4"/>
  <c r="AB1085" i="4"/>
  <c r="AA1085" i="4"/>
  <c r="AF1085" i="4" s="1"/>
  <c r="Z1085" i="4"/>
  <c r="Y1085" i="4"/>
  <c r="X1085" i="4"/>
  <c r="W1085" i="4"/>
  <c r="V1085" i="4"/>
  <c r="U1085" i="4"/>
  <c r="T1085" i="4"/>
  <c r="AD1084" i="4"/>
  <c r="AE1084" i="4" s="1"/>
  <c r="AC1084" i="4"/>
  <c r="AB1084" i="4"/>
  <c r="AA1084" i="4"/>
  <c r="AF1084" i="4" s="1"/>
  <c r="Z1084" i="4"/>
  <c r="Y1084" i="4"/>
  <c r="X1084" i="4"/>
  <c r="W1084" i="4"/>
  <c r="V1084" i="4"/>
  <c r="U1084" i="4"/>
  <c r="T1084" i="4"/>
  <c r="AD1083" i="4"/>
  <c r="AE1083" i="4" s="1"/>
  <c r="AC1083" i="4"/>
  <c r="AB1083" i="4"/>
  <c r="AA1083" i="4"/>
  <c r="AF1083" i="4" s="1"/>
  <c r="Z1083" i="4"/>
  <c r="Y1083" i="4"/>
  <c r="X1083" i="4"/>
  <c r="W1083" i="4"/>
  <c r="V1083" i="4"/>
  <c r="U1083" i="4"/>
  <c r="T1083" i="4"/>
  <c r="AF1082" i="4"/>
  <c r="AD1082" i="4"/>
  <c r="AE1082" i="4" s="1"/>
  <c r="AC1082" i="4"/>
  <c r="AB1082" i="4"/>
  <c r="AA1082" i="4"/>
  <c r="Z1082" i="4"/>
  <c r="Y1082" i="4"/>
  <c r="X1082" i="4"/>
  <c r="W1082" i="4"/>
  <c r="V1082" i="4"/>
  <c r="U1082" i="4"/>
  <c r="T1082" i="4"/>
  <c r="AD1081" i="4"/>
  <c r="AE1081" i="4" s="1"/>
  <c r="AC1081" i="4"/>
  <c r="AB1081" i="4"/>
  <c r="AA1081" i="4"/>
  <c r="AF1081" i="4" s="1"/>
  <c r="Z1081" i="4"/>
  <c r="Y1081" i="4"/>
  <c r="X1081" i="4"/>
  <c r="W1081" i="4"/>
  <c r="V1081" i="4"/>
  <c r="U1081" i="4"/>
  <c r="T1081" i="4"/>
  <c r="AD1080" i="4"/>
  <c r="AE1080" i="4" s="1"/>
  <c r="AC1080" i="4"/>
  <c r="AB1080" i="4"/>
  <c r="AA1080" i="4"/>
  <c r="AF1080" i="4" s="1"/>
  <c r="Z1080" i="4"/>
  <c r="Y1080" i="4"/>
  <c r="X1080" i="4"/>
  <c r="W1080" i="4"/>
  <c r="V1080" i="4"/>
  <c r="U1080" i="4"/>
  <c r="T1080" i="4"/>
  <c r="AF1079" i="4"/>
  <c r="AD1079" i="4"/>
  <c r="AE1079" i="4" s="1"/>
  <c r="AC1079" i="4"/>
  <c r="AB1079" i="4"/>
  <c r="AA1079" i="4"/>
  <c r="Z1079" i="4"/>
  <c r="Y1079" i="4"/>
  <c r="X1079" i="4"/>
  <c r="W1079" i="4"/>
  <c r="V1079" i="4"/>
  <c r="U1079" i="4"/>
  <c r="T1079" i="4"/>
  <c r="AF1078" i="4"/>
  <c r="AD1078" i="4"/>
  <c r="AE1078" i="4" s="1"/>
  <c r="AC1078" i="4"/>
  <c r="AB1078" i="4"/>
  <c r="AA1078" i="4"/>
  <c r="Z1078" i="4"/>
  <c r="Y1078" i="4"/>
  <c r="X1078" i="4"/>
  <c r="W1078" i="4"/>
  <c r="V1078" i="4"/>
  <c r="U1078" i="4"/>
  <c r="T1078" i="4"/>
  <c r="AD1077" i="4"/>
  <c r="AE1077" i="4" s="1"/>
  <c r="AC1077" i="4"/>
  <c r="AB1077" i="4"/>
  <c r="AA1077" i="4"/>
  <c r="AF1077" i="4" s="1"/>
  <c r="Z1077" i="4"/>
  <c r="Y1077" i="4"/>
  <c r="X1077" i="4"/>
  <c r="W1077" i="4"/>
  <c r="V1077" i="4"/>
  <c r="U1077" i="4"/>
  <c r="T1077" i="4"/>
  <c r="AF1076" i="4"/>
  <c r="AD1076" i="4"/>
  <c r="AE1076" i="4" s="1"/>
  <c r="AC1076" i="4"/>
  <c r="AB1076" i="4"/>
  <c r="AA1076" i="4"/>
  <c r="Z1076" i="4"/>
  <c r="Y1076" i="4"/>
  <c r="X1076" i="4"/>
  <c r="W1076" i="4"/>
  <c r="V1076" i="4"/>
  <c r="U1076" i="4"/>
  <c r="T1076" i="4"/>
  <c r="AD1075" i="4"/>
  <c r="AE1075" i="4" s="1"/>
  <c r="AC1075" i="4"/>
  <c r="AB1075" i="4"/>
  <c r="AA1075" i="4"/>
  <c r="AF1075" i="4" s="1"/>
  <c r="Z1075" i="4"/>
  <c r="Y1075" i="4"/>
  <c r="X1075" i="4"/>
  <c r="W1075" i="4"/>
  <c r="V1075" i="4"/>
  <c r="U1075" i="4"/>
  <c r="T1075" i="4"/>
  <c r="AF1074" i="4"/>
  <c r="AD1074" i="4"/>
  <c r="AE1074" i="4" s="1"/>
  <c r="AC1074" i="4"/>
  <c r="AB1074" i="4"/>
  <c r="AA1074" i="4"/>
  <c r="Z1074" i="4"/>
  <c r="Y1074" i="4"/>
  <c r="X1074" i="4"/>
  <c r="W1074" i="4"/>
  <c r="V1074" i="4"/>
  <c r="U1074" i="4"/>
  <c r="T1074" i="4"/>
  <c r="AD1073" i="4"/>
  <c r="AE1073" i="4" s="1"/>
  <c r="AC1073" i="4"/>
  <c r="AB1073" i="4"/>
  <c r="AA1073" i="4"/>
  <c r="AF1073" i="4" s="1"/>
  <c r="Z1073" i="4"/>
  <c r="Y1073" i="4"/>
  <c r="X1073" i="4"/>
  <c r="W1073" i="4"/>
  <c r="V1073" i="4"/>
  <c r="U1073" i="4"/>
  <c r="T1073" i="4"/>
  <c r="AD1072" i="4"/>
  <c r="AE1072" i="4" s="1"/>
  <c r="AC1072" i="4"/>
  <c r="AB1072" i="4"/>
  <c r="AA1072" i="4"/>
  <c r="AF1072" i="4" s="1"/>
  <c r="Z1072" i="4"/>
  <c r="Y1072" i="4"/>
  <c r="X1072" i="4"/>
  <c r="W1072" i="4"/>
  <c r="V1072" i="4"/>
  <c r="U1072" i="4"/>
  <c r="T1072" i="4"/>
  <c r="AD1071" i="4"/>
  <c r="AE1071" i="4" s="1"/>
  <c r="AC1071" i="4"/>
  <c r="AB1071" i="4"/>
  <c r="AA1071" i="4"/>
  <c r="AF1071" i="4" s="1"/>
  <c r="Z1071" i="4"/>
  <c r="Y1071" i="4"/>
  <c r="X1071" i="4"/>
  <c r="W1071" i="4"/>
  <c r="V1071" i="4"/>
  <c r="U1071" i="4"/>
  <c r="T1071" i="4"/>
  <c r="AD1070" i="4"/>
  <c r="AE1070" i="4" s="1"/>
  <c r="AC1070" i="4"/>
  <c r="AB1070" i="4"/>
  <c r="AA1070" i="4"/>
  <c r="AF1070" i="4" s="1"/>
  <c r="Z1070" i="4"/>
  <c r="Y1070" i="4"/>
  <c r="X1070" i="4"/>
  <c r="W1070" i="4"/>
  <c r="V1070" i="4"/>
  <c r="U1070" i="4"/>
  <c r="T1070" i="4"/>
  <c r="AD1069" i="4"/>
  <c r="AE1069" i="4" s="1"/>
  <c r="AC1069" i="4"/>
  <c r="AB1069" i="4"/>
  <c r="AA1069" i="4"/>
  <c r="AF1069" i="4" s="1"/>
  <c r="Z1069" i="4"/>
  <c r="Y1069" i="4"/>
  <c r="X1069" i="4"/>
  <c r="W1069" i="4"/>
  <c r="V1069" i="4"/>
  <c r="U1069" i="4"/>
  <c r="T1069" i="4"/>
  <c r="AD1068" i="4"/>
  <c r="AE1068" i="4" s="1"/>
  <c r="AC1068" i="4"/>
  <c r="AB1068" i="4"/>
  <c r="AA1068" i="4"/>
  <c r="AF1068" i="4" s="1"/>
  <c r="Z1068" i="4"/>
  <c r="Y1068" i="4"/>
  <c r="X1068" i="4"/>
  <c r="W1068" i="4"/>
  <c r="V1068" i="4"/>
  <c r="U1068" i="4"/>
  <c r="T1068" i="4"/>
  <c r="AD1067" i="4"/>
  <c r="AE1067" i="4" s="1"/>
  <c r="AC1067" i="4"/>
  <c r="AB1067" i="4"/>
  <c r="AA1067" i="4"/>
  <c r="AF1067" i="4" s="1"/>
  <c r="Z1067" i="4"/>
  <c r="Y1067" i="4"/>
  <c r="X1067" i="4"/>
  <c r="W1067" i="4"/>
  <c r="V1067" i="4"/>
  <c r="U1067" i="4"/>
  <c r="T1067" i="4"/>
  <c r="AD1066" i="4"/>
  <c r="AE1066" i="4" s="1"/>
  <c r="AC1066" i="4"/>
  <c r="AB1066" i="4"/>
  <c r="AA1066" i="4"/>
  <c r="AF1066" i="4" s="1"/>
  <c r="Z1066" i="4"/>
  <c r="Y1066" i="4"/>
  <c r="X1066" i="4"/>
  <c r="W1066" i="4"/>
  <c r="V1066" i="4"/>
  <c r="U1066" i="4"/>
  <c r="T1066" i="4"/>
  <c r="AF1065" i="4"/>
  <c r="AD1065" i="4"/>
  <c r="AE1065" i="4" s="1"/>
  <c r="AC1065" i="4"/>
  <c r="AB1065" i="4"/>
  <c r="AA1065" i="4"/>
  <c r="Z1065" i="4"/>
  <c r="Y1065" i="4"/>
  <c r="X1065" i="4"/>
  <c r="W1065" i="4"/>
  <c r="V1065" i="4"/>
  <c r="U1065" i="4"/>
  <c r="T1065" i="4"/>
  <c r="AD1064" i="4"/>
  <c r="AE1064" i="4" s="1"/>
  <c r="AC1064" i="4"/>
  <c r="AB1064" i="4"/>
  <c r="AA1064" i="4"/>
  <c r="AF1064" i="4" s="1"/>
  <c r="Z1064" i="4"/>
  <c r="Y1064" i="4"/>
  <c r="X1064" i="4"/>
  <c r="W1064" i="4"/>
  <c r="V1064" i="4"/>
  <c r="U1064" i="4"/>
  <c r="T1064" i="4"/>
  <c r="AD1063" i="4"/>
  <c r="AE1063" i="4" s="1"/>
  <c r="AC1063" i="4"/>
  <c r="AB1063" i="4"/>
  <c r="AA1063" i="4"/>
  <c r="AF1063" i="4" s="1"/>
  <c r="Z1063" i="4"/>
  <c r="Y1063" i="4"/>
  <c r="X1063" i="4"/>
  <c r="W1063" i="4"/>
  <c r="V1063" i="4"/>
  <c r="U1063" i="4"/>
  <c r="T1063" i="4"/>
  <c r="AD1062" i="4"/>
  <c r="AE1062" i="4" s="1"/>
  <c r="AC1062" i="4"/>
  <c r="AB1062" i="4"/>
  <c r="AA1062" i="4"/>
  <c r="AF1062" i="4" s="1"/>
  <c r="Z1062" i="4"/>
  <c r="Y1062" i="4"/>
  <c r="X1062" i="4"/>
  <c r="W1062" i="4"/>
  <c r="V1062" i="4"/>
  <c r="U1062" i="4"/>
  <c r="T1062" i="4"/>
  <c r="AD1061" i="4"/>
  <c r="AE1061" i="4" s="1"/>
  <c r="AC1061" i="4"/>
  <c r="AB1061" i="4"/>
  <c r="AA1061" i="4"/>
  <c r="AF1061" i="4" s="1"/>
  <c r="Z1061" i="4"/>
  <c r="Y1061" i="4"/>
  <c r="X1061" i="4"/>
  <c r="W1061" i="4"/>
  <c r="V1061" i="4"/>
  <c r="U1061" i="4"/>
  <c r="T1061" i="4"/>
  <c r="AD1060" i="4"/>
  <c r="AE1060" i="4" s="1"/>
  <c r="AC1060" i="4"/>
  <c r="AB1060" i="4"/>
  <c r="AA1060" i="4"/>
  <c r="AF1060" i="4" s="1"/>
  <c r="Z1060" i="4"/>
  <c r="Y1060" i="4"/>
  <c r="X1060" i="4"/>
  <c r="W1060" i="4"/>
  <c r="V1060" i="4"/>
  <c r="U1060" i="4"/>
  <c r="T1060" i="4"/>
  <c r="AD1059" i="4"/>
  <c r="AE1059" i="4" s="1"/>
  <c r="AC1059" i="4"/>
  <c r="AB1059" i="4"/>
  <c r="AA1059" i="4"/>
  <c r="AF1059" i="4" s="1"/>
  <c r="Z1059" i="4"/>
  <c r="Y1059" i="4"/>
  <c r="X1059" i="4"/>
  <c r="W1059" i="4"/>
  <c r="V1059" i="4"/>
  <c r="U1059" i="4"/>
  <c r="T1059" i="4"/>
  <c r="AD1058" i="4"/>
  <c r="AE1058" i="4" s="1"/>
  <c r="AC1058" i="4"/>
  <c r="AB1058" i="4"/>
  <c r="AA1058" i="4"/>
  <c r="AF1058" i="4" s="1"/>
  <c r="Z1058" i="4"/>
  <c r="Y1058" i="4"/>
  <c r="X1058" i="4"/>
  <c r="W1058" i="4"/>
  <c r="V1058" i="4"/>
  <c r="U1058" i="4"/>
  <c r="T1058" i="4"/>
  <c r="AF1057" i="4"/>
  <c r="AD1057" i="4"/>
  <c r="AE1057" i="4" s="1"/>
  <c r="AC1057" i="4"/>
  <c r="AB1057" i="4"/>
  <c r="AA1057" i="4"/>
  <c r="Z1057" i="4"/>
  <c r="Y1057" i="4"/>
  <c r="X1057" i="4"/>
  <c r="W1057" i="4"/>
  <c r="V1057" i="4"/>
  <c r="U1057" i="4"/>
  <c r="T1057" i="4"/>
  <c r="AD1056" i="4"/>
  <c r="AE1056" i="4" s="1"/>
  <c r="AC1056" i="4"/>
  <c r="AB1056" i="4"/>
  <c r="AA1056" i="4"/>
  <c r="AF1056" i="4" s="1"/>
  <c r="Z1056" i="4"/>
  <c r="Y1056" i="4"/>
  <c r="X1056" i="4"/>
  <c r="W1056" i="4"/>
  <c r="V1056" i="4"/>
  <c r="U1056" i="4"/>
  <c r="T1056" i="4"/>
  <c r="AD1055" i="4"/>
  <c r="AE1055" i="4" s="1"/>
  <c r="AC1055" i="4"/>
  <c r="AB1055" i="4"/>
  <c r="AA1055" i="4"/>
  <c r="AF1055" i="4" s="1"/>
  <c r="Z1055" i="4"/>
  <c r="Y1055" i="4"/>
  <c r="X1055" i="4"/>
  <c r="W1055" i="4"/>
  <c r="V1055" i="4"/>
  <c r="U1055" i="4"/>
  <c r="T1055" i="4"/>
  <c r="AD1054" i="4"/>
  <c r="AE1054" i="4" s="1"/>
  <c r="AC1054" i="4"/>
  <c r="AB1054" i="4"/>
  <c r="AA1054" i="4"/>
  <c r="AF1054" i="4" s="1"/>
  <c r="Z1054" i="4"/>
  <c r="Y1054" i="4"/>
  <c r="X1054" i="4"/>
  <c r="W1054" i="4"/>
  <c r="V1054" i="4"/>
  <c r="U1054" i="4"/>
  <c r="T1054" i="4"/>
  <c r="AD1053" i="4"/>
  <c r="AE1053" i="4" s="1"/>
  <c r="AC1053" i="4"/>
  <c r="AB1053" i="4"/>
  <c r="AA1053" i="4"/>
  <c r="AF1053" i="4" s="1"/>
  <c r="Z1053" i="4"/>
  <c r="Y1053" i="4"/>
  <c r="X1053" i="4"/>
  <c r="W1053" i="4"/>
  <c r="V1053" i="4"/>
  <c r="U1053" i="4"/>
  <c r="T1053" i="4"/>
  <c r="AD1052" i="4"/>
  <c r="AE1052" i="4" s="1"/>
  <c r="AC1052" i="4"/>
  <c r="AB1052" i="4"/>
  <c r="AA1052" i="4"/>
  <c r="AF1052" i="4" s="1"/>
  <c r="Z1052" i="4"/>
  <c r="Y1052" i="4"/>
  <c r="X1052" i="4"/>
  <c r="W1052" i="4"/>
  <c r="V1052" i="4"/>
  <c r="U1052" i="4"/>
  <c r="T1052" i="4"/>
  <c r="AD1051" i="4"/>
  <c r="AE1051" i="4" s="1"/>
  <c r="AC1051" i="4"/>
  <c r="AB1051" i="4"/>
  <c r="AA1051" i="4"/>
  <c r="AF1051" i="4" s="1"/>
  <c r="Z1051" i="4"/>
  <c r="Y1051" i="4"/>
  <c r="X1051" i="4"/>
  <c r="W1051" i="4"/>
  <c r="V1051" i="4"/>
  <c r="U1051" i="4"/>
  <c r="T1051" i="4"/>
  <c r="AF1050" i="4"/>
  <c r="AD1050" i="4"/>
  <c r="AE1050" i="4" s="1"/>
  <c r="AC1050" i="4"/>
  <c r="AB1050" i="4"/>
  <c r="AA1050" i="4"/>
  <c r="Z1050" i="4"/>
  <c r="Y1050" i="4"/>
  <c r="X1050" i="4"/>
  <c r="W1050" i="4"/>
  <c r="V1050" i="4"/>
  <c r="U1050" i="4"/>
  <c r="T1050" i="4"/>
  <c r="AD1049" i="4"/>
  <c r="AE1049" i="4" s="1"/>
  <c r="AC1049" i="4"/>
  <c r="AB1049" i="4"/>
  <c r="AA1049" i="4"/>
  <c r="AF1049" i="4" s="1"/>
  <c r="Z1049" i="4"/>
  <c r="Y1049" i="4"/>
  <c r="X1049" i="4"/>
  <c r="W1049" i="4"/>
  <c r="V1049" i="4"/>
  <c r="U1049" i="4"/>
  <c r="T1049" i="4"/>
  <c r="AD1048" i="4"/>
  <c r="AE1048" i="4" s="1"/>
  <c r="AC1048" i="4"/>
  <c r="AB1048" i="4"/>
  <c r="AA1048" i="4"/>
  <c r="AF1048" i="4" s="1"/>
  <c r="Z1048" i="4"/>
  <c r="Y1048" i="4"/>
  <c r="X1048" i="4"/>
  <c r="W1048" i="4"/>
  <c r="V1048" i="4"/>
  <c r="U1048" i="4"/>
  <c r="T1048" i="4"/>
  <c r="AD1047" i="4"/>
  <c r="AE1047" i="4" s="1"/>
  <c r="AC1047" i="4"/>
  <c r="AB1047" i="4"/>
  <c r="AA1047" i="4"/>
  <c r="AF1047" i="4" s="1"/>
  <c r="Z1047" i="4"/>
  <c r="Y1047" i="4"/>
  <c r="X1047" i="4"/>
  <c r="W1047" i="4"/>
  <c r="V1047" i="4"/>
  <c r="U1047" i="4"/>
  <c r="T1047" i="4"/>
  <c r="AD1046" i="4"/>
  <c r="AE1046" i="4" s="1"/>
  <c r="AC1046" i="4"/>
  <c r="AB1046" i="4"/>
  <c r="AA1046" i="4"/>
  <c r="AF1046" i="4" s="1"/>
  <c r="Z1046" i="4"/>
  <c r="Y1046" i="4"/>
  <c r="X1046" i="4"/>
  <c r="W1046" i="4"/>
  <c r="V1046" i="4"/>
  <c r="U1046" i="4"/>
  <c r="T1046" i="4"/>
  <c r="AD1045" i="4"/>
  <c r="AE1045" i="4" s="1"/>
  <c r="AC1045" i="4"/>
  <c r="AB1045" i="4"/>
  <c r="AA1045" i="4"/>
  <c r="AF1045" i="4" s="1"/>
  <c r="Z1045" i="4"/>
  <c r="Y1045" i="4"/>
  <c r="X1045" i="4"/>
  <c r="W1045" i="4"/>
  <c r="V1045" i="4"/>
  <c r="U1045" i="4"/>
  <c r="T1045" i="4"/>
  <c r="AD1044" i="4"/>
  <c r="AE1044" i="4" s="1"/>
  <c r="AC1044" i="4"/>
  <c r="AB1044" i="4"/>
  <c r="AA1044" i="4"/>
  <c r="AF1044" i="4" s="1"/>
  <c r="Z1044" i="4"/>
  <c r="Y1044" i="4"/>
  <c r="X1044" i="4"/>
  <c r="W1044" i="4"/>
  <c r="V1044" i="4"/>
  <c r="U1044" i="4"/>
  <c r="T1044" i="4"/>
  <c r="AD1043" i="4"/>
  <c r="AE1043" i="4" s="1"/>
  <c r="AC1043" i="4"/>
  <c r="AB1043" i="4"/>
  <c r="AA1043" i="4"/>
  <c r="AF1043" i="4" s="1"/>
  <c r="Z1043" i="4"/>
  <c r="Y1043" i="4"/>
  <c r="X1043" i="4"/>
  <c r="W1043" i="4"/>
  <c r="V1043" i="4"/>
  <c r="U1043" i="4"/>
  <c r="T1043" i="4"/>
  <c r="AF1042" i="4"/>
  <c r="AD1042" i="4"/>
  <c r="AE1042" i="4" s="1"/>
  <c r="AC1042" i="4"/>
  <c r="AB1042" i="4"/>
  <c r="AA1042" i="4"/>
  <c r="Z1042" i="4"/>
  <c r="Y1042" i="4"/>
  <c r="X1042" i="4"/>
  <c r="W1042" i="4"/>
  <c r="V1042" i="4"/>
  <c r="U1042" i="4"/>
  <c r="T1042" i="4"/>
  <c r="AD1041" i="4"/>
  <c r="AE1041" i="4" s="1"/>
  <c r="AC1041" i="4"/>
  <c r="AB1041" i="4"/>
  <c r="AA1041" i="4"/>
  <c r="AF1041" i="4" s="1"/>
  <c r="Z1041" i="4"/>
  <c r="Y1041" i="4"/>
  <c r="X1041" i="4"/>
  <c r="W1041" i="4"/>
  <c r="V1041" i="4"/>
  <c r="U1041" i="4"/>
  <c r="T1041" i="4"/>
  <c r="AD1040" i="4"/>
  <c r="AE1040" i="4" s="1"/>
  <c r="AC1040" i="4"/>
  <c r="AB1040" i="4"/>
  <c r="AA1040" i="4"/>
  <c r="AF1040" i="4" s="1"/>
  <c r="Z1040" i="4"/>
  <c r="Y1040" i="4"/>
  <c r="X1040" i="4"/>
  <c r="W1040" i="4"/>
  <c r="V1040" i="4"/>
  <c r="U1040" i="4"/>
  <c r="T1040" i="4"/>
  <c r="AD1039" i="4"/>
  <c r="AE1039" i="4" s="1"/>
  <c r="AC1039" i="4"/>
  <c r="AB1039" i="4"/>
  <c r="AA1039" i="4"/>
  <c r="AF1039" i="4" s="1"/>
  <c r="Z1039" i="4"/>
  <c r="Y1039" i="4"/>
  <c r="X1039" i="4"/>
  <c r="W1039" i="4"/>
  <c r="V1039" i="4"/>
  <c r="U1039" i="4"/>
  <c r="T1039" i="4"/>
  <c r="AD1038" i="4"/>
  <c r="AE1038" i="4" s="1"/>
  <c r="AC1038" i="4"/>
  <c r="AB1038" i="4"/>
  <c r="AA1038" i="4"/>
  <c r="AF1038" i="4" s="1"/>
  <c r="Z1038" i="4"/>
  <c r="Y1038" i="4"/>
  <c r="X1038" i="4"/>
  <c r="W1038" i="4"/>
  <c r="V1038" i="4"/>
  <c r="U1038" i="4"/>
  <c r="T1038" i="4"/>
  <c r="AF1037" i="4"/>
  <c r="AD1037" i="4"/>
  <c r="AE1037" i="4" s="1"/>
  <c r="AC1037" i="4"/>
  <c r="AB1037" i="4"/>
  <c r="AA1037" i="4"/>
  <c r="Z1037" i="4"/>
  <c r="Y1037" i="4"/>
  <c r="X1037" i="4"/>
  <c r="W1037" i="4"/>
  <c r="V1037" i="4"/>
  <c r="U1037" i="4"/>
  <c r="T1037" i="4"/>
  <c r="AF1036" i="4"/>
  <c r="AD1036" i="4"/>
  <c r="AE1036" i="4" s="1"/>
  <c r="AC1036" i="4"/>
  <c r="AB1036" i="4"/>
  <c r="AA1036" i="4"/>
  <c r="Z1036" i="4"/>
  <c r="Y1036" i="4"/>
  <c r="X1036" i="4"/>
  <c r="W1036" i="4"/>
  <c r="V1036" i="4"/>
  <c r="U1036" i="4"/>
  <c r="T1036" i="4"/>
  <c r="AD1035" i="4"/>
  <c r="AE1035" i="4" s="1"/>
  <c r="AC1035" i="4"/>
  <c r="AB1035" i="4"/>
  <c r="AA1035" i="4"/>
  <c r="AF1035" i="4" s="1"/>
  <c r="Z1035" i="4"/>
  <c r="Y1035" i="4"/>
  <c r="X1035" i="4"/>
  <c r="W1035" i="4"/>
  <c r="V1035" i="4"/>
  <c r="U1035" i="4"/>
  <c r="T1035" i="4"/>
  <c r="AD1034" i="4"/>
  <c r="AE1034" i="4" s="1"/>
  <c r="AC1034" i="4"/>
  <c r="AB1034" i="4"/>
  <c r="AA1034" i="4"/>
  <c r="AF1034" i="4" s="1"/>
  <c r="Z1034" i="4"/>
  <c r="Y1034" i="4"/>
  <c r="X1034" i="4"/>
  <c r="W1034" i="4"/>
  <c r="V1034" i="4"/>
  <c r="U1034" i="4"/>
  <c r="T1034" i="4"/>
  <c r="AD1033" i="4"/>
  <c r="AE1033" i="4" s="1"/>
  <c r="AC1033" i="4"/>
  <c r="AB1033" i="4"/>
  <c r="AA1033" i="4"/>
  <c r="AF1033" i="4" s="1"/>
  <c r="Z1033" i="4"/>
  <c r="Y1033" i="4"/>
  <c r="X1033" i="4"/>
  <c r="W1033" i="4"/>
  <c r="V1033" i="4"/>
  <c r="U1033" i="4"/>
  <c r="T1033" i="4"/>
  <c r="AD1032" i="4"/>
  <c r="AE1032" i="4" s="1"/>
  <c r="AC1032" i="4"/>
  <c r="AB1032" i="4"/>
  <c r="AA1032" i="4"/>
  <c r="AF1032" i="4" s="1"/>
  <c r="Z1032" i="4"/>
  <c r="Y1032" i="4"/>
  <c r="X1032" i="4"/>
  <c r="W1032" i="4"/>
  <c r="V1032" i="4"/>
  <c r="U1032" i="4"/>
  <c r="T1032" i="4"/>
  <c r="AF1031" i="4"/>
  <c r="AD1031" i="4"/>
  <c r="AE1031" i="4" s="1"/>
  <c r="AC1031" i="4"/>
  <c r="AB1031" i="4"/>
  <c r="AA1031" i="4"/>
  <c r="Z1031" i="4"/>
  <c r="Y1031" i="4"/>
  <c r="X1031" i="4"/>
  <c r="W1031" i="4"/>
  <c r="V1031" i="4"/>
  <c r="U1031" i="4"/>
  <c r="T1031" i="4"/>
  <c r="AD1030" i="4"/>
  <c r="AE1030" i="4" s="1"/>
  <c r="AC1030" i="4"/>
  <c r="AB1030" i="4"/>
  <c r="AA1030" i="4"/>
  <c r="AF1030" i="4" s="1"/>
  <c r="Z1030" i="4"/>
  <c r="Y1030" i="4"/>
  <c r="X1030" i="4"/>
  <c r="W1030" i="4"/>
  <c r="V1030" i="4"/>
  <c r="U1030" i="4"/>
  <c r="T1030" i="4"/>
  <c r="AD1029" i="4"/>
  <c r="AE1029" i="4" s="1"/>
  <c r="AC1029" i="4"/>
  <c r="AB1029" i="4"/>
  <c r="AA1029" i="4"/>
  <c r="AF1029" i="4" s="1"/>
  <c r="Z1029" i="4"/>
  <c r="Y1029" i="4"/>
  <c r="X1029" i="4"/>
  <c r="W1029" i="4"/>
  <c r="V1029" i="4"/>
  <c r="U1029" i="4"/>
  <c r="T1029" i="4"/>
  <c r="AD1028" i="4"/>
  <c r="AE1028" i="4" s="1"/>
  <c r="AC1028" i="4"/>
  <c r="AB1028" i="4"/>
  <c r="AA1028" i="4"/>
  <c r="AF1028" i="4" s="1"/>
  <c r="Z1028" i="4"/>
  <c r="Y1028" i="4"/>
  <c r="X1028" i="4"/>
  <c r="W1028" i="4"/>
  <c r="V1028" i="4"/>
  <c r="U1028" i="4"/>
  <c r="T1028" i="4"/>
  <c r="AD1027" i="4"/>
  <c r="AE1027" i="4" s="1"/>
  <c r="AC1027" i="4"/>
  <c r="AB1027" i="4"/>
  <c r="AA1027" i="4"/>
  <c r="AF1027" i="4" s="1"/>
  <c r="Z1027" i="4"/>
  <c r="Y1027" i="4"/>
  <c r="X1027" i="4"/>
  <c r="W1027" i="4"/>
  <c r="V1027" i="4"/>
  <c r="U1027" i="4"/>
  <c r="T1027" i="4"/>
  <c r="AD1026" i="4"/>
  <c r="AE1026" i="4" s="1"/>
  <c r="AC1026" i="4"/>
  <c r="AB1026" i="4"/>
  <c r="AA1026" i="4"/>
  <c r="AF1026" i="4" s="1"/>
  <c r="Z1026" i="4"/>
  <c r="Y1026" i="4"/>
  <c r="X1026" i="4"/>
  <c r="W1026" i="4"/>
  <c r="V1026" i="4"/>
  <c r="U1026" i="4"/>
  <c r="T1026" i="4"/>
  <c r="AD1025" i="4"/>
  <c r="AE1025" i="4" s="1"/>
  <c r="AC1025" i="4"/>
  <c r="AB1025" i="4"/>
  <c r="AA1025" i="4"/>
  <c r="AF1025" i="4" s="1"/>
  <c r="Z1025" i="4"/>
  <c r="Y1025" i="4"/>
  <c r="X1025" i="4"/>
  <c r="W1025" i="4"/>
  <c r="V1025" i="4"/>
  <c r="U1025" i="4"/>
  <c r="T1025" i="4"/>
  <c r="AF1024" i="4"/>
  <c r="AD1024" i="4"/>
  <c r="AE1024" i="4" s="1"/>
  <c r="AC1024" i="4"/>
  <c r="AB1024" i="4"/>
  <c r="AA1024" i="4"/>
  <c r="Z1024" i="4"/>
  <c r="Y1024" i="4"/>
  <c r="X1024" i="4"/>
  <c r="W1024" i="4"/>
  <c r="V1024" i="4"/>
  <c r="U1024" i="4"/>
  <c r="T1024" i="4"/>
  <c r="AF1023" i="4"/>
  <c r="AD1023" i="4"/>
  <c r="AE1023" i="4" s="1"/>
  <c r="AC1023" i="4"/>
  <c r="AB1023" i="4"/>
  <c r="AA1023" i="4"/>
  <c r="Z1023" i="4"/>
  <c r="Y1023" i="4"/>
  <c r="X1023" i="4"/>
  <c r="W1023" i="4"/>
  <c r="V1023" i="4"/>
  <c r="U1023" i="4"/>
  <c r="T1023" i="4"/>
  <c r="AD1022" i="4"/>
  <c r="AE1022" i="4" s="1"/>
  <c r="AC1022" i="4"/>
  <c r="AB1022" i="4"/>
  <c r="AA1022" i="4"/>
  <c r="AF1022" i="4" s="1"/>
  <c r="Z1022" i="4"/>
  <c r="Y1022" i="4"/>
  <c r="X1022" i="4"/>
  <c r="W1022" i="4"/>
  <c r="V1022" i="4"/>
  <c r="U1022" i="4"/>
  <c r="T1022" i="4"/>
  <c r="AD1021" i="4"/>
  <c r="AE1021" i="4" s="1"/>
  <c r="AC1021" i="4"/>
  <c r="AB1021" i="4"/>
  <c r="AA1021" i="4"/>
  <c r="AF1021" i="4" s="1"/>
  <c r="Z1021" i="4"/>
  <c r="Y1021" i="4"/>
  <c r="X1021" i="4"/>
  <c r="W1021" i="4"/>
  <c r="V1021" i="4"/>
  <c r="U1021" i="4"/>
  <c r="T1021" i="4"/>
  <c r="AD1020" i="4"/>
  <c r="AE1020" i="4" s="1"/>
  <c r="AC1020" i="4"/>
  <c r="AB1020" i="4"/>
  <c r="AA1020" i="4"/>
  <c r="AF1020" i="4" s="1"/>
  <c r="Z1020" i="4"/>
  <c r="Y1020" i="4"/>
  <c r="X1020" i="4"/>
  <c r="W1020" i="4"/>
  <c r="V1020" i="4"/>
  <c r="U1020" i="4"/>
  <c r="T1020" i="4"/>
  <c r="AF1019" i="4"/>
  <c r="AD1019" i="4"/>
  <c r="AE1019" i="4" s="1"/>
  <c r="AC1019" i="4"/>
  <c r="AB1019" i="4"/>
  <c r="AA1019" i="4"/>
  <c r="Z1019" i="4"/>
  <c r="Y1019" i="4"/>
  <c r="X1019" i="4"/>
  <c r="W1019" i="4"/>
  <c r="V1019" i="4"/>
  <c r="U1019" i="4"/>
  <c r="T1019" i="4"/>
  <c r="AD1018" i="4"/>
  <c r="AE1018" i="4" s="1"/>
  <c r="AC1018" i="4"/>
  <c r="AB1018" i="4"/>
  <c r="AA1018" i="4"/>
  <c r="AF1018" i="4" s="1"/>
  <c r="Z1018" i="4"/>
  <c r="Y1018" i="4"/>
  <c r="X1018" i="4"/>
  <c r="W1018" i="4"/>
  <c r="V1018" i="4"/>
  <c r="U1018" i="4"/>
  <c r="T1018" i="4"/>
  <c r="AD1017" i="4"/>
  <c r="AE1017" i="4" s="1"/>
  <c r="AC1017" i="4"/>
  <c r="AB1017" i="4"/>
  <c r="AA1017" i="4"/>
  <c r="AF1017" i="4" s="1"/>
  <c r="Z1017" i="4"/>
  <c r="Y1017" i="4"/>
  <c r="X1017" i="4"/>
  <c r="W1017" i="4"/>
  <c r="V1017" i="4"/>
  <c r="U1017" i="4"/>
  <c r="T1017" i="4"/>
  <c r="AD1016" i="4"/>
  <c r="AE1016" i="4" s="1"/>
  <c r="AC1016" i="4"/>
  <c r="AB1016" i="4"/>
  <c r="AA1016" i="4"/>
  <c r="AF1016" i="4" s="1"/>
  <c r="Z1016" i="4"/>
  <c r="Y1016" i="4"/>
  <c r="X1016" i="4"/>
  <c r="W1016" i="4"/>
  <c r="V1016" i="4"/>
  <c r="U1016" i="4"/>
  <c r="T1016" i="4"/>
  <c r="AD1015" i="4"/>
  <c r="AE1015" i="4" s="1"/>
  <c r="AC1015" i="4"/>
  <c r="AB1015" i="4"/>
  <c r="AA1015" i="4"/>
  <c r="AF1015" i="4" s="1"/>
  <c r="Z1015" i="4"/>
  <c r="Y1015" i="4"/>
  <c r="X1015" i="4"/>
  <c r="W1015" i="4"/>
  <c r="V1015" i="4"/>
  <c r="U1015" i="4"/>
  <c r="T1015" i="4"/>
  <c r="AD1014" i="4"/>
  <c r="AE1014" i="4" s="1"/>
  <c r="AC1014" i="4"/>
  <c r="AB1014" i="4"/>
  <c r="AA1014" i="4"/>
  <c r="AF1014" i="4" s="1"/>
  <c r="Z1014" i="4"/>
  <c r="Y1014" i="4"/>
  <c r="X1014" i="4"/>
  <c r="W1014" i="4"/>
  <c r="V1014" i="4"/>
  <c r="U1014" i="4"/>
  <c r="T1014" i="4"/>
  <c r="AD1013" i="4"/>
  <c r="AE1013" i="4" s="1"/>
  <c r="AC1013" i="4"/>
  <c r="AB1013" i="4"/>
  <c r="AA1013" i="4"/>
  <c r="AF1013" i="4" s="1"/>
  <c r="Z1013" i="4"/>
  <c r="Y1013" i="4"/>
  <c r="X1013" i="4"/>
  <c r="W1013" i="4"/>
  <c r="V1013" i="4"/>
  <c r="U1013" i="4"/>
  <c r="T1013" i="4"/>
  <c r="AD1012" i="4"/>
  <c r="AE1012" i="4" s="1"/>
  <c r="AC1012" i="4"/>
  <c r="AB1012" i="4"/>
  <c r="AA1012" i="4"/>
  <c r="AF1012" i="4" s="1"/>
  <c r="Z1012" i="4"/>
  <c r="Y1012" i="4"/>
  <c r="X1012" i="4"/>
  <c r="W1012" i="4"/>
  <c r="V1012" i="4"/>
  <c r="U1012" i="4"/>
  <c r="T1012" i="4"/>
  <c r="AD1011" i="4"/>
  <c r="AE1011" i="4" s="1"/>
  <c r="AC1011" i="4"/>
  <c r="AB1011" i="4"/>
  <c r="AA1011" i="4"/>
  <c r="AF1011" i="4" s="1"/>
  <c r="Z1011" i="4"/>
  <c r="Y1011" i="4"/>
  <c r="X1011" i="4"/>
  <c r="W1011" i="4"/>
  <c r="V1011" i="4"/>
  <c r="U1011" i="4"/>
  <c r="T1011" i="4"/>
  <c r="AD1010" i="4"/>
  <c r="AE1010" i="4" s="1"/>
  <c r="AC1010" i="4"/>
  <c r="AB1010" i="4"/>
  <c r="AA1010" i="4"/>
  <c r="AF1010" i="4" s="1"/>
  <c r="Z1010" i="4"/>
  <c r="Y1010" i="4"/>
  <c r="X1010" i="4"/>
  <c r="W1010" i="4"/>
  <c r="V1010" i="4"/>
  <c r="U1010" i="4"/>
  <c r="T1010" i="4"/>
  <c r="AD1009" i="4"/>
  <c r="AE1009" i="4" s="1"/>
  <c r="AC1009" i="4"/>
  <c r="AB1009" i="4"/>
  <c r="AA1009" i="4"/>
  <c r="AF1009" i="4" s="1"/>
  <c r="Z1009" i="4"/>
  <c r="Y1009" i="4"/>
  <c r="X1009" i="4"/>
  <c r="W1009" i="4"/>
  <c r="V1009" i="4"/>
  <c r="U1009" i="4"/>
  <c r="T1009" i="4"/>
  <c r="AD1008" i="4"/>
  <c r="AE1008" i="4" s="1"/>
  <c r="AC1008" i="4"/>
  <c r="AB1008" i="4"/>
  <c r="AA1008" i="4"/>
  <c r="AF1008" i="4" s="1"/>
  <c r="Z1008" i="4"/>
  <c r="Y1008" i="4"/>
  <c r="X1008" i="4"/>
  <c r="W1008" i="4"/>
  <c r="V1008" i="4"/>
  <c r="U1008" i="4"/>
  <c r="T1008" i="4"/>
  <c r="AD1007" i="4"/>
  <c r="AE1007" i="4" s="1"/>
  <c r="AC1007" i="4"/>
  <c r="AB1007" i="4"/>
  <c r="AA1007" i="4"/>
  <c r="AF1007" i="4" s="1"/>
  <c r="Z1007" i="4"/>
  <c r="Y1007" i="4"/>
  <c r="X1007" i="4"/>
  <c r="W1007" i="4"/>
  <c r="V1007" i="4"/>
  <c r="U1007" i="4"/>
  <c r="T1007" i="4"/>
  <c r="AD1006" i="4"/>
  <c r="AE1006" i="4" s="1"/>
  <c r="AC1006" i="4"/>
  <c r="AB1006" i="4"/>
  <c r="AA1006" i="4"/>
  <c r="AF1006" i="4" s="1"/>
  <c r="Z1006" i="4"/>
  <c r="Y1006" i="4"/>
  <c r="X1006" i="4"/>
  <c r="W1006" i="4"/>
  <c r="V1006" i="4"/>
  <c r="U1006" i="4"/>
  <c r="T1006" i="4"/>
  <c r="AF1005" i="4"/>
  <c r="AD1005" i="4"/>
  <c r="AE1005" i="4" s="1"/>
  <c r="AC1005" i="4"/>
  <c r="AB1005" i="4"/>
  <c r="AA1005" i="4"/>
  <c r="Z1005" i="4"/>
  <c r="Y1005" i="4"/>
  <c r="X1005" i="4"/>
  <c r="W1005" i="4"/>
  <c r="V1005" i="4"/>
  <c r="U1005" i="4"/>
  <c r="T1005" i="4"/>
  <c r="AF1004" i="4"/>
  <c r="AD1004" i="4"/>
  <c r="AE1004" i="4" s="1"/>
  <c r="AC1004" i="4"/>
  <c r="AB1004" i="4"/>
  <c r="AA1004" i="4"/>
  <c r="Z1004" i="4"/>
  <c r="Y1004" i="4"/>
  <c r="X1004" i="4"/>
  <c r="W1004" i="4"/>
  <c r="V1004" i="4"/>
  <c r="U1004" i="4"/>
  <c r="T1004" i="4"/>
  <c r="AD1003" i="4"/>
  <c r="AE1003" i="4" s="1"/>
  <c r="AC1003" i="4"/>
  <c r="AB1003" i="4"/>
  <c r="AA1003" i="4"/>
  <c r="AF1003" i="4" s="1"/>
  <c r="Z1003" i="4"/>
  <c r="Y1003" i="4"/>
  <c r="X1003" i="4"/>
  <c r="W1003" i="4"/>
  <c r="V1003" i="4"/>
  <c r="U1003" i="4"/>
  <c r="T1003" i="4"/>
  <c r="AD1002" i="4"/>
  <c r="AE1002" i="4" s="1"/>
  <c r="AC1002" i="4"/>
  <c r="AB1002" i="4"/>
  <c r="AA1002" i="4"/>
  <c r="AF1002" i="4" s="1"/>
  <c r="Z1002" i="4"/>
  <c r="Y1002" i="4"/>
  <c r="X1002" i="4"/>
  <c r="W1002" i="4"/>
  <c r="V1002" i="4"/>
  <c r="U1002" i="4"/>
  <c r="T1002" i="4"/>
  <c r="AD1001" i="4"/>
  <c r="AE1001" i="4" s="1"/>
  <c r="AC1001" i="4"/>
  <c r="AB1001" i="4"/>
  <c r="AA1001" i="4"/>
  <c r="AF1001" i="4" s="1"/>
  <c r="Z1001" i="4"/>
  <c r="Y1001" i="4"/>
  <c r="X1001" i="4"/>
  <c r="W1001" i="4"/>
  <c r="V1001" i="4"/>
  <c r="U1001" i="4"/>
  <c r="T1001" i="4"/>
  <c r="AD1000" i="4"/>
  <c r="AE1000" i="4" s="1"/>
  <c r="AC1000" i="4"/>
  <c r="AB1000" i="4"/>
  <c r="AA1000" i="4"/>
  <c r="AF1000" i="4" s="1"/>
  <c r="Z1000" i="4"/>
  <c r="Y1000" i="4"/>
  <c r="X1000" i="4"/>
  <c r="W1000" i="4"/>
  <c r="V1000" i="4"/>
  <c r="U1000" i="4"/>
  <c r="T1000" i="4"/>
  <c r="AD999" i="4"/>
  <c r="AE999" i="4" s="1"/>
  <c r="AC999" i="4"/>
  <c r="AB999" i="4"/>
  <c r="AA999" i="4"/>
  <c r="AF999" i="4" s="1"/>
  <c r="Z999" i="4"/>
  <c r="Y999" i="4"/>
  <c r="X999" i="4"/>
  <c r="W999" i="4"/>
  <c r="V999" i="4"/>
  <c r="U999" i="4"/>
  <c r="T999" i="4"/>
  <c r="AD998" i="4"/>
  <c r="AE998" i="4" s="1"/>
  <c r="AC998" i="4"/>
  <c r="AB998" i="4"/>
  <c r="AA998" i="4"/>
  <c r="AF998" i="4" s="1"/>
  <c r="Z998" i="4"/>
  <c r="Y998" i="4"/>
  <c r="X998" i="4"/>
  <c r="W998" i="4"/>
  <c r="V998" i="4"/>
  <c r="U998" i="4"/>
  <c r="T998" i="4"/>
  <c r="AF997" i="4"/>
  <c r="AD997" i="4"/>
  <c r="AE997" i="4" s="1"/>
  <c r="AC997" i="4"/>
  <c r="AB997" i="4"/>
  <c r="AA997" i="4"/>
  <c r="Z997" i="4"/>
  <c r="Y997" i="4"/>
  <c r="X997" i="4"/>
  <c r="W997" i="4"/>
  <c r="V997" i="4"/>
  <c r="U997" i="4"/>
  <c r="T997" i="4"/>
  <c r="AD996" i="4"/>
  <c r="AE996" i="4" s="1"/>
  <c r="AC996" i="4"/>
  <c r="AB996" i="4"/>
  <c r="AA996" i="4"/>
  <c r="AF996" i="4" s="1"/>
  <c r="Z996" i="4"/>
  <c r="Y996" i="4"/>
  <c r="X996" i="4"/>
  <c r="W996" i="4"/>
  <c r="V996" i="4"/>
  <c r="U996" i="4"/>
  <c r="T996" i="4"/>
  <c r="AD995" i="4"/>
  <c r="AE995" i="4" s="1"/>
  <c r="AC995" i="4"/>
  <c r="AB995" i="4"/>
  <c r="AA995" i="4"/>
  <c r="AF995" i="4" s="1"/>
  <c r="Z995" i="4"/>
  <c r="Y995" i="4"/>
  <c r="X995" i="4"/>
  <c r="W995" i="4"/>
  <c r="V995" i="4"/>
  <c r="U995" i="4"/>
  <c r="T995" i="4"/>
  <c r="AF994" i="4"/>
  <c r="AD994" i="4"/>
  <c r="AE994" i="4" s="1"/>
  <c r="AC994" i="4"/>
  <c r="AB994" i="4"/>
  <c r="AA994" i="4"/>
  <c r="Z994" i="4"/>
  <c r="Y994" i="4"/>
  <c r="X994" i="4"/>
  <c r="W994" i="4"/>
  <c r="V994" i="4"/>
  <c r="U994" i="4"/>
  <c r="T994" i="4"/>
  <c r="AD993" i="4"/>
  <c r="AE993" i="4" s="1"/>
  <c r="AC993" i="4"/>
  <c r="AB993" i="4"/>
  <c r="AA993" i="4"/>
  <c r="AF993" i="4" s="1"/>
  <c r="Z993" i="4"/>
  <c r="Y993" i="4"/>
  <c r="X993" i="4"/>
  <c r="W993" i="4"/>
  <c r="V993" i="4"/>
  <c r="U993" i="4"/>
  <c r="T993" i="4"/>
  <c r="AD992" i="4"/>
  <c r="AE992" i="4" s="1"/>
  <c r="AC992" i="4"/>
  <c r="AB992" i="4"/>
  <c r="AA992" i="4"/>
  <c r="AF992" i="4" s="1"/>
  <c r="Z992" i="4"/>
  <c r="Y992" i="4"/>
  <c r="X992" i="4"/>
  <c r="W992" i="4"/>
  <c r="V992" i="4"/>
  <c r="U992" i="4"/>
  <c r="T992" i="4"/>
  <c r="AF991" i="4"/>
  <c r="AD991" i="4"/>
  <c r="AE991" i="4" s="1"/>
  <c r="AC991" i="4"/>
  <c r="AB991" i="4"/>
  <c r="AA991" i="4"/>
  <c r="Z991" i="4"/>
  <c r="Y991" i="4"/>
  <c r="X991" i="4"/>
  <c r="W991" i="4"/>
  <c r="V991" i="4"/>
  <c r="U991" i="4"/>
  <c r="T991" i="4"/>
  <c r="AF990" i="4"/>
  <c r="AD990" i="4"/>
  <c r="AE990" i="4" s="1"/>
  <c r="AC990" i="4"/>
  <c r="AB990" i="4"/>
  <c r="AA990" i="4"/>
  <c r="Z990" i="4"/>
  <c r="Y990" i="4"/>
  <c r="X990" i="4"/>
  <c r="W990" i="4"/>
  <c r="V990" i="4"/>
  <c r="U990" i="4"/>
  <c r="T990" i="4"/>
  <c r="AF989" i="4"/>
  <c r="AD989" i="4"/>
  <c r="AE989" i="4" s="1"/>
  <c r="AC989" i="4"/>
  <c r="AB989" i="4"/>
  <c r="AA989" i="4"/>
  <c r="Z989" i="4"/>
  <c r="Y989" i="4"/>
  <c r="X989" i="4"/>
  <c r="W989" i="4"/>
  <c r="V989" i="4"/>
  <c r="U989" i="4"/>
  <c r="T989" i="4"/>
  <c r="AD988" i="4"/>
  <c r="AE988" i="4" s="1"/>
  <c r="AC988" i="4"/>
  <c r="AB988" i="4"/>
  <c r="AA988" i="4"/>
  <c r="AF988" i="4" s="1"/>
  <c r="Z988" i="4"/>
  <c r="Y988" i="4"/>
  <c r="X988" i="4"/>
  <c r="W988" i="4"/>
  <c r="V988" i="4"/>
  <c r="U988" i="4"/>
  <c r="T988" i="4"/>
  <c r="AF987" i="4"/>
  <c r="AD987" i="4"/>
  <c r="AE987" i="4" s="1"/>
  <c r="AC987" i="4"/>
  <c r="AB987" i="4"/>
  <c r="AA987" i="4"/>
  <c r="Z987" i="4"/>
  <c r="Y987" i="4"/>
  <c r="X987" i="4"/>
  <c r="W987" i="4"/>
  <c r="V987" i="4"/>
  <c r="U987" i="4"/>
  <c r="T987" i="4"/>
  <c r="AD986" i="4"/>
  <c r="AE986" i="4" s="1"/>
  <c r="AC986" i="4"/>
  <c r="AB986" i="4"/>
  <c r="AA986" i="4"/>
  <c r="AF986" i="4" s="1"/>
  <c r="Z986" i="4"/>
  <c r="Y986" i="4"/>
  <c r="X986" i="4"/>
  <c r="W986" i="4"/>
  <c r="V986" i="4"/>
  <c r="U986" i="4"/>
  <c r="T986" i="4"/>
  <c r="AD985" i="4"/>
  <c r="AE985" i="4" s="1"/>
  <c r="AC985" i="4"/>
  <c r="AB985" i="4"/>
  <c r="AA985" i="4"/>
  <c r="AF985" i="4" s="1"/>
  <c r="Z985" i="4"/>
  <c r="Y985" i="4"/>
  <c r="X985" i="4"/>
  <c r="W985" i="4"/>
  <c r="V985" i="4"/>
  <c r="U985" i="4"/>
  <c r="T985" i="4"/>
  <c r="AD984" i="4"/>
  <c r="AE984" i="4" s="1"/>
  <c r="AC984" i="4"/>
  <c r="AB984" i="4"/>
  <c r="AA984" i="4"/>
  <c r="AF984" i="4" s="1"/>
  <c r="Z984" i="4"/>
  <c r="Y984" i="4"/>
  <c r="X984" i="4"/>
  <c r="W984" i="4"/>
  <c r="V984" i="4"/>
  <c r="U984" i="4"/>
  <c r="T984" i="4"/>
  <c r="AD983" i="4"/>
  <c r="AE983" i="4" s="1"/>
  <c r="AC983" i="4"/>
  <c r="AB983" i="4"/>
  <c r="AA983" i="4"/>
  <c r="AF983" i="4" s="1"/>
  <c r="Z983" i="4"/>
  <c r="Y983" i="4"/>
  <c r="X983" i="4"/>
  <c r="W983" i="4"/>
  <c r="V983" i="4"/>
  <c r="U983" i="4"/>
  <c r="T983" i="4"/>
  <c r="AD982" i="4"/>
  <c r="AE982" i="4" s="1"/>
  <c r="AC982" i="4"/>
  <c r="AB982" i="4"/>
  <c r="AA982" i="4"/>
  <c r="AF982" i="4" s="1"/>
  <c r="Z982" i="4"/>
  <c r="Y982" i="4"/>
  <c r="X982" i="4"/>
  <c r="W982" i="4"/>
  <c r="V982" i="4"/>
  <c r="U982" i="4"/>
  <c r="T982" i="4"/>
  <c r="AD981" i="4"/>
  <c r="AE981" i="4" s="1"/>
  <c r="AC981" i="4"/>
  <c r="AB981" i="4"/>
  <c r="AA981" i="4"/>
  <c r="AF981" i="4" s="1"/>
  <c r="Z981" i="4"/>
  <c r="Y981" i="4"/>
  <c r="X981" i="4"/>
  <c r="W981" i="4"/>
  <c r="V981" i="4"/>
  <c r="U981" i="4"/>
  <c r="T981" i="4"/>
  <c r="AF980" i="4"/>
  <c r="AD980" i="4"/>
  <c r="AE980" i="4" s="1"/>
  <c r="AC980" i="4"/>
  <c r="AB980" i="4"/>
  <c r="AA980" i="4"/>
  <c r="Z980" i="4"/>
  <c r="Y980" i="4"/>
  <c r="X980" i="4"/>
  <c r="W980" i="4"/>
  <c r="V980" i="4"/>
  <c r="U980" i="4"/>
  <c r="T980" i="4"/>
  <c r="AD979" i="4"/>
  <c r="AE979" i="4" s="1"/>
  <c r="AC979" i="4"/>
  <c r="AB979" i="4"/>
  <c r="AA979" i="4"/>
  <c r="AF979" i="4" s="1"/>
  <c r="Z979" i="4"/>
  <c r="Y979" i="4"/>
  <c r="X979" i="4"/>
  <c r="W979" i="4"/>
  <c r="V979" i="4"/>
  <c r="U979" i="4"/>
  <c r="T979" i="4"/>
  <c r="AD978" i="4"/>
  <c r="AE978" i="4" s="1"/>
  <c r="AC978" i="4"/>
  <c r="AB978" i="4"/>
  <c r="AA978" i="4"/>
  <c r="AF978" i="4" s="1"/>
  <c r="Z978" i="4"/>
  <c r="Y978" i="4"/>
  <c r="X978" i="4"/>
  <c r="W978" i="4"/>
  <c r="V978" i="4"/>
  <c r="U978" i="4"/>
  <c r="T978" i="4"/>
  <c r="AD977" i="4"/>
  <c r="AE977" i="4" s="1"/>
  <c r="AC977" i="4"/>
  <c r="AB977" i="4"/>
  <c r="AA977" i="4"/>
  <c r="AF977" i="4" s="1"/>
  <c r="Z977" i="4"/>
  <c r="Y977" i="4"/>
  <c r="X977" i="4"/>
  <c r="W977" i="4"/>
  <c r="V977" i="4"/>
  <c r="U977" i="4"/>
  <c r="T977" i="4"/>
  <c r="AD976" i="4"/>
  <c r="AE976" i="4" s="1"/>
  <c r="AC976" i="4"/>
  <c r="AB976" i="4"/>
  <c r="AA976" i="4"/>
  <c r="AF976" i="4" s="1"/>
  <c r="Z976" i="4"/>
  <c r="Y976" i="4"/>
  <c r="X976" i="4"/>
  <c r="W976" i="4"/>
  <c r="V976" i="4"/>
  <c r="U976" i="4"/>
  <c r="T976" i="4"/>
  <c r="AD975" i="4"/>
  <c r="AE975" i="4" s="1"/>
  <c r="AC975" i="4"/>
  <c r="AB975" i="4"/>
  <c r="AA975" i="4"/>
  <c r="AF975" i="4" s="1"/>
  <c r="Z975" i="4"/>
  <c r="Y975" i="4"/>
  <c r="X975" i="4"/>
  <c r="W975" i="4"/>
  <c r="V975" i="4"/>
  <c r="U975" i="4"/>
  <c r="T975" i="4"/>
  <c r="AD974" i="4"/>
  <c r="AE974" i="4" s="1"/>
  <c r="AC974" i="4"/>
  <c r="AB974" i="4"/>
  <c r="AA974" i="4"/>
  <c r="AF974" i="4" s="1"/>
  <c r="Z974" i="4"/>
  <c r="Y974" i="4"/>
  <c r="X974" i="4"/>
  <c r="W974" i="4"/>
  <c r="V974" i="4"/>
  <c r="U974" i="4"/>
  <c r="T974" i="4"/>
  <c r="AD973" i="4"/>
  <c r="AE973" i="4" s="1"/>
  <c r="AC973" i="4"/>
  <c r="AB973" i="4"/>
  <c r="AA973" i="4"/>
  <c r="AF973" i="4" s="1"/>
  <c r="Z973" i="4"/>
  <c r="Y973" i="4"/>
  <c r="X973" i="4"/>
  <c r="W973" i="4"/>
  <c r="V973" i="4"/>
  <c r="U973" i="4"/>
  <c r="T973" i="4"/>
  <c r="AD972" i="4"/>
  <c r="AE972" i="4" s="1"/>
  <c r="AC972" i="4"/>
  <c r="AB972" i="4"/>
  <c r="AA972" i="4"/>
  <c r="AF972" i="4" s="1"/>
  <c r="Z972" i="4"/>
  <c r="Y972" i="4"/>
  <c r="X972" i="4"/>
  <c r="W972" i="4"/>
  <c r="V972" i="4"/>
  <c r="U972" i="4"/>
  <c r="T972" i="4"/>
  <c r="AD971" i="4"/>
  <c r="AE971" i="4" s="1"/>
  <c r="AC971" i="4"/>
  <c r="AB971" i="4"/>
  <c r="AA971" i="4"/>
  <c r="AF971" i="4" s="1"/>
  <c r="Z971" i="4"/>
  <c r="Y971" i="4"/>
  <c r="X971" i="4"/>
  <c r="W971" i="4"/>
  <c r="V971" i="4"/>
  <c r="U971" i="4"/>
  <c r="T971" i="4"/>
  <c r="AF970" i="4"/>
  <c r="AD970" i="4"/>
  <c r="AE970" i="4" s="1"/>
  <c r="AC970" i="4"/>
  <c r="AB970" i="4"/>
  <c r="AA970" i="4"/>
  <c r="Z970" i="4"/>
  <c r="Y970" i="4"/>
  <c r="X970" i="4"/>
  <c r="W970" i="4"/>
  <c r="V970" i="4"/>
  <c r="U970" i="4"/>
  <c r="T970" i="4"/>
  <c r="AD969" i="4"/>
  <c r="AE969" i="4" s="1"/>
  <c r="AC969" i="4"/>
  <c r="AB969" i="4"/>
  <c r="AA969" i="4"/>
  <c r="AF969" i="4" s="1"/>
  <c r="Z969" i="4"/>
  <c r="Y969" i="4"/>
  <c r="X969" i="4"/>
  <c r="W969" i="4"/>
  <c r="V969" i="4"/>
  <c r="U969" i="4"/>
  <c r="T969" i="4"/>
  <c r="AF968" i="4"/>
  <c r="AD968" i="4"/>
  <c r="AE968" i="4" s="1"/>
  <c r="AC968" i="4"/>
  <c r="AB968" i="4"/>
  <c r="AA968" i="4"/>
  <c r="Z968" i="4"/>
  <c r="Y968" i="4"/>
  <c r="X968" i="4"/>
  <c r="W968" i="4"/>
  <c r="V968" i="4"/>
  <c r="U968" i="4"/>
  <c r="T968" i="4"/>
  <c r="AD967" i="4"/>
  <c r="AE967" i="4" s="1"/>
  <c r="AC967" i="4"/>
  <c r="AB967" i="4"/>
  <c r="AA967" i="4"/>
  <c r="AF967" i="4" s="1"/>
  <c r="Z967" i="4"/>
  <c r="Y967" i="4"/>
  <c r="X967" i="4"/>
  <c r="W967" i="4"/>
  <c r="V967" i="4"/>
  <c r="U967" i="4"/>
  <c r="T967" i="4"/>
  <c r="AF966" i="4"/>
  <c r="AD966" i="4"/>
  <c r="AE966" i="4" s="1"/>
  <c r="AC966" i="4"/>
  <c r="AB966" i="4"/>
  <c r="AA966" i="4"/>
  <c r="Z966" i="4"/>
  <c r="Y966" i="4"/>
  <c r="X966" i="4"/>
  <c r="W966" i="4"/>
  <c r="V966" i="4"/>
  <c r="U966" i="4"/>
  <c r="T966" i="4"/>
  <c r="AD965" i="4"/>
  <c r="AE965" i="4" s="1"/>
  <c r="AC965" i="4"/>
  <c r="AB965" i="4"/>
  <c r="AA965" i="4"/>
  <c r="AF965" i="4" s="1"/>
  <c r="Z965" i="4"/>
  <c r="Y965" i="4"/>
  <c r="X965" i="4"/>
  <c r="W965" i="4"/>
  <c r="V965" i="4"/>
  <c r="U965" i="4"/>
  <c r="T965" i="4"/>
  <c r="AD964" i="4"/>
  <c r="AE964" i="4" s="1"/>
  <c r="AC964" i="4"/>
  <c r="AB964" i="4"/>
  <c r="AA964" i="4"/>
  <c r="AF964" i="4" s="1"/>
  <c r="Z964" i="4"/>
  <c r="Y964" i="4"/>
  <c r="X964" i="4"/>
  <c r="W964" i="4"/>
  <c r="V964" i="4"/>
  <c r="U964" i="4"/>
  <c r="T964" i="4"/>
  <c r="AF963" i="4"/>
  <c r="AD963" i="4"/>
  <c r="AE963" i="4" s="1"/>
  <c r="AC963" i="4"/>
  <c r="AB963" i="4"/>
  <c r="AA963" i="4"/>
  <c r="Z963" i="4"/>
  <c r="Y963" i="4"/>
  <c r="X963" i="4"/>
  <c r="W963" i="4"/>
  <c r="V963" i="4"/>
  <c r="U963" i="4"/>
  <c r="T963" i="4"/>
  <c r="AD962" i="4"/>
  <c r="AE962" i="4" s="1"/>
  <c r="AC962" i="4"/>
  <c r="AB962" i="4"/>
  <c r="AA962" i="4"/>
  <c r="AF962" i="4" s="1"/>
  <c r="Z962" i="4"/>
  <c r="Y962" i="4"/>
  <c r="X962" i="4"/>
  <c r="W962" i="4"/>
  <c r="V962" i="4"/>
  <c r="U962" i="4"/>
  <c r="T962" i="4"/>
  <c r="AD961" i="4"/>
  <c r="AE961" i="4" s="1"/>
  <c r="AC961" i="4"/>
  <c r="AB961" i="4"/>
  <c r="AA961" i="4"/>
  <c r="AF961" i="4" s="1"/>
  <c r="Z961" i="4"/>
  <c r="Y961" i="4"/>
  <c r="X961" i="4"/>
  <c r="W961" i="4"/>
  <c r="V961" i="4"/>
  <c r="U961" i="4"/>
  <c r="T961" i="4"/>
  <c r="AF960" i="4"/>
  <c r="AD960" i="4"/>
  <c r="AE960" i="4" s="1"/>
  <c r="AC960" i="4"/>
  <c r="AB960" i="4"/>
  <c r="AA960" i="4"/>
  <c r="Z960" i="4"/>
  <c r="Y960" i="4"/>
  <c r="X960" i="4"/>
  <c r="W960" i="4"/>
  <c r="V960" i="4"/>
  <c r="U960" i="4"/>
  <c r="T960" i="4"/>
  <c r="AF959" i="4"/>
  <c r="AD959" i="4"/>
  <c r="AE959" i="4" s="1"/>
  <c r="AC959" i="4"/>
  <c r="AB959" i="4"/>
  <c r="AA959" i="4"/>
  <c r="Z959" i="4"/>
  <c r="Y959" i="4"/>
  <c r="X959" i="4"/>
  <c r="W959" i="4"/>
  <c r="V959" i="4"/>
  <c r="U959" i="4"/>
  <c r="T959" i="4"/>
  <c r="AD958" i="4"/>
  <c r="AE958" i="4" s="1"/>
  <c r="AC958" i="4"/>
  <c r="AB958" i="4"/>
  <c r="AA958" i="4"/>
  <c r="AF958" i="4" s="1"/>
  <c r="Z958" i="4"/>
  <c r="Y958" i="4"/>
  <c r="X958" i="4"/>
  <c r="W958" i="4"/>
  <c r="V958" i="4"/>
  <c r="U958" i="4"/>
  <c r="T958" i="4"/>
  <c r="AD957" i="4"/>
  <c r="AE957" i="4" s="1"/>
  <c r="AC957" i="4"/>
  <c r="AB957" i="4"/>
  <c r="AA957" i="4"/>
  <c r="AF957" i="4" s="1"/>
  <c r="Z957" i="4"/>
  <c r="Y957" i="4"/>
  <c r="X957" i="4"/>
  <c r="W957" i="4"/>
  <c r="V957" i="4"/>
  <c r="U957" i="4"/>
  <c r="T957" i="4"/>
  <c r="AF956" i="4"/>
  <c r="AD956" i="4"/>
  <c r="AE956" i="4" s="1"/>
  <c r="AC956" i="4"/>
  <c r="AB956" i="4"/>
  <c r="AA956" i="4"/>
  <c r="Z956" i="4"/>
  <c r="Y956" i="4"/>
  <c r="X956" i="4"/>
  <c r="W956" i="4"/>
  <c r="V956" i="4"/>
  <c r="U956" i="4"/>
  <c r="T956" i="4"/>
  <c r="AD955" i="4"/>
  <c r="AE955" i="4" s="1"/>
  <c r="AC955" i="4"/>
  <c r="AB955" i="4"/>
  <c r="AA955" i="4"/>
  <c r="AF955" i="4" s="1"/>
  <c r="Z955" i="4"/>
  <c r="Y955" i="4"/>
  <c r="X955" i="4"/>
  <c r="W955" i="4"/>
  <c r="V955" i="4"/>
  <c r="U955" i="4"/>
  <c r="T955" i="4"/>
  <c r="AD954" i="4"/>
  <c r="AE954" i="4" s="1"/>
  <c r="AC954" i="4"/>
  <c r="AB954" i="4"/>
  <c r="AA954" i="4"/>
  <c r="AF954" i="4" s="1"/>
  <c r="Z954" i="4"/>
  <c r="Y954" i="4"/>
  <c r="X954" i="4"/>
  <c r="W954" i="4"/>
  <c r="V954" i="4"/>
  <c r="U954" i="4"/>
  <c r="T954" i="4"/>
  <c r="AD953" i="4"/>
  <c r="AE953" i="4" s="1"/>
  <c r="AC953" i="4"/>
  <c r="AB953" i="4"/>
  <c r="AA953" i="4"/>
  <c r="AF953" i="4" s="1"/>
  <c r="Z953" i="4"/>
  <c r="Y953" i="4"/>
  <c r="X953" i="4"/>
  <c r="W953" i="4"/>
  <c r="V953" i="4"/>
  <c r="U953" i="4"/>
  <c r="T953" i="4"/>
  <c r="AD952" i="4"/>
  <c r="AE952" i="4" s="1"/>
  <c r="AC952" i="4"/>
  <c r="AB952" i="4"/>
  <c r="AA952" i="4"/>
  <c r="AF952" i="4" s="1"/>
  <c r="Z952" i="4"/>
  <c r="Y952" i="4"/>
  <c r="X952" i="4"/>
  <c r="W952" i="4"/>
  <c r="V952" i="4"/>
  <c r="U952" i="4"/>
  <c r="T952" i="4"/>
  <c r="AF951" i="4"/>
  <c r="AD951" i="4"/>
  <c r="AE951" i="4" s="1"/>
  <c r="AC951" i="4"/>
  <c r="AB951" i="4"/>
  <c r="AA951" i="4"/>
  <c r="Z951" i="4"/>
  <c r="Y951" i="4"/>
  <c r="X951" i="4"/>
  <c r="W951" i="4"/>
  <c r="V951" i="4"/>
  <c r="U951" i="4"/>
  <c r="T951" i="4"/>
  <c r="AD950" i="4"/>
  <c r="AE950" i="4" s="1"/>
  <c r="AC950" i="4"/>
  <c r="AB950" i="4"/>
  <c r="AA950" i="4"/>
  <c r="AF950" i="4" s="1"/>
  <c r="Z950" i="4"/>
  <c r="Y950" i="4"/>
  <c r="X950" i="4"/>
  <c r="W950" i="4"/>
  <c r="V950" i="4"/>
  <c r="U950" i="4"/>
  <c r="T950" i="4"/>
  <c r="AF949" i="4"/>
  <c r="AD949" i="4"/>
  <c r="AE949" i="4" s="1"/>
  <c r="AC949" i="4"/>
  <c r="AB949" i="4"/>
  <c r="AA949" i="4"/>
  <c r="Z949" i="4"/>
  <c r="Y949" i="4"/>
  <c r="X949" i="4"/>
  <c r="W949" i="4"/>
  <c r="V949" i="4"/>
  <c r="U949" i="4"/>
  <c r="T949" i="4"/>
  <c r="AF948" i="4"/>
  <c r="AD948" i="4"/>
  <c r="AE948" i="4" s="1"/>
  <c r="AC948" i="4"/>
  <c r="AB948" i="4"/>
  <c r="AA948" i="4"/>
  <c r="Z948" i="4"/>
  <c r="Y948" i="4"/>
  <c r="X948" i="4"/>
  <c r="W948" i="4"/>
  <c r="V948" i="4"/>
  <c r="U948" i="4"/>
  <c r="T948" i="4"/>
  <c r="AD947" i="4"/>
  <c r="AE947" i="4" s="1"/>
  <c r="AC947" i="4"/>
  <c r="AB947" i="4"/>
  <c r="AA947" i="4"/>
  <c r="AF947" i="4" s="1"/>
  <c r="Z947" i="4"/>
  <c r="Y947" i="4"/>
  <c r="X947" i="4"/>
  <c r="W947" i="4"/>
  <c r="V947" i="4"/>
  <c r="U947" i="4"/>
  <c r="T947" i="4"/>
  <c r="AD946" i="4"/>
  <c r="AE946" i="4" s="1"/>
  <c r="AC946" i="4"/>
  <c r="AB946" i="4"/>
  <c r="AA946" i="4"/>
  <c r="AF946" i="4" s="1"/>
  <c r="Z946" i="4"/>
  <c r="Y946" i="4"/>
  <c r="X946" i="4"/>
  <c r="W946" i="4"/>
  <c r="V946" i="4"/>
  <c r="U946" i="4"/>
  <c r="T946" i="4"/>
  <c r="AF945" i="4"/>
  <c r="AD945" i="4"/>
  <c r="AE945" i="4" s="1"/>
  <c r="AC945" i="4"/>
  <c r="AB945" i="4"/>
  <c r="AA945" i="4"/>
  <c r="Z945" i="4"/>
  <c r="Y945" i="4"/>
  <c r="X945" i="4"/>
  <c r="W945" i="4"/>
  <c r="V945" i="4"/>
  <c r="U945" i="4"/>
  <c r="T945" i="4"/>
  <c r="AD944" i="4"/>
  <c r="AE944" i="4" s="1"/>
  <c r="AC944" i="4"/>
  <c r="AB944" i="4"/>
  <c r="AA944" i="4"/>
  <c r="AF944" i="4" s="1"/>
  <c r="Z944" i="4"/>
  <c r="Y944" i="4"/>
  <c r="X944" i="4"/>
  <c r="W944" i="4"/>
  <c r="V944" i="4"/>
  <c r="U944" i="4"/>
  <c r="T944" i="4"/>
  <c r="AD943" i="4"/>
  <c r="AE943" i="4" s="1"/>
  <c r="AC943" i="4"/>
  <c r="AB943" i="4"/>
  <c r="AA943" i="4"/>
  <c r="AF943" i="4" s="1"/>
  <c r="Z943" i="4"/>
  <c r="Y943" i="4"/>
  <c r="X943" i="4"/>
  <c r="W943" i="4"/>
  <c r="V943" i="4"/>
  <c r="U943" i="4"/>
  <c r="T943" i="4"/>
  <c r="AF942" i="4"/>
  <c r="AD942" i="4"/>
  <c r="AE942" i="4" s="1"/>
  <c r="AC942" i="4"/>
  <c r="AB942" i="4"/>
  <c r="AA942" i="4"/>
  <c r="Z942" i="4"/>
  <c r="Y942" i="4"/>
  <c r="X942" i="4"/>
  <c r="W942" i="4"/>
  <c r="V942" i="4"/>
  <c r="U942" i="4"/>
  <c r="T942" i="4"/>
  <c r="AD941" i="4"/>
  <c r="AE941" i="4" s="1"/>
  <c r="AC941" i="4"/>
  <c r="AB941" i="4"/>
  <c r="AA941" i="4"/>
  <c r="AF941" i="4" s="1"/>
  <c r="Z941" i="4"/>
  <c r="Y941" i="4"/>
  <c r="X941" i="4"/>
  <c r="W941" i="4"/>
  <c r="V941" i="4"/>
  <c r="U941" i="4"/>
  <c r="T941" i="4"/>
  <c r="AF940" i="4"/>
  <c r="AD940" i="4"/>
  <c r="AE940" i="4" s="1"/>
  <c r="AC940" i="4"/>
  <c r="AB940" i="4"/>
  <c r="AA940" i="4"/>
  <c r="Z940" i="4"/>
  <c r="Y940" i="4"/>
  <c r="X940" i="4"/>
  <c r="W940" i="4"/>
  <c r="V940" i="4"/>
  <c r="U940" i="4"/>
  <c r="T940" i="4"/>
  <c r="AD939" i="4"/>
  <c r="AE939" i="4" s="1"/>
  <c r="AC939" i="4"/>
  <c r="AB939" i="4"/>
  <c r="AA939" i="4"/>
  <c r="AF939" i="4" s="1"/>
  <c r="Z939" i="4"/>
  <c r="Y939" i="4"/>
  <c r="X939" i="4"/>
  <c r="W939" i="4"/>
  <c r="V939" i="4"/>
  <c r="U939" i="4"/>
  <c r="T939" i="4"/>
  <c r="AD938" i="4"/>
  <c r="AE938" i="4" s="1"/>
  <c r="AC938" i="4"/>
  <c r="AB938" i="4"/>
  <c r="AA938" i="4"/>
  <c r="AF938" i="4" s="1"/>
  <c r="Z938" i="4"/>
  <c r="Y938" i="4"/>
  <c r="X938" i="4"/>
  <c r="W938" i="4"/>
  <c r="V938" i="4"/>
  <c r="U938" i="4"/>
  <c r="T938" i="4"/>
  <c r="AD937" i="4"/>
  <c r="AE937" i="4" s="1"/>
  <c r="AC937" i="4"/>
  <c r="AB937" i="4"/>
  <c r="AA937" i="4"/>
  <c r="AF937" i="4" s="1"/>
  <c r="Z937" i="4"/>
  <c r="Y937" i="4"/>
  <c r="X937" i="4"/>
  <c r="W937" i="4"/>
  <c r="V937" i="4"/>
  <c r="U937" i="4"/>
  <c r="T937" i="4"/>
  <c r="AF936" i="4"/>
  <c r="AD936" i="4"/>
  <c r="AE936" i="4" s="1"/>
  <c r="AC936" i="4"/>
  <c r="AB936" i="4"/>
  <c r="AA936" i="4"/>
  <c r="Z936" i="4"/>
  <c r="Y936" i="4"/>
  <c r="X936" i="4"/>
  <c r="W936" i="4"/>
  <c r="V936" i="4"/>
  <c r="U936" i="4"/>
  <c r="T936" i="4"/>
  <c r="AD935" i="4"/>
  <c r="AE935" i="4" s="1"/>
  <c r="AC935" i="4"/>
  <c r="AB935" i="4"/>
  <c r="AA935" i="4"/>
  <c r="AF935" i="4" s="1"/>
  <c r="Z935" i="4"/>
  <c r="Y935" i="4"/>
  <c r="X935" i="4"/>
  <c r="W935" i="4"/>
  <c r="V935" i="4"/>
  <c r="U935" i="4"/>
  <c r="T935" i="4"/>
  <c r="AF934" i="4"/>
  <c r="AD934" i="4"/>
  <c r="AE934" i="4" s="1"/>
  <c r="AC934" i="4"/>
  <c r="AB934" i="4"/>
  <c r="AA934" i="4"/>
  <c r="Z934" i="4"/>
  <c r="Y934" i="4"/>
  <c r="X934" i="4"/>
  <c r="W934" i="4"/>
  <c r="V934" i="4"/>
  <c r="U934" i="4"/>
  <c r="T934" i="4"/>
  <c r="AF933" i="4"/>
  <c r="AD933" i="4"/>
  <c r="AE933" i="4" s="1"/>
  <c r="AC933" i="4"/>
  <c r="AB933" i="4"/>
  <c r="AA933" i="4"/>
  <c r="Z933" i="4"/>
  <c r="Y933" i="4"/>
  <c r="X933" i="4"/>
  <c r="W933" i="4"/>
  <c r="V933" i="4"/>
  <c r="U933" i="4"/>
  <c r="T933" i="4"/>
  <c r="AD932" i="4"/>
  <c r="AE932" i="4" s="1"/>
  <c r="AC932" i="4"/>
  <c r="AB932" i="4"/>
  <c r="AA932" i="4"/>
  <c r="AF932" i="4" s="1"/>
  <c r="Z932" i="4"/>
  <c r="Y932" i="4"/>
  <c r="X932" i="4"/>
  <c r="W932" i="4"/>
  <c r="V932" i="4"/>
  <c r="U932" i="4"/>
  <c r="T932" i="4"/>
  <c r="AD931" i="4"/>
  <c r="AE931" i="4" s="1"/>
  <c r="AC931" i="4"/>
  <c r="AB931" i="4"/>
  <c r="AA931" i="4"/>
  <c r="AF931" i="4" s="1"/>
  <c r="Z931" i="4"/>
  <c r="Y931" i="4"/>
  <c r="X931" i="4"/>
  <c r="W931" i="4"/>
  <c r="V931" i="4"/>
  <c r="U931" i="4"/>
  <c r="T931" i="4"/>
  <c r="AD930" i="4"/>
  <c r="AE930" i="4" s="1"/>
  <c r="AC930" i="4"/>
  <c r="AB930" i="4"/>
  <c r="AA930" i="4"/>
  <c r="AF930" i="4" s="1"/>
  <c r="Z930" i="4"/>
  <c r="Y930" i="4"/>
  <c r="X930" i="4"/>
  <c r="W930" i="4"/>
  <c r="V930" i="4"/>
  <c r="U930" i="4"/>
  <c r="T930" i="4"/>
  <c r="AD929" i="4"/>
  <c r="AE929" i="4" s="1"/>
  <c r="AC929" i="4"/>
  <c r="AB929" i="4"/>
  <c r="AA929" i="4"/>
  <c r="AF929" i="4" s="1"/>
  <c r="Z929" i="4"/>
  <c r="Y929" i="4"/>
  <c r="X929" i="4"/>
  <c r="W929" i="4"/>
  <c r="V929" i="4"/>
  <c r="U929" i="4"/>
  <c r="T929" i="4"/>
  <c r="AD928" i="4"/>
  <c r="AE928" i="4" s="1"/>
  <c r="AC928" i="4"/>
  <c r="AB928" i="4"/>
  <c r="AA928" i="4"/>
  <c r="AF928" i="4" s="1"/>
  <c r="Z928" i="4"/>
  <c r="Y928" i="4"/>
  <c r="X928" i="4"/>
  <c r="W928" i="4"/>
  <c r="V928" i="4"/>
  <c r="U928" i="4"/>
  <c r="T928" i="4"/>
  <c r="AD927" i="4"/>
  <c r="AE927" i="4" s="1"/>
  <c r="AC927" i="4"/>
  <c r="AB927" i="4"/>
  <c r="AA927" i="4"/>
  <c r="AF927" i="4" s="1"/>
  <c r="Z927" i="4"/>
  <c r="Y927" i="4"/>
  <c r="X927" i="4"/>
  <c r="W927" i="4"/>
  <c r="V927" i="4"/>
  <c r="U927" i="4"/>
  <c r="T927" i="4"/>
  <c r="AD926" i="4"/>
  <c r="AE926" i="4" s="1"/>
  <c r="AC926" i="4"/>
  <c r="AB926" i="4"/>
  <c r="AA926" i="4"/>
  <c r="AF926" i="4" s="1"/>
  <c r="Z926" i="4"/>
  <c r="Y926" i="4"/>
  <c r="X926" i="4"/>
  <c r="W926" i="4"/>
  <c r="V926" i="4"/>
  <c r="U926" i="4"/>
  <c r="T926" i="4"/>
  <c r="AD925" i="4"/>
  <c r="AE925" i="4" s="1"/>
  <c r="AC925" i="4"/>
  <c r="AB925" i="4"/>
  <c r="AA925" i="4"/>
  <c r="AF925" i="4" s="1"/>
  <c r="Z925" i="4"/>
  <c r="Y925" i="4"/>
  <c r="X925" i="4"/>
  <c r="W925" i="4"/>
  <c r="V925" i="4"/>
  <c r="U925" i="4"/>
  <c r="T925" i="4"/>
  <c r="AD924" i="4"/>
  <c r="AE924" i="4" s="1"/>
  <c r="AC924" i="4"/>
  <c r="AB924" i="4"/>
  <c r="AA924" i="4"/>
  <c r="AF924" i="4" s="1"/>
  <c r="Z924" i="4"/>
  <c r="Y924" i="4"/>
  <c r="X924" i="4"/>
  <c r="W924" i="4"/>
  <c r="V924" i="4"/>
  <c r="U924" i="4"/>
  <c r="T924" i="4"/>
  <c r="AF923" i="4"/>
  <c r="AD923" i="4"/>
  <c r="AE923" i="4" s="1"/>
  <c r="AC923" i="4"/>
  <c r="AB923" i="4"/>
  <c r="AA923" i="4"/>
  <c r="Z923" i="4"/>
  <c r="Y923" i="4"/>
  <c r="X923" i="4"/>
  <c r="W923" i="4"/>
  <c r="V923" i="4"/>
  <c r="U923" i="4"/>
  <c r="T923" i="4"/>
  <c r="AD922" i="4"/>
  <c r="AE922" i="4" s="1"/>
  <c r="AC922" i="4"/>
  <c r="AB922" i="4"/>
  <c r="AA922" i="4"/>
  <c r="AF922" i="4" s="1"/>
  <c r="Z922" i="4"/>
  <c r="Y922" i="4"/>
  <c r="X922" i="4"/>
  <c r="W922" i="4"/>
  <c r="V922" i="4"/>
  <c r="U922" i="4"/>
  <c r="T922" i="4"/>
  <c r="AD921" i="4"/>
  <c r="AE921" i="4" s="1"/>
  <c r="AC921" i="4"/>
  <c r="AB921" i="4"/>
  <c r="AA921" i="4"/>
  <c r="AF921" i="4" s="1"/>
  <c r="Z921" i="4"/>
  <c r="Y921" i="4"/>
  <c r="X921" i="4"/>
  <c r="W921" i="4"/>
  <c r="V921" i="4"/>
  <c r="U921" i="4"/>
  <c r="T921" i="4"/>
  <c r="AD920" i="4"/>
  <c r="AE920" i="4" s="1"/>
  <c r="AC920" i="4"/>
  <c r="AB920" i="4"/>
  <c r="AA920" i="4"/>
  <c r="AF920" i="4" s="1"/>
  <c r="Z920" i="4"/>
  <c r="Y920" i="4"/>
  <c r="X920" i="4"/>
  <c r="W920" i="4"/>
  <c r="V920" i="4"/>
  <c r="U920" i="4"/>
  <c r="T920" i="4"/>
  <c r="AD919" i="4"/>
  <c r="AE919" i="4" s="1"/>
  <c r="AC919" i="4"/>
  <c r="AB919" i="4"/>
  <c r="AA919" i="4"/>
  <c r="AF919" i="4" s="1"/>
  <c r="Z919" i="4"/>
  <c r="Y919" i="4"/>
  <c r="X919" i="4"/>
  <c r="W919" i="4"/>
  <c r="V919" i="4"/>
  <c r="U919" i="4"/>
  <c r="T919" i="4"/>
  <c r="AD918" i="4"/>
  <c r="AE918" i="4" s="1"/>
  <c r="AC918" i="4"/>
  <c r="AB918" i="4"/>
  <c r="AA918" i="4"/>
  <c r="AF918" i="4" s="1"/>
  <c r="Z918" i="4"/>
  <c r="Y918" i="4"/>
  <c r="X918" i="4"/>
  <c r="W918" i="4"/>
  <c r="V918" i="4"/>
  <c r="U918" i="4"/>
  <c r="T918" i="4"/>
  <c r="AD917" i="4"/>
  <c r="AE917" i="4" s="1"/>
  <c r="AC917" i="4"/>
  <c r="AB917" i="4"/>
  <c r="AA917" i="4"/>
  <c r="AF917" i="4" s="1"/>
  <c r="Z917" i="4"/>
  <c r="Y917" i="4"/>
  <c r="X917" i="4"/>
  <c r="W917" i="4"/>
  <c r="V917" i="4"/>
  <c r="U917" i="4"/>
  <c r="T917" i="4"/>
  <c r="AF916" i="4"/>
  <c r="AD916" i="4"/>
  <c r="AE916" i="4" s="1"/>
  <c r="AC916" i="4"/>
  <c r="AB916" i="4"/>
  <c r="AA916" i="4"/>
  <c r="Z916" i="4"/>
  <c r="Y916" i="4"/>
  <c r="X916" i="4"/>
  <c r="W916" i="4"/>
  <c r="V916" i="4"/>
  <c r="U916" i="4"/>
  <c r="T916" i="4"/>
  <c r="AD915" i="4"/>
  <c r="AE915" i="4" s="1"/>
  <c r="AC915" i="4"/>
  <c r="AB915" i="4"/>
  <c r="AA915" i="4"/>
  <c r="AF915" i="4" s="1"/>
  <c r="Z915" i="4"/>
  <c r="Y915" i="4"/>
  <c r="X915" i="4"/>
  <c r="W915" i="4"/>
  <c r="V915" i="4"/>
  <c r="U915" i="4"/>
  <c r="T915" i="4"/>
  <c r="AD914" i="4"/>
  <c r="AE914" i="4" s="1"/>
  <c r="AC914" i="4"/>
  <c r="AB914" i="4"/>
  <c r="AA914" i="4"/>
  <c r="AF914" i="4" s="1"/>
  <c r="Z914" i="4"/>
  <c r="Y914" i="4"/>
  <c r="X914" i="4"/>
  <c r="W914" i="4"/>
  <c r="V914" i="4"/>
  <c r="U914" i="4"/>
  <c r="T914" i="4"/>
  <c r="AD913" i="4"/>
  <c r="AE913" i="4" s="1"/>
  <c r="AC913" i="4"/>
  <c r="AB913" i="4"/>
  <c r="AA913" i="4"/>
  <c r="AF913" i="4" s="1"/>
  <c r="Z913" i="4"/>
  <c r="Y913" i="4"/>
  <c r="X913" i="4"/>
  <c r="W913" i="4"/>
  <c r="V913" i="4"/>
  <c r="U913" i="4"/>
  <c r="T913" i="4"/>
  <c r="AD912" i="4"/>
  <c r="AE912" i="4" s="1"/>
  <c r="AC912" i="4"/>
  <c r="AB912" i="4"/>
  <c r="AA912" i="4"/>
  <c r="AF912" i="4" s="1"/>
  <c r="Z912" i="4"/>
  <c r="Y912" i="4"/>
  <c r="X912" i="4"/>
  <c r="W912" i="4"/>
  <c r="V912" i="4"/>
  <c r="U912" i="4"/>
  <c r="T912" i="4"/>
  <c r="AF911" i="4"/>
  <c r="AD911" i="4"/>
  <c r="AE911" i="4" s="1"/>
  <c r="AC911" i="4"/>
  <c r="AB911" i="4"/>
  <c r="AA911" i="4"/>
  <c r="Z911" i="4"/>
  <c r="Y911" i="4"/>
  <c r="X911" i="4"/>
  <c r="W911" i="4"/>
  <c r="V911" i="4"/>
  <c r="U911" i="4"/>
  <c r="T911" i="4"/>
  <c r="AD910" i="4"/>
  <c r="AE910" i="4" s="1"/>
  <c r="AC910" i="4"/>
  <c r="AB910" i="4"/>
  <c r="AA910" i="4"/>
  <c r="AF910" i="4" s="1"/>
  <c r="Z910" i="4"/>
  <c r="Y910" i="4"/>
  <c r="X910" i="4"/>
  <c r="W910" i="4"/>
  <c r="V910" i="4"/>
  <c r="U910" i="4"/>
  <c r="T910" i="4"/>
  <c r="AD909" i="4"/>
  <c r="AE909" i="4" s="1"/>
  <c r="AC909" i="4"/>
  <c r="AB909" i="4"/>
  <c r="AA909" i="4"/>
  <c r="AF909" i="4" s="1"/>
  <c r="Z909" i="4"/>
  <c r="Y909" i="4"/>
  <c r="X909" i="4"/>
  <c r="W909" i="4"/>
  <c r="V909" i="4"/>
  <c r="U909" i="4"/>
  <c r="T909" i="4"/>
  <c r="AD908" i="4"/>
  <c r="AE908" i="4" s="1"/>
  <c r="AC908" i="4"/>
  <c r="AB908" i="4"/>
  <c r="AA908" i="4"/>
  <c r="AF908" i="4" s="1"/>
  <c r="Z908" i="4"/>
  <c r="Y908" i="4"/>
  <c r="X908" i="4"/>
  <c r="W908" i="4"/>
  <c r="V908" i="4"/>
  <c r="U908" i="4"/>
  <c r="T908" i="4"/>
  <c r="AD907" i="4"/>
  <c r="AE907" i="4" s="1"/>
  <c r="AC907" i="4"/>
  <c r="AB907" i="4"/>
  <c r="AA907" i="4"/>
  <c r="AF907" i="4" s="1"/>
  <c r="Z907" i="4"/>
  <c r="Y907" i="4"/>
  <c r="X907" i="4"/>
  <c r="W907" i="4"/>
  <c r="V907" i="4"/>
  <c r="U907" i="4"/>
  <c r="T907" i="4"/>
  <c r="AD906" i="4"/>
  <c r="AE906" i="4" s="1"/>
  <c r="AC906" i="4"/>
  <c r="AB906" i="4"/>
  <c r="AA906" i="4"/>
  <c r="AF906" i="4" s="1"/>
  <c r="Z906" i="4"/>
  <c r="Y906" i="4"/>
  <c r="X906" i="4"/>
  <c r="W906" i="4"/>
  <c r="V906" i="4"/>
  <c r="U906" i="4"/>
  <c r="T906" i="4"/>
  <c r="AD905" i="4"/>
  <c r="AE905" i="4" s="1"/>
  <c r="AC905" i="4"/>
  <c r="AB905" i="4"/>
  <c r="AA905" i="4"/>
  <c r="AF905" i="4" s="1"/>
  <c r="Z905" i="4"/>
  <c r="Y905" i="4"/>
  <c r="X905" i="4"/>
  <c r="W905" i="4"/>
  <c r="V905" i="4"/>
  <c r="U905" i="4"/>
  <c r="T905" i="4"/>
  <c r="AD904" i="4"/>
  <c r="AE904" i="4" s="1"/>
  <c r="AC904" i="4"/>
  <c r="AB904" i="4"/>
  <c r="AA904" i="4"/>
  <c r="AF904" i="4" s="1"/>
  <c r="Z904" i="4"/>
  <c r="Y904" i="4"/>
  <c r="X904" i="4"/>
  <c r="W904" i="4"/>
  <c r="V904" i="4"/>
  <c r="U904" i="4"/>
  <c r="T904" i="4"/>
  <c r="AD903" i="4"/>
  <c r="AE903" i="4" s="1"/>
  <c r="AC903" i="4"/>
  <c r="AB903" i="4"/>
  <c r="AA903" i="4"/>
  <c r="AF903" i="4" s="1"/>
  <c r="Z903" i="4"/>
  <c r="Y903" i="4"/>
  <c r="X903" i="4"/>
  <c r="W903" i="4"/>
  <c r="V903" i="4"/>
  <c r="U903" i="4"/>
  <c r="T903" i="4"/>
  <c r="AF902" i="4"/>
  <c r="AD902" i="4"/>
  <c r="AE902" i="4" s="1"/>
  <c r="AC902" i="4"/>
  <c r="AB902" i="4"/>
  <c r="AA902" i="4"/>
  <c r="Z902" i="4"/>
  <c r="Y902" i="4"/>
  <c r="X902" i="4"/>
  <c r="W902" i="4"/>
  <c r="V902" i="4"/>
  <c r="U902" i="4"/>
  <c r="T902" i="4"/>
  <c r="AD901" i="4"/>
  <c r="AE901" i="4" s="1"/>
  <c r="AC901" i="4"/>
  <c r="AB901" i="4"/>
  <c r="AA901" i="4"/>
  <c r="AF901" i="4" s="1"/>
  <c r="Z901" i="4"/>
  <c r="Y901" i="4"/>
  <c r="X901" i="4"/>
  <c r="W901" i="4"/>
  <c r="V901" i="4"/>
  <c r="U901" i="4"/>
  <c r="T901" i="4"/>
  <c r="AD900" i="4"/>
  <c r="AE900" i="4" s="1"/>
  <c r="AC900" i="4"/>
  <c r="AB900" i="4"/>
  <c r="AA900" i="4"/>
  <c r="AF900" i="4" s="1"/>
  <c r="Z900" i="4"/>
  <c r="Y900" i="4"/>
  <c r="X900" i="4"/>
  <c r="W900" i="4"/>
  <c r="V900" i="4"/>
  <c r="U900" i="4"/>
  <c r="T900" i="4"/>
  <c r="AD899" i="4"/>
  <c r="AE899" i="4" s="1"/>
  <c r="AC899" i="4"/>
  <c r="AB899" i="4"/>
  <c r="AA899" i="4"/>
  <c r="AF899" i="4" s="1"/>
  <c r="Z899" i="4"/>
  <c r="Y899" i="4"/>
  <c r="X899" i="4"/>
  <c r="W899" i="4"/>
  <c r="V899" i="4"/>
  <c r="U899" i="4"/>
  <c r="T899" i="4"/>
  <c r="AF898" i="4"/>
  <c r="AD898" i="4"/>
  <c r="AE898" i="4" s="1"/>
  <c r="AC898" i="4"/>
  <c r="AB898" i="4"/>
  <c r="AA898" i="4"/>
  <c r="Z898" i="4"/>
  <c r="Y898" i="4"/>
  <c r="X898" i="4"/>
  <c r="W898" i="4"/>
  <c r="V898" i="4"/>
  <c r="U898" i="4"/>
  <c r="T898" i="4"/>
  <c r="AD897" i="4"/>
  <c r="AE897" i="4" s="1"/>
  <c r="AC897" i="4"/>
  <c r="AB897" i="4"/>
  <c r="AA897" i="4"/>
  <c r="AF897" i="4" s="1"/>
  <c r="Z897" i="4"/>
  <c r="Y897" i="4"/>
  <c r="X897" i="4"/>
  <c r="W897" i="4"/>
  <c r="V897" i="4"/>
  <c r="U897" i="4"/>
  <c r="T897" i="4"/>
  <c r="AD896" i="4"/>
  <c r="AE896" i="4" s="1"/>
  <c r="AC896" i="4"/>
  <c r="AB896" i="4"/>
  <c r="AA896" i="4"/>
  <c r="AF896" i="4" s="1"/>
  <c r="Z896" i="4"/>
  <c r="Y896" i="4"/>
  <c r="X896" i="4"/>
  <c r="W896" i="4"/>
  <c r="V896" i="4"/>
  <c r="U896" i="4"/>
  <c r="T896" i="4"/>
  <c r="AD895" i="4"/>
  <c r="AE895" i="4" s="1"/>
  <c r="AC895" i="4"/>
  <c r="AB895" i="4"/>
  <c r="AA895" i="4"/>
  <c r="AF895" i="4" s="1"/>
  <c r="Z895" i="4"/>
  <c r="Y895" i="4"/>
  <c r="X895" i="4"/>
  <c r="W895" i="4"/>
  <c r="V895" i="4"/>
  <c r="U895" i="4"/>
  <c r="T895" i="4"/>
  <c r="AD894" i="4"/>
  <c r="AE894" i="4" s="1"/>
  <c r="AC894" i="4"/>
  <c r="AB894" i="4"/>
  <c r="AA894" i="4"/>
  <c r="AF894" i="4" s="1"/>
  <c r="Z894" i="4"/>
  <c r="Y894" i="4"/>
  <c r="X894" i="4"/>
  <c r="W894" i="4"/>
  <c r="V894" i="4"/>
  <c r="U894" i="4"/>
  <c r="T894" i="4"/>
  <c r="AD893" i="4"/>
  <c r="AE893" i="4" s="1"/>
  <c r="AC893" i="4"/>
  <c r="AB893" i="4"/>
  <c r="AA893" i="4"/>
  <c r="AF893" i="4" s="1"/>
  <c r="Z893" i="4"/>
  <c r="Y893" i="4"/>
  <c r="X893" i="4"/>
  <c r="W893" i="4"/>
  <c r="V893" i="4"/>
  <c r="U893" i="4"/>
  <c r="T893" i="4"/>
  <c r="AD892" i="4"/>
  <c r="AE892" i="4" s="1"/>
  <c r="AC892" i="4"/>
  <c r="AB892" i="4"/>
  <c r="AA892" i="4"/>
  <c r="AF892" i="4" s="1"/>
  <c r="Z892" i="4"/>
  <c r="Y892" i="4"/>
  <c r="X892" i="4"/>
  <c r="W892" i="4"/>
  <c r="V892" i="4"/>
  <c r="U892" i="4"/>
  <c r="T892" i="4"/>
  <c r="AD891" i="4"/>
  <c r="AE891" i="4" s="1"/>
  <c r="AC891" i="4"/>
  <c r="AB891" i="4"/>
  <c r="AA891" i="4"/>
  <c r="AF891" i="4" s="1"/>
  <c r="Z891" i="4"/>
  <c r="Y891" i="4"/>
  <c r="X891" i="4"/>
  <c r="W891" i="4"/>
  <c r="V891" i="4"/>
  <c r="U891" i="4"/>
  <c r="T891" i="4"/>
  <c r="AD890" i="4"/>
  <c r="AE890" i="4" s="1"/>
  <c r="AC890" i="4"/>
  <c r="AB890" i="4"/>
  <c r="AA890" i="4"/>
  <c r="AF890" i="4" s="1"/>
  <c r="Z890" i="4"/>
  <c r="Y890" i="4"/>
  <c r="X890" i="4"/>
  <c r="W890" i="4"/>
  <c r="V890" i="4"/>
  <c r="U890" i="4"/>
  <c r="T890" i="4"/>
  <c r="AD889" i="4"/>
  <c r="AE889" i="4" s="1"/>
  <c r="AC889" i="4"/>
  <c r="AB889" i="4"/>
  <c r="AA889" i="4"/>
  <c r="AF889" i="4" s="1"/>
  <c r="Z889" i="4"/>
  <c r="Y889" i="4"/>
  <c r="X889" i="4"/>
  <c r="W889" i="4"/>
  <c r="V889" i="4"/>
  <c r="U889" i="4"/>
  <c r="T889" i="4"/>
  <c r="AD888" i="4"/>
  <c r="AE888" i="4" s="1"/>
  <c r="AC888" i="4"/>
  <c r="AB888" i="4"/>
  <c r="AA888" i="4"/>
  <c r="AF888" i="4" s="1"/>
  <c r="Z888" i="4"/>
  <c r="Y888" i="4"/>
  <c r="X888" i="4"/>
  <c r="W888" i="4"/>
  <c r="V888" i="4"/>
  <c r="U888" i="4"/>
  <c r="T888" i="4"/>
  <c r="AD887" i="4"/>
  <c r="AE887" i="4" s="1"/>
  <c r="AC887" i="4"/>
  <c r="AB887" i="4"/>
  <c r="AA887" i="4"/>
  <c r="AF887" i="4" s="1"/>
  <c r="Z887" i="4"/>
  <c r="Y887" i="4"/>
  <c r="X887" i="4"/>
  <c r="W887" i="4"/>
  <c r="V887" i="4"/>
  <c r="U887" i="4"/>
  <c r="T887" i="4"/>
  <c r="AD886" i="4"/>
  <c r="AE886" i="4" s="1"/>
  <c r="AC886" i="4"/>
  <c r="AB886" i="4"/>
  <c r="AA886" i="4"/>
  <c r="AF886" i="4" s="1"/>
  <c r="Z886" i="4"/>
  <c r="Y886" i="4"/>
  <c r="X886" i="4"/>
  <c r="W886" i="4"/>
  <c r="V886" i="4"/>
  <c r="U886" i="4"/>
  <c r="T886" i="4"/>
  <c r="AF885" i="4"/>
  <c r="AD885" i="4"/>
  <c r="AE885" i="4" s="1"/>
  <c r="AC885" i="4"/>
  <c r="AB885" i="4"/>
  <c r="AA885" i="4"/>
  <c r="Z885" i="4"/>
  <c r="Y885" i="4"/>
  <c r="X885" i="4"/>
  <c r="W885" i="4"/>
  <c r="V885" i="4"/>
  <c r="U885" i="4"/>
  <c r="T885" i="4"/>
  <c r="AD884" i="4"/>
  <c r="AE884" i="4" s="1"/>
  <c r="AC884" i="4"/>
  <c r="AB884" i="4"/>
  <c r="AA884" i="4"/>
  <c r="AF884" i="4" s="1"/>
  <c r="Z884" i="4"/>
  <c r="Y884" i="4"/>
  <c r="X884" i="4"/>
  <c r="W884" i="4"/>
  <c r="V884" i="4"/>
  <c r="U884" i="4"/>
  <c r="T884" i="4"/>
  <c r="AD883" i="4"/>
  <c r="AE883" i="4" s="1"/>
  <c r="AC883" i="4"/>
  <c r="AB883" i="4"/>
  <c r="AA883" i="4"/>
  <c r="AF883" i="4" s="1"/>
  <c r="Z883" i="4"/>
  <c r="Y883" i="4"/>
  <c r="X883" i="4"/>
  <c r="W883" i="4"/>
  <c r="V883" i="4"/>
  <c r="U883" i="4"/>
  <c r="T883" i="4"/>
  <c r="AD882" i="4"/>
  <c r="AE882" i="4" s="1"/>
  <c r="AC882" i="4"/>
  <c r="AB882" i="4"/>
  <c r="AA882" i="4"/>
  <c r="AF882" i="4" s="1"/>
  <c r="Z882" i="4"/>
  <c r="Y882" i="4"/>
  <c r="X882" i="4"/>
  <c r="W882" i="4"/>
  <c r="V882" i="4"/>
  <c r="U882" i="4"/>
  <c r="T882" i="4"/>
  <c r="AF881" i="4"/>
  <c r="AD881" i="4"/>
  <c r="AE881" i="4" s="1"/>
  <c r="AC881" i="4"/>
  <c r="AB881" i="4"/>
  <c r="AA881" i="4"/>
  <c r="Z881" i="4"/>
  <c r="Y881" i="4"/>
  <c r="X881" i="4"/>
  <c r="W881" i="4"/>
  <c r="V881" i="4"/>
  <c r="U881" i="4"/>
  <c r="T881" i="4"/>
  <c r="AD880" i="4"/>
  <c r="AE880" i="4" s="1"/>
  <c r="AC880" i="4"/>
  <c r="AB880" i="4"/>
  <c r="AA880" i="4"/>
  <c r="AF880" i="4" s="1"/>
  <c r="Z880" i="4"/>
  <c r="Y880" i="4"/>
  <c r="X880" i="4"/>
  <c r="W880" i="4"/>
  <c r="V880" i="4"/>
  <c r="U880" i="4"/>
  <c r="T880" i="4"/>
  <c r="AD879" i="4"/>
  <c r="AE879" i="4" s="1"/>
  <c r="AC879" i="4"/>
  <c r="AB879" i="4"/>
  <c r="AA879" i="4"/>
  <c r="AF879" i="4" s="1"/>
  <c r="Z879" i="4"/>
  <c r="Y879" i="4"/>
  <c r="X879" i="4"/>
  <c r="W879" i="4"/>
  <c r="V879" i="4"/>
  <c r="U879" i="4"/>
  <c r="T879" i="4"/>
  <c r="AD878" i="4"/>
  <c r="AE878" i="4" s="1"/>
  <c r="AC878" i="4"/>
  <c r="AB878" i="4"/>
  <c r="AA878" i="4"/>
  <c r="AF878" i="4" s="1"/>
  <c r="Z878" i="4"/>
  <c r="Y878" i="4"/>
  <c r="X878" i="4"/>
  <c r="W878" i="4"/>
  <c r="V878" i="4"/>
  <c r="U878" i="4"/>
  <c r="T878" i="4"/>
  <c r="AD877" i="4"/>
  <c r="AE877" i="4" s="1"/>
  <c r="AC877" i="4"/>
  <c r="AB877" i="4"/>
  <c r="AA877" i="4"/>
  <c r="AF877" i="4" s="1"/>
  <c r="Z877" i="4"/>
  <c r="Y877" i="4"/>
  <c r="X877" i="4"/>
  <c r="W877" i="4"/>
  <c r="V877" i="4"/>
  <c r="U877" i="4"/>
  <c r="T877" i="4"/>
  <c r="AD876" i="4"/>
  <c r="AE876" i="4" s="1"/>
  <c r="AC876" i="4"/>
  <c r="AB876" i="4"/>
  <c r="AA876" i="4"/>
  <c r="AF876" i="4" s="1"/>
  <c r="Z876" i="4"/>
  <c r="Y876" i="4"/>
  <c r="X876" i="4"/>
  <c r="W876" i="4"/>
  <c r="V876" i="4"/>
  <c r="U876" i="4"/>
  <c r="T876" i="4"/>
  <c r="AD875" i="4"/>
  <c r="AE875" i="4" s="1"/>
  <c r="AC875" i="4"/>
  <c r="AB875" i="4"/>
  <c r="AA875" i="4"/>
  <c r="AF875" i="4" s="1"/>
  <c r="Z875" i="4"/>
  <c r="Y875" i="4"/>
  <c r="X875" i="4"/>
  <c r="W875" i="4"/>
  <c r="V875" i="4"/>
  <c r="U875" i="4"/>
  <c r="T875" i="4"/>
  <c r="AD874" i="4"/>
  <c r="AE874" i="4" s="1"/>
  <c r="AC874" i="4"/>
  <c r="AB874" i="4"/>
  <c r="AA874" i="4"/>
  <c r="AF874" i="4" s="1"/>
  <c r="Z874" i="4"/>
  <c r="Y874" i="4"/>
  <c r="X874" i="4"/>
  <c r="W874" i="4"/>
  <c r="V874" i="4"/>
  <c r="U874" i="4"/>
  <c r="T874" i="4"/>
  <c r="AF873" i="4"/>
  <c r="AD873" i="4"/>
  <c r="AE873" i="4" s="1"/>
  <c r="AC873" i="4"/>
  <c r="AB873" i="4"/>
  <c r="AA873" i="4"/>
  <c r="Z873" i="4"/>
  <c r="Y873" i="4"/>
  <c r="X873" i="4"/>
  <c r="W873" i="4"/>
  <c r="V873" i="4"/>
  <c r="U873" i="4"/>
  <c r="T873" i="4"/>
  <c r="AF872" i="4"/>
  <c r="AD872" i="4"/>
  <c r="AE872" i="4" s="1"/>
  <c r="AC872" i="4"/>
  <c r="AB872" i="4"/>
  <c r="AA872" i="4"/>
  <c r="Z872" i="4"/>
  <c r="Y872" i="4"/>
  <c r="X872" i="4"/>
  <c r="W872" i="4"/>
  <c r="V872" i="4"/>
  <c r="U872" i="4"/>
  <c r="T872" i="4"/>
  <c r="AF871" i="4"/>
  <c r="AD871" i="4"/>
  <c r="AE871" i="4" s="1"/>
  <c r="AC871" i="4"/>
  <c r="AB871" i="4"/>
  <c r="AA871" i="4"/>
  <c r="Z871" i="4"/>
  <c r="Y871" i="4"/>
  <c r="X871" i="4"/>
  <c r="W871" i="4"/>
  <c r="V871" i="4"/>
  <c r="U871" i="4"/>
  <c r="T871" i="4"/>
  <c r="AD870" i="4"/>
  <c r="AE870" i="4" s="1"/>
  <c r="AC870" i="4"/>
  <c r="AB870" i="4"/>
  <c r="AA870" i="4"/>
  <c r="AF870" i="4" s="1"/>
  <c r="Z870" i="4"/>
  <c r="Y870" i="4"/>
  <c r="X870" i="4"/>
  <c r="W870" i="4"/>
  <c r="V870" i="4"/>
  <c r="U870" i="4"/>
  <c r="T870" i="4"/>
  <c r="AD869" i="4"/>
  <c r="AE869" i="4" s="1"/>
  <c r="AC869" i="4"/>
  <c r="AB869" i="4"/>
  <c r="AA869" i="4"/>
  <c r="AF869" i="4" s="1"/>
  <c r="Z869" i="4"/>
  <c r="Y869" i="4"/>
  <c r="X869" i="4"/>
  <c r="W869" i="4"/>
  <c r="V869" i="4"/>
  <c r="U869" i="4"/>
  <c r="T869" i="4"/>
  <c r="AD868" i="4"/>
  <c r="AE868" i="4" s="1"/>
  <c r="AC868" i="4"/>
  <c r="AB868" i="4"/>
  <c r="AA868" i="4"/>
  <c r="AF868" i="4" s="1"/>
  <c r="Z868" i="4"/>
  <c r="Y868" i="4"/>
  <c r="X868" i="4"/>
  <c r="W868" i="4"/>
  <c r="V868" i="4"/>
  <c r="U868" i="4"/>
  <c r="T868" i="4"/>
  <c r="AD867" i="4"/>
  <c r="AE867" i="4" s="1"/>
  <c r="AC867" i="4"/>
  <c r="AB867" i="4"/>
  <c r="AA867" i="4"/>
  <c r="AF867" i="4" s="1"/>
  <c r="Z867" i="4"/>
  <c r="Y867" i="4"/>
  <c r="X867" i="4"/>
  <c r="W867" i="4"/>
  <c r="V867" i="4"/>
  <c r="U867" i="4"/>
  <c r="T867" i="4"/>
  <c r="AD866" i="4"/>
  <c r="AE866" i="4" s="1"/>
  <c r="AC866" i="4"/>
  <c r="AB866" i="4"/>
  <c r="AA866" i="4"/>
  <c r="AF866" i="4" s="1"/>
  <c r="Z866" i="4"/>
  <c r="Y866" i="4"/>
  <c r="X866" i="4"/>
  <c r="W866" i="4"/>
  <c r="V866" i="4"/>
  <c r="U866" i="4"/>
  <c r="T866" i="4"/>
  <c r="AF865" i="4"/>
  <c r="AD865" i="4"/>
  <c r="AE865" i="4" s="1"/>
  <c r="AC865" i="4"/>
  <c r="AB865" i="4"/>
  <c r="AA865" i="4"/>
  <c r="Z865" i="4"/>
  <c r="Y865" i="4"/>
  <c r="X865" i="4"/>
  <c r="W865" i="4"/>
  <c r="V865" i="4"/>
  <c r="U865" i="4"/>
  <c r="T865" i="4"/>
  <c r="AD864" i="4"/>
  <c r="AE864" i="4" s="1"/>
  <c r="AC864" i="4"/>
  <c r="AB864" i="4"/>
  <c r="AA864" i="4"/>
  <c r="AF864" i="4" s="1"/>
  <c r="Z864" i="4"/>
  <c r="Y864" i="4"/>
  <c r="X864" i="4"/>
  <c r="W864" i="4"/>
  <c r="V864" i="4"/>
  <c r="U864" i="4"/>
  <c r="T864" i="4"/>
  <c r="AD863" i="4"/>
  <c r="AE863" i="4" s="1"/>
  <c r="AC863" i="4"/>
  <c r="AB863" i="4"/>
  <c r="AA863" i="4"/>
  <c r="AF863" i="4" s="1"/>
  <c r="Z863" i="4"/>
  <c r="Y863" i="4"/>
  <c r="X863" i="4"/>
  <c r="W863" i="4"/>
  <c r="V863" i="4"/>
  <c r="U863" i="4"/>
  <c r="T863" i="4"/>
  <c r="AD862" i="4"/>
  <c r="AE862" i="4" s="1"/>
  <c r="AC862" i="4"/>
  <c r="AB862" i="4"/>
  <c r="AA862" i="4"/>
  <c r="AF862" i="4" s="1"/>
  <c r="Z862" i="4"/>
  <c r="Y862" i="4"/>
  <c r="X862" i="4"/>
  <c r="W862" i="4"/>
  <c r="V862" i="4"/>
  <c r="U862" i="4"/>
  <c r="T862" i="4"/>
  <c r="AD861" i="4"/>
  <c r="AE861" i="4" s="1"/>
  <c r="AC861" i="4"/>
  <c r="AB861" i="4"/>
  <c r="AA861" i="4"/>
  <c r="AF861" i="4" s="1"/>
  <c r="Z861" i="4"/>
  <c r="Y861" i="4"/>
  <c r="X861" i="4"/>
  <c r="W861" i="4"/>
  <c r="V861" i="4"/>
  <c r="U861" i="4"/>
  <c r="T861" i="4"/>
  <c r="AD860" i="4"/>
  <c r="AE860" i="4" s="1"/>
  <c r="AC860" i="4"/>
  <c r="AB860" i="4"/>
  <c r="AA860" i="4"/>
  <c r="AF860" i="4" s="1"/>
  <c r="Z860" i="4"/>
  <c r="Y860" i="4"/>
  <c r="X860" i="4"/>
  <c r="W860" i="4"/>
  <c r="V860" i="4"/>
  <c r="U860" i="4"/>
  <c r="T860" i="4"/>
  <c r="AF859" i="4"/>
  <c r="AD859" i="4"/>
  <c r="AE859" i="4" s="1"/>
  <c r="AC859" i="4"/>
  <c r="AB859" i="4"/>
  <c r="AA859" i="4"/>
  <c r="Z859" i="4"/>
  <c r="Y859" i="4"/>
  <c r="X859" i="4"/>
  <c r="W859" i="4"/>
  <c r="V859" i="4"/>
  <c r="U859" i="4"/>
  <c r="T859" i="4"/>
  <c r="AD858" i="4"/>
  <c r="AE858" i="4" s="1"/>
  <c r="AC858" i="4"/>
  <c r="AB858" i="4"/>
  <c r="AA858" i="4"/>
  <c r="AF858" i="4" s="1"/>
  <c r="Z858" i="4"/>
  <c r="Y858" i="4"/>
  <c r="X858" i="4"/>
  <c r="W858" i="4"/>
  <c r="V858" i="4"/>
  <c r="U858" i="4"/>
  <c r="T858" i="4"/>
  <c r="AD857" i="4"/>
  <c r="AE857" i="4" s="1"/>
  <c r="AC857" i="4"/>
  <c r="AB857" i="4"/>
  <c r="AA857" i="4"/>
  <c r="AF857" i="4" s="1"/>
  <c r="Z857" i="4"/>
  <c r="Y857" i="4"/>
  <c r="X857" i="4"/>
  <c r="W857" i="4"/>
  <c r="V857" i="4"/>
  <c r="U857" i="4"/>
  <c r="T857" i="4"/>
  <c r="AD856" i="4"/>
  <c r="AE856" i="4" s="1"/>
  <c r="AC856" i="4"/>
  <c r="AB856" i="4"/>
  <c r="AA856" i="4"/>
  <c r="AF856" i="4" s="1"/>
  <c r="Z856" i="4"/>
  <c r="Y856" i="4"/>
  <c r="X856" i="4"/>
  <c r="W856" i="4"/>
  <c r="V856" i="4"/>
  <c r="U856" i="4"/>
  <c r="T856" i="4"/>
  <c r="AD855" i="4"/>
  <c r="AE855" i="4" s="1"/>
  <c r="AC855" i="4"/>
  <c r="AB855" i="4"/>
  <c r="AA855" i="4"/>
  <c r="AF855" i="4" s="1"/>
  <c r="Z855" i="4"/>
  <c r="Y855" i="4"/>
  <c r="X855" i="4"/>
  <c r="W855" i="4"/>
  <c r="V855" i="4"/>
  <c r="U855" i="4"/>
  <c r="T855" i="4"/>
  <c r="AD854" i="4"/>
  <c r="AE854" i="4" s="1"/>
  <c r="AC854" i="4"/>
  <c r="AB854" i="4"/>
  <c r="AA854" i="4"/>
  <c r="AF854" i="4" s="1"/>
  <c r="Z854" i="4"/>
  <c r="Y854" i="4"/>
  <c r="X854" i="4"/>
  <c r="W854" i="4"/>
  <c r="V854" i="4"/>
  <c r="U854" i="4"/>
  <c r="T854" i="4"/>
  <c r="AD853" i="4"/>
  <c r="AE853" i="4" s="1"/>
  <c r="AC853" i="4"/>
  <c r="AB853" i="4"/>
  <c r="AA853" i="4"/>
  <c r="AF853" i="4" s="1"/>
  <c r="Z853" i="4"/>
  <c r="Y853" i="4"/>
  <c r="X853" i="4"/>
  <c r="W853" i="4"/>
  <c r="V853" i="4"/>
  <c r="U853" i="4"/>
  <c r="T853" i="4"/>
  <c r="AF852" i="4"/>
  <c r="AD852" i="4"/>
  <c r="AE852" i="4" s="1"/>
  <c r="AC852" i="4"/>
  <c r="AB852" i="4"/>
  <c r="AA852" i="4"/>
  <c r="Z852" i="4"/>
  <c r="Y852" i="4"/>
  <c r="X852" i="4"/>
  <c r="W852" i="4"/>
  <c r="V852" i="4"/>
  <c r="U852" i="4"/>
  <c r="T852" i="4"/>
  <c r="AD851" i="4"/>
  <c r="AE851" i="4" s="1"/>
  <c r="AC851" i="4"/>
  <c r="AB851" i="4"/>
  <c r="AA851" i="4"/>
  <c r="AF851" i="4" s="1"/>
  <c r="Z851" i="4"/>
  <c r="Y851" i="4"/>
  <c r="X851" i="4"/>
  <c r="W851" i="4"/>
  <c r="V851" i="4"/>
  <c r="U851" i="4"/>
  <c r="T851" i="4"/>
  <c r="AD850" i="4"/>
  <c r="AE850" i="4" s="1"/>
  <c r="AC850" i="4"/>
  <c r="AB850" i="4"/>
  <c r="AA850" i="4"/>
  <c r="AF850" i="4" s="1"/>
  <c r="Z850" i="4"/>
  <c r="Y850" i="4"/>
  <c r="X850" i="4"/>
  <c r="W850" i="4"/>
  <c r="V850" i="4"/>
  <c r="U850" i="4"/>
  <c r="T850" i="4"/>
  <c r="AD849" i="4"/>
  <c r="AE849" i="4" s="1"/>
  <c r="AC849" i="4"/>
  <c r="AB849" i="4"/>
  <c r="AA849" i="4"/>
  <c r="AF849" i="4" s="1"/>
  <c r="Z849" i="4"/>
  <c r="Y849" i="4"/>
  <c r="X849" i="4"/>
  <c r="W849" i="4"/>
  <c r="V849" i="4"/>
  <c r="U849" i="4"/>
  <c r="T849" i="4"/>
  <c r="AD848" i="4"/>
  <c r="AE848" i="4" s="1"/>
  <c r="AC848" i="4"/>
  <c r="AB848" i="4"/>
  <c r="AA848" i="4"/>
  <c r="AF848" i="4" s="1"/>
  <c r="Z848" i="4"/>
  <c r="Y848" i="4"/>
  <c r="X848" i="4"/>
  <c r="W848" i="4"/>
  <c r="V848" i="4"/>
  <c r="U848" i="4"/>
  <c r="T848" i="4"/>
  <c r="AD847" i="4"/>
  <c r="AE847" i="4" s="1"/>
  <c r="AC847" i="4"/>
  <c r="AB847" i="4"/>
  <c r="AA847" i="4"/>
  <c r="AF847" i="4" s="1"/>
  <c r="Z847" i="4"/>
  <c r="Y847" i="4"/>
  <c r="X847" i="4"/>
  <c r="W847" i="4"/>
  <c r="V847" i="4"/>
  <c r="U847" i="4"/>
  <c r="T847" i="4"/>
  <c r="AD846" i="4"/>
  <c r="AE846" i="4" s="1"/>
  <c r="AC846" i="4"/>
  <c r="AB846" i="4"/>
  <c r="AA846" i="4"/>
  <c r="AF846" i="4" s="1"/>
  <c r="Z846" i="4"/>
  <c r="Y846" i="4"/>
  <c r="X846" i="4"/>
  <c r="W846" i="4"/>
  <c r="V846" i="4"/>
  <c r="U846" i="4"/>
  <c r="T846" i="4"/>
  <c r="AD845" i="4"/>
  <c r="AE845" i="4" s="1"/>
  <c r="AC845" i="4"/>
  <c r="AB845" i="4"/>
  <c r="AA845" i="4"/>
  <c r="AF845" i="4" s="1"/>
  <c r="Z845" i="4"/>
  <c r="Y845" i="4"/>
  <c r="X845" i="4"/>
  <c r="W845" i="4"/>
  <c r="V845" i="4"/>
  <c r="U845" i="4"/>
  <c r="T845" i="4"/>
  <c r="AD844" i="4"/>
  <c r="AE844" i="4" s="1"/>
  <c r="AC844" i="4"/>
  <c r="AB844" i="4"/>
  <c r="AA844" i="4"/>
  <c r="AF844" i="4" s="1"/>
  <c r="Z844" i="4"/>
  <c r="Y844" i="4"/>
  <c r="X844" i="4"/>
  <c r="W844" i="4"/>
  <c r="V844" i="4"/>
  <c r="U844" i="4"/>
  <c r="T844" i="4"/>
  <c r="AD843" i="4"/>
  <c r="AE843" i="4" s="1"/>
  <c r="AC843" i="4"/>
  <c r="AB843" i="4"/>
  <c r="AA843" i="4"/>
  <c r="AF843" i="4" s="1"/>
  <c r="Z843" i="4"/>
  <c r="Y843" i="4"/>
  <c r="X843" i="4"/>
  <c r="W843" i="4"/>
  <c r="V843" i="4"/>
  <c r="U843" i="4"/>
  <c r="T843" i="4"/>
  <c r="AD842" i="4"/>
  <c r="AE842" i="4" s="1"/>
  <c r="AC842" i="4"/>
  <c r="AB842" i="4"/>
  <c r="AA842" i="4"/>
  <c r="AF842" i="4" s="1"/>
  <c r="Z842" i="4"/>
  <c r="Y842" i="4"/>
  <c r="X842" i="4"/>
  <c r="W842" i="4"/>
  <c r="V842" i="4"/>
  <c r="U842" i="4"/>
  <c r="T842" i="4"/>
  <c r="AD841" i="4"/>
  <c r="AE841" i="4" s="1"/>
  <c r="AC841" i="4"/>
  <c r="AB841" i="4"/>
  <c r="AA841" i="4"/>
  <c r="AF841" i="4" s="1"/>
  <c r="Z841" i="4"/>
  <c r="Y841" i="4"/>
  <c r="X841" i="4"/>
  <c r="W841" i="4"/>
  <c r="V841" i="4"/>
  <c r="U841" i="4"/>
  <c r="T841" i="4"/>
  <c r="AD840" i="4"/>
  <c r="AE840" i="4" s="1"/>
  <c r="AC840" i="4"/>
  <c r="AB840" i="4"/>
  <c r="AA840" i="4"/>
  <c r="AF840" i="4" s="1"/>
  <c r="Z840" i="4"/>
  <c r="Y840" i="4"/>
  <c r="X840" i="4"/>
  <c r="W840" i="4"/>
  <c r="V840" i="4"/>
  <c r="U840" i="4"/>
  <c r="T840" i="4"/>
  <c r="AD839" i="4"/>
  <c r="AE839" i="4" s="1"/>
  <c r="AC839" i="4"/>
  <c r="AB839" i="4"/>
  <c r="AA839" i="4"/>
  <c r="AF839" i="4" s="1"/>
  <c r="Z839" i="4"/>
  <c r="Y839" i="4"/>
  <c r="X839" i="4"/>
  <c r="W839" i="4"/>
  <c r="V839" i="4"/>
  <c r="U839" i="4"/>
  <c r="T839" i="4"/>
  <c r="AD838" i="4"/>
  <c r="AE838" i="4" s="1"/>
  <c r="AC838" i="4"/>
  <c r="AB838" i="4"/>
  <c r="AA838" i="4"/>
  <c r="AF838" i="4" s="1"/>
  <c r="Z838" i="4"/>
  <c r="Y838" i="4"/>
  <c r="X838" i="4"/>
  <c r="W838" i="4"/>
  <c r="V838" i="4"/>
  <c r="U838" i="4"/>
  <c r="T838" i="4"/>
  <c r="AD837" i="4"/>
  <c r="AE837" i="4" s="1"/>
  <c r="AC837" i="4"/>
  <c r="AB837" i="4"/>
  <c r="AA837" i="4"/>
  <c r="AF837" i="4" s="1"/>
  <c r="Z837" i="4"/>
  <c r="Y837" i="4"/>
  <c r="X837" i="4"/>
  <c r="W837" i="4"/>
  <c r="V837" i="4"/>
  <c r="U837" i="4"/>
  <c r="T837" i="4"/>
  <c r="AD836" i="4"/>
  <c r="AE836" i="4" s="1"/>
  <c r="AC836" i="4"/>
  <c r="AB836" i="4"/>
  <c r="AA836" i="4"/>
  <c r="AF836" i="4" s="1"/>
  <c r="Z836" i="4"/>
  <c r="Y836" i="4"/>
  <c r="X836" i="4"/>
  <c r="W836" i="4"/>
  <c r="V836" i="4"/>
  <c r="U836" i="4"/>
  <c r="T836" i="4"/>
  <c r="AD835" i="4"/>
  <c r="AE835" i="4" s="1"/>
  <c r="AC835" i="4"/>
  <c r="AB835" i="4"/>
  <c r="AA835" i="4"/>
  <c r="AF835" i="4" s="1"/>
  <c r="Z835" i="4"/>
  <c r="Y835" i="4"/>
  <c r="X835" i="4"/>
  <c r="W835" i="4"/>
  <c r="V835" i="4"/>
  <c r="U835" i="4"/>
  <c r="T835" i="4"/>
  <c r="AD834" i="4"/>
  <c r="AE834" i="4" s="1"/>
  <c r="AC834" i="4"/>
  <c r="AB834" i="4"/>
  <c r="AA834" i="4"/>
  <c r="AF834" i="4" s="1"/>
  <c r="Z834" i="4"/>
  <c r="Y834" i="4"/>
  <c r="X834" i="4"/>
  <c r="W834" i="4"/>
  <c r="V834" i="4"/>
  <c r="U834" i="4"/>
  <c r="T834" i="4"/>
  <c r="AF833" i="4"/>
  <c r="AD833" i="4"/>
  <c r="AE833" i="4" s="1"/>
  <c r="AC833" i="4"/>
  <c r="AB833" i="4"/>
  <c r="AA833" i="4"/>
  <c r="Z833" i="4"/>
  <c r="Y833" i="4"/>
  <c r="X833" i="4"/>
  <c r="W833" i="4"/>
  <c r="V833" i="4"/>
  <c r="U833" i="4"/>
  <c r="T833" i="4"/>
  <c r="AD832" i="4"/>
  <c r="AE832" i="4" s="1"/>
  <c r="AC832" i="4"/>
  <c r="AB832" i="4"/>
  <c r="AA832" i="4"/>
  <c r="AF832" i="4" s="1"/>
  <c r="Z832" i="4"/>
  <c r="Y832" i="4"/>
  <c r="X832" i="4"/>
  <c r="W832" i="4"/>
  <c r="V832" i="4"/>
  <c r="U832" i="4"/>
  <c r="T832" i="4"/>
  <c r="AF831" i="4"/>
  <c r="AD831" i="4"/>
  <c r="AE831" i="4" s="1"/>
  <c r="AC831" i="4"/>
  <c r="AB831" i="4"/>
  <c r="AA831" i="4"/>
  <c r="Z831" i="4"/>
  <c r="Y831" i="4"/>
  <c r="X831" i="4"/>
  <c r="W831" i="4"/>
  <c r="V831" i="4"/>
  <c r="U831" i="4"/>
  <c r="T831" i="4"/>
  <c r="AD830" i="4"/>
  <c r="AE830" i="4" s="1"/>
  <c r="AC830" i="4"/>
  <c r="AB830" i="4"/>
  <c r="AA830" i="4"/>
  <c r="AF830" i="4" s="1"/>
  <c r="Z830" i="4"/>
  <c r="Y830" i="4"/>
  <c r="X830" i="4"/>
  <c r="W830" i="4"/>
  <c r="V830" i="4"/>
  <c r="U830" i="4"/>
  <c r="T830" i="4"/>
  <c r="AF829" i="4"/>
  <c r="AD829" i="4"/>
  <c r="AE829" i="4" s="1"/>
  <c r="AC829" i="4"/>
  <c r="AB829" i="4"/>
  <c r="AA829" i="4"/>
  <c r="Z829" i="4"/>
  <c r="Y829" i="4"/>
  <c r="X829" i="4"/>
  <c r="W829" i="4"/>
  <c r="V829" i="4"/>
  <c r="U829" i="4"/>
  <c r="T829" i="4"/>
  <c r="AD828" i="4"/>
  <c r="AE828" i="4" s="1"/>
  <c r="AC828" i="4"/>
  <c r="AB828" i="4"/>
  <c r="AA828" i="4"/>
  <c r="AF828" i="4" s="1"/>
  <c r="Z828" i="4"/>
  <c r="Y828" i="4"/>
  <c r="X828" i="4"/>
  <c r="W828" i="4"/>
  <c r="V828" i="4"/>
  <c r="U828" i="4"/>
  <c r="T828" i="4"/>
  <c r="AD827" i="4"/>
  <c r="AE827" i="4" s="1"/>
  <c r="AC827" i="4"/>
  <c r="AB827" i="4"/>
  <c r="AA827" i="4"/>
  <c r="AF827" i="4" s="1"/>
  <c r="Z827" i="4"/>
  <c r="Y827" i="4"/>
  <c r="X827" i="4"/>
  <c r="W827" i="4"/>
  <c r="V827" i="4"/>
  <c r="U827" i="4"/>
  <c r="T827" i="4"/>
  <c r="AF826" i="4"/>
  <c r="AD826" i="4"/>
  <c r="AE826" i="4" s="1"/>
  <c r="AC826" i="4"/>
  <c r="AB826" i="4"/>
  <c r="AA826" i="4"/>
  <c r="Z826" i="4"/>
  <c r="Y826" i="4"/>
  <c r="X826" i="4"/>
  <c r="W826" i="4"/>
  <c r="V826" i="4"/>
  <c r="U826" i="4"/>
  <c r="T826" i="4"/>
  <c r="AD825" i="4"/>
  <c r="AE825" i="4" s="1"/>
  <c r="AC825" i="4"/>
  <c r="AB825" i="4"/>
  <c r="AA825" i="4"/>
  <c r="AF825" i="4" s="1"/>
  <c r="Z825" i="4"/>
  <c r="Y825" i="4"/>
  <c r="X825" i="4"/>
  <c r="W825" i="4"/>
  <c r="V825" i="4"/>
  <c r="U825" i="4"/>
  <c r="T825" i="4"/>
  <c r="AD824" i="4"/>
  <c r="AE824" i="4" s="1"/>
  <c r="AC824" i="4"/>
  <c r="AB824" i="4"/>
  <c r="AA824" i="4"/>
  <c r="AF824" i="4" s="1"/>
  <c r="Z824" i="4"/>
  <c r="Y824" i="4"/>
  <c r="X824" i="4"/>
  <c r="W824" i="4"/>
  <c r="V824" i="4"/>
  <c r="U824" i="4"/>
  <c r="T824" i="4"/>
  <c r="AD823" i="4"/>
  <c r="AE823" i="4" s="1"/>
  <c r="AC823" i="4"/>
  <c r="AB823" i="4"/>
  <c r="AA823" i="4"/>
  <c r="AF823" i="4" s="1"/>
  <c r="Z823" i="4"/>
  <c r="Y823" i="4"/>
  <c r="X823" i="4"/>
  <c r="W823" i="4"/>
  <c r="V823" i="4"/>
  <c r="U823" i="4"/>
  <c r="T823" i="4"/>
  <c r="AF822" i="4"/>
  <c r="AD822" i="4"/>
  <c r="AE822" i="4" s="1"/>
  <c r="AC822" i="4"/>
  <c r="AB822" i="4"/>
  <c r="AA822" i="4"/>
  <c r="Z822" i="4"/>
  <c r="Y822" i="4"/>
  <c r="X822" i="4"/>
  <c r="W822" i="4"/>
  <c r="V822" i="4"/>
  <c r="U822" i="4"/>
  <c r="T822" i="4"/>
  <c r="AD821" i="4"/>
  <c r="AE821" i="4" s="1"/>
  <c r="AC821" i="4"/>
  <c r="AB821" i="4"/>
  <c r="AA821" i="4"/>
  <c r="AF821" i="4" s="1"/>
  <c r="Z821" i="4"/>
  <c r="Y821" i="4"/>
  <c r="X821" i="4"/>
  <c r="W821" i="4"/>
  <c r="V821" i="4"/>
  <c r="U821" i="4"/>
  <c r="T821" i="4"/>
  <c r="AD820" i="4"/>
  <c r="AE820" i="4" s="1"/>
  <c r="AC820" i="4"/>
  <c r="AB820" i="4"/>
  <c r="AA820" i="4"/>
  <c r="AF820" i="4" s="1"/>
  <c r="Z820" i="4"/>
  <c r="Y820" i="4"/>
  <c r="X820" i="4"/>
  <c r="W820" i="4"/>
  <c r="V820" i="4"/>
  <c r="U820" i="4"/>
  <c r="T820" i="4"/>
  <c r="AF819" i="4"/>
  <c r="AD819" i="4"/>
  <c r="AE819" i="4" s="1"/>
  <c r="AC819" i="4"/>
  <c r="AB819" i="4"/>
  <c r="AA819" i="4"/>
  <c r="Z819" i="4"/>
  <c r="Y819" i="4"/>
  <c r="X819" i="4"/>
  <c r="W819" i="4"/>
  <c r="V819" i="4"/>
  <c r="U819" i="4"/>
  <c r="T819" i="4"/>
  <c r="AD818" i="4"/>
  <c r="AE818" i="4" s="1"/>
  <c r="AC818" i="4"/>
  <c r="AB818" i="4"/>
  <c r="AA818" i="4"/>
  <c r="AF818" i="4" s="1"/>
  <c r="Z818" i="4"/>
  <c r="Y818" i="4"/>
  <c r="X818" i="4"/>
  <c r="W818" i="4"/>
  <c r="V818" i="4"/>
  <c r="U818" i="4"/>
  <c r="T818" i="4"/>
  <c r="AD817" i="4"/>
  <c r="AE817" i="4" s="1"/>
  <c r="AC817" i="4"/>
  <c r="AB817" i="4"/>
  <c r="AA817" i="4"/>
  <c r="AF817" i="4" s="1"/>
  <c r="Z817" i="4"/>
  <c r="Y817" i="4"/>
  <c r="X817" i="4"/>
  <c r="W817" i="4"/>
  <c r="V817" i="4"/>
  <c r="U817" i="4"/>
  <c r="T817" i="4"/>
  <c r="AF816" i="4"/>
  <c r="AD816" i="4"/>
  <c r="AE816" i="4" s="1"/>
  <c r="AC816" i="4"/>
  <c r="AB816" i="4"/>
  <c r="AA816" i="4"/>
  <c r="Z816" i="4"/>
  <c r="Y816" i="4"/>
  <c r="X816" i="4"/>
  <c r="W816" i="4"/>
  <c r="V816" i="4"/>
  <c r="U816" i="4"/>
  <c r="T816" i="4"/>
  <c r="AD815" i="4"/>
  <c r="AE815" i="4" s="1"/>
  <c r="AC815" i="4"/>
  <c r="AB815" i="4"/>
  <c r="AA815" i="4"/>
  <c r="AF815" i="4" s="1"/>
  <c r="Z815" i="4"/>
  <c r="Y815" i="4"/>
  <c r="X815" i="4"/>
  <c r="W815" i="4"/>
  <c r="V815" i="4"/>
  <c r="U815" i="4"/>
  <c r="T815" i="4"/>
  <c r="AD814" i="4"/>
  <c r="AE814" i="4" s="1"/>
  <c r="AC814" i="4"/>
  <c r="AB814" i="4"/>
  <c r="AA814" i="4"/>
  <c r="AF814" i="4" s="1"/>
  <c r="Z814" i="4"/>
  <c r="Y814" i="4"/>
  <c r="X814" i="4"/>
  <c r="W814" i="4"/>
  <c r="V814" i="4"/>
  <c r="U814" i="4"/>
  <c r="T814" i="4"/>
  <c r="AD813" i="4"/>
  <c r="AE813" i="4" s="1"/>
  <c r="AC813" i="4"/>
  <c r="AB813" i="4"/>
  <c r="AA813" i="4"/>
  <c r="AF813" i="4" s="1"/>
  <c r="Z813" i="4"/>
  <c r="Y813" i="4"/>
  <c r="X813" i="4"/>
  <c r="W813" i="4"/>
  <c r="V813" i="4"/>
  <c r="U813" i="4"/>
  <c r="T813" i="4"/>
  <c r="AD812" i="4"/>
  <c r="AE812" i="4" s="1"/>
  <c r="AC812" i="4"/>
  <c r="AB812" i="4"/>
  <c r="AA812" i="4"/>
  <c r="AF812" i="4" s="1"/>
  <c r="Z812" i="4"/>
  <c r="Y812" i="4"/>
  <c r="X812" i="4"/>
  <c r="W812" i="4"/>
  <c r="V812" i="4"/>
  <c r="U812" i="4"/>
  <c r="T812" i="4"/>
  <c r="AD811" i="4"/>
  <c r="AE811" i="4" s="1"/>
  <c r="AC811" i="4"/>
  <c r="AB811" i="4"/>
  <c r="AA811" i="4"/>
  <c r="AF811" i="4" s="1"/>
  <c r="Z811" i="4"/>
  <c r="Y811" i="4"/>
  <c r="X811" i="4"/>
  <c r="W811" i="4"/>
  <c r="V811" i="4"/>
  <c r="U811" i="4"/>
  <c r="T811" i="4"/>
  <c r="AD810" i="4"/>
  <c r="AE810" i="4" s="1"/>
  <c r="AC810" i="4"/>
  <c r="AB810" i="4"/>
  <c r="AA810" i="4"/>
  <c r="AF810" i="4" s="1"/>
  <c r="Z810" i="4"/>
  <c r="Y810" i="4"/>
  <c r="X810" i="4"/>
  <c r="W810" i="4"/>
  <c r="V810" i="4"/>
  <c r="U810" i="4"/>
  <c r="T810" i="4"/>
  <c r="AD809" i="4"/>
  <c r="AE809" i="4" s="1"/>
  <c r="AC809" i="4"/>
  <c r="AB809" i="4"/>
  <c r="AA809" i="4"/>
  <c r="AF809" i="4" s="1"/>
  <c r="Z809" i="4"/>
  <c r="Y809" i="4"/>
  <c r="X809" i="4"/>
  <c r="W809" i="4"/>
  <c r="V809" i="4"/>
  <c r="U809" i="4"/>
  <c r="T809" i="4"/>
  <c r="AD808" i="4"/>
  <c r="AE808" i="4" s="1"/>
  <c r="AC808" i="4"/>
  <c r="AB808" i="4"/>
  <c r="AA808" i="4"/>
  <c r="AF808" i="4" s="1"/>
  <c r="Z808" i="4"/>
  <c r="Y808" i="4"/>
  <c r="X808" i="4"/>
  <c r="W808" i="4"/>
  <c r="V808" i="4"/>
  <c r="U808" i="4"/>
  <c r="T808" i="4"/>
  <c r="AF807" i="4"/>
  <c r="AD807" i="4"/>
  <c r="AE807" i="4" s="1"/>
  <c r="AC807" i="4"/>
  <c r="AB807" i="4"/>
  <c r="AA807" i="4"/>
  <c r="Z807" i="4"/>
  <c r="Y807" i="4"/>
  <c r="X807" i="4"/>
  <c r="W807" i="4"/>
  <c r="V807" i="4"/>
  <c r="U807" i="4"/>
  <c r="T807" i="4"/>
  <c r="AD806" i="4"/>
  <c r="AE806" i="4" s="1"/>
  <c r="AC806" i="4"/>
  <c r="AB806" i="4"/>
  <c r="AA806" i="4"/>
  <c r="AF806" i="4" s="1"/>
  <c r="Z806" i="4"/>
  <c r="Y806" i="4"/>
  <c r="X806" i="4"/>
  <c r="W806" i="4"/>
  <c r="V806" i="4"/>
  <c r="U806" i="4"/>
  <c r="T806" i="4"/>
  <c r="AD805" i="4"/>
  <c r="AE805" i="4" s="1"/>
  <c r="AC805" i="4"/>
  <c r="AB805" i="4"/>
  <c r="AA805" i="4"/>
  <c r="AF805" i="4" s="1"/>
  <c r="Z805" i="4"/>
  <c r="Y805" i="4"/>
  <c r="X805" i="4"/>
  <c r="W805" i="4"/>
  <c r="V805" i="4"/>
  <c r="U805" i="4"/>
  <c r="T805" i="4"/>
  <c r="AD804" i="4"/>
  <c r="AE804" i="4" s="1"/>
  <c r="AC804" i="4"/>
  <c r="AB804" i="4"/>
  <c r="AA804" i="4"/>
  <c r="AF804" i="4" s="1"/>
  <c r="Z804" i="4"/>
  <c r="Y804" i="4"/>
  <c r="X804" i="4"/>
  <c r="W804" i="4"/>
  <c r="V804" i="4"/>
  <c r="U804" i="4"/>
  <c r="T804" i="4"/>
  <c r="AF803" i="4"/>
  <c r="AD803" i="4"/>
  <c r="AE803" i="4" s="1"/>
  <c r="AC803" i="4"/>
  <c r="AB803" i="4"/>
  <c r="AA803" i="4"/>
  <c r="Z803" i="4"/>
  <c r="Y803" i="4"/>
  <c r="X803" i="4"/>
  <c r="W803" i="4"/>
  <c r="V803" i="4"/>
  <c r="U803" i="4"/>
  <c r="T803" i="4"/>
  <c r="AD802" i="4"/>
  <c r="AE802" i="4" s="1"/>
  <c r="AC802" i="4"/>
  <c r="AB802" i="4"/>
  <c r="AA802" i="4"/>
  <c r="AF802" i="4" s="1"/>
  <c r="Z802" i="4"/>
  <c r="Y802" i="4"/>
  <c r="X802" i="4"/>
  <c r="W802" i="4"/>
  <c r="V802" i="4"/>
  <c r="U802" i="4"/>
  <c r="T802" i="4"/>
  <c r="AD801" i="4"/>
  <c r="AE801" i="4" s="1"/>
  <c r="AC801" i="4"/>
  <c r="AB801" i="4"/>
  <c r="AA801" i="4"/>
  <c r="AF801" i="4" s="1"/>
  <c r="Z801" i="4"/>
  <c r="Y801" i="4"/>
  <c r="X801" i="4"/>
  <c r="W801" i="4"/>
  <c r="V801" i="4"/>
  <c r="U801" i="4"/>
  <c r="T801" i="4"/>
  <c r="AF800" i="4"/>
  <c r="AD800" i="4"/>
  <c r="AE800" i="4" s="1"/>
  <c r="AC800" i="4"/>
  <c r="AB800" i="4"/>
  <c r="AA800" i="4"/>
  <c r="Z800" i="4"/>
  <c r="Y800" i="4"/>
  <c r="X800" i="4"/>
  <c r="W800" i="4"/>
  <c r="V800" i="4"/>
  <c r="U800" i="4"/>
  <c r="T800" i="4"/>
  <c r="AD799" i="4"/>
  <c r="AE799" i="4" s="1"/>
  <c r="AC799" i="4"/>
  <c r="AB799" i="4"/>
  <c r="AA799" i="4"/>
  <c r="AF799" i="4" s="1"/>
  <c r="Z799" i="4"/>
  <c r="Y799" i="4"/>
  <c r="X799" i="4"/>
  <c r="W799" i="4"/>
  <c r="V799" i="4"/>
  <c r="U799" i="4"/>
  <c r="T799" i="4"/>
  <c r="AD798" i="4"/>
  <c r="AE798" i="4" s="1"/>
  <c r="AC798" i="4"/>
  <c r="AB798" i="4"/>
  <c r="AA798" i="4"/>
  <c r="AF798" i="4" s="1"/>
  <c r="Z798" i="4"/>
  <c r="Y798" i="4"/>
  <c r="X798" i="4"/>
  <c r="W798" i="4"/>
  <c r="V798" i="4"/>
  <c r="U798" i="4"/>
  <c r="T798" i="4"/>
  <c r="AD797" i="4"/>
  <c r="AE797" i="4" s="1"/>
  <c r="AC797" i="4"/>
  <c r="AB797" i="4"/>
  <c r="AA797" i="4"/>
  <c r="AF797" i="4" s="1"/>
  <c r="Z797" i="4"/>
  <c r="Y797" i="4"/>
  <c r="X797" i="4"/>
  <c r="W797" i="4"/>
  <c r="V797" i="4"/>
  <c r="U797" i="4"/>
  <c r="T797" i="4"/>
  <c r="AD796" i="4"/>
  <c r="AE796" i="4" s="1"/>
  <c r="AC796" i="4"/>
  <c r="AB796" i="4"/>
  <c r="AA796" i="4"/>
  <c r="AF796" i="4" s="1"/>
  <c r="Z796" i="4"/>
  <c r="Y796" i="4"/>
  <c r="X796" i="4"/>
  <c r="W796" i="4"/>
  <c r="V796" i="4"/>
  <c r="U796" i="4"/>
  <c r="T796" i="4"/>
  <c r="AD795" i="4"/>
  <c r="AE795" i="4" s="1"/>
  <c r="AC795" i="4"/>
  <c r="AB795" i="4"/>
  <c r="AA795" i="4"/>
  <c r="AF795" i="4" s="1"/>
  <c r="Z795" i="4"/>
  <c r="Y795" i="4"/>
  <c r="X795" i="4"/>
  <c r="W795" i="4"/>
  <c r="V795" i="4"/>
  <c r="U795" i="4"/>
  <c r="T795" i="4"/>
  <c r="AD794" i="4"/>
  <c r="AE794" i="4" s="1"/>
  <c r="AC794" i="4"/>
  <c r="AB794" i="4"/>
  <c r="AA794" i="4"/>
  <c r="AF794" i="4" s="1"/>
  <c r="Z794" i="4"/>
  <c r="Y794" i="4"/>
  <c r="X794" i="4"/>
  <c r="W794" i="4"/>
  <c r="V794" i="4"/>
  <c r="U794" i="4"/>
  <c r="T794" i="4"/>
  <c r="AD793" i="4"/>
  <c r="AE793" i="4" s="1"/>
  <c r="AC793" i="4"/>
  <c r="AB793" i="4"/>
  <c r="AA793" i="4"/>
  <c r="AF793" i="4" s="1"/>
  <c r="Z793" i="4"/>
  <c r="Y793" i="4"/>
  <c r="X793" i="4"/>
  <c r="W793" i="4"/>
  <c r="V793" i="4"/>
  <c r="U793" i="4"/>
  <c r="T793" i="4"/>
  <c r="AD792" i="4"/>
  <c r="AE792" i="4" s="1"/>
  <c r="AC792" i="4"/>
  <c r="AB792" i="4"/>
  <c r="AA792" i="4"/>
  <c r="AF792" i="4" s="1"/>
  <c r="Z792" i="4"/>
  <c r="Y792" i="4"/>
  <c r="X792" i="4"/>
  <c r="W792" i="4"/>
  <c r="V792" i="4"/>
  <c r="U792" i="4"/>
  <c r="T792" i="4"/>
  <c r="AD791" i="4"/>
  <c r="AE791" i="4" s="1"/>
  <c r="AC791" i="4"/>
  <c r="AB791" i="4"/>
  <c r="AA791" i="4"/>
  <c r="AF791" i="4" s="1"/>
  <c r="Z791" i="4"/>
  <c r="Y791" i="4"/>
  <c r="X791" i="4"/>
  <c r="W791" i="4"/>
  <c r="V791" i="4"/>
  <c r="U791" i="4"/>
  <c r="T791" i="4"/>
  <c r="AF790" i="4"/>
  <c r="AD790" i="4"/>
  <c r="AE790" i="4" s="1"/>
  <c r="AC790" i="4"/>
  <c r="AB790" i="4"/>
  <c r="AA790" i="4"/>
  <c r="Z790" i="4"/>
  <c r="Y790" i="4"/>
  <c r="X790" i="4"/>
  <c r="W790" i="4"/>
  <c r="V790" i="4"/>
  <c r="U790" i="4"/>
  <c r="T790" i="4"/>
  <c r="AD789" i="4"/>
  <c r="AE789" i="4" s="1"/>
  <c r="AC789" i="4"/>
  <c r="AB789" i="4"/>
  <c r="AA789" i="4"/>
  <c r="AF789" i="4" s="1"/>
  <c r="Z789" i="4"/>
  <c r="Y789" i="4"/>
  <c r="X789" i="4"/>
  <c r="W789" i="4"/>
  <c r="V789" i="4"/>
  <c r="U789" i="4"/>
  <c r="T789" i="4"/>
  <c r="AD788" i="4"/>
  <c r="AE788" i="4" s="1"/>
  <c r="AC788" i="4"/>
  <c r="AB788" i="4"/>
  <c r="AA788" i="4"/>
  <c r="AF788" i="4" s="1"/>
  <c r="Z788" i="4"/>
  <c r="Y788" i="4"/>
  <c r="X788" i="4"/>
  <c r="W788" i="4"/>
  <c r="V788" i="4"/>
  <c r="U788" i="4"/>
  <c r="T788" i="4"/>
  <c r="AD787" i="4"/>
  <c r="AE787" i="4" s="1"/>
  <c r="AC787" i="4"/>
  <c r="AB787" i="4"/>
  <c r="AA787" i="4"/>
  <c r="AF787" i="4" s="1"/>
  <c r="Z787" i="4"/>
  <c r="Y787" i="4"/>
  <c r="X787" i="4"/>
  <c r="W787" i="4"/>
  <c r="V787" i="4"/>
  <c r="U787" i="4"/>
  <c r="T787" i="4"/>
  <c r="AD786" i="4"/>
  <c r="AE786" i="4" s="1"/>
  <c r="AC786" i="4"/>
  <c r="AB786" i="4"/>
  <c r="AA786" i="4"/>
  <c r="AF786" i="4" s="1"/>
  <c r="Z786" i="4"/>
  <c r="Y786" i="4"/>
  <c r="X786" i="4"/>
  <c r="W786" i="4"/>
  <c r="V786" i="4"/>
  <c r="U786" i="4"/>
  <c r="T786" i="4"/>
  <c r="AF785" i="4"/>
  <c r="AD785" i="4"/>
  <c r="AE785" i="4" s="1"/>
  <c r="AC785" i="4"/>
  <c r="AB785" i="4"/>
  <c r="AA785" i="4"/>
  <c r="Z785" i="4"/>
  <c r="Y785" i="4"/>
  <c r="X785" i="4"/>
  <c r="W785" i="4"/>
  <c r="V785" i="4"/>
  <c r="U785" i="4"/>
  <c r="T785" i="4"/>
  <c r="AF784" i="4"/>
  <c r="AD784" i="4"/>
  <c r="AE784" i="4" s="1"/>
  <c r="AC784" i="4"/>
  <c r="AB784" i="4"/>
  <c r="AA784" i="4"/>
  <c r="Z784" i="4"/>
  <c r="Y784" i="4"/>
  <c r="X784" i="4"/>
  <c r="W784" i="4"/>
  <c r="V784" i="4"/>
  <c r="U784" i="4"/>
  <c r="T784" i="4"/>
  <c r="AF783" i="4"/>
  <c r="AD783" i="4"/>
  <c r="AE783" i="4" s="1"/>
  <c r="AC783" i="4"/>
  <c r="AB783" i="4"/>
  <c r="AA783" i="4"/>
  <c r="Z783" i="4"/>
  <c r="Y783" i="4"/>
  <c r="X783" i="4"/>
  <c r="W783" i="4"/>
  <c r="V783" i="4"/>
  <c r="U783" i="4"/>
  <c r="T783" i="4"/>
  <c r="AD782" i="4"/>
  <c r="AE782" i="4" s="1"/>
  <c r="AC782" i="4"/>
  <c r="AB782" i="4"/>
  <c r="AA782" i="4"/>
  <c r="AF782" i="4" s="1"/>
  <c r="Z782" i="4"/>
  <c r="Y782" i="4"/>
  <c r="X782" i="4"/>
  <c r="W782" i="4"/>
  <c r="V782" i="4"/>
  <c r="U782" i="4"/>
  <c r="T782" i="4"/>
  <c r="AF781" i="4"/>
  <c r="AD781" i="4"/>
  <c r="AE781" i="4" s="1"/>
  <c r="AC781" i="4"/>
  <c r="AB781" i="4"/>
  <c r="AA781" i="4"/>
  <c r="Z781" i="4"/>
  <c r="Y781" i="4"/>
  <c r="X781" i="4"/>
  <c r="W781" i="4"/>
  <c r="V781" i="4"/>
  <c r="U781" i="4"/>
  <c r="T781" i="4"/>
  <c r="AD780" i="4"/>
  <c r="AE780" i="4" s="1"/>
  <c r="AC780" i="4"/>
  <c r="AB780" i="4"/>
  <c r="AA780" i="4"/>
  <c r="AF780" i="4" s="1"/>
  <c r="Z780" i="4"/>
  <c r="Y780" i="4"/>
  <c r="X780" i="4"/>
  <c r="W780" i="4"/>
  <c r="V780" i="4"/>
  <c r="U780" i="4"/>
  <c r="T780" i="4"/>
  <c r="AD779" i="4"/>
  <c r="AE779" i="4" s="1"/>
  <c r="AC779" i="4"/>
  <c r="AB779" i="4"/>
  <c r="AA779" i="4"/>
  <c r="AF779" i="4" s="1"/>
  <c r="Z779" i="4"/>
  <c r="Y779" i="4"/>
  <c r="X779" i="4"/>
  <c r="W779" i="4"/>
  <c r="V779" i="4"/>
  <c r="U779" i="4"/>
  <c r="T779" i="4"/>
  <c r="AF778" i="4"/>
  <c r="AD778" i="4"/>
  <c r="AE778" i="4" s="1"/>
  <c r="AC778" i="4"/>
  <c r="AB778" i="4"/>
  <c r="AA778" i="4"/>
  <c r="Z778" i="4"/>
  <c r="Y778" i="4"/>
  <c r="X778" i="4"/>
  <c r="W778" i="4"/>
  <c r="V778" i="4"/>
  <c r="U778" i="4"/>
  <c r="T778" i="4"/>
  <c r="AD777" i="4"/>
  <c r="AE777" i="4" s="1"/>
  <c r="AC777" i="4"/>
  <c r="AB777" i="4"/>
  <c r="AA777" i="4"/>
  <c r="AF777" i="4" s="1"/>
  <c r="Z777" i="4"/>
  <c r="Y777" i="4"/>
  <c r="X777" i="4"/>
  <c r="W777" i="4"/>
  <c r="V777" i="4"/>
  <c r="U777" i="4"/>
  <c r="T777" i="4"/>
  <c r="AD776" i="4"/>
  <c r="AE776" i="4" s="1"/>
  <c r="AC776" i="4"/>
  <c r="AB776" i="4"/>
  <c r="AA776" i="4"/>
  <c r="AF776" i="4" s="1"/>
  <c r="Z776" i="4"/>
  <c r="Y776" i="4"/>
  <c r="X776" i="4"/>
  <c r="W776" i="4"/>
  <c r="V776" i="4"/>
  <c r="U776" i="4"/>
  <c r="T776" i="4"/>
  <c r="AF775" i="4"/>
  <c r="AD775" i="4"/>
  <c r="AE775" i="4" s="1"/>
  <c r="AC775" i="4"/>
  <c r="AB775" i="4"/>
  <c r="AA775" i="4"/>
  <c r="Z775" i="4"/>
  <c r="Y775" i="4"/>
  <c r="X775" i="4"/>
  <c r="W775" i="4"/>
  <c r="V775" i="4"/>
  <c r="U775" i="4"/>
  <c r="T775" i="4"/>
  <c r="AD774" i="4"/>
  <c r="AE774" i="4" s="1"/>
  <c r="AC774" i="4"/>
  <c r="AB774" i="4"/>
  <c r="AA774" i="4"/>
  <c r="AF774" i="4" s="1"/>
  <c r="Z774" i="4"/>
  <c r="Y774" i="4"/>
  <c r="X774" i="4"/>
  <c r="W774" i="4"/>
  <c r="V774" i="4"/>
  <c r="U774" i="4"/>
  <c r="T774" i="4"/>
  <c r="AF773" i="4"/>
  <c r="AD773" i="4"/>
  <c r="AE773" i="4" s="1"/>
  <c r="AC773" i="4"/>
  <c r="AB773" i="4"/>
  <c r="AA773" i="4"/>
  <c r="Z773" i="4"/>
  <c r="Y773" i="4"/>
  <c r="X773" i="4"/>
  <c r="W773" i="4"/>
  <c r="V773" i="4"/>
  <c r="U773" i="4"/>
  <c r="T773" i="4"/>
  <c r="AD772" i="4"/>
  <c r="AE772" i="4" s="1"/>
  <c r="AC772" i="4"/>
  <c r="AB772" i="4"/>
  <c r="AA772" i="4"/>
  <c r="AF772" i="4" s="1"/>
  <c r="Z772" i="4"/>
  <c r="Y772" i="4"/>
  <c r="X772" i="4"/>
  <c r="W772" i="4"/>
  <c r="V772" i="4"/>
  <c r="U772" i="4"/>
  <c r="T772" i="4"/>
  <c r="AF771" i="4"/>
  <c r="AD771" i="4"/>
  <c r="AE771" i="4" s="1"/>
  <c r="AC771" i="4"/>
  <c r="AB771" i="4"/>
  <c r="AA771" i="4"/>
  <c r="Z771" i="4"/>
  <c r="Y771" i="4"/>
  <c r="X771" i="4"/>
  <c r="W771" i="4"/>
  <c r="V771" i="4"/>
  <c r="U771" i="4"/>
  <c r="T771" i="4"/>
  <c r="AD770" i="4"/>
  <c r="AE770" i="4" s="1"/>
  <c r="AC770" i="4"/>
  <c r="AB770" i="4"/>
  <c r="AA770" i="4"/>
  <c r="AF770" i="4" s="1"/>
  <c r="Z770" i="4"/>
  <c r="Y770" i="4"/>
  <c r="X770" i="4"/>
  <c r="W770" i="4"/>
  <c r="V770" i="4"/>
  <c r="U770" i="4"/>
  <c r="T770" i="4"/>
  <c r="AD769" i="4"/>
  <c r="AE769" i="4" s="1"/>
  <c r="AC769" i="4"/>
  <c r="AB769" i="4"/>
  <c r="AA769" i="4"/>
  <c r="AF769" i="4" s="1"/>
  <c r="Z769" i="4"/>
  <c r="Y769" i="4"/>
  <c r="X769" i="4"/>
  <c r="W769" i="4"/>
  <c r="V769" i="4"/>
  <c r="U769" i="4"/>
  <c r="T769" i="4"/>
  <c r="AD768" i="4"/>
  <c r="AE768" i="4" s="1"/>
  <c r="AC768" i="4"/>
  <c r="AB768" i="4"/>
  <c r="AA768" i="4"/>
  <c r="AF768" i="4" s="1"/>
  <c r="Z768" i="4"/>
  <c r="Y768" i="4"/>
  <c r="X768" i="4"/>
  <c r="W768" i="4"/>
  <c r="V768" i="4"/>
  <c r="U768" i="4"/>
  <c r="T768" i="4"/>
  <c r="AD767" i="4"/>
  <c r="AE767" i="4" s="1"/>
  <c r="AC767" i="4"/>
  <c r="AB767" i="4"/>
  <c r="AA767" i="4"/>
  <c r="AF767" i="4" s="1"/>
  <c r="Z767" i="4"/>
  <c r="Y767" i="4"/>
  <c r="X767" i="4"/>
  <c r="W767" i="4"/>
  <c r="V767" i="4"/>
  <c r="U767" i="4"/>
  <c r="T767" i="4"/>
  <c r="AD766" i="4"/>
  <c r="AE766" i="4" s="1"/>
  <c r="AC766" i="4"/>
  <c r="AB766" i="4"/>
  <c r="AA766" i="4"/>
  <c r="AF766" i="4" s="1"/>
  <c r="Z766" i="4"/>
  <c r="Y766" i="4"/>
  <c r="X766" i="4"/>
  <c r="W766" i="4"/>
  <c r="V766" i="4"/>
  <c r="U766" i="4"/>
  <c r="T766" i="4"/>
  <c r="AF765" i="4"/>
  <c r="AD765" i="4"/>
  <c r="AE765" i="4" s="1"/>
  <c r="AC765" i="4"/>
  <c r="AB765" i="4"/>
  <c r="AA765" i="4"/>
  <c r="Z765" i="4"/>
  <c r="Y765" i="4"/>
  <c r="X765" i="4"/>
  <c r="W765" i="4"/>
  <c r="V765" i="4"/>
  <c r="U765" i="4"/>
  <c r="T765" i="4"/>
  <c r="AF764" i="4"/>
  <c r="AD764" i="4"/>
  <c r="AE764" i="4" s="1"/>
  <c r="AC764" i="4"/>
  <c r="AB764" i="4"/>
  <c r="AA764" i="4"/>
  <c r="Z764" i="4"/>
  <c r="Y764" i="4"/>
  <c r="X764" i="4"/>
  <c r="W764" i="4"/>
  <c r="V764" i="4"/>
  <c r="U764" i="4"/>
  <c r="T764" i="4"/>
  <c r="AF763" i="4"/>
  <c r="AD763" i="4"/>
  <c r="AE763" i="4" s="1"/>
  <c r="AC763" i="4"/>
  <c r="AB763" i="4"/>
  <c r="AA763" i="4"/>
  <c r="Z763" i="4"/>
  <c r="Y763" i="4"/>
  <c r="X763" i="4"/>
  <c r="W763" i="4"/>
  <c r="V763" i="4"/>
  <c r="U763" i="4"/>
  <c r="T763" i="4"/>
  <c r="AF762" i="4"/>
  <c r="AD762" i="4"/>
  <c r="AE762" i="4" s="1"/>
  <c r="AC762" i="4"/>
  <c r="AB762" i="4"/>
  <c r="AA762" i="4"/>
  <c r="Z762" i="4"/>
  <c r="Y762" i="4"/>
  <c r="X762" i="4"/>
  <c r="W762" i="4"/>
  <c r="V762" i="4"/>
  <c r="U762" i="4"/>
  <c r="T762" i="4"/>
  <c r="AD761" i="4"/>
  <c r="AE761" i="4" s="1"/>
  <c r="AC761" i="4"/>
  <c r="AB761" i="4"/>
  <c r="AA761" i="4"/>
  <c r="AF761" i="4" s="1"/>
  <c r="Z761" i="4"/>
  <c r="Y761" i="4"/>
  <c r="X761" i="4"/>
  <c r="W761" i="4"/>
  <c r="V761" i="4"/>
  <c r="U761" i="4"/>
  <c r="T761" i="4"/>
  <c r="AD760" i="4"/>
  <c r="AE760" i="4" s="1"/>
  <c r="AC760" i="4"/>
  <c r="AB760" i="4"/>
  <c r="AA760" i="4"/>
  <c r="AF760" i="4" s="1"/>
  <c r="Z760" i="4"/>
  <c r="Y760" i="4"/>
  <c r="X760" i="4"/>
  <c r="W760" i="4"/>
  <c r="V760" i="4"/>
  <c r="U760" i="4"/>
  <c r="T760" i="4"/>
  <c r="AF759" i="4"/>
  <c r="AD759" i="4"/>
  <c r="AE759" i="4" s="1"/>
  <c r="AC759" i="4"/>
  <c r="AB759" i="4"/>
  <c r="AA759" i="4"/>
  <c r="Z759" i="4"/>
  <c r="Y759" i="4"/>
  <c r="X759" i="4"/>
  <c r="W759" i="4"/>
  <c r="V759" i="4"/>
  <c r="U759" i="4"/>
  <c r="T759" i="4"/>
  <c r="AD758" i="4"/>
  <c r="AE758" i="4" s="1"/>
  <c r="AC758" i="4"/>
  <c r="AB758" i="4"/>
  <c r="AA758" i="4"/>
  <c r="AF758" i="4" s="1"/>
  <c r="Z758" i="4"/>
  <c r="Y758" i="4"/>
  <c r="X758" i="4"/>
  <c r="W758" i="4"/>
  <c r="V758" i="4"/>
  <c r="U758" i="4"/>
  <c r="T758" i="4"/>
  <c r="AD757" i="4"/>
  <c r="AE757" i="4" s="1"/>
  <c r="AC757" i="4"/>
  <c r="AB757" i="4"/>
  <c r="AA757" i="4"/>
  <c r="AF757" i="4" s="1"/>
  <c r="Z757" i="4"/>
  <c r="Y757" i="4"/>
  <c r="X757" i="4"/>
  <c r="W757" i="4"/>
  <c r="V757" i="4"/>
  <c r="U757" i="4"/>
  <c r="T757" i="4"/>
  <c r="AF756" i="4"/>
  <c r="AD756" i="4"/>
  <c r="AE756" i="4" s="1"/>
  <c r="AC756" i="4"/>
  <c r="AB756" i="4"/>
  <c r="AA756" i="4"/>
  <c r="Z756" i="4"/>
  <c r="Y756" i="4"/>
  <c r="X756" i="4"/>
  <c r="W756" i="4"/>
  <c r="V756" i="4"/>
  <c r="U756" i="4"/>
  <c r="T756" i="4"/>
  <c r="AD755" i="4"/>
  <c r="AE755" i="4" s="1"/>
  <c r="AC755" i="4"/>
  <c r="AB755" i="4"/>
  <c r="AA755" i="4"/>
  <c r="AF755" i="4" s="1"/>
  <c r="Z755" i="4"/>
  <c r="Y755" i="4"/>
  <c r="X755" i="4"/>
  <c r="W755" i="4"/>
  <c r="V755" i="4"/>
  <c r="U755" i="4"/>
  <c r="T755" i="4"/>
  <c r="AD754" i="4"/>
  <c r="AE754" i="4" s="1"/>
  <c r="AC754" i="4"/>
  <c r="AB754" i="4"/>
  <c r="AA754" i="4"/>
  <c r="AF754" i="4" s="1"/>
  <c r="Z754" i="4"/>
  <c r="Y754" i="4"/>
  <c r="X754" i="4"/>
  <c r="W754" i="4"/>
  <c r="V754" i="4"/>
  <c r="U754" i="4"/>
  <c r="T754" i="4"/>
  <c r="AD753" i="4"/>
  <c r="AE753" i="4" s="1"/>
  <c r="AC753" i="4"/>
  <c r="AB753" i="4"/>
  <c r="AA753" i="4"/>
  <c r="AF753" i="4" s="1"/>
  <c r="Z753" i="4"/>
  <c r="Y753" i="4"/>
  <c r="X753" i="4"/>
  <c r="W753" i="4"/>
  <c r="V753" i="4"/>
  <c r="U753" i="4"/>
  <c r="T753" i="4"/>
  <c r="AF752" i="4"/>
  <c r="AD752" i="4"/>
  <c r="AE752" i="4" s="1"/>
  <c r="AC752" i="4"/>
  <c r="AB752" i="4"/>
  <c r="AA752" i="4"/>
  <c r="Z752" i="4"/>
  <c r="Y752" i="4"/>
  <c r="X752" i="4"/>
  <c r="W752" i="4"/>
  <c r="V752" i="4"/>
  <c r="U752" i="4"/>
  <c r="T752" i="4"/>
  <c r="AD751" i="4"/>
  <c r="AE751" i="4" s="1"/>
  <c r="AC751" i="4"/>
  <c r="AB751" i="4"/>
  <c r="AA751" i="4"/>
  <c r="AF751" i="4" s="1"/>
  <c r="Z751" i="4"/>
  <c r="Y751" i="4"/>
  <c r="X751" i="4"/>
  <c r="W751" i="4"/>
  <c r="V751" i="4"/>
  <c r="U751" i="4"/>
  <c r="T751" i="4"/>
  <c r="AD750" i="4"/>
  <c r="AE750" i="4" s="1"/>
  <c r="AC750" i="4"/>
  <c r="AB750" i="4"/>
  <c r="AA750" i="4"/>
  <c r="AF750" i="4" s="1"/>
  <c r="Z750" i="4"/>
  <c r="Y750" i="4"/>
  <c r="X750" i="4"/>
  <c r="W750" i="4"/>
  <c r="V750" i="4"/>
  <c r="U750" i="4"/>
  <c r="T750" i="4"/>
  <c r="AD749" i="4"/>
  <c r="AE749" i="4" s="1"/>
  <c r="AC749" i="4"/>
  <c r="AB749" i="4"/>
  <c r="AA749" i="4"/>
  <c r="AF749" i="4" s="1"/>
  <c r="Z749" i="4"/>
  <c r="Y749" i="4"/>
  <c r="X749" i="4"/>
  <c r="W749" i="4"/>
  <c r="V749" i="4"/>
  <c r="U749" i="4"/>
  <c r="T749" i="4"/>
  <c r="AD748" i="4"/>
  <c r="AE748" i="4" s="1"/>
  <c r="AC748" i="4"/>
  <c r="AB748" i="4"/>
  <c r="AA748" i="4"/>
  <c r="AF748" i="4" s="1"/>
  <c r="Z748" i="4"/>
  <c r="Y748" i="4"/>
  <c r="X748" i="4"/>
  <c r="W748" i="4"/>
  <c r="V748" i="4"/>
  <c r="U748" i="4"/>
  <c r="T748" i="4"/>
  <c r="AD747" i="4"/>
  <c r="AE747" i="4" s="1"/>
  <c r="AC747" i="4"/>
  <c r="AB747" i="4"/>
  <c r="AA747" i="4"/>
  <c r="AF747" i="4" s="1"/>
  <c r="Z747" i="4"/>
  <c r="Y747" i="4"/>
  <c r="X747" i="4"/>
  <c r="W747" i="4"/>
  <c r="V747" i="4"/>
  <c r="U747" i="4"/>
  <c r="T747" i="4"/>
  <c r="AF746" i="4"/>
  <c r="AD746" i="4"/>
  <c r="AE746" i="4" s="1"/>
  <c r="AC746" i="4"/>
  <c r="AB746" i="4"/>
  <c r="AA746" i="4"/>
  <c r="Z746" i="4"/>
  <c r="Y746" i="4"/>
  <c r="X746" i="4"/>
  <c r="W746" i="4"/>
  <c r="V746" i="4"/>
  <c r="U746" i="4"/>
  <c r="T746" i="4"/>
  <c r="AF745" i="4"/>
  <c r="AD745" i="4"/>
  <c r="AE745" i="4" s="1"/>
  <c r="AC745" i="4"/>
  <c r="AB745" i="4"/>
  <c r="AA745" i="4"/>
  <c r="Z745" i="4"/>
  <c r="Y745" i="4"/>
  <c r="X745" i="4"/>
  <c r="W745" i="4"/>
  <c r="V745" i="4"/>
  <c r="U745" i="4"/>
  <c r="T745" i="4"/>
  <c r="AF744" i="4"/>
  <c r="AD744" i="4"/>
  <c r="AE744" i="4" s="1"/>
  <c r="AC744" i="4"/>
  <c r="AB744" i="4"/>
  <c r="AA744" i="4"/>
  <c r="Z744" i="4"/>
  <c r="Y744" i="4"/>
  <c r="X744" i="4"/>
  <c r="W744" i="4"/>
  <c r="V744" i="4"/>
  <c r="U744" i="4"/>
  <c r="T744" i="4"/>
  <c r="AF743" i="4"/>
  <c r="AD743" i="4"/>
  <c r="AE743" i="4" s="1"/>
  <c r="AC743" i="4"/>
  <c r="AB743" i="4"/>
  <c r="AA743" i="4"/>
  <c r="Z743" i="4"/>
  <c r="Y743" i="4"/>
  <c r="X743" i="4"/>
  <c r="W743" i="4"/>
  <c r="V743" i="4"/>
  <c r="U743" i="4"/>
  <c r="T743" i="4"/>
  <c r="AF742" i="4"/>
  <c r="AD742" i="4"/>
  <c r="AE742" i="4" s="1"/>
  <c r="AC742" i="4"/>
  <c r="AB742" i="4"/>
  <c r="AA742" i="4"/>
  <c r="Z742" i="4"/>
  <c r="Y742" i="4"/>
  <c r="X742" i="4"/>
  <c r="W742" i="4"/>
  <c r="V742" i="4"/>
  <c r="U742" i="4"/>
  <c r="T742" i="4"/>
  <c r="AF741" i="4"/>
  <c r="AD741" i="4"/>
  <c r="AE741" i="4" s="1"/>
  <c r="AC741" i="4"/>
  <c r="AB741" i="4"/>
  <c r="AA741" i="4"/>
  <c r="Z741" i="4"/>
  <c r="Y741" i="4"/>
  <c r="X741" i="4"/>
  <c r="W741" i="4"/>
  <c r="V741" i="4"/>
  <c r="U741" i="4"/>
  <c r="T741" i="4"/>
  <c r="AD740" i="4"/>
  <c r="AE740" i="4" s="1"/>
  <c r="AC740" i="4"/>
  <c r="AB740" i="4"/>
  <c r="AA740" i="4"/>
  <c r="AF740" i="4" s="1"/>
  <c r="Z740" i="4"/>
  <c r="Y740" i="4"/>
  <c r="X740" i="4"/>
  <c r="W740" i="4"/>
  <c r="V740" i="4"/>
  <c r="U740" i="4"/>
  <c r="T740" i="4"/>
  <c r="AF739" i="4"/>
  <c r="AD739" i="4"/>
  <c r="AE739" i="4" s="1"/>
  <c r="AC739" i="4"/>
  <c r="AB739" i="4"/>
  <c r="AA739" i="4"/>
  <c r="Z739" i="4"/>
  <c r="Y739" i="4"/>
  <c r="X739" i="4"/>
  <c r="W739" i="4"/>
  <c r="V739" i="4"/>
  <c r="U739" i="4"/>
  <c r="T739" i="4"/>
  <c r="AD738" i="4"/>
  <c r="AE738" i="4" s="1"/>
  <c r="AC738" i="4"/>
  <c r="AB738" i="4"/>
  <c r="AA738" i="4"/>
  <c r="AF738" i="4" s="1"/>
  <c r="Z738" i="4"/>
  <c r="Y738" i="4"/>
  <c r="X738" i="4"/>
  <c r="W738" i="4"/>
  <c r="V738" i="4"/>
  <c r="U738" i="4"/>
  <c r="T738" i="4"/>
  <c r="AD737" i="4"/>
  <c r="AE737" i="4" s="1"/>
  <c r="AC737" i="4"/>
  <c r="AB737" i="4"/>
  <c r="AA737" i="4"/>
  <c r="AF737" i="4" s="1"/>
  <c r="Z737" i="4"/>
  <c r="Y737" i="4"/>
  <c r="X737" i="4"/>
  <c r="W737" i="4"/>
  <c r="V737" i="4"/>
  <c r="U737" i="4"/>
  <c r="T737" i="4"/>
  <c r="AD736" i="4"/>
  <c r="AE736" i="4" s="1"/>
  <c r="AC736" i="4"/>
  <c r="AB736" i="4"/>
  <c r="AA736" i="4"/>
  <c r="AF736" i="4" s="1"/>
  <c r="Z736" i="4"/>
  <c r="Y736" i="4"/>
  <c r="X736" i="4"/>
  <c r="W736" i="4"/>
  <c r="V736" i="4"/>
  <c r="U736" i="4"/>
  <c r="T736" i="4"/>
  <c r="AF735" i="4"/>
  <c r="AD735" i="4"/>
  <c r="AE735" i="4" s="1"/>
  <c r="AC735" i="4"/>
  <c r="AB735" i="4"/>
  <c r="AA735" i="4"/>
  <c r="Z735" i="4"/>
  <c r="Y735" i="4"/>
  <c r="X735" i="4"/>
  <c r="W735" i="4"/>
  <c r="V735" i="4"/>
  <c r="U735" i="4"/>
  <c r="T735" i="4"/>
  <c r="AD734" i="4"/>
  <c r="AE734" i="4" s="1"/>
  <c r="AC734" i="4"/>
  <c r="AB734" i="4"/>
  <c r="AA734" i="4"/>
  <c r="AF734" i="4" s="1"/>
  <c r="Z734" i="4"/>
  <c r="Y734" i="4"/>
  <c r="X734" i="4"/>
  <c r="W734" i="4"/>
  <c r="V734" i="4"/>
  <c r="U734" i="4"/>
  <c r="T734" i="4"/>
  <c r="AD733" i="4"/>
  <c r="AE733" i="4" s="1"/>
  <c r="AC733" i="4"/>
  <c r="AB733" i="4"/>
  <c r="AA733" i="4"/>
  <c r="AF733" i="4" s="1"/>
  <c r="Z733" i="4"/>
  <c r="Y733" i="4"/>
  <c r="X733" i="4"/>
  <c r="W733" i="4"/>
  <c r="V733" i="4"/>
  <c r="U733" i="4"/>
  <c r="T733" i="4"/>
  <c r="AD732" i="4"/>
  <c r="AE732" i="4" s="1"/>
  <c r="AC732" i="4"/>
  <c r="AB732" i="4"/>
  <c r="AA732" i="4"/>
  <c r="AF732" i="4" s="1"/>
  <c r="Z732" i="4"/>
  <c r="Y732" i="4"/>
  <c r="X732" i="4"/>
  <c r="W732" i="4"/>
  <c r="V732" i="4"/>
  <c r="U732" i="4"/>
  <c r="T732" i="4"/>
  <c r="AD731" i="4"/>
  <c r="AE731" i="4" s="1"/>
  <c r="AC731" i="4"/>
  <c r="AB731" i="4"/>
  <c r="AA731" i="4"/>
  <c r="AF731" i="4" s="1"/>
  <c r="Z731" i="4"/>
  <c r="Y731" i="4"/>
  <c r="X731" i="4"/>
  <c r="W731" i="4"/>
  <c r="V731" i="4"/>
  <c r="U731" i="4"/>
  <c r="T731" i="4"/>
  <c r="AD730" i="4"/>
  <c r="AE730" i="4" s="1"/>
  <c r="AC730" i="4"/>
  <c r="AB730" i="4"/>
  <c r="AA730" i="4"/>
  <c r="AF730" i="4" s="1"/>
  <c r="Z730" i="4"/>
  <c r="Y730" i="4"/>
  <c r="X730" i="4"/>
  <c r="W730" i="4"/>
  <c r="V730" i="4"/>
  <c r="U730" i="4"/>
  <c r="T730" i="4"/>
  <c r="AD729" i="4"/>
  <c r="AE729" i="4" s="1"/>
  <c r="AC729" i="4"/>
  <c r="AB729" i="4"/>
  <c r="AA729" i="4"/>
  <c r="AF729" i="4" s="1"/>
  <c r="Z729" i="4"/>
  <c r="Y729" i="4"/>
  <c r="X729" i="4"/>
  <c r="W729" i="4"/>
  <c r="V729" i="4"/>
  <c r="U729" i="4"/>
  <c r="T729" i="4"/>
  <c r="AD728" i="4"/>
  <c r="AE728" i="4" s="1"/>
  <c r="AC728" i="4"/>
  <c r="AB728" i="4"/>
  <c r="AA728" i="4"/>
  <c r="AF728" i="4" s="1"/>
  <c r="Z728" i="4"/>
  <c r="Y728" i="4"/>
  <c r="X728" i="4"/>
  <c r="W728" i="4"/>
  <c r="V728" i="4"/>
  <c r="U728" i="4"/>
  <c r="T728" i="4"/>
  <c r="AD727" i="4"/>
  <c r="AE727" i="4" s="1"/>
  <c r="AC727" i="4"/>
  <c r="AB727" i="4"/>
  <c r="AA727" i="4"/>
  <c r="AF727" i="4" s="1"/>
  <c r="Z727" i="4"/>
  <c r="Y727" i="4"/>
  <c r="X727" i="4"/>
  <c r="W727" i="4"/>
  <c r="V727" i="4"/>
  <c r="U727" i="4"/>
  <c r="T727" i="4"/>
  <c r="AD726" i="4"/>
  <c r="AE726" i="4" s="1"/>
  <c r="AC726" i="4"/>
  <c r="AB726" i="4"/>
  <c r="AA726" i="4"/>
  <c r="AF726" i="4" s="1"/>
  <c r="Z726" i="4"/>
  <c r="Y726" i="4"/>
  <c r="X726" i="4"/>
  <c r="W726" i="4"/>
  <c r="V726" i="4"/>
  <c r="U726" i="4"/>
  <c r="T726" i="4"/>
  <c r="AD725" i="4"/>
  <c r="AE725" i="4" s="1"/>
  <c r="AC725" i="4"/>
  <c r="AB725" i="4"/>
  <c r="AA725" i="4"/>
  <c r="AF725" i="4" s="1"/>
  <c r="Z725" i="4"/>
  <c r="Y725" i="4"/>
  <c r="X725" i="4"/>
  <c r="W725" i="4"/>
  <c r="V725" i="4"/>
  <c r="U725" i="4"/>
  <c r="T725" i="4"/>
  <c r="AD724" i="4"/>
  <c r="AE724" i="4" s="1"/>
  <c r="AC724" i="4"/>
  <c r="AB724" i="4"/>
  <c r="AA724" i="4"/>
  <c r="AF724" i="4" s="1"/>
  <c r="Z724" i="4"/>
  <c r="Y724" i="4"/>
  <c r="X724" i="4"/>
  <c r="W724" i="4"/>
  <c r="V724" i="4"/>
  <c r="U724" i="4"/>
  <c r="T724" i="4"/>
  <c r="AD723" i="4"/>
  <c r="AE723" i="4" s="1"/>
  <c r="AC723" i="4"/>
  <c r="AB723" i="4"/>
  <c r="AA723" i="4"/>
  <c r="AF723" i="4" s="1"/>
  <c r="Z723" i="4"/>
  <c r="Y723" i="4"/>
  <c r="X723" i="4"/>
  <c r="W723" i="4"/>
  <c r="V723" i="4"/>
  <c r="U723" i="4"/>
  <c r="T723" i="4"/>
  <c r="AD722" i="4"/>
  <c r="AE722" i="4" s="1"/>
  <c r="AC722" i="4"/>
  <c r="AB722" i="4"/>
  <c r="AA722" i="4"/>
  <c r="AF722" i="4" s="1"/>
  <c r="Z722" i="4"/>
  <c r="Y722" i="4"/>
  <c r="X722" i="4"/>
  <c r="W722" i="4"/>
  <c r="V722" i="4"/>
  <c r="U722" i="4"/>
  <c r="T722" i="4"/>
  <c r="AD721" i="4"/>
  <c r="AE721" i="4" s="1"/>
  <c r="AC721" i="4"/>
  <c r="AB721" i="4"/>
  <c r="AA721" i="4"/>
  <c r="AF721" i="4" s="1"/>
  <c r="Z721" i="4"/>
  <c r="Y721" i="4"/>
  <c r="X721" i="4"/>
  <c r="W721" i="4"/>
  <c r="V721" i="4"/>
  <c r="U721" i="4"/>
  <c r="T721" i="4"/>
  <c r="AF720" i="4"/>
  <c r="AD720" i="4"/>
  <c r="AE720" i="4" s="1"/>
  <c r="AC720" i="4"/>
  <c r="AB720" i="4"/>
  <c r="AA720" i="4"/>
  <c r="Z720" i="4"/>
  <c r="Y720" i="4"/>
  <c r="X720" i="4"/>
  <c r="W720" i="4"/>
  <c r="V720" i="4"/>
  <c r="U720" i="4"/>
  <c r="T720" i="4"/>
  <c r="AF719" i="4"/>
  <c r="AD719" i="4"/>
  <c r="AE719" i="4" s="1"/>
  <c r="AC719" i="4"/>
  <c r="AB719" i="4"/>
  <c r="AA719" i="4"/>
  <c r="Z719" i="4"/>
  <c r="Y719" i="4"/>
  <c r="X719" i="4"/>
  <c r="W719" i="4"/>
  <c r="V719" i="4"/>
  <c r="U719" i="4"/>
  <c r="T719" i="4"/>
  <c r="AF718" i="4"/>
  <c r="AD718" i="4"/>
  <c r="AE718" i="4" s="1"/>
  <c r="AC718" i="4"/>
  <c r="AB718" i="4"/>
  <c r="AA718" i="4"/>
  <c r="Z718" i="4"/>
  <c r="Y718" i="4"/>
  <c r="X718" i="4"/>
  <c r="W718" i="4"/>
  <c r="V718" i="4"/>
  <c r="U718" i="4"/>
  <c r="T718" i="4"/>
  <c r="AD717" i="4"/>
  <c r="AE717" i="4" s="1"/>
  <c r="AC717" i="4"/>
  <c r="AB717" i="4"/>
  <c r="AA717" i="4"/>
  <c r="AF717" i="4" s="1"/>
  <c r="Z717" i="4"/>
  <c r="Y717" i="4"/>
  <c r="X717" i="4"/>
  <c r="W717" i="4"/>
  <c r="V717" i="4"/>
  <c r="U717" i="4"/>
  <c r="T717" i="4"/>
  <c r="AD716" i="4"/>
  <c r="AE716" i="4" s="1"/>
  <c r="AC716" i="4"/>
  <c r="AB716" i="4"/>
  <c r="AA716" i="4"/>
  <c r="AF716" i="4" s="1"/>
  <c r="Z716" i="4"/>
  <c r="Y716" i="4"/>
  <c r="X716" i="4"/>
  <c r="W716" i="4"/>
  <c r="V716" i="4"/>
  <c r="U716" i="4"/>
  <c r="T716" i="4"/>
  <c r="AD715" i="4"/>
  <c r="AE715" i="4" s="1"/>
  <c r="AC715" i="4"/>
  <c r="AB715" i="4"/>
  <c r="AA715" i="4"/>
  <c r="AF715" i="4" s="1"/>
  <c r="Z715" i="4"/>
  <c r="Y715" i="4"/>
  <c r="X715" i="4"/>
  <c r="W715" i="4"/>
  <c r="V715" i="4"/>
  <c r="U715" i="4"/>
  <c r="T715" i="4"/>
  <c r="AF714" i="4"/>
  <c r="AD714" i="4"/>
  <c r="AE714" i="4" s="1"/>
  <c r="AC714" i="4"/>
  <c r="AB714" i="4"/>
  <c r="AA714" i="4"/>
  <c r="Z714" i="4"/>
  <c r="Y714" i="4"/>
  <c r="X714" i="4"/>
  <c r="W714" i="4"/>
  <c r="V714" i="4"/>
  <c r="U714" i="4"/>
  <c r="T714" i="4"/>
  <c r="AF713" i="4"/>
  <c r="AD713" i="4"/>
  <c r="AE713" i="4" s="1"/>
  <c r="AC713" i="4"/>
  <c r="AB713" i="4"/>
  <c r="AA713" i="4"/>
  <c r="Z713" i="4"/>
  <c r="Y713" i="4"/>
  <c r="X713" i="4"/>
  <c r="W713" i="4"/>
  <c r="V713" i="4"/>
  <c r="U713" i="4"/>
  <c r="T713" i="4"/>
  <c r="AD712" i="4"/>
  <c r="AE712" i="4" s="1"/>
  <c r="AC712" i="4"/>
  <c r="AB712" i="4"/>
  <c r="AA712" i="4"/>
  <c r="AF712" i="4" s="1"/>
  <c r="Z712" i="4"/>
  <c r="Y712" i="4"/>
  <c r="X712" i="4"/>
  <c r="W712" i="4"/>
  <c r="V712" i="4"/>
  <c r="U712" i="4"/>
  <c r="T712" i="4"/>
  <c r="AD711" i="4"/>
  <c r="AE711" i="4" s="1"/>
  <c r="AC711" i="4"/>
  <c r="AB711" i="4"/>
  <c r="AA711" i="4"/>
  <c r="AF711" i="4" s="1"/>
  <c r="Z711" i="4"/>
  <c r="Y711" i="4"/>
  <c r="X711" i="4"/>
  <c r="W711" i="4"/>
  <c r="V711" i="4"/>
  <c r="U711" i="4"/>
  <c r="T711" i="4"/>
  <c r="AD710" i="4"/>
  <c r="AE710" i="4" s="1"/>
  <c r="AC710" i="4"/>
  <c r="AB710" i="4"/>
  <c r="AA710" i="4"/>
  <c r="AF710" i="4" s="1"/>
  <c r="Z710" i="4"/>
  <c r="Y710" i="4"/>
  <c r="X710" i="4"/>
  <c r="W710" i="4"/>
  <c r="V710" i="4"/>
  <c r="U710" i="4"/>
  <c r="T710" i="4"/>
  <c r="AD709" i="4"/>
  <c r="AE709" i="4" s="1"/>
  <c r="AC709" i="4"/>
  <c r="AB709" i="4"/>
  <c r="AA709" i="4"/>
  <c r="AF709" i="4" s="1"/>
  <c r="Z709" i="4"/>
  <c r="Y709" i="4"/>
  <c r="X709" i="4"/>
  <c r="W709" i="4"/>
  <c r="V709" i="4"/>
  <c r="U709" i="4"/>
  <c r="T709" i="4"/>
  <c r="AF708" i="4"/>
  <c r="AD708" i="4"/>
  <c r="AE708" i="4" s="1"/>
  <c r="AC708" i="4"/>
  <c r="AB708" i="4"/>
  <c r="AA708" i="4"/>
  <c r="Z708" i="4"/>
  <c r="Y708" i="4"/>
  <c r="X708" i="4"/>
  <c r="W708" i="4"/>
  <c r="V708" i="4"/>
  <c r="U708" i="4"/>
  <c r="T708" i="4"/>
  <c r="AD707" i="4"/>
  <c r="AE707" i="4" s="1"/>
  <c r="AC707" i="4"/>
  <c r="AB707" i="4"/>
  <c r="AA707" i="4"/>
  <c r="AF707" i="4" s="1"/>
  <c r="Z707" i="4"/>
  <c r="Y707" i="4"/>
  <c r="X707" i="4"/>
  <c r="W707" i="4"/>
  <c r="V707" i="4"/>
  <c r="U707" i="4"/>
  <c r="T707" i="4"/>
  <c r="AD706" i="4"/>
  <c r="AE706" i="4" s="1"/>
  <c r="AC706" i="4"/>
  <c r="AB706" i="4"/>
  <c r="AA706" i="4"/>
  <c r="AF706" i="4" s="1"/>
  <c r="Z706" i="4"/>
  <c r="Y706" i="4"/>
  <c r="X706" i="4"/>
  <c r="W706" i="4"/>
  <c r="V706" i="4"/>
  <c r="U706" i="4"/>
  <c r="T706" i="4"/>
  <c r="AD705" i="4"/>
  <c r="AE705" i="4" s="1"/>
  <c r="AC705" i="4"/>
  <c r="AB705" i="4"/>
  <c r="AA705" i="4"/>
  <c r="AF705" i="4" s="1"/>
  <c r="Z705" i="4"/>
  <c r="Y705" i="4"/>
  <c r="X705" i="4"/>
  <c r="W705" i="4"/>
  <c r="V705" i="4"/>
  <c r="U705" i="4"/>
  <c r="T705" i="4"/>
  <c r="AD704" i="4"/>
  <c r="AE704" i="4" s="1"/>
  <c r="AC704" i="4"/>
  <c r="AB704" i="4"/>
  <c r="AA704" i="4"/>
  <c r="AF704" i="4" s="1"/>
  <c r="Z704" i="4"/>
  <c r="Y704" i="4"/>
  <c r="X704" i="4"/>
  <c r="W704" i="4"/>
  <c r="V704" i="4"/>
  <c r="U704" i="4"/>
  <c r="T704" i="4"/>
  <c r="AD703" i="4"/>
  <c r="AE703" i="4" s="1"/>
  <c r="AC703" i="4"/>
  <c r="AB703" i="4"/>
  <c r="AA703" i="4"/>
  <c r="AF703" i="4" s="1"/>
  <c r="Z703" i="4"/>
  <c r="Y703" i="4"/>
  <c r="X703" i="4"/>
  <c r="W703" i="4"/>
  <c r="V703" i="4"/>
  <c r="U703" i="4"/>
  <c r="T703" i="4"/>
  <c r="AD702" i="4"/>
  <c r="AE702" i="4" s="1"/>
  <c r="AC702" i="4"/>
  <c r="AB702" i="4"/>
  <c r="AA702" i="4"/>
  <c r="AF702" i="4" s="1"/>
  <c r="Z702" i="4"/>
  <c r="Y702" i="4"/>
  <c r="X702" i="4"/>
  <c r="W702" i="4"/>
  <c r="V702" i="4"/>
  <c r="U702" i="4"/>
  <c r="T702" i="4"/>
  <c r="AD701" i="4"/>
  <c r="AE701" i="4" s="1"/>
  <c r="AC701" i="4"/>
  <c r="AB701" i="4"/>
  <c r="AA701" i="4"/>
  <c r="AF701" i="4" s="1"/>
  <c r="Z701" i="4"/>
  <c r="Y701" i="4"/>
  <c r="X701" i="4"/>
  <c r="W701" i="4"/>
  <c r="V701" i="4"/>
  <c r="U701" i="4"/>
  <c r="T701" i="4"/>
  <c r="AD700" i="4"/>
  <c r="AE700" i="4" s="1"/>
  <c r="AC700" i="4"/>
  <c r="AB700" i="4"/>
  <c r="AA700" i="4"/>
  <c r="AF700" i="4" s="1"/>
  <c r="Z700" i="4"/>
  <c r="Y700" i="4"/>
  <c r="X700" i="4"/>
  <c r="W700" i="4"/>
  <c r="V700" i="4"/>
  <c r="U700" i="4"/>
  <c r="T700" i="4"/>
  <c r="AF699" i="4"/>
  <c r="AD699" i="4"/>
  <c r="AE699" i="4" s="1"/>
  <c r="AC699" i="4"/>
  <c r="AB699" i="4"/>
  <c r="AA699" i="4"/>
  <c r="Z699" i="4"/>
  <c r="Y699" i="4"/>
  <c r="X699" i="4"/>
  <c r="W699" i="4"/>
  <c r="V699" i="4"/>
  <c r="U699" i="4"/>
  <c r="T699" i="4"/>
  <c r="AD698" i="4"/>
  <c r="AE698" i="4" s="1"/>
  <c r="AC698" i="4"/>
  <c r="AB698" i="4"/>
  <c r="AA698" i="4"/>
  <c r="AF698" i="4" s="1"/>
  <c r="Z698" i="4"/>
  <c r="Y698" i="4"/>
  <c r="X698" i="4"/>
  <c r="W698" i="4"/>
  <c r="V698" i="4"/>
  <c r="U698" i="4"/>
  <c r="T698" i="4"/>
  <c r="AD697" i="4"/>
  <c r="AE697" i="4" s="1"/>
  <c r="AC697" i="4"/>
  <c r="AB697" i="4"/>
  <c r="AA697" i="4"/>
  <c r="AF697" i="4" s="1"/>
  <c r="Z697" i="4"/>
  <c r="Y697" i="4"/>
  <c r="X697" i="4"/>
  <c r="W697" i="4"/>
  <c r="V697" i="4"/>
  <c r="U697" i="4"/>
  <c r="T697" i="4"/>
  <c r="AF696" i="4"/>
  <c r="AD696" i="4"/>
  <c r="AE696" i="4" s="1"/>
  <c r="AC696" i="4"/>
  <c r="AB696" i="4"/>
  <c r="AA696" i="4"/>
  <c r="Z696" i="4"/>
  <c r="Y696" i="4"/>
  <c r="X696" i="4"/>
  <c r="W696" i="4"/>
  <c r="V696" i="4"/>
  <c r="U696" i="4"/>
  <c r="T696" i="4"/>
  <c r="AD695" i="4"/>
  <c r="AE695" i="4" s="1"/>
  <c r="AC695" i="4"/>
  <c r="AB695" i="4"/>
  <c r="AA695" i="4"/>
  <c r="AF695" i="4" s="1"/>
  <c r="Z695" i="4"/>
  <c r="Y695" i="4"/>
  <c r="X695" i="4"/>
  <c r="W695" i="4"/>
  <c r="V695" i="4"/>
  <c r="U695" i="4"/>
  <c r="T695" i="4"/>
  <c r="AD694" i="4"/>
  <c r="AE694" i="4" s="1"/>
  <c r="AC694" i="4"/>
  <c r="AB694" i="4"/>
  <c r="AA694" i="4"/>
  <c r="AF694" i="4" s="1"/>
  <c r="Z694" i="4"/>
  <c r="Y694" i="4"/>
  <c r="X694" i="4"/>
  <c r="W694" i="4"/>
  <c r="V694" i="4"/>
  <c r="U694" i="4"/>
  <c r="T694" i="4"/>
  <c r="AF693" i="4"/>
  <c r="AD693" i="4"/>
  <c r="AE693" i="4" s="1"/>
  <c r="AC693" i="4"/>
  <c r="AB693" i="4"/>
  <c r="AA693" i="4"/>
  <c r="Z693" i="4"/>
  <c r="Y693" i="4"/>
  <c r="X693" i="4"/>
  <c r="W693" i="4"/>
  <c r="V693" i="4"/>
  <c r="U693" i="4"/>
  <c r="T693" i="4"/>
  <c r="AD692" i="4"/>
  <c r="AE692" i="4" s="1"/>
  <c r="AC692" i="4"/>
  <c r="AB692" i="4"/>
  <c r="AA692" i="4"/>
  <c r="AF692" i="4" s="1"/>
  <c r="Z692" i="4"/>
  <c r="Y692" i="4"/>
  <c r="X692" i="4"/>
  <c r="W692" i="4"/>
  <c r="V692" i="4"/>
  <c r="U692" i="4"/>
  <c r="T692" i="4"/>
  <c r="AD691" i="4"/>
  <c r="AE691" i="4" s="1"/>
  <c r="AC691" i="4"/>
  <c r="AB691" i="4"/>
  <c r="AA691" i="4"/>
  <c r="AF691" i="4" s="1"/>
  <c r="Z691" i="4"/>
  <c r="Y691" i="4"/>
  <c r="X691" i="4"/>
  <c r="W691" i="4"/>
  <c r="V691" i="4"/>
  <c r="U691" i="4"/>
  <c r="T691" i="4"/>
  <c r="AD690" i="4"/>
  <c r="AE690" i="4" s="1"/>
  <c r="AC690" i="4"/>
  <c r="AB690" i="4"/>
  <c r="AA690" i="4"/>
  <c r="AF690" i="4" s="1"/>
  <c r="Z690" i="4"/>
  <c r="Y690" i="4"/>
  <c r="X690" i="4"/>
  <c r="W690" i="4"/>
  <c r="V690" i="4"/>
  <c r="U690" i="4"/>
  <c r="T690" i="4"/>
  <c r="AF689" i="4"/>
  <c r="AD689" i="4"/>
  <c r="AE689" i="4" s="1"/>
  <c r="AC689" i="4"/>
  <c r="AB689" i="4"/>
  <c r="AA689" i="4"/>
  <c r="Z689" i="4"/>
  <c r="Y689" i="4"/>
  <c r="X689" i="4"/>
  <c r="W689" i="4"/>
  <c r="V689" i="4"/>
  <c r="U689" i="4"/>
  <c r="T689" i="4"/>
  <c r="AF688" i="4"/>
  <c r="AD688" i="4"/>
  <c r="AE688" i="4" s="1"/>
  <c r="AC688" i="4"/>
  <c r="AB688" i="4"/>
  <c r="AA688" i="4"/>
  <c r="Z688" i="4"/>
  <c r="Y688" i="4"/>
  <c r="X688" i="4"/>
  <c r="W688" i="4"/>
  <c r="V688" i="4"/>
  <c r="U688" i="4"/>
  <c r="T688" i="4"/>
  <c r="AD687" i="4"/>
  <c r="AE687" i="4" s="1"/>
  <c r="AC687" i="4"/>
  <c r="AB687" i="4"/>
  <c r="AA687" i="4"/>
  <c r="AF687" i="4" s="1"/>
  <c r="Z687" i="4"/>
  <c r="Y687" i="4"/>
  <c r="X687" i="4"/>
  <c r="W687" i="4"/>
  <c r="V687" i="4"/>
  <c r="U687" i="4"/>
  <c r="T687" i="4"/>
  <c r="AD686" i="4"/>
  <c r="AE686" i="4" s="1"/>
  <c r="AC686" i="4"/>
  <c r="AB686" i="4"/>
  <c r="AA686" i="4"/>
  <c r="AF686" i="4" s="1"/>
  <c r="Z686" i="4"/>
  <c r="Y686" i="4"/>
  <c r="X686" i="4"/>
  <c r="W686" i="4"/>
  <c r="V686" i="4"/>
  <c r="U686" i="4"/>
  <c r="T686" i="4"/>
  <c r="AF685" i="4"/>
  <c r="AD685" i="4"/>
  <c r="AE685" i="4" s="1"/>
  <c r="AC685" i="4"/>
  <c r="AB685" i="4"/>
  <c r="AA685" i="4"/>
  <c r="Z685" i="4"/>
  <c r="Y685" i="4"/>
  <c r="X685" i="4"/>
  <c r="W685" i="4"/>
  <c r="V685" i="4"/>
  <c r="U685" i="4"/>
  <c r="T685" i="4"/>
  <c r="AD684" i="4"/>
  <c r="AE684" i="4" s="1"/>
  <c r="AC684" i="4"/>
  <c r="AB684" i="4"/>
  <c r="AA684" i="4"/>
  <c r="AF684" i="4" s="1"/>
  <c r="Z684" i="4"/>
  <c r="Y684" i="4"/>
  <c r="X684" i="4"/>
  <c r="W684" i="4"/>
  <c r="V684" i="4"/>
  <c r="U684" i="4"/>
  <c r="T684" i="4"/>
  <c r="AD683" i="4"/>
  <c r="AE683" i="4" s="1"/>
  <c r="AC683" i="4"/>
  <c r="AB683" i="4"/>
  <c r="AA683" i="4"/>
  <c r="AF683" i="4" s="1"/>
  <c r="Z683" i="4"/>
  <c r="Y683" i="4"/>
  <c r="X683" i="4"/>
  <c r="W683" i="4"/>
  <c r="V683" i="4"/>
  <c r="U683" i="4"/>
  <c r="T683" i="4"/>
  <c r="AD682" i="4"/>
  <c r="AE682" i="4" s="1"/>
  <c r="AC682" i="4"/>
  <c r="AB682" i="4"/>
  <c r="AA682" i="4"/>
  <c r="AF682" i="4" s="1"/>
  <c r="Z682" i="4"/>
  <c r="Y682" i="4"/>
  <c r="X682" i="4"/>
  <c r="W682" i="4"/>
  <c r="V682" i="4"/>
  <c r="U682" i="4"/>
  <c r="T682" i="4"/>
  <c r="AD681" i="4"/>
  <c r="AE681" i="4" s="1"/>
  <c r="AC681" i="4"/>
  <c r="AB681" i="4"/>
  <c r="AA681" i="4"/>
  <c r="AF681" i="4" s="1"/>
  <c r="Z681" i="4"/>
  <c r="Y681" i="4"/>
  <c r="X681" i="4"/>
  <c r="W681" i="4"/>
  <c r="V681" i="4"/>
  <c r="U681" i="4"/>
  <c r="T681" i="4"/>
  <c r="AF680" i="4"/>
  <c r="AD680" i="4"/>
  <c r="AE680" i="4" s="1"/>
  <c r="AC680" i="4"/>
  <c r="AB680" i="4"/>
  <c r="AA680" i="4"/>
  <c r="Z680" i="4"/>
  <c r="Y680" i="4"/>
  <c r="X680" i="4"/>
  <c r="W680" i="4"/>
  <c r="V680" i="4"/>
  <c r="U680" i="4"/>
  <c r="T680" i="4"/>
  <c r="AF679" i="4"/>
  <c r="AD679" i="4"/>
  <c r="AE679" i="4" s="1"/>
  <c r="AC679" i="4"/>
  <c r="AB679" i="4"/>
  <c r="AA679" i="4"/>
  <c r="Z679" i="4"/>
  <c r="Y679" i="4"/>
  <c r="X679" i="4"/>
  <c r="W679" i="4"/>
  <c r="V679" i="4"/>
  <c r="U679" i="4"/>
  <c r="T679" i="4"/>
  <c r="AD678" i="4"/>
  <c r="AE678" i="4" s="1"/>
  <c r="AC678" i="4"/>
  <c r="AB678" i="4"/>
  <c r="AA678" i="4"/>
  <c r="AF678" i="4" s="1"/>
  <c r="Z678" i="4"/>
  <c r="Y678" i="4"/>
  <c r="X678" i="4"/>
  <c r="W678" i="4"/>
  <c r="V678" i="4"/>
  <c r="U678" i="4"/>
  <c r="T678" i="4"/>
  <c r="AD677" i="4"/>
  <c r="AE677" i="4" s="1"/>
  <c r="AC677" i="4"/>
  <c r="AB677" i="4"/>
  <c r="AA677" i="4"/>
  <c r="AF677" i="4" s="1"/>
  <c r="Z677" i="4"/>
  <c r="Y677" i="4"/>
  <c r="X677" i="4"/>
  <c r="W677" i="4"/>
  <c r="V677" i="4"/>
  <c r="U677" i="4"/>
  <c r="T677" i="4"/>
  <c r="AF676" i="4"/>
  <c r="AD676" i="4"/>
  <c r="AE676" i="4" s="1"/>
  <c r="AC676" i="4"/>
  <c r="AB676" i="4"/>
  <c r="AA676" i="4"/>
  <c r="Z676" i="4"/>
  <c r="Y676" i="4"/>
  <c r="X676" i="4"/>
  <c r="W676" i="4"/>
  <c r="V676" i="4"/>
  <c r="U676" i="4"/>
  <c r="T676" i="4"/>
  <c r="AD675" i="4"/>
  <c r="AE675" i="4" s="1"/>
  <c r="AC675" i="4"/>
  <c r="AB675" i="4"/>
  <c r="AA675" i="4"/>
  <c r="AF675" i="4" s="1"/>
  <c r="Z675" i="4"/>
  <c r="Y675" i="4"/>
  <c r="X675" i="4"/>
  <c r="W675" i="4"/>
  <c r="V675" i="4"/>
  <c r="U675" i="4"/>
  <c r="T675" i="4"/>
  <c r="AD674" i="4"/>
  <c r="AE674" i="4" s="1"/>
  <c r="AC674" i="4"/>
  <c r="AB674" i="4"/>
  <c r="AA674" i="4"/>
  <c r="AF674" i="4" s="1"/>
  <c r="Z674" i="4"/>
  <c r="Y674" i="4"/>
  <c r="X674" i="4"/>
  <c r="W674" i="4"/>
  <c r="V674" i="4"/>
  <c r="U674" i="4"/>
  <c r="T674" i="4"/>
  <c r="AD673" i="4"/>
  <c r="AE673" i="4" s="1"/>
  <c r="AC673" i="4"/>
  <c r="AB673" i="4"/>
  <c r="AA673" i="4"/>
  <c r="AF673" i="4" s="1"/>
  <c r="Z673" i="4"/>
  <c r="Y673" i="4"/>
  <c r="X673" i="4"/>
  <c r="W673" i="4"/>
  <c r="V673" i="4"/>
  <c r="U673" i="4"/>
  <c r="T673" i="4"/>
  <c r="AF672" i="4"/>
  <c r="AD672" i="4"/>
  <c r="AE672" i="4" s="1"/>
  <c r="AC672" i="4"/>
  <c r="AB672" i="4"/>
  <c r="AA672" i="4"/>
  <c r="Z672" i="4"/>
  <c r="Y672" i="4"/>
  <c r="X672" i="4"/>
  <c r="W672" i="4"/>
  <c r="V672" i="4"/>
  <c r="U672" i="4"/>
  <c r="T672" i="4"/>
  <c r="AF671" i="4"/>
  <c r="AD671" i="4"/>
  <c r="AE671" i="4" s="1"/>
  <c r="AC671" i="4"/>
  <c r="AB671" i="4"/>
  <c r="AA671" i="4"/>
  <c r="Z671" i="4"/>
  <c r="Y671" i="4"/>
  <c r="X671" i="4"/>
  <c r="W671" i="4"/>
  <c r="V671" i="4"/>
  <c r="U671" i="4"/>
  <c r="T671" i="4"/>
  <c r="AD670" i="4"/>
  <c r="AE670" i="4" s="1"/>
  <c r="AC670" i="4"/>
  <c r="AB670" i="4"/>
  <c r="AA670" i="4"/>
  <c r="AF670" i="4" s="1"/>
  <c r="Z670" i="4"/>
  <c r="Y670" i="4"/>
  <c r="X670" i="4"/>
  <c r="W670" i="4"/>
  <c r="V670" i="4"/>
  <c r="U670" i="4"/>
  <c r="T670" i="4"/>
  <c r="AD669" i="4"/>
  <c r="AE669" i="4" s="1"/>
  <c r="AC669" i="4"/>
  <c r="AB669" i="4"/>
  <c r="AA669" i="4"/>
  <c r="AF669" i="4" s="1"/>
  <c r="Z669" i="4"/>
  <c r="Y669" i="4"/>
  <c r="X669" i="4"/>
  <c r="W669" i="4"/>
  <c r="V669" i="4"/>
  <c r="U669" i="4"/>
  <c r="T669" i="4"/>
  <c r="AF668" i="4"/>
  <c r="AD668" i="4"/>
  <c r="AE668" i="4" s="1"/>
  <c r="AC668" i="4"/>
  <c r="AB668" i="4"/>
  <c r="AA668" i="4"/>
  <c r="Z668" i="4"/>
  <c r="Y668" i="4"/>
  <c r="X668" i="4"/>
  <c r="W668" i="4"/>
  <c r="V668" i="4"/>
  <c r="U668" i="4"/>
  <c r="T668" i="4"/>
  <c r="AF667" i="4"/>
  <c r="AD667" i="4"/>
  <c r="AE667" i="4" s="1"/>
  <c r="AC667" i="4"/>
  <c r="AB667" i="4"/>
  <c r="AA667" i="4"/>
  <c r="Z667" i="4"/>
  <c r="Y667" i="4"/>
  <c r="X667" i="4"/>
  <c r="W667" i="4"/>
  <c r="V667" i="4"/>
  <c r="U667" i="4"/>
  <c r="T667" i="4"/>
  <c r="AF666" i="4"/>
  <c r="AD666" i="4"/>
  <c r="AE666" i="4" s="1"/>
  <c r="AC666" i="4"/>
  <c r="AB666" i="4"/>
  <c r="AA666" i="4"/>
  <c r="Z666" i="4"/>
  <c r="Y666" i="4"/>
  <c r="X666" i="4"/>
  <c r="W666" i="4"/>
  <c r="V666" i="4"/>
  <c r="U666" i="4"/>
  <c r="T666" i="4"/>
  <c r="AD665" i="4"/>
  <c r="AE665" i="4" s="1"/>
  <c r="AC665" i="4"/>
  <c r="AB665" i="4"/>
  <c r="AA665" i="4"/>
  <c r="AF665" i="4" s="1"/>
  <c r="Z665" i="4"/>
  <c r="Y665" i="4"/>
  <c r="X665" i="4"/>
  <c r="W665" i="4"/>
  <c r="V665" i="4"/>
  <c r="U665" i="4"/>
  <c r="T665" i="4"/>
  <c r="AD664" i="4"/>
  <c r="AE664" i="4" s="1"/>
  <c r="AC664" i="4"/>
  <c r="AB664" i="4"/>
  <c r="AA664" i="4"/>
  <c r="AF664" i="4" s="1"/>
  <c r="Z664" i="4"/>
  <c r="Y664" i="4"/>
  <c r="X664" i="4"/>
  <c r="W664" i="4"/>
  <c r="V664" i="4"/>
  <c r="U664" i="4"/>
  <c r="T664" i="4"/>
  <c r="AD663" i="4"/>
  <c r="AE663" i="4" s="1"/>
  <c r="AC663" i="4"/>
  <c r="AB663" i="4"/>
  <c r="AA663" i="4"/>
  <c r="AF663" i="4" s="1"/>
  <c r="Z663" i="4"/>
  <c r="Y663" i="4"/>
  <c r="X663" i="4"/>
  <c r="W663" i="4"/>
  <c r="V663" i="4"/>
  <c r="U663" i="4"/>
  <c r="T663" i="4"/>
  <c r="AD662" i="4"/>
  <c r="AE662" i="4" s="1"/>
  <c r="AC662" i="4"/>
  <c r="AB662" i="4"/>
  <c r="AA662" i="4"/>
  <c r="AF662" i="4" s="1"/>
  <c r="Z662" i="4"/>
  <c r="Y662" i="4"/>
  <c r="X662" i="4"/>
  <c r="W662" i="4"/>
  <c r="V662" i="4"/>
  <c r="U662" i="4"/>
  <c r="T662" i="4"/>
  <c r="AD661" i="4"/>
  <c r="AE661" i="4" s="1"/>
  <c r="AC661" i="4"/>
  <c r="AB661" i="4"/>
  <c r="AA661" i="4"/>
  <c r="AF661" i="4" s="1"/>
  <c r="Z661" i="4"/>
  <c r="Y661" i="4"/>
  <c r="X661" i="4"/>
  <c r="W661" i="4"/>
  <c r="V661" i="4"/>
  <c r="U661" i="4"/>
  <c r="T661" i="4"/>
  <c r="AF660" i="4"/>
  <c r="AD660" i="4"/>
  <c r="AE660" i="4" s="1"/>
  <c r="AC660" i="4"/>
  <c r="AB660" i="4"/>
  <c r="AA660" i="4"/>
  <c r="Z660" i="4"/>
  <c r="Y660" i="4"/>
  <c r="X660" i="4"/>
  <c r="W660" i="4"/>
  <c r="V660" i="4"/>
  <c r="U660" i="4"/>
  <c r="T660" i="4"/>
  <c r="AD659" i="4"/>
  <c r="AE659" i="4" s="1"/>
  <c r="AC659" i="4"/>
  <c r="AB659" i="4"/>
  <c r="AA659" i="4"/>
  <c r="AF659" i="4" s="1"/>
  <c r="Z659" i="4"/>
  <c r="Y659" i="4"/>
  <c r="X659" i="4"/>
  <c r="W659" i="4"/>
  <c r="V659" i="4"/>
  <c r="U659" i="4"/>
  <c r="T659" i="4"/>
  <c r="AD658" i="4"/>
  <c r="AE658" i="4" s="1"/>
  <c r="AC658" i="4"/>
  <c r="AB658" i="4"/>
  <c r="AA658" i="4"/>
  <c r="AF658" i="4" s="1"/>
  <c r="Z658" i="4"/>
  <c r="Y658" i="4"/>
  <c r="X658" i="4"/>
  <c r="W658" i="4"/>
  <c r="V658" i="4"/>
  <c r="U658" i="4"/>
  <c r="T658" i="4"/>
  <c r="AD657" i="4"/>
  <c r="AE657" i="4" s="1"/>
  <c r="AC657" i="4"/>
  <c r="AB657" i="4"/>
  <c r="AA657" i="4"/>
  <c r="AF657" i="4" s="1"/>
  <c r="Z657" i="4"/>
  <c r="Y657" i="4"/>
  <c r="X657" i="4"/>
  <c r="W657" i="4"/>
  <c r="V657" i="4"/>
  <c r="U657" i="4"/>
  <c r="T657" i="4"/>
  <c r="AD656" i="4"/>
  <c r="AE656" i="4" s="1"/>
  <c r="AC656" i="4"/>
  <c r="AB656" i="4"/>
  <c r="AA656" i="4"/>
  <c r="AF656" i="4" s="1"/>
  <c r="Z656" i="4"/>
  <c r="Y656" i="4"/>
  <c r="X656" i="4"/>
  <c r="W656" i="4"/>
  <c r="V656" i="4"/>
  <c r="U656" i="4"/>
  <c r="T656" i="4"/>
  <c r="AD655" i="4"/>
  <c r="AE655" i="4" s="1"/>
  <c r="AC655" i="4"/>
  <c r="AB655" i="4"/>
  <c r="AA655" i="4"/>
  <c r="AF655" i="4" s="1"/>
  <c r="Z655" i="4"/>
  <c r="Y655" i="4"/>
  <c r="X655" i="4"/>
  <c r="W655" i="4"/>
  <c r="V655" i="4"/>
  <c r="U655" i="4"/>
  <c r="T655" i="4"/>
  <c r="AF654" i="4"/>
  <c r="AD654" i="4"/>
  <c r="AE654" i="4" s="1"/>
  <c r="AC654" i="4"/>
  <c r="AB654" i="4"/>
  <c r="AA654" i="4"/>
  <c r="Z654" i="4"/>
  <c r="Y654" i="4"/>
  <c r="X654" i="4"/>
  <c r="W654" i="4"/>
  <c r="V654" i="4"/>
  <c r="U654" i="4"/>
  <c r="T654" i="4"/>
  <c r="AD653" i="4"/>
  <c r="AE653" i="4" s="1"/>
  <c r="AC653" i="4"/>
  <c r="AB653" i="4"/>
  <c r="AA653" i="4"/>
  <c r="AF653" i="4" s="1"/>
  <c r="Z653" i="4"/>
  <c r="Y653" i="4"/>
  <c r="X653" i="4"/>
  <c r="W653" i="4"/>
  <c r="V653" i="4"/>
  <c r="U653" i="4"/>
  <c r="T653" i="4"/>
  <c r="AF652" i="4"/>
  <c r="AD652" i="4"/>
  <c r="AE652" i="4" s="1"/>
  <c r="AC652" i="4"/>
  <c r="AB652" i="4"/>
  <c r="AA652" i="4"/>
  <c r="Z652" i="4"/>
  <c r="Y652" i="4"/>
  <c r="X652" i="4"/>
  <c r="W652" i="4"/>
  <c r="V652" i="4"/>
  <c r="U652" i="4"/>
  <c r="T652" i="4"/>
  <c r="AF651" i="4"/>
  <c r="AD651" i="4"/>
  <c r="AE651" i="4" s="1"/>
  <c r="AC651" i="4"/>
  <c r="AB651" i="4"/>
  <c r="AA651" i="4"/>
  <c r="Z651" i="4"/>
  <c r="Y651" i="4"/>
  <c r="X651" i="4"/>
  <c r="W651" i="4"/>
  <c r="V651" i="4"/>
  <c r="U651" i="4"/>
  <c r="T651" i="4"/>
  <c r="AD650" i="4"/>
  <c r="AE650" i="4" s="1"/>
  <c r="AC650" i="4"/>
  <c r="AB650" i="4"/>
  <c r="AA650" i="4"/>
  <c r="AF650" i="4" s="1"/>
  <c r="Z650" i="4"/>
  <c r="Y650" i="4"/>
  <c r="X650" i="4"/>
  <c r="W650" i="4"/>
  <c r="V650" i="4"/>
  <c r="U650" i="4"/>
  <c r="T650" i="4"/>
  <c r="AF649" i="4"/>
  <c r="AD649" i="4"/>
  <c r="AE649" i="4" s="1"/>
  <c r="AC649" i="4"/>
  <c r="AB649" i="4"/>
  <c r="AA649" i="4"/>
  <c r="Z649" i="4"/>
  <c r="Y649" i="4"/>
  <c r="X649" i="4"/>
  <c r="W649" i="4"/>
  <c r="V649" i="4"/>
  <c r="U649" i="4"/>
  <c r="T649" i="4"/>
  <c r="AF648" i="4"/>
  <c r="AD648" i="4"/>
  <c r="AE648" i="4" s="1"/>
  <c r="AC648" i="4"/>
  <c r="AB648" i="4"/>
  <c r="AA648" i="4"/>
  <c r="Z648" i="4"/>
  <c r="Y648" i="4"/>
  <c r="X648" i="4"/>
  <c r="W648" i="4"/>
  <c r="V648" i="4"/>
  <c r="U648" i="4"/>
  <c r="T648" i="4"/>
  <c r="AD647" i="4"/>
  <c r="AE647" i="4" s="1"/>
  <c r="AC647" i="4"/>
  <c r="AB647" i="4"/>
  <c r="AA647" i="4"/>
  <c r="AF647" i="4" s="1"/>
  <c r="Z647" i="4"/>
  <c r="Y647" i="4"/>
  <c r="X647" i="4"/>
  <c r="W647" i="4"/>
  <c r="V647" i="4"/>
  <c r="U647" i="4"/>
  <c r="T647" i="4"/>
  <c r="AF646" i="4"/>
  <c r="AD646" i="4"/>
  <c r="AE646" i="4" s="1"/>
  <c r="AC646" i="4"/>
  <c r="AB646" i="4"/>
  <c r="AA646" i="4"/>
  <c r="Z646" i="4"/>
  <c r="Y646" i="4"/>
  <c r="X646" i="4"/>
  <c r="W646" i="4"/>
  <c r="V646" i="4"/>
  <c r="U646" i="4"/>
  <c r="T646" i="4"/>
  <c r="AF645" i="4"/>
  <c r="AD645" i="4"/>
  <c r="AE645" i="4" s="1"/>
  <c r="AC645" i="4"/>
  <c r="AB645" i="4"/>
  <c r="AA645" i="4"/>
  <c r="Z645" i="4"/>
  <c r="Y645" i="4"/>
  <c r="X645" i="4"/>
  <c r="W645" i="4"/>
  <c r="V645" i="4"/>
  <c r="U645" i="4"/>
  <c r="T645" i="4"/>
  <c r="AD644" i="4"/>
  <c r="AE644" i="4" s="1"/>
  <c r="AC644" i="4"/>
  <c r="AB644" i="4"/>
  <c r="AA644" i="4"/>
  <c r="AF644" i="4" s="1"/>
  <c r="Z644" i="4"/>
  <c r="Y644" i="4"/>
  <c r="X644" i="4"/>
  <c r="W644" i="4"/>
  <c r="V644" i="4"/>
  <c r="U644" i="4"/>
  <c r="T644" i="4"/>
  <c r="AD643" i="4"/>
  <c r="AE643" i="4" s="1"/>
  <c r="AC643" i="4"/>
  <c r="AB643" i="4"/>
  <c r="AA643" i="4"/>
  <c r="AF643" i="4" s="1"/>
  <c r="Z643" i="4"/>
  <c r="Y643" i="4"/>
  <c r="X643" i="4"/>
  <c r="W643" i="4"/>
  <c r="V643" i="4"/>
  <c r="U643" i="4"/>
  <c r="T643" i="4"/>
  <c r="AF642" i="4"/>
  <c r="AD642" i="4"/>
  <c r="AE642" i="4" s="1"/>
  <c r="AC642" i="4"/>
  <c r="AB642" i="4"/>
  <c r="AA642" i="4"/>
  <c r="Z642" i="4"/>
  <c r="Y642" i="4"/>
  <c r="X642" i="4"/>
  <c r="W642" i="4"/>
  <c r="V642" i="4"/>
  <c r="U642" i="4"/>
  <c r="T642" i="4"/>
  <c r="AF641" i="4"/>
  <c r="AD641" i="4"/>
  <c r="AE641" i="4" s="1"/>
  <c r="AC641" i="4"/>
  <c r="AB641" i="4"/>
  <c r="AA641" i="4"/>
  <c r="Z641" i="4"/>
  <c r="Y641" i="4"/>
  <c r="X641" i="4"/>
  <c r="W641" i="4"/>
  <c r="V641" i="4"/>
  <c r="U641" i="4"/>
  <c r="T641" i="4"/>
  <c r="AD640" i="4"/>
  <c r="AE640" i="4" s="1"/>
  <c r="AC640" i="4"/>
  <c r="AB640" i="4"/>
  <c r="AA640" i="4"/>
  <c r="AF640" i="4" s="1"/>
  <c r="Z640" i="4"/>
  <c r="Y640" i="4"/>
  <c r="X640" i="4"/>
  <c r="W640" i="4"/>
  <c r="V640" i="4"/>
  <c r="U640" i="4"/>
  <c r="T640" i="4"/>
  <c r="AD639" i="4"/>
  <c r="AE639" i="4" s="1"/>
  <c r="AC639" i="4"/>
  <c r="AB639" i="4"/>
  <c r="AA639" i="4"/>
  <c r="AF639" i="4" s="1"/>
  <c r="Z639" i="4"/>
  <c r="Y639" i="4"/>
  <c r="X639" i="4"/>
  <c r="W639" i="4"/>
  <c r="V639" i="4"/>
  <c r="U639" i="4"/>
  <c r="T639" i="4"/>
  <c r="AF638" i="4"/>
  <c r="AD638" i="4"/>
  <c r="AE638" i="4" s="1"/>
  <c r="AC638" i="4"/>
  <c r="AB638" i="4"/>
  <c r="AA638" i="4"/>
  <c r="Z638" i="4"/>
  <c r="Y638" i="4"/>
  <c r="X638" i="4"/>
  <c r="W638" i="4"/>
  <c r="V638" i="4"/>
  <c r="U638" i="4"/>
  <c r="T638" i="4"/>
  <c r="AF637" i="4"/>
  <c r="AD637" i="4"/>
  <c r="AE637" i="4" s="1"/>
  <c r="AC637" i="4"/>
  <c r="AB637" i="4"/>
  <c r="AA637" i="4"/>
  <c r="Z637" i="4"/>
  <c r="Y637" i="4"/>
  <c r="X637" i="4"/>
  <c r="W637" i="4"/>
  <c r="V637" i="4"/>
  <c r="U637" i="4"/>
  <c r="T637" i="4"/>
  <c r="AD636" i="4"/>
  <c r="AE636" i="4" s="1"/>
  <c r="AC636" i="4"/>
  <c r="AB636" i="4"/>
  <c r="AA636" i="4"/>
  <c r="AF636" i="4" s="1"/>
  <c r="Z636" i="4"/>
  <c r="Y636" i="4"/>
  <c r="X636" i="4"/>
  <c r="W636" i="4"/>
  <c r="V636" i="4"/>
  <c r="U636" i="4"/>
  <c r="T636" i="4"/>
  <c r="AF635" i="4"/>
  <c r="AD635" i="4"/>
  <c r="AE635" i="4" s="1"/>
  <c r="AC635" i="4"/>
  <c r="AB635" i="4"/>
  <c r="AA635" i="4"/>
  <c r="Z635" i="4"/>
  <c r="Y635" i="4"/>
  <c r="X635" i="4"/>
  <c r="W635" i="4"/>
  <c r="V635" i="4"/>
  <c r="U635" i="4"/>
  <c r="T635" i="4"/>
  <c r="AF634" i="4"/>
  <c r="AD634" i="4"/>
  <c r="AE634" i="4" s="1"/>
  <c r="AC634" i="4"/>
  <c r="AB634" i="4"/>
  <c r="AA634" i="4"/>
  <c r="Z634" i="4"/>
  <c r="Y634" i="4"/>
  <c r="X634" i="4"/>
  <c r="W634" i="4"/>
  <c r="V634" i="4"/>
  <c r="U634" i="4"/>
  <c r="T634" i="4"/>
  <c r="AD633" i="4"/>
  <c r="AE633" i="4" s="1"/>
  <c r="AC633" i="4"/>
  <c r="AB633" i="4"/>
  <c r="AA633" i="4"/>
  <c r="AF633" i="4" s="1"/>
  <c r="Z633" i="4"/>
  <c r="Y633" i="4"/>
  <c r="X633" i="4"/>
  <c r="W633" i="4"/>
  <c r="V633" i="4"/>
  <c r="U633" i="4"/>
  <c r="T633" i="4"/>
  <c r="AD632" i="4"/>
  <c r="AE632" i="4" s="1"/>
  <c r="AC632" i="4"/>
  <c r="AB632" i="4"/>
  <c r="AA632" i="4"/>
  <c r="AF632" i="4" s="1"/>
  <c r="Z632" i="4"/>
  <c r="Y632" i="4"/>
  <c r="X632" i="4"/>
  <c r="W632" i="4"/>
  <c r="V632" i="4"/>
  <c r="U632" i="4"/>
  <c r="T632" i="4"/>
  <c r="AD631" i="4"/>
  <c r="AE631" i="4" s="1"/>
  <c r="AC631" i="4"/>
  <c r="AB631" i="4"/>
  <c r="AA631" i="4"/>
  <c r="AF631" i="4" s="1"/>
  <c r="Z631" i="4"/>
  <c r="Y631" i="4"/>
  <c r="X631" i="4"/>
  <c r="W631" i="4"/>
  <c r="V631" i="4"/>
  <c r="U631" i="4"/>
  <c r="T631" i="4"/>
  <c r="AD630" i="4"/>
  <c r="AE630" i="4" s="1"/>
  <c r="AC630" i="4"/>
  <c r="AB630" i="4"/>
  <c r="AA630" i="4"/>
  <c r="AF630" i="4" s="1"/>
  <c r="Z630" i="4"/>
  <c r="Y630" i="4"/>
  <c r="X630" i="4"/>
  <c r="W630" i="4"/>
  <c r="V630" i="4"/>
  <c r="U630" i="4"/>
  <c r="T630" i="4"/>
  <c r="AD629" i="4"/>
  <c r="AE629" i="4" s="1"/>
  <c r="AC629" i="4"/>
  <c r="AB629" i="4"/>
  <c r="AA629" i="4"/>
  <c r="AF629" i="4" s="1"/>
  <c r="Z629" i="4"/>
  <c r="Y629" i="4"/>
  <c r="X629" i="4"/>
  <c r="W629" i="4"/>
  <c r="V629" i="4"/>
  <c r="U629" i="4"/>
  <c r="T629" i="4"/>
  <c r="AF628" i="4"/>
  <c r="AD628" i="4"/>
  <c r="AE628" i="4" s="1"/>
  <c r="AC628" i="4"/>
  <c r="AB628" i="4"/>
  <c r="AA628" i="4"/>
  <c r="Z628" i="4"/>
  <c r="Y628" i="4"/>
  <c r="X628" i="4"/>
  <c r="W628" i="4"/>
  <c r="V628" i="4"/>
  <c r="U628" i="4"/>
  <c r="T628" i="4"/>
  <c r="AD627" i="4"/>
  <c r="AE627" i="4" s="1"/>
  <c r="AC627" i="4"/>
  <c r="AB627" i="4"/>
  <c r="AA627" i="4"/>
  <c r="AF627" i="4" s="1"/>
  <c r="Z627" i="4"/>
  <c r="Y627" i="4"/>
  <c r="X627" i="4"/>
  <c r="W627" i="4"/>
  <c r="V627" i="4"/>
  <c r="U627" i="4"/>
  <c r="T627" i="4"/>
  <c r="AD626" i="4"/>
  <c r="AE626" i="4" s="1"/>
  <c r="AC626" i="4"/>
  <c r="AB626" i="4"/>
  <c r="AA626" i="4"/>
  <c r="AF626" i="4" s="1"/>
  <c r="Z626" i="4"/>
  <c r="Y626" i="4"/>
  <c r="X626" i="4"/>
  <c r="W626" i="4"/>
  <c r="V626" i="4"/>
  <c r="U626" i="4"/>
  <c r="T626" i="4"/>
  <c r="AD625" i="4"/>
  <c r="AE625" i="4" s="1"/>
  <c r="AC625" i="4"/>
  <c r="AB625" i="4"/>
  <c r="AA625" i="4"/>
  <c r="AF625" i="4" s="1"/>
  <c r="Z625" i="4"/>
  <c r="Y625" i="4"/>
  <c r="X625" i="4"/>
  <c r="W625" i="4"/>
  <c r="V625" i="4"/>
  <c r="U625" i="4"/>
  <c r="T625" i="4"/>
  <c r="AF624" i="4"/>
  <c r="AD624" i="4"/>
  <c r="AE624" i="4" s="1"/>
  <c r="AC624" i="4"/>
  <c r="AB624" i="4"/>
  <c r="AA624" i="4"/>
  <c r="Z624" i="4"/>
  <c r="Y624" i="4"/>
  <c r="X624" i="4"/>
  <c r="W624" i="4"/>
  <c r="V624" i="4"/>
  <c r="U624" i="4"/>
  <c r="T624" i="4"/>
  <c r="AD623" i="4"/>
  <c r="AE623" i="4" s="1"/>
  <c r="AC623" i="4"/>
  <c r="AB623" i="4"/>
  <c r="AA623" i="4"/>
  <c r="AF623" i="4" s="1"/>
  <c r="Z623" i="4"/>
  <c r="Y623" i="4"/>
  <c r="X623" i="4"/>
  <c r="W623" i="4"/>
  <c r="V623" i="4"/>
  <c r="U623" i="4"/>
  <c r="T623" i="4"/>
  <c r="AD622" i="4"/>
  <c r="AE622" i="4" s="1"/>
  <c r="AC622" i="4"/>
  <c r="AB622" i="4"/>
  <c r="AA622" i="4"/>
  <c r="AF622" i="4" s="1"/>
  <c r="Z622" i="4"/>
  <c r="Y622" i="4"/>
  <c r="X622" i="4"/>
  <c r="W622" i="4"/>
  <c r="V622" i="4"/>
  <c r="U622" i="4"/>
  <c r="T622" i="4"/>
  <c r="AF621" i="4"/>
  <c r="AD621" i="4"/>
  <c r="AE621" i="4" s="1"/>
  <c r="AC621" i="4"/>
  <c r="AB621" i="4"/>
  <c r="AA621" i="4"/>
  <c r="Z621" i="4"/>
  <c r="Y621" i="4"/>
  <c r="X621" i="4"/>
  <c r="W621" i="4"/>
  <c r="V621" i="4"/>
  <c r="U621" i="4"/>
  <c r="T621" i="4"/>
  <c r="AD620" i="4"/>
  <c r="AE620" i="4" s="1"/>
  <c r="AC620" i="4"/>
  <c r="AB620" i="4"/>
  <c r="AA620" i="4"/>
  <c r="AF620" i="4" s="1"/>
  <c r="Z620" i="4"/>
  <c r="Y620" i="4"/>
  <c r="X620" i="4"/>
  <c r="W620" i="4"/>
  <c r="V620" i="4"/>
  <c r="U620" i="4"/>
  <c r="T620" i="4"/>
  <c r="AF619" i="4"/>
  <c r="AD619" i="4"/>
  <c r="AE619" i="4" s="1"/>
  <c r="AC619" i="4"/>
  <c r="AB619" i="4"/>
  <c r="AA619" i="4"/>
  <c r="Z619" i="4"/>
  <c r="Y619" i="4"/>
  <c r="X619" i="4"/>
  <c r="W619" i="4"/>
  <c r="V619" i="4"/>
  <c r="U619" i="4"/>
  <c r="T619" i="4"/>
  <c r="AF618" i="4"/>
  <c r="AD618" i="4"/>
  <c r="AE618" i="4" s="1"/>
  <c r="AC618" i="4"/>
  <c r="AB618" i="4"/>
  <c r="AA618" i="4"/>
  <c r="Z618" i="4"/>
  <c r="Y618" i="4"/>
  <c r="X618" i="4"/>
  <c r="W618" i="4"/>
  <c r="V618" i="4"/>
  <c r="U618" i="4"/>
  <c r="T618" i="4"/>
  <c r="AD617" i="4"/>
  <c r="AE617" i="4" s="1"/>
  <c r="AC617" i="4"/>
  <c r="AB617" i="4"/>
  <c r="AA617" i="4"/>
  <c r="AF617" i="4" s="1"/>
  <c r="Z617" i="4"/>
  <c r="Y617" i="4"/>
  <c r="X617" i="4"/>
  <c r="W617" i="4"/>
  <c r="V617" i="4"/>
  <c r="U617" i="4"/>
  <c r="T617" i="4"/>
  <c r="AF616" i="4"/>
  <c r="AD616" i="4"/>
  <c r="AE616" i="4" s="1"/>
  <c r="AC616" i="4"/>
  <c r="AB616" i="4"/>
  <c r="AA616" i="4"/>
  <c r="Z616" i="4"/>
  <c r="Y616" i="4"/>
  <c r="X616" i="4"/>
  <c r="W616" i="4"/>
  <c r="V616" i="4"/>
  <c r="U616" i="4"/>
  <c r="T616" i="4"/>
  <c r="AD615" i="4"/>
  <c r="AE615" i="4" s="1"/>
  <c r="AC615" i="4"/>
  <c r="AB615" i="4"/>
  <c r="AA615" i="4"/>
  <c r="AF615" i="4" s="1"/>
  <c r="Z615" i="4"/>
  <c r="Y615" i="4"/>
  <c r="X615" i="4"/>
  <c r="W615" i="4"/>
  <c r="V615" i="4"/>
  <c r="U615" i="4"/>
  <c r="T615" i="4"/>
  <c r="AF614" i="4"/>
  <c r="AD614" i="4"/>
  <c r="AE614" i="4" s="1"/>
  <c r="AC614" i="4"/>
  <c r="AB614" i="4"/>
  <c r="AA614" i="4"/>
  <c r="Z614" i="4"/>
  <c r="Y614" i="4"/>
  <c r="X614" i="4"/>
  <c r="W614" i="4"/>
  <c r="V614" i="4"/>
  <c r="U614" i="4"/>
  <c r="T614" i="4"/>
  <c r="AF613" i="4"/>
  <c r="AD613" i="4"/>
  <c r="AE613" i="4" s="1"/>
  <c r="AC613" i="4"/>
  <c r="AB613" i="4"/>
  <c r="AA613" i="4"/>
  <c r="Z613" i="4"/>
  <c r="Y613" i="4"/>
  <c r="X613" i="4"/>
  <c r="W613" i="4"/>
  <c r="V613" i="4"/>
  <c r="U613" i="4"/>
  <c r="T613" i="4"/>
  <c r="AF612" i="4"/>
  <c r="AD612" i="4"/>
  <c r="AE612" i="4" s="1"/>
  <c r="AC612" i="4"/>
  <c r="AB612" i="4"/>
  <c r="AA612" i="4"/>
  <c r="Z612" i="4"/>
  <c r="Y612" i="4"/>
  <c r="X612" i="4"/>
  <c r="W612" i="4"/>
  <c r="V612" i="4"/>
  <c r="U612" i="4"/>
  <c r="T612" i="4"/>
  <c r="AD611" i="4"/>
  <c r="AE611" i="4" s="1"/>
  <c r="AC611" i="4"/>
  <c r="AB611" i="4"/>
  <c r="AA611" i="4"/>
  <c r="AF611" i="4" s="1"/>
  <c r="Z611" i="4"/>
  <c r="Y611" i="4"/>
  <c r="X611" i="4"/>
  <c r="W611" i="4"/>
  <c r="V611" i="4"/>
  <c r="U611" i="4"/>
  <c r="T611" i="4"/>
  <c r="AD610" i="4"/>
  <c r="AE610" i="4" s="1"/>
  <c r="AC610" i="4"/>
  <c r="AB610" i="4"/>
  <c r="AA610" i="4"/>
  <c r="AF610" i="4" s="1"/>
  <c r="Z610" i="4"/>
  <c r="Y610" i="4"/>
  <c r="X610" i="4"/>
  <c r="W610" i="4"/>
  <c r="V610" i="4"/>
  <c r="U610" i="4"/>
  <c r="T610" i="4"/>
  <c r="AD609" i="4"/>
  <c r="AE609" i="4" s="1"/>
  <c r="AC609" i="4"/>
  <c r="AB609" i="4"/>
  <c r="AA609" i="4"/>
  <c r="AF609" i="4" s="1"/>
  <c r="Z609" i="4"/>
  <c r="Y609" i="4"/>
  <c r="X609" i="4"/>
  <c r="W609" i="4"/>
  <c r="V609" i="4"/>
  <c r="U609" i="4"/>
  <c r="T609" i="4"/>
  <c r="AD608" i="4"/>
  <c r="AE608" i="4" s="1"/>
  <c r="AC608" i="4"/>
  <c r="AB608" i="4"/>
  <c r="AA608" i="4"/>
  <c r="AF608" i="4" s="1"/>
  <c r="Z608" i="4"/>
  <c r="Y608" i="4"/>
  <c r="X608" i="4"/>
  <c r="W608" i="4"/>
  <c r="V608" i="4"/>
  <c r="U608" i="4"/>
  <c r="T608" i="4"/>
  <c r="AD607" i="4"/>
  <c r="AE607" i="4" s="1"/>
  <c r="AC607" i="4"/>
  <c r="AB607" i="4"/>
  <c r="AA607" i="4"/>
  <c r="AF607" i="4" s="1"/>
  <c r="Z607" i="4"/>
  <c r="Y607" i="4"/>
  <c r="X607" i="4"/>
  <c r="W607" i="4"/>
  <c r="V607" i="4"/>
  <c r="U607" i="4"/>
  <c r="T607" i="4"/>
  <c r="AD606" i="4"/>
  <c r="AE606" i="4" s="1"/>
  <c r="AC606" i="4"/>
  <c r="AB606" i="4"/>
  <c r="AA606" i="4"/>
  <c r="AF606" i="4" s="1"/>
  <c r="Z606" i="4"/>
  <c r="Y606" i="4"/>
  <c r="X606" i="4"/>
  <c r="W606" i="4"/>
  <c r="V606" i="4"/>
  <c r="U606" i="4"/>
  <c r="T606" i="4"/>
  <c r="AD605" i="4"/>
  <c r="AE605" i="4" s="1"/>
  <c r="AC605" i="4"/>
  <c r="AB605" i="4"/>
  <c r="AA605" i="4"/>
  <c r="AF605" i="4" s="1"/>
  <c r="Z605" i="4"/>
  <c r="Y605" i="4"/>
  <c r="X605" i="4"/>
  <c r="W605" i="4"/>
  <c r="V605" i="4"/>
  <c r="U605" i="4"/>
  <c r="T605" i="4"/>
  <c r="AF604" i="4"/>
  <c r="AD604" i="4"/>
  <c r="AE604" i="4" s="1"/>
  <c r="AC604" i="4"/>
  <c r="AB604" i="4"/>
  <c r="AA604" i="4"/>
  <c r="Z604" i="4"/>
  <c r="Y604" i="4"/>
  <c r="X604" i="4"/>
  <c r="W604" i="4"/>
  <c r="V604" i="4"/>
  <c r="U604" i="4"/>
  <c r="T604" i="4"/>
  <c r="AD603" i="4"/>
  <c r="AE603" i="4" s="1"/>
  <c r="AC603" i="4"/>
  <c r="AB603" i="4"/>
  <c r="AA603" i="4"/>
  <c r="AF603" i="4" s="1"/>
  <c r="Z603" i="4"/>
  <c r="Y603" i="4"/>
  <c r="X603" i="4"/>
  <c r="W603" i="4"/>
  <c r="V603" i="4"/>
  <c r="U603" i="4"/>
  <c r="T603" i="4"/>
  <c r="AF602" i="4"/>
  <c r="AD602" i="4"/>
  <c r="AE602" i="4" s="1"/>
  <c r="AC602" i="4"/>
  <c r="AB602" i="4"/>
  <c r="AA602" i="4"/>
  <c r="Z602" i="4"/>
  <c r="Y602" i="4"/>
  <c r="X602" i="4"/>
  <c r="W602" i="4"/>
  <c r="V602" i="4"/>
  <c r="U602" i="4"/>
  <c r="T602" i="4"/>
  <c r="AD601" i="4"/>
  <c r="AE601" i="4" s="1"/>
  <c r="AC601" i="4"/>
  <c r="AB601" i="4"/>
  <c r="AA601" i="4"/>
  <c r="AF601" i="4" s="1"/>
  <c r="Z601" i="4"/>
  <c r="Y601" i="4"/>
  <c r="X601" i="4"/>
  <c r="W601" i="4"/>
  <c r="V601" i="4"/>
  <c r="U601" i="4"/>
  <c r="T601" i="4"/>
  <c r="AD600" i="4"/>
  <c r="AE600" i="4" s="1"/>
  <c r="AC600" i="4"/>
  <c r="AB600" i="4"/>
  <c r="AA600" i="4"/>
  <c r="AF600" i="4" s="1"/>
  <c r="Z600" i="4"/>
  <c r="Y600" i="4"/>
  <c r="X600" i="4"/>
  <c r="W600" i="4"/>
  <c r="V600" i="4"/>
  <c r="U600" i="4"/>
  <c r="T600" i="4"/>
  <c r="AF599" i="4"/>
  <c r="AD599" i="4"/>
  <c r="AE599" i="4" s="1"/>
  <c r="AC599" i="4"/>
  <c r="AB599" i="4"/>
  <c r="AA599" i="4"/>
  <c r="Z599" i="4"/>
  <c r="Y599" i="4"/>
  <c r="X599" i="4"/>
  <c r="W599" i="4"/>
  <c r="V599" i="4"/>
  <c r="U599" i="4"/>
  <c r="T599" i="4"/>
  <c r="AF598" i="4"/>
  <c r="AD598" i="4"/>
  <c r="AE598" i="4" s="1"/>
  <c r="AC598" i="4"/>
  <c r="AB598" i="4"/>
  <c r="AA598" i="4"/>
  <c r="Z598" i="4"/>
  <c r="Y598" i="4"/>
  <c r="X598" i="4"/>
  <c r="W598" i="4"/>
  <c r="V598" i="4"/>
  <c r="U598" i="4"/>
  <c r="T598" i="4"/>
  <c r="AF597" i="4"/>
  <c r="AD597" i="4"/>
  <c r="AE597" i="4" s="1"/>
  <c r="AC597" i="4"/>
  <c r="AB597" i="4"/>
  <c r="AA597" i="4"/>
  <c r="Z597" i="4"/>
  <c r="Y597" i="4"/>
  <c r="X597" i="4"/>
  <c r="W597" i="4"/>
  <c r="V597" i="4"/>
  <c r="U597" i="4"/>
  <c r="T597" i="4"/>
  <c r="AF596" i="4"/>
  <c r="AD596" i="4"/>
  <c r="AE596" i="4" s="1"/>
  <c r="AC596" i="4"/>
  <c r="AB596" i="4"/>
  <c r="AA596" i="4"/>
  <c r="Z596" i="4"/>
  <c r="Y596" i="4"/>
  <c r="X596" i="4"/>
  <c r="W596" i="4"/>
  <c r="V596" i="4"/>
  <c r="U596" i="4"/>
  <c r="T596" i="4"/>
  <c r="AD595" i="4"/>
  <c r="AE595" i="4" s="1"/>
  <c r="AC595" i="4"/>
  <c r="AB595" i="4"/>
  <c r="AA595" i="4"/>
  <c r="AF595" i="4" s="1"/>
  <c r="Z595" i="4"/>
  <c r="Y595" i="4"/>
  <c r="X595" i="4"/>
  <c r="W595" i="4"/>
  <c r="V595" i="4"/>
  <c r="U595" i="4"/>
  <c r="T595" i="4"/>
  <c r="AF594" i="4"/>
  <c r="AD594" i="4"/>
  <c r="AE594" i="4" s="1"/>
  <c r="AC594" i="4"/>
  <c r="AB594" i="4"/>
  <c r="AA594" i="4"/>
  <c r="Z594" i="4"/>
  <c r="Y594" i="4"/>
  <c r="X594" i="4"/>
  <c r="W594" i="4"/>
  <c r="V594" i="4"/>
  <c r="U594" i="4"/>
  <c r="T594" i="4"/>
  <c r="AF593" i="4"/>
  <c r="AD593" i="4"/>
  <c r="AE593" i="4" s="1"/>
  <c r="AC593" i="4"/>
  <c r="AB593" i="4"/>
  <c r="AA593" i="4"/>
  <c r="Z593" i="4"/>
  <c r="Y593" i="4"/>
  <c r="X593" i="4"/>
  <c r="W593" i="4"/>
  <c r="V593" i="4"/>
  <c r="U593" i="4"/>
  <c r="T593" i="4"/>
  <c r="AD592" i="4"/>
  <c r="AE592" i="4" s="1"/>
  <c r="AC592" i="4"/>
  <c r="AB592" i="4"/>
  <c r="AA592" i="4"/>
  <c r="AF592" i="4" s="1"/>
  <c r="Z592" i="4"/>
  <c r="Y592" i="4"/>
  <c r="X592" i="4"/>
  <c r="W592" i="4"/>
  <c r="V592" i="4"/>
  <c r="U592" i="4"/>
  <c r="T592" i="4"/>
  <c r="AD591" i="4"/>
  <c r="AE591" i="4" s="1"/>
  <c r="AC591" i="4"/>
  <c r="AB591" i="4"/>
  <c r="AA591" i="4"/>
  <c r="AF591" i="4" s="1"/>
  <c r="Z591" i="4"/>
  <c r="Y591" i="4"/>
  <c r="X591" i="4"/>
  <c r="W591" i="4"/>
  <c r="V591" i="4"/>
  <c r="U591" i="4"/>
  <c r="T591" i="4"/>
  <c r="AD590" i="4"/>
  <c r="AE590" i="4" s="1"/>
  <c r="AC590" i="4"/>
  <c r="AB590" i="4"/>
  <c r="AA590" i="4"/>
  <c r="AF590" i="4" s="1"/>
  <c r="Z590" i="4"/>
  <c r="Y590" i="4"/>
  <c r="X590" i="4"/>
  <c r="W590" i="4"/>
  <c r="V590" i="4"/>
  <c r="U590" i="4"/>
  <c r="T590" i="4"/>
  <c r="AD589" i="4"/>
  <c r="AE589" i="4" s="1"/>
  <c r="AC589" i="4"/>
  <c r="AB589" i="4"/>
  <c r="AA589" i="4"/>
  <c r="AF589" i="4" s="1"/>
  <c r="Z589" i="4"/>
  <c r="Y589" i="4"/>
  <c r="X589" i="4"/>
  <c r="W589" i="4"/>
  <c r="V589" i="4"/>
  <c r="U589" i="4"/>
  <c r="T589" i="4"/>
  <c r="AF588" i="4"/>
  <c r="AD588" i="4"/>
  <c r="AE588" i="4" s="1"/>
  <c r="AC588" i="4"/>
  <c r="AB588" i="4"/>
  <c r="AA588" i="4"/>
  <c r="Z588" i="4"/>
  <c r="Y588" i="4"/>
  <c r="X588" i="4"/>
  <c r="W588" i="4"/>
  <c r="V588" i="4"/>
  <c r="U588" i="4"/>
  <c r="T588" i="4"/>
  <c r="AD587" i="4"/>
  <c r="AE587" i="4" s="1"/>
  <c r="AC587" i="4"/>
  <c r="AB587" i="4"/>
  <c r="AA587" i="4"/>
  <c r="AF587" i="4" s="1"/>
  <c r="Z587" i="4"/>
  <c r="Y587" i="4"/>
  <c r="X587" i="4"/>
  <c r="W587" i="4"/>
  <c r="V587" i="4"/>
  <c r="U587" i="4"/>
  <c r="T587" i="4"/>
  <c r="AF586" i="4"/>
  <c r="AD586" i="4"/>
  <c r="AE586" i="4" s="1"/>
  <c r="AC586" i="4"/>
  <c r="AB586" i="4"/>
  <c r="AA586" i="4"/>
  <c r="Z586" i="4"/>
  <c r="Y586" i="4"/>
  <c r="X586" i="4"/>
  <c r="W586" i="4"/>
  <c r="V586" i="4"/>
  <c r="U586" i="4"/>
  <c r="T586" i="4"/>
  <c r="AD585" i="4"/>
  <c r="AE585" i="4" s="1"/>
  <c r="AC585" i="4"/>
  <c r="AB585" i="4"/>
  <c r="AA585" i="4"/>
  <c r="AF585" i="4" s="1"/>
  <c r="Z585" i="4"/>
  <c r="Y585" i="4"/>
  <c r="X585" i="4"/>
  <c r="W585" i="4"/>
  <c r="V585" i="4"/>
  <c r="U585" i="4"/>
  <c r="T585" i="4"/>
  <c r="AD584" i="4"/>
  <c r="AE584" i="4" s="1"/>
  <c r="AC584" i="4"/>
  <c r="AB584" i="4"/>
  <c r="AA584" i="4"/>
  <c r="AF584" i="4" s="1"/>
  <c r="Z584" i="4"/>
  <c r="Y584" i="4"/>
  <c r="X584" i="4"/>
  <c r="W584" i="4"/>
  <c r="V584" i="4"/>
  <c r="U584" i="4"/>
  <c r="T584" i="4"/>
  <c r="AF583" i="4"/>
  <c r="AD583" i="4"/>
  <c r="AE583" i="4" s="1"/>
  <c r="AC583" i="4"/>
  <c r="AB583" i="4"/>
  <c r="AA583" i="4"/>
  <c r="Z583" i="4"/>
  <c r="Y583" i="4"/>
  <c r="X583" i="4"/>
  <c r="W583" i="4"/>
  <c r="V583" i="4"/>
  <c r="U583" i="4"/>
  <c r="T583" i="4"/>
  <c r="AD582" i="4"/>
  <c r="AE582" i="4" s="1"/>
  <c r="AC582" i="4"/>
  <c r="AB582" i="4"/>
  <c r="AA582" i="4"/>
  <c r="AF582" i="4" s="1"/>
  <c r="Z582" i="4"/>
  <c r="Y582" i="4"/>
  <c r="X582" i="4"/>
  <c r="W582" i="4"/>
  <c r="V582" i="4"/>
  <c r="U582" i="4"/>
  <c r="T582" i="4"/>
  <c r="AF581" i="4"/>
  <c r="AD581" i="4"/>
  <c r="AE581" i="4" s="1"/>
  <c r="AC581" i="4"/>
  <c r="AB581" i="4"/>
  <c r="AA581" i="4"/>
  <c r="Z581" i="4"/>
  <c r="Y581" i="4"/>
  <c r="X581" i="4"/>
  <c r="W581" i="4"/>
  <c r="V581" i="4"/>
  <c r="U581" i="4"/>
  <c r="T581" i="4"/>
  <c r="AF580" i="4"/>
  <c r="AD580" i="4"/>
  <c r="AE580" i="4" s="1"/>
  <c r="AC580" i="4"/>
  <c r="AB580" i="4"/>
  <c r="AA580" i="4"/>
  <c r="Z580" i="4"/>
  <c r="Y580" i="4"/>
  <c r="X580" i="4"/>
  <c r="W580" i="4"/>
  <c r="V580" i="4"/>
  <c r="U580" i="4"/>
  <c r="T580" i="4"/>
  <c r="AD579" i="4"/>
  <c r="AE579" i="4" s="1"/>
  <c r="AC579" i="4"/>
  <c r="AB579" i="4"/>
  <c r="AA579" i="4"/>
  <c r="AF579" i="4" s="1"/>
  <c r="Z579" i="4"/>
  <c r="Y579" i="4"/>
  <c r="X579" i="4"/>
  <c r="W579" i="4"/>
  <c r="V579" i="4"/>
  <c r="U579" i="4"/>
  <c r="T579" i="4"/>
  <c r="AF578" i="4"/>
  <c r="AD578" i="4"/>
  <c r="AE578" i="4" s="1"/>
  <c r="AC578" i="4"/>
  <c r="AB578" i="4"/>
  <c r="AA578" i="4"/>
  <c r="Z578" i="4"/>
  <c r="Y578" i="4"/>
  <c r="X578" i="4"/>
  <c r="W578" i="4"/>
  <c r="V578" i="4"/>
  <c r="U578" i="4"/>
  <c r="T578" i="4"/>
  <c r="AD577" i="4"/>
  <c r="AE577" i="4" s="1"/>
  <c r="AC577" i="4"/>
  <c r="AB577" i="4"/>
  <c r="AA577" i="4"/>
  <c r="AF577" i="4" s="1"/>
  <c r="Z577" i="4"/>
  <c r="Y577" i="4"/>
  <c r="X577" i="4"/>
  <c r="W577" i="4"/>
  <c r="V577" i="4"/>
  <c r="U577" i="4"/>
  <c r="T577" i="4"/>
  <c r="AF576" i="4"/>
  <c r="AD576" i="4"/>
  <c r="AE576" i="4" s="1"/>
  <c r="AC576" i="4"/>
  <c r="AB576" i="4"/>
  <c r="AA576" i="4"/>
  <c r="Z576" i="4"/>
  <c r="Y576" i="4"/>
  <c r="X576" i="4"/>
  <c r="W576" i="4"/>
  <c r="V576" i="4"/>
  <c r="U576" i="4"/>
  <c r="T576" i="4"/>
  <c r="AF575" i="4"/>
  <c r="AD575" i="4"/>
  <c r="AE575" i="4" s="1"/>
  <c r="AC575" i="4"/>
  <c r="AB575" i="4"/>
  <c r="AA575" i="4"/>
  <c r="Z575" i="4"/>
  <c r="Y575" i="4"/>
  <c r="X575" i="4"/>
  <c r="W575" i="4"/>
  <c r="V575" i="4"/>
  <c r="U575" i="4"/>
  <c r="T575" i="4"/>
  <c r="AF574" i="4"/>
  <c r="AD574" i="4"/>
  <c r="AE574" i="4" s="1"/>
  <c r="AC574" i="4"/>
  <c r="AB574" i="4"/>
  <c r="AA574" i="4"/>
  <c r="Z574" i="4"/>
  <c r="Y574" i="4"/>
  <c r="X574" i="4"/>
  <c r="W574" i="4"/>
  <c r="V574" i="4"/>
  <c r="U574" i="4"/>
  <c r="T574" i="4"/>
  <c r="AD573" i="4"/>
  <c r="AE573" i="4" s="1"/>
  <c r="AC573" i="4"/>
  <c r="AB573" i="4"/>
  <c r="AA573" i="4"/>
  <c r="AF573" i="4" s="1"/>
  <c r="Z573" i="4"/>
  <c r="Y573" i="4"/>
  <c r="X573" i="4"/>
  <c r="W573" i="4"/>
  <c r="V573" i="4"/>
  <c r="U573" i="4"/>
  <c r="T573" i="4"/>
  <c r="AF572" i="4"/>
  <c r="AD572" i="4"/>
  <c r="AE572" i="4" s="1"/>
  <c r="AC572" i="4"/>
  <c r="AB572" i="4"/>
  <c r="AA572" i="4"/>
  <c r="Z572" i="4"/>
  <c r="Y572" i="4"/>
  <c r="X572" i="4"/>
  <c r="W572" i="4"/>
  <c r="V572" i="4"/>
  <c r="U572" i="4"/>
  <c r="T572" i="4"/>
  <c r="AD571" i="4"/>
  <c r="AE571" i="4" s="1"/>
  <c r="AC571" i="4"/>
  <c r="AB571" i="4"/>
  <c r="AA571" i="4"/>
  <c r="AF571" i="4" s="1"/>
  <c r="Z571" i="4"/>
  <c r="Y571" i="4"/>
  <c r="X571" i="4"/>
  <c r="W571" i="4"/>
  <c r="V571" i="4"/>
  <c r="U571" i="4"/>
  <c r="T571" i="4"/>
  <c r="AD570" i="4"/>
  <c r="AE570" i="4" s="1"/>
  <c r="AC570" i="4"/>
  <c r="AB570" i="4"/>
  <c r="AA570" i="4"/>
  <c r="AF570" i="4" s="1"/>
  <c r="Z570" i="4"/>
  <c r="Y570" i="4"/>
  <c r="X570" i="4"/>
  <c r="W570" i="4"/>
  <c r="V570" i="4"/>
  <c r="U570" i="4"/>
  <c r="T570" i="4"/>
  <c r="AF569" i="4"/>
  <c r="AD569" i="4"/>
  <c r="AE569" i="4" s="1"/>
  <c r="AC569" i="4"/>
  <c r="AB569" i="4"/>
  <c r="AA569" i="4"/>
  <c r="Z569" i="4"/>
  <c r="Y569" i="4"/>
  <c r="X569" i="4"/>
  <c r="W569" i="4"/>
  <c r="V569" i="4"/>
  <c r="U569" i="4"/>
  <c r="T569" i="4"/>
  <c r="AD568" i="4"/>
  <c r="AE568" i="4" s="1"/>
  <c r="AC568" i="4"/>
  <c r="AB568" i="4"/>
  <c r="AA568" i="4"/>
  <c r="AF568" i="4" s="1"/>
  <c r="Z568" i="4"/>
  <c r="Y568" i="4"/>
  <c r="X568" i="4"/>
  <c r="W568" i="4"/>
  <c r="V568" i="4"/>
  <c r="U568" i="4"/>
  <c r="T568" i="4"/>
  <c r="AF567" i="4"/>
  <c r="AD567" i="4"/>
  <c r="AE567" i="4" s="1"/>
  <c r="AC567" i="4"/>
  <c r="AB567" i="4"/>
  <c r="AA567" i="4"/>
  <c r="Z567" i="4"/>
  <c r="Y567" i="4"/>
  <c r="X567" i="4"/>
  <c r="W567" i="4"/>
  <c r="V567" i="4"/>
  <c r="U567" i="4"/>
  <c r="T567" i="4"/>
  <c r="AD566" i="4"/>
  <c r="AE566" i="4" s="1"/>
  <c r="AC566" i="4"/>
  <c r="AB566" i="4"/>
  <c r="AA566" i="4"/>
  <c r="AF566" i="4" s="1"/>
  <c r="Z566" i="4"/>
  <c r="Y566" i="4"/>
  <c r="X566" i="4"/>
  <c r="W566" i="4"/>
  <c r="V566" i="4"/>
  <c r="U566" i="4"/>
  <c r="T566" i="4"/>
  <c r="AF565" i="4"/>
  <c r="AD565" i="4"/>
  <c r="AE565" i="4" s="1"/>
  <c r="AC565" i="4"/>
  <c r="AB565" i="4"/>
  <c r="AA565" i="4"/>
  <c r="Z565" i="4"/>
  <c r="Y565" i="4"/>
  <c r="X565" i="4"/>
  <c r="W565" i="4"/>
  <c r="V565" i="4"/>
  <c r="U565" i="4"/>
  <c r="T565" i="4"/>
  <c r="AD564" i="4"/>
  <c r="AE564" i="4" s="1"/>
  <c r="AC564" i="4"/>
  <c r="AB564" i="4"/>
  <c r="AA564" i="4"/>
  <c r="AF564" i="4" s="1"/>
  <c r="Z564" i="4"/>
  <c r="Y564" i="4"/>
  <c r="X564" i="4"/>
  <c r="W564" i="4"/>
  <c r="V564" i="4"/>
  <c r="U564" i="4"/>
  <c r="T564" i="4"/>
  <c r="AF563" i="4"/>
  <c r="AD563" i="4"/>
  <c r="AE563" i="4" s="1"/>
  <c r="AC563" i="4"/>
  <c r="AB563" i="4"/>
  <c r="AA563" i="4"/>
  <c r="Z563" i="4"/>
  <c r="Y563" i="4"/>
  <c r="X563" i="4"/>
  <c r="W563" i="4"/>
  <c r="V563" i="4"/>
  <c r="U563" i="4"/>
  <c r="T563" i="4"/>
  <c r="AD562" i="4"/>
  <c r="AE562" i="4" s="1"/>
  <c r="AC562" i="4"/>
  <c r="AB562" i="4"/>
  <c r="AA562" i="4"/>
  <c r="AF562" i="4" s="1"/>
  <c r="Z562" i="4"/>
  <c r="Y562" i="4"/>
  <c r="X562" i="4"/>
  <c r="W562" i="4"/>
  <c r="V562" i="4"/>
  <c r="U562" i="4"/>
  <c r="T562" i="4"/>
  <c r="AF561" i="4"/>
  <c r="AD561" i="4"/>
  <c r="AE561" i="4" s="1"/>
  <c r="AC561" i="4"/>
  <c r="AB561" i="4"/>
  <c r="AA561" i="4"/>
  <c r="Z561" i="4"/>
  <c r="Y561" i="4"/>
  <c r="X561" i="4"/>
  <c r="W561" i="4"/>
  <c r="V561" i="4"/>
  <c r="U561" i="4"/>
  <c r="T561" i="4"/>
  <c r="AD560" i="4"/>
  <c r="AE560" i="4" s="1"/>
  <c r="AC560" i="4"/>
  <c r="AB560" i="4"/>
  <c r="AA560" i="4"/>
  <c r="AF560" i="4" s="1"/>
  <c r="Z560" i="4"/>
  <c r="Y560" i="4"/>
  <c r="X560" i="4"/>
  <c r="W560" i="4"/>
  <c r="V560" i="4"/>
  <c r="U560" i="4"/>
  <c r="T560" i="4"/>
  <c r="AD559" i="4"/>
  <c r="AE559" i="4" s="1"/>
  <c r="AC559" i="4"/>
  <c r="AB559" i="4"/>
  <c r="AA559" i="4"/>
  <c r="AF559" i="4" s="1"/>
  <c r="Z559" i="4"/>
  <c r="Y559" i="4"/>
  <c r="X559" i="4"/>
  <c r="W559" i="4"/>
  <c r="V559" i="4"/>
  <c r="U559" i="4"/>
  <c r="T559" i="4"/>
  <c r="AD558" i="4"/>
  <c r="AE558" i="4" s="1"/>
  <c r="AC558" i="4"/>
  <c r="AB558" i="4"/>
  <c r="AA558" i="4"/>
  <c r="AF558" i="4" s="1"/>
  <c r="Z558" i="4"/>
  <c r="Y558" i="4"/>
  <c r="X558" i="4"/>
  <c r="W558" i="4"/>
  <c r="V558" i="4"/>
  <c r="U558" i="4"/>
  <c r="T558" i="4"/>
  <c r="AF557" i="4"/>
  <c r="AD557" i="4"/>
  <c r="AE557" i="4" s="1"/>
  <c r="AC557" i="4"/>
  <c r="AB557" i="4"/>
  <c r="AA557" i="4"/>
  <c r="Z557" i="4"/>
  <c r="Y557" i="4"/>
  <c r="X557" i="4"/>
  <c r="W557" i="4"/>
  <c r="V557" i="4"/>
  <c r="U557" i="4"/>
  <c r="T557" i="4"/>
  <c r="AD556" i="4"/>
  <c r="AE556" i="4" s="1"/>
  <c r="AC556" i="4"/>
  <c r="AB556" i="4"/>
  <c r="AA556" i="4"/>
  <c r="AF556" i="4" s="1"/>
  <c r="Z556" i="4"/>
  <c r="Y556" i="4"/>
  <c r="X556" i="4"/>
  <c r="W556" i="4"/>
  <c r="V556" i="4"/>
  <c r="U556" i="4"/>
  <c r="T556" i="4"/>
  <c r="AD555" i="4"/>
  <c r="AE555" i="4" s="1"/>
  <c r="AC555" i="4"/>
  <c r="AB555" i="4"/>
  <c r="AA555" i="4"/>
  <c r="AF555" i="4" s="1"/>
  <c r="Z555" i="4"/>
  <c r="Y555" i="4"/>
  <c r="X555" i="4"/>
  <c r="W555" i="4"/>
  <c r="V555" i="4"/>
  <c r="U555" i="4"/>
  <c r="T555" i="4"/>
  <c r="AF554" i="4"/>
  <c r="AD554" i="4"/>
  <c r="AE554" i="4" s="1"/>
  <c r="AC554" i="4"/>
  <c r="AB554" i="4"/>
  <c r="AA554" i="4"/>
  <c r="Z554" i="4"/>
  <c r="Y554" i="4"/>
  <c r="X554" i="4"/>
  <c r="W554" i="4"/>
  <c r="V554" i="4"/>
  <c r="U554" i="4"/>
  <c r="T554" i="4"/>
  <c r="AD553" i="4"/>
  <c r="AE553" i="4" s="1"/>
  <c r="AC553" i="4"/>
  <c r="AB553" i="4"/>
  <c r="AA553" i="4"/>
  <c r="AF553" i="4" s="1"/>
  <c r="Z553" i="4"/>
  <c r="Y553" i="4"/>
  <c r="X553" i="4"/>
  <c r="W553" i="4"/>
  <c r="V553" i="4"/>
  <c r="U553" i="4"/>
  <c r="T553" i="4"/>
  <c r="AF552" i="4"/>
  <c r="AD552" i="4"/>
  <c r="AE552" i="4" s="1"/>
  <c r="AC552" i="4"/>
  <c r="AB552" i="4"/>
  <c r="AA552" i="4"/>
  <c r="Z552" i="4"/>
  <c r="Y552" i="4"/>
  <c r="X552" i="4"/>
  <c r="W552" i="4"/>
  <c r="V552" i="4"/>
  <c r="U552" i="4"/>
  <c r="T552" i="4"/>
  <c r="AF551" i="4"/>
  <c r="AD551" i="4"/>
  <c r="AE551" i="4" s="1"/>
  <c r="AC551" i="4"/>
  <c r="AB551" i="4"/>
  <c r="AA551" i="4"/>
  <c r="Z551" i="4"/>
  <c r="Y551" i="4"/>
  <c r="X551" i="4"/>
  <c r="W551" i="4"/>
  <c r="V551" i="4"/>
  <c r="U551" i="4"/>
  <c r="T551" i="4"/>
  <c r="AD550" i="4"/>
  <c r="AE550" i="4" s="1"/>
  <c r="AC550" i="4"/>
  <c r="AB550" i="4"/>
  <c r="AA550" i="4"/>
  <c r="AF550" i="4" s="1"/>
  <c r="Z550" i="4"/>
  <c r="Y550" i="4"/>
  <c r="X550" i="4"/>
  <c r="W550" i="4"/>
  <c r="V550" i="4"/>
  <c r="U550" i="4"/>
  <c r="T550" i="4"/>
  <c r="AF549" i="4"/>
  <c r="AD549" i="4"/>
  <c r="AE549" i="4" s="1"/>
  <c r="AC549" i="4"/>
  <c r="AB549" i="4"/>
  <c r="AA549" i="4"/>
  <c r="Z549" i="4"/>
  <c r="Y549" i="4"/>
  <c r="X549" i="4"/>
  <c r="W549" i="4"/>
  <c r="V549" i="4"/>
  <c r="U549" i="4"/>
  <c r="T549" i="4"/>
  <c r="AD548" i="4"/>
  <c r="AE548" i="4" s="1"/>
  <c r="AC548" i="4"/>
  <c r="AB548" i="4"/>
  <c r="AA548" i="4"/>
  <c r="AF548" i="4" s="1"/>
  <c r="Z548" i="4"/>
  <c r="Y548" i="4"/>
  <c r="X548" i="4"/>
  <c r="W548" i="4"/>
  <c r="V548" i="4"/>
  <c r="U548" i="4"/>
  <c r="T548" i="4"/>
  <c r="AF547" i="4"/>
  <c r="AD547" i="4"/>
  <c r="AE547" i="4" s="1"/>
  <c r="AC547" i="4"/>
  <c r="AB547" i="4"/>
  <c r="AA547" i="4"/>
  <c r="Z547" i="4"/>
  <c r="Y547" i="4"/>
  <c r="X547" i="4"/>
  <c r="W547" i="4"/>
  <c r="V547" i="4"/>
  <c r="U547" i="4"/>
  <c r="T547" i="4"/>
  <c r="AF546" i="4"/>
  <c r="AD546" i="4"/>
  <c r="AE546" i="4" s="1"/>
  <c r="AC546" i="4"/>
  <c r="AB546" i="4"/>
  <c r="AA546" i="4"/>
  <c r="Z546" i="4"/>
  <c r="Y546" i="4"/>
  <c r="X546" i="4"/>
  <c r="W546" i="4"/>
  <c r="V546" i="4"/>
  <c r="U546" i="4"/>
  <c r="T546" i="4"/>
  <c r="AD545" i="4"/>
  <c r="AE545" i="4" s="1"/>
  <c r="AC545" i="4"/>
  <c r="AB545" i="4"/>
  <c r="AA545" i="4"/>
  <c r="AF545" i="4" s="1"/>
  <c r="Z545" i="4"/>
  <c r="Y545" i="4"/>
  <c r="X545" i="4"/>
  <c r="W545" i="4"/>
  <c r="V545" i="4"/>
  <c r="U545" i="4"/>
  <c r="T545" i="4"/>
  <c r="AD544" i="4"/>
  <c r="AE544" i="4" s="1"/>
  <c r="AC544" i="4"/>
  <c r="AB544" i="4"/>
  <c r="AA544" i="4"/>
  <c r="AF544" i="4" s="1"/>
  <c r="Z544" i="4"/>
  <c r="Y544" i="4"/>
  <c r="X544" i="4"/>
  <c r="W544" i="4"/>
  <c r="V544" i="4"/>
  <c r="U544" i="4"/>
  <c r="T544" i="4"/>
  <c r="AF543" i="4"/>
  <c r="AD543" i="4"/>
  <c r="AE543" i="4" s="1"/>
  <c r="AC543" i="4"/>
  <c r="AB543" i="4"/>
  <c r="AA543" i="4"/>
  <c r="Z543" i="4"/>
  <c r="Y543" i="4"/>
  <c r="X543" i="4"/>
  <c r="W543" i="4"/>
  <c r="V543" i="4"/>
  <c r="U543" i="4"/>
  <c r="T543" i="4"/>
  <c r="AD542" i="4"/>
  <c r="AE542" i="4" s="1"/>
  <c r="AC542" i="4"/>
  <c r="AB542" i="4"/>
  <c r="AA542" i="4"/>
  <c r="AF542" i="4" s="1"/>
  <c r="Z542" i="4"/>
  <c r="Y542" i="4"/>
  <c r="X542" i="4"/>
  <c r="W542" i="4"/>
  <c r="V542" i="4"/>
  <c r="U542" i="4"/>
  <c r="T542" i="4"/>
  <c r="AD541" i="4"/>
  <c r="AE541" i="4" s="1"/>
  <c r="AC541" i="4"/>
  <c r="AB541" i="4"/>
  <c r="AA541" i="4"/>
  <c r="AF541" i="4" s="1"/>
  <c r="Z541" i="4"/>
  <c r="Y541" i="4"/>
  <c r="X541" i="4"/>
  <c r="W541" i="4"/>
  <c r="V541" i="4"/>
  <c r="U541" i="4"/>
  <c r="T541" i="4"/>
  <c r="AF540" i="4"/>
  <c r="AD540" i="4"/>
  <c r="AE540" i="4" s="1"/>
  <c r="AC540" i="4"/>
  <c r="AB540" i="4"/>
  <c r="AA540" i="4"/>
  <c r="Z540" i="4"/>
  <c r="Y540" i="4"/>
  <c r="X540" i="4"/>
  <c r="W540" i="4"/>
  <c r="V540" i="4"/>
  <c r="U540" i="4"/>
  <c r="T540" i="4"/>
  <c r="AF539" i="4"/>
  <c r="AD539" i="4"/>
  <c r="AE539" i="4" s="1"/>
  <c r="AC539" i="4"/>
  <c r="AB539" i="4"/>
  <c r="AA539" i="4"/>
  <c r="Z539" i="4"/>
  <c r="Y539" i="4"/>
  <c r="X539" i="4"/>
  <c r="W539" i="4"/>
  <c r="V539" i="4"/>
  <c r="U539" i="4"/>
  <c r="T539" i="4"/>
  <c r="AF538" i="4"/>
  <c r="AD538" i="4"/>
  <c r="AE538" i="4" s="1"/>
  <c r="AC538" i="4"/>
  <c r="AB538" i="4"/>
  <c r="AA538" i="4"/>
  <c r="Z538" i="4"/>
  <c r="Y538" i="4"/>
  <c r="X538" i="4"/>
  <c r="W538" i="4"/>
  <c r="V538" i="4"/>
  <c r="U538" i="4"/>
  <c r="T538" i="4"/>
  <c r="AD537" i="4"/>
  <c r="AE537" i="4" s="1"/>
  <c r="AC537" i="4"/>
  <c r="AB537" i="4"/>
  <c r="AA537" i="4"/>
  <c r="AF537" i="4" s="1"/>
  <c r="Z537" i="4"/>
  <c r="Y537" i="4"/>
  <c r="X537" i="4"/>
  <c r="W537" i="4"/>
  <c r="V537" i="4"/>
  <c r="U537" i="4"/>
  <c r="T537" i="4"/>
  <c r="AD536" i="4"/>
  <c r="AE536" i="4" s="1"/>
  <c r="AC536" i="4"/>
  <c r="AB536" i="4"/>
  <c r="AA536" i="4"/>
  <c r="AF536" i="4" s="1"/>
  <c r="Z536" i="4"/>
  <c r="Y536" i="4"/>
  <c r="X536" i="4"/>
  <c r="W536" i="4"/>
  <c r="V536" i="4"/>
  <c r="U536" i="4"/>
  <c r="T536" i="4"/>
  <c r="AD535" i="4"/>
  <c r="AE535" i="4" s="1"/>
  <c r="AC535" i="4"/>
  <c r="AB535" i="4"/>
  <c r="AA535" i="4"/>
  <c r="AF535" i="4" s="1"/>
  <c r="Z535" i="4"/>
  <c r="Y535" i="4"/>
  <c r="X535" i="4"/>
  <c r="W535" i="4"/>
  <c r="V535" i="4"/>
  <c r="U535" i="4"/>
  <c r="T535" i="4"/>
  <c r="AD534" i="4"/>
  <c r="AE534" i="4" s="1"/>
  <c r="AC534" i="4"/>
  <c r="AB534" i="4"/>
  <c r="AA534" i="4"/>
  <c r="AF534" i="4" s="1"/>
  <c r="Z534" i="4"/>
  <c r="Y534" i="4"/>
  <c r="X534" i="4"/>
  <c r="W534" i="4"/>
  <c r="V534" i="4"/>
  <c r="U534" i="4"/>
  <c r="T534" i="4"/>
  <c r="AD533" i="4"/>
  <c r="AE533" i="4" s="1"/>
  <c r="AC533" i="4"/>
  <c r="AB533" i="4"/>
  <c r="AA533" i="4"/>
  <c r="AF533" i="4" s="1"/>
  <c r="Z533" i="4"/>
  <c r="Y533" i="4"/>
  <c r="X533" i="4"/>
  <c r="W533" i="4"/>
  <c r="V533" i="4"/>
  <c r="U533" i="4"/>
  <c r="T533" i="4"/>
  <c r="AD532" i="4"/>
  <c r="AE532" i="4" s="1"/>
  <c r="AC532" i="4"/>
  <c r="AB532" i="4"/>
  <c r="AA532" i="4"/>
  <c r="AF532" i="4" s="1"/>
  <c r="Z532" i="4"/>
  <c r="Y532" i="4"/>
  <c r="X532" i="4"/>
  <c r="W532" i="4"/>
  <c r="V532" i="4"/>
  <c r="U532" i="4"/>
  <c r="T532" i="4"/>
  <c r="AD531" i="4"/>
  <c r="AE531" i="4" s="1"/>
  <c r="AC531" i="4"/>
  <c r="AB531" i="4"/>
  <c r="AA531" i="4"/>
  <c r="AF531" i="4" s="1"/>
  <c r="Z531" i="4"/>
  <c r="Y531" i="4"/>
  <c r="X531" i="4"/>
  <c r="W531" i="4"/>
  <c r="V531" i="4"/>
  <c r="U531" i="4"/>
  <c r="T531" i="4"/>
  <c r="AF530" i="4"/>
  <c r="AD530" i="4"/>
  <c r="AE530" i="4" s="1"/>
  <c r="AC530" i="4"/>
  <c r="AB530" i="4"/>
  <c r="AA530" i="4"/>
  <c r="Z530" i="4"/>
  <c r="Y530" i="4"/>
  <c r="X530" i="4"/>
  <c r="W530" i="4"/>
  <c r="V530" i="4"/>
  <c r="U530" i="4"/>
  <c r="T530" i="4"/>
  <c r="AF529" i="4"/>
  <c r="AD529" i="4"/>
  <c r="AE529" i="4" s="1"/>
  <c r="AC529" i="4"/>
  <c r="AB529" i="4"/>
  <c r="AA529" i="4"/>
  <c r="Z529" i="4"/>
  <c r="Y529" i="4"/>
  <c r="X529" i="4"/>
  <c r="W529" i="4"/>
  <c r="V529" i="4"/>
  <c r="U529" i="4"/>
  <c r="T529" i="4"/>
  <c r="AD528" i="4"/>
  <c r="AE528" i="4" s="1"/>
  <c r="AC528" i="4"/>
  <c r="AB528" i="4"/>
  <c r="AA528" i="4"/>
  <c r="AF528" i="4" s="1"/>
  <c r="Z528" i="4"/>
  <c r="Y528" i="4"/>
  <c r="X528" i="4"/>
  <c r="W528" i="4"/>
  <c r="V528" i="4"/>
  <c r="U528" i="4"/>
  <c r="T528" i="4"/>
  <c r="AD527" i="4"/>
  <c r="AE527" i="4" s="1"/>
  <c r="AC527" i="4"/>
  <c r="AB527" i="4"/>
  <c r="AA527" i="4"/>
  <c r="AF527" i="4" s="1"/>
  <c r="Z527" i="4"/>
  <c r="Y527" i="4"/>
  <c r="X527" i="4"/>
  <c r="W527" i="4"/>
  <c r="V527" i="4"/>
  <c r="U527" i="4"/>
  <c r="T527" i="4"/>
  <c r="AD526" i="4"/>
  <c r="AE526" i="4" s="1"/>
  <c r="AC526" i="4"/>
  <c r="AB526" i="4"/>
  <c r="AA526" i="4"/>
  <c r="AF526" i="4" s="1"/>
  <c r="Z526" i="4"/>
  <c r="Y526" i="4"/>
  <c r="X526" i="4"/>
  <c r="W526" i="4"/>
  <c r="V526" i="4"/>
  <c r="U526" i="4"/>
  <c r="T526" i="4"/>
  <c r="AF525" i="4"/>
  <c r="AD525" i="4"/>
  <c r="AE525" i="4" s="1"/>
  <c r="AC525" i="4"/>
  <c r="AB525" i="4"/>
  <c r="AA525" i="4"/>
  <c r="Z525" i="4"/>
  <c r="Y525" i="4"/>
  <c r="X525" i="4"/>
  <c r="W525" i="4"/>
  <c r="V525" i="4"/>
  <c r="U525" i="4"/>
  <c r="T525" i="4"/>
  <c r="AF524" i="4"/>
  <c r="AD524" i="4"/>
  <c r="AE524" i="4" s="1"/>
  <c r="AC524" i="4"/>
  <c r="AB524" i="4"/>
  <c r="AA524" i="4"/>
  <c r="Z524" i="4"/>
  <c r="Y524" i="4"/>
  <c r="X524" i="4"/>
  <c r="W524" i="4"/>
  <c r="V524" i="4"/>
  <c r="U524" i="4"/>
  <c r="T524" i="4"/>
  <c r="AF523" i="4"/>
  <c r="AD523" i="4"/>
  <c r="AE523" i="4" s="1"/>
  <c r="AC523" i="4"/>
  <c r="AB523" i="4"/>
  <c r="AA523" i="4"/>
  <c r="Z523" i="4"/>
  <c r="Y523" i="4"/>
  <c r="X523" i="4"/>
  <c r="W523" i="4"/>
  <c r="V523" i="4"/>
  <c r="U523" i="4"/>
  <c r="T523" i="4"/>
  <c r="AF522" i="4"/>
  <c r="AD522" i="4"/>
  <c r="AE522" i="4" s="1"/>
  <c r="AC522" i="4"/>
  <c r="AB522" i="4"/>
  <c r="AA522" i="4"/>
  <c r="Z522" i="4"/>
  <c r="Y522" i="4"/>
  <c r="X522" i="4"/>
  <c r="W522" i="4"/>
  <c r="V522" i="4"/>
  <c r="U522" i="4"/>
  <c r="T522" i="4"/>
  <c r="AD521" i="4"/>
  <c r="AE521" i="4" s="1"/>
  <c r="AC521" i="4"/>
  <c r="AB521" i="4"/>
  <c r="AA521" i="4"/>
  <c r="AF521" i="4" s="1"/>
  <c r="Z521" i="4"/>
  <c r="Y521" i="4"/>
  <c r="X521" i="4"/>
  <c r="W521" i="4"/>
  <c r="V521" i="4"/>
  <c r="U521" i="4"/>
  <c r="T521" i="4"/>
  <c r="AD520" i="4"/>
  <c r="AE520" i="4" s="1"/>
  <c r="AC520" i="4"/>
  <c r="AB520" i="4"/>
  <c r="AA520" i="4"/>
  <c r="AF520" i="4" s="1"/>
  <c r="Z520" i="4"/>
  <c r="Y520" i="4"/>
  <c r="X520" i="4"/>
  <c r="W520" i="4"/>
  <c r="V520" i="4"/>
  <c r="U520" i="4"/>
  <c r="T520" i="4"/>
  <c r="AD519" i="4"/>
  <c r="AE519" i="4" s="1"/>
  <c r="AC519" i="4"/>
  <c r="AB519" i="4"/>
  <c r="AA519" i="4"/>
  <c r="AF519" i="4" s="1"/>
  <c r="Z519" i="4"/>
  <c r="Y519" i="4"/>
  <c r="X519" i="4"/>
  <c r="W519" i="4"/>
  <c r="V519" i="4"/>
  <c r="U519" i="4"/>
  <c r="T519" i="4"/>
  <c r="AF518" i="4"/>
  <c r="AD518" i="4"/>
  <c r="AE518" i="4" s="1"/>
  <c r="AC518" i="4"/>
  <c r="AB518" i="4"/>
  <c r="AA518" i="4"/>
  <c r="Z518" i="4"/>
  <c r="Y518" i="4"/>
  <c r="X518" i="4"/>
  <c r="W518" i="4"/>
  <c r="V518" i="4"/>
  <c r="U518" i="4"/>
  <c r="T518" i="4"/>
  <c r="AF517" i="4"/>
  <c r="AD517" i="4"/>
  <c r="AE517" i="4" s="1"/>
  <c r="AC517" i="4"/>
  <c r="AB517" i="4"/>
  <c r="AA517" i="4"/>
  <c r="Z517" i="4"/>
  <c r="Y517" i="4"/>
  <c r="X517" i="4"/>
  <c r="W517" i="4"/>
  <c r="V517" i="4"/>
  <c r="U517" i="4"/>
  <c r="T517" i="4"/>
  <c r="AF516" i="4"/>
  <c r="AD516" i="4"/>
  <c r="AE516" i="4" s="1"/>
  <c r="AC516" i="4"/>
  <c r="AB516" i="4"/>
  <c r="AA516" i="4"/>
  <c r="Z516" i="4"/>
  <c r="Y516" i="4"/>
  <c r="X516" i="4"/>
  <c r="W516" i="4"/>
  <c r="V516" i="4"/>
  <c r="U516" i="4"/>
  <c r="T516" i="4"/>
  <c r="AF515" i="4"/>
  <c r="AD515" i="4"/>
  <c r="AE515" i="4" s="1"/>
  <c r="AC515" i="4"/>
  <c r="AB515" i="4"/>
  <c r="AA515" i="4"/>
  <c r="Z515" i="4"/>
  <c r="Y515" i="4"/>
  <c r="X515" i="4"/>
  <c r="W515" i="4"/>
  <c r="V515" i="4"/>
  <c r="U515" i="4"/>
  <c r="T515" i="4"/>
  <c r="AD514" i="4"/>
  <c r="AE514" i="4" s="1"/>
  <c r="AC514" i="4"/>
  <c r="AB514" i="4"/>
  <c r="AA514" i="4"/>
  <c r="AF514" i="4" s="1"/>
  <c r="Z514" i="4"/>
  <c r="Y514" i="4"/>
  <c r="X514" i="4"/>
  <c r="W514" i="4"/>
  <c r="V514" i="4"/>
  <c r="U514" i="4"/>
  <c r="T514" i="4"/>
  <c r="AD513" i="4"/>
  <c r="AE513" i="4" s="1"/>
  <c r="AC513" i="4"/>
  <c r="AB513" i="4"/>
  <c r="AA513" i="4"/>
  <c r="AF513" i="4" s="1"/>
  <c r="Z513" i="4"/>
  <c r="Y513" i="4"/>
  <c r="X513" i="4"/>
  <c r="W513" i="4"/>
  <c r="V513" i="4"/>
  <c r="U513" i="4"/>
  <c r="T513" i="4"/>
  <c r="AF512" i="4"/>
  <c r="AD512" i="4"/>
  <c r="AE512" i="4" s="1"/>
  <c r="AC512" i="4"/>
  <c r="AB512" i="4"/>
  <c r="AA512" i="4"/>
  <c r="Z512" i="4"/>
  <c r="Y512" i="4"/>
  <c r="X512" i="4"/>
  <c r="W512" i="4"/>
  <c r="V512" i="4"/>
  <c r="U512" i="4"/>
  <c r="T512" i="4"/>
  <c r="AD511" i="4"/>
  <c r="AE511" i="4" s="1"/>
  <c r="AC511" i="4"/>
  <c r="AB511" i="4"/>
  <c r="AA511" i="4"/>
  <c r="AF511" i="4" s="1"/>
  <c r="Z511" i="4"/>
  <c r="Y511" i="4"/>
  <c r="X511" i="4"/>
  <c r="W511" i="4"/>
  <c r="V511" i="4"/>
  <c r="U511" i="4"/>
  <c r="T511" i="4"/>
  <c r="AD510" i="4"/>
  <c r="AE510" i="4" s="1"/>
  <c r="AC510" i="4"/>
  <c r="AB510" i="4"/>
  <c r="AA510" i="4"/>
  <c r="AF510" i="4" s="1"/>
  <c r="Z510" i="4"/>
  <c r="Y510" i="4"/>
  <c r="X510" i="4"/>
  <c r="W510" i="4"/>
  <c r="V510" i="4"/>
  <c r="U510" i="4"/>
  <c r="T510" i="4"/>
  <c r="AD509" i="4"/>
  <c r="AE509" i="4" s="1"/>
  <c r="AC509" i="4"/>
  <c r="AB509" i="4"/>
  <c r="AA509" i="4"/>
  <c r="AF509" i="4" s="1"/>
  <c r="Z509" i="4"/>
  <c r="Y509" i="4"/>
  <c r="X509" i="4"/>
  <c r="W509" i="4"/>
  <c r="V509" i="4"/>
  <c r="U509" i="4"/>
  <c r="T509" i="4"/>
  <c r="AF508" i="4"/>
  <c r="AD508" i="4"/>
  <c r="AE508" i="4" s="1"/>
  <c r="AC508" i="4"/>
  <c r="AB508" i="4"/>
  <c r="AA508" i="4"/>
  <c r="Z508" i="4"/>
  <c r="Y508" i="4"/>
  <c r="X508" i="4"/>
  <c r="W508" i="4"/>
  <c r="V508" i="4"/>
  <c r="U508" i="4"/>
  <c r="T508" i="4"/>
  <c r="AD507" i="4"/>
  <c r="AE507" i="4" s="1"/>
  <c r="AC507" i="4"/>
  <c r="AB507" i="4"/>
  <c r="AA507" i="4"/>
  <c r="AF507" i="4" s="1"/>
  <c r="Z507" i="4"/>
  <c r="Y507" i="4"/>
  <c r="X507" i="4"/>
  <c r="W507" i="4"/>
  <c r="V507" i="4"/>
  <c r="U507" i="4"/>
  <c r="T507" i="4"/>
  <c r="AD506" i="4"/>
  <c r="AE506" i="4" s="1"/>
  <c r="AC506" i="4"/>
  <c r="AB506" i="4"/>
  <c r="AA506" i="4"/>
  <c r="AF506" i="4" s="1"/>
  <c r="Z506" i="4"/>
  <c r="Y506" i="4"/>
  <c r="X506" i="4"/>
  <c r="W506" i="4"/>
  <c r="V506" i="4"/>
  <c r="U506" i="4"/>
  <c r="T506" i="4"/>
  <c r="AF505" i="4"/>
  <c r="AD505" i="4"/>
  <c r="AE505" i="4" s="1"/>
  <c r="AC505" i="4"/>
  <c r="AB505" i="4"/>
  <c r="AA505" i="4"/>
  <c r="Z505" i="4"/>
  <c r="Y505" i="4"/>
  <c r="X505" i="4"/>
  <c r="W505" i="4"/>
  <c r="V505" i="4"/>
  <c r="U505" i="4"/>
  <c r="T505" i="4"/>
  <c r="AD504" i="4"/>
  <c r="AE504" i="4" s="1"/>
  <c r="AC504" i="4"/>
  <c r="AB504" i="4"/>
  <c r="AA504" i="4"/>
  <c r="AF504" i="4" s="1"/>
  <c r="Z504" i="4"/>
  <c r="Y504" i="4"/>
  <c r="X504" i="4"/>
  <c r="W504" i="4"/>
  <c r="V504" i="4"/>
  <c r="U504" i="4"/>
  <c r="T504" i="4"/>
  <c r="AF503" i="4"/>
  <c r="AD503" i="4"/>
  <c r="AE503" i="4" s="1"/>
  <c r="AC503" i="4"/>
  <c r="AB503" i="4"/>
  <c r="AA503" i="4"/>
  <c r="Z503" i="4"/>
  <c r="Y503" i="4"/>
  <c r="X503" i="4"/>
  <c r="W503" i="4"/>
  <c r="V503" i="4"/>
  <c r="U503" i="4"/>
  <c r="T503" i="4"/>
  <c r="AF502" i="4"/>
  <c r="AD502" i="4"/>
  <c r="AE502" i="4" s="1"/>
  <c r="AC502" i="4"/>
  <c r="AB502" i="4"/>
  <c r="AA502" i="4"/>
  <c r="Z502" i="4"/>
  <c r="Y502" i="4"/>
  <c r="X502" i="4"/>
  <c r="W502" i="4"/>
  <c r="V502" i="4"/>
  <c r="U502" i="4"/>
  <c r="T502" i="4"/>
  <c r="AD501" i="4"/>
  <c r="AE501" i="4" s="1"/>
  <c r="AC501" i="4"/>
  <c r="AB501" i="4"/>
  <c r="AA501" i="4"/>
  <c r="AF501" i="4" s="1"/>
  <c r="Z501" i="4"/>
  <c r="Y501" i="4"/>
  <c r="X501" i="4"/>
  <c r="W501" i="4"/>
  <c r="V501" i="4"/>
  <c r="U501" i="4"/>
  <c r="T501" i="4"/>
  <c r="AD500" i="4"/>
  <c r="AE500" i="4" s="1"/>
  <c r="AC500" i="4"/>
  <c r="AB500" i="4"/>
  <c r="AA500" i="4"/>
  <c r="AF500" i="4" s="1"/>
  <c r="Z500" i="4"/>
  <c r="Y500" i="4"/>
  <c r="X500" i="4"/>
  <c r="W500" i="4"/>
  <c r="V500" i="4"/>
  <c r="U500" i="4"/>
  <c r="T500" i="4"/>
  <c r="AD499" i="4"/>
  <c r="AE499" i="4" s="1"/>
  <c r="AC499" i="4"/>
  <c r="AB499" i="4"/>
  <c r="AA499" i="4"/>
  <c r="AF499" i="4" s="1"/>
  <c r="Z499" i="4"/>
  <c r="Y499" i="4"/>
  <c r="X499" i="4"/>
  <c r="W499" i="4"/>
  <c r="V499" i="4"/>
  <c r="U499" i="4"/>
  <c r="T499" i="4"/>
  <c r="AD498" i="4"/>
  <c r="AE498" i="4" s="1"/>
  <c r="AC498" i="4"/>
  <c r="AB498" i="4"/>
  <c r="AA498" i="4"/>
  <c r="AF498" i="4" s="1"/>
  <c r="Z498" i="4"/>
  <c r="Y498" i="4"/>
  <c r="X498" i="4"/>
  <c r="W498" i="4"/>
  <c r="V498" i="4"/>
  <c r="U498" i="4"/>
  <c r="T498" i="4"/>
  <c r="AD497" i="4"/>
  <c r="AE497" i="4" s="1"/>
  <c r="AC497" i="4"/>
  <c r="AB497" i="4"/>
  <c r="AA497" i="4"/>
  <c r="AF497" i="4" s="1"/>
  <c r="Z497" i="4"/>
  <c r="Y497" i="4"/>
  <c r="X497" i="4"/>
  <c r="W497" i="4"/>
  <c r="V497" i="4"/>
  <c r="U497" i="4"/>
  <c r="T497" i="4"/>
  <c r="AF496" i="4"/>
  <c r="AD496" i="4"/>
  <c r="AE496" i="4" s="1"/>
  <c r="AC496" i="4"/>
  <c r="AB496" i="4"/>
  <c r="AA496" i="4"/>
  <c r="Z496" i="4"/>
  <c r="Y496" i="4"/>
  <c r="X496" i="4"/>
  <c r="W496" i="4"/>
  <c r="V496" i="4"/>
  <c r="U496" i="4"/>
  <c r="T496" i="4"/>
  <c r="AD495" i="4"/>
  <c r="AE495" i="4" s="1"/>
  <c r="AC495" i="4"/>
  <c r="AB495" i="4"/>
  <c r="AA495" i="4"/>
  <c r="AF495" i="4" s="1"/>
  <c r="Z495" i="4"/>
  <c r="Y495" i="4"/>
  <c r="X495" i="4"/>
  <c r="W495" i="4"/>
  <c r="V495" i="4"/>
  <c r="U495" i="4"/>
  <c r="T495" i="4"/>
  <c r="AD494" i="4"/>
  <c r="AE494" i="4" s="1"/>
  <c r="AC494" i="4"/>
  <c r="AB494" i="4"/>
  <c r="AA494" i="4"/>
  <c r="AF494" i="4" s="1"/>
  <c r="Z494" i="4"/>
  <c r="Y494" i="4"/>
  <c r="X494" i="4"/>
  <c r="W494" i="4"/>
  <c r="V494" i="4"/>
  <c r="U494" i="4"/>
  <c r="T494" i="4"/>
  <c r="AF493" i="4"/>
  <c r="AD493" i="4"/>
  <c r="AE493" i="4" s="1"/>
  <c r="AC493" i="4"/>
  <c r="AB493" i="4"/>
  <c r="AA493" i="4"/>
  <c r="Z493" i="4"/>
  <c r="Y493" i="4"/>
  <c r="X493" i="4"/>
  <c r="W493" i="4"/>
  <c r="V493" i="4"/>
  <c r="U493" i="4"/>
  <c r="T493" i="4"/>
  <c r="AD492" i="4"/>
  <c r="AE492" i="4" s="1"/>
  <c r="AC492" i="4"/>
  <c r="AB492" i="4"/>
  <c r="AA492" i="4"/>
  <c r="AF492" i="4" s="1"/>
  <c r="Z492" i="4"/>
  <c r="Y492" i="4"/>
  <c r="X492" i="4"/>
  <c r="W492" i="4"/>
  <c r="V492" i="4"/>
  <c r="U492" i="4"/>
  <c r="T492" i="4"/>
  <c r="AD491" i="4"/>
  <c r="AE491" i="4" s="1"/>
  <c r="AC491" i="4"/>
  <c r="AB491" i="4"/>
  <c r="AA491" i="4"/>
  <c r="AF491" i="4" s="1"/>
  <c r="Z491" i="4"/>
  <c r="Y491" i="4"/>
  <c r="X491" i="4"/>
  <c r="W491" i="4"/>
  <c r="V491" i="4"/>
  <c r="U491" i="4"/>
  <c r="T491" i="4"/>
  <c r="AD490" i="4"/>
  <c r="AE490" i="4" s="1"/>
  <c r="AC490" i="4"/>
  <c r="AB490" i="4"/>
  <c r="AA490" i="4"/>
  <c r="AF490" i="4" s="1"/>
  <c r="Z490" i="4"/>
  <c r="Y490" i="4"/>
  <c r="X490" i="4"/>
  <c r="W490" i="4"/>
  <c r="V490" i="4"/>
  <c r="U490" i="4"/>
  <c r="T490" i="4"/>
  <c r="AD489" i="4"/>
  <c r="AE489" i="4" s="1"/>
  <c r="AC489" i="4"/>
  <c r="AB489" i="4"/>
  <c r="AA489" i="4"/>
  <c r="AF489" i="4" s="1"/>
  <c r="Z489" i="4"/>
  <c r="Y489" i="4"/>
  <c r="X489" i="4"/>
  <c r="W489" i="4"/>
  <c r="V489" i="4"/>
  <c r="U489" i="4"/>
  <c r="T489" i="4"/>
  <c r="AD488" i="4"/>
  <c r="AE488" i="4" s="1"/>
  <c r="AC488" i="4"/>
  <c r="AB488" i="4"/>
  <c r="AA488" i="4"/>
  <c r="AF488" i="4" s="1"/>
  <c r="Z488" i="4"/>
  <c r="Y488" i="4"/>
  <c r="X488" i="4"/>
  <c r="W488" i="4"/>
  <c r="V488" i="4"/>
  <c r="U488" i="4"/>
  <c r="T488" i="4"/>
  <c r="AF487" i="4"/>
  <c r="AD487" i="4"/>
  <c r="AE487" i="4" s="1"/>
  <c r="AC487" i="4"/>
  <c r="AB487" i="4"/>
  <c r="AA487" i="4"/>
  <c r="Z487" i="4"/>
  <c r="Y487" i="4"/>
  <c r="X487" i="4"/>
  <c r="W487" i="4"/>
  <c r="V487" i="4"/>
  <c r="U487" i="4"/>
  <c r="T487" i="4"/>
  <c r="AF486" i="4"/>
  <c r="AD486" i="4"/>
  <c r="AE486" i="4" s="1"/>
  <c r="AC486" i="4"/>
  <c r="AB486" i="4"/>
  <c r="AA486" i="4"/>
  <c r="Z486" i="4"/>
  <c r="Y486" i="4"/>
  <c r="X486" i="4"/>
  <c r="W486" i="4"/>
  <c r="V486" i="4"/>
  <c r="U486" i="4"/>
  <c r="T486" i="4"/>
  <c r="AD485" i="4"/>
  <c r="AE485" i="4" s="1"/>
  <c r="AC485" i="4"/>
  <c r="AB485" i="4"/>
  <c r="AA485" i="4"/>
  <c r="AF485" i="4" s="1"/>
  <c r="Z485" i="4"/>
  <c r="Y485" i="4"/>
  <c r="X485" i="4"/>
  <c r="W485" i="4"/>
  <c r="V485" i="4"/>
  <c r="U485" i="4"/>
  <c r="T485" i="4"/>
  <c r="AD484" i="4"/>
  <c r="AE484" i="4" s="1"/>
  <c r="AC484" i="4"/>
  <c r="AB484" i="4"/>
  <c r="AA484" i="4"/>
  <c r="AF484" i="4" s="1"/>
  <c r="Z484" i="4"/>
  <c r="Y484" i="4"/>
  <c r="X484" i="4"/>
  <c r="W484" i="4"/>
  <c r="V484" i="4"/>
  <c r="U484" i="4"/>
  <c r="T484" i="4"/>
  <c r="AD483" i="4"/>
  <c r="AE483" i="4" s="1"/>
  <c r="AC483" i="4"/>
  <c r="AB483" i="4"/>
  <c r="AA483" i="4"/>
  <c r="AF483" i="4" s="1"/>
  <c r="Z483" i="4"/>
  <c r="Y483" i="4"/>
  <c r="X483" i="4"/>
  <c r="W483" i="4"/>
  <c r="V483" i="4"/>
  <c r="U483" i="4"/>
  <c r="T483" i="4"/>
  <c r="AD482" i="4"/>
  <c r="AE482" i="4" s="1"/>
  <c r="AC482" i="4"/>
  <c r="AB482" i="4"/>
  <c r="AA482" i="4"/>
  <c r="AF482" i="4" s="1"/>
  <c r="Z482" i="4"/>
  <c r="Y482" i="4"/>
  <c r="X482" i="4"/>
  <c r="W482" i="4"/>
  <c r="V482" i="4"/>
  <c r="U482" i="4"/>
  <c r="T482" i="4"/>
  <c r="AF481" i="4"/>
  <c r="AD481" i="4"/>
  <c r="AE481" i="4" s="1"/>
  <c r="AC481" i="4"/>
  <c r="AB481" i="4"/>
  <c r="AA481" i="4"/>
  <c r="Z481" i="4"/>
  <c r="Y481" i="4"/>
  <c r="X481" i="4"/>
  <c r="W481" i="4"/>
  <c r="V481" i="4"/>
  <c r="U481" i="4"/>
  <c r="T481" i="4"/>
  <c r="AF480" i="4"/>
  <c r="AD480" i="4"/>
  <c r="AE480" i="4" s="1"/>
  <c r="AC480" i="4"/>
  <c r="AB480" i="4"/>
  <c r="AA480" i="4"/>
  <c r="Z480" i="4"/>
  <c r="Y480" i="4"/>
  <c r="X480" i="4"/>
  <c r="W480" i="4"/>
  <c r="V480" i="4"/>
  <c r="U480" i="4"/>
  <c r="T480" i="4"/>
  <c r="AF479" i="4"/>
  <c r="AD479" i="4"/>
  <c r="AE479" i="4" s="1"/>
  <c r="AC479" i="4"/>
  <c r="AB479" i="4"/>
  <c r="AA479" i="4"/>
  <c r="Z479" i="4"/>
  <c r="Y479" i="4"/>
  <c r="X479" i="4"/>
  <c r="W479" i="4"/>
  <c r="V479" i="4"/>
  <c r="U479" i="4"/>
  <c r="T479" i="4"/>
  <c r="AD478" i="4"/>
  <c r="AE478" i="4" s="1"/>
  <c r="AC478" i="4"/>
  <c r="AB478" i="4"/>
  <c r="AA478" i="4"/>
  <c r="AF478" i="4" s="1"/>
  <c r="Z478" i="4"/>
  <c r="Y478" i="4"/>
  <c r="X478" i="4"/>
  <c r="W478" i="4"/>
  <c r="V478" i="4"/>
  <c r="U478" i="4"/>
  <c r="T478" i="4"/>
  <c r="AD477" i="4"/>
  <c r="AE477" i="4" s="1"/>
  <c r="AC477" i="4"/>
  <c r="AB477" i="4"/>
  <c r="AA477" i="4"/>
  <c r="AF477" i="4" s="1"/>
  <c r="Z477" i="4"/>
  <c r="Y477" i="4"/>
  <c r="X477" i="4"/>
  <c r="W477" i="4"/>
  <c r="V477" i="4"/>
  <c r="U477" i="4"/>
  <c r="T477" i="4"/>
  <c r="AD476" i="4"/>
  <c r="AE476" i="4" s="1"/>
  <c r="AC476" i="4"/>
  <c r="AB476" i="4"/>
  <c r="AA476" i="4"/>
  <c r="AF476" i="4" s="1"/>
  <c r="Z476" i="4"/>
  <c r="Y476" i="4"/>
  <c r="X476" i="4"/>
  <c r="W476" i="4"/>
  <c r="V476" i="4"/>
  <c r="U476" i="4"/>
  <c r="T476" i="4"/>
  <c r="AF475" i="4"/>
  <c r="AD475" i="4"/>
  <c r="AE475" i="4" s="1"/>
  <c r="AC475" i="4"/>
  <c r="AB475" i="4"/>
  <c r="AA475" i="4"/>
  <c r="Z475" i="4"/>
  <c r="Y475" i="4"/>
  <c r="X475" i="4"/>
  <c r="W475" i="4"/>
  <c r="V475" i="4"/>
  <c r="U475" i="4"/>
  <c r="T475" i="4"/>
  <c r="AD474" i="4"/>
  <c r="AE474" i="4" s="1"/>
  <c r="AC474" i="4"/>
  <c r="AB474" i="4"/>
  <c r="AA474" i="4"/>
  <c r="AF474" i="4" s="1"/>
  <c r="Z474" i="4"/>
  <c r="Y474" i="4"/>
  <c r="X474" i="4"/>
  <c r="W474" i="4"/>
  <c r="V474" i="4"/>
  <c r="U474" i="4"/>
  <c r="T474" i="4"/>
  <c r="AF473" i="4"/>
  <c r="AD473" i="4"/>
  <c r="AE473" i="4" s="1"/>
  <c r="AC473" i="4"/>
  <c r="AB473" i="4"/>
  <c r="AA473" i="4"/>
  <c r="Z473" i="4"/>
  <c r="Y473" i="4"/>
  <c r="X473" i="4"/>
  <c r="W473" i="4"/>
  <c r="V473" i="4"/>
  <c r="U473" i="4"/>
  <c r="T473" i="4"/>
  <c r="AD472" i="4"/>
  <c r="AE472" i="4" s="1"/>
  <c r="AC472" i="4"/>
  <c r="AB472" i="4"/>
  <c r="AA472" i="4"/>
  <c r="AF472" i="4" s="1"/>
  <c r="Z472" i="4"/>
  <c r="Y472" i="4"/>
  <c r="X472" i="4"/>
  <c r="W472" i="4"/>
  <c r="V472" i="4"/>
  <c r="U472" i="4"/>
  <c r="T472" i="4"/>
  <c r="AF471" i="4"/>
  <c r="AD471" i="4"/>
  <c r="AE471" i="4" s="1"/>
  <c r="AC471" i="4"/>
  <c r="AB471" i="4"/>
  <c r="AA471" i="4"/>
  <c r="Z471" i="4"/>
  <c r="Y471" i="4"/>
  <c r="X471" i="4"/>
  <c r="W471" i="4"/>
  <c r="V471" i="4"/>
  <c r="U471" i="4"/>
  <c r="T471" i="4"/>
  <c r="AF470" i="4"/>
  <c r="AD470" i="4"/>
  <c r="AE470" i="4" s="1"/>
  <c r="AC470" i="4"/>
  <c r="AB470" i="4"/>
  <c r="AA470" i="4"/>
  <c r="Z470" i="4"/>
  <c r="Y470" i="4"/>
  <c r="X470" i="4"/>
  <c r="W470" i="4"/>
  <c r="V470" i="4"/>
  <c r="U470" i="4"/>
  <c r="T470" i="4"/>
  <c r="AD469" i="4"/>
  <c r="AE469" i="4" s="1"/>
  <c r="AC469" i="4"/>
  <c r="AB469" i="4"/>
  <c r="AA469" i="4"/>
  <c r="AF469" i="4" s="1"/>
  <c r="Z469" i="4"/>
  <c r="Y469" i="4"/>
  <c r="X469" i="4"/>
  <c r="W469" i="4"/>
  <c r="V469" i="4"/>
  <c r="U469" i="4"/>
  <c r="T469" i="4"/>
  <c r="AD468" i="4"/>
  <c r="AE468" i="4" s="1"/>
  <c r="AC468" i="4"/>
  <c r="AB468" i="4"/>
  <c r="AA468" i="4"/>
  <c r="AF468" i="4" s="1"/>
  <c r="Z468" i="4"/>
  <c r="Y468" i="4"/>
  <c r="X468" i="4"/>
  <c r="W468" i="4"/>
  <c r="V468" i="4"/>
  <c r="U468" i="4"/>
  <c r="T468" i="4"/>
  <c r="AE467" i="4"/>
  <c r="AD467" i="4"/>
  <c r="AC467" i="4"/>
  <c r="AB467" i="4"/>
  <c r="AA467" i="4"/>
  <c r="AF467" i="4" s="1"/>
  <c r="Z467" i="4"/>
  <c r="Y467" i="4"/>
  <c r="X467" i="4"/>
  <c r="W467" i="4"/>
  <c r="V467" i="4"/>
  <c r="U467" i="4"/>
  <c r="T467" i="4"/>
  <c r="AF466" i="4"/>
  <c r="AD466" i="4"/>
  <c r="AE466" i="4" s="1"/>
  <c r="AC466" i="4"/>
  <c r="AB466" i="4"/>
  <c r="AA466" i="4"/>
  <c r="Z466" i="4"/>
  <c r="Y466" i="4"/>
  <c r="X466" i="4"/>
  <c r="W466" i="4"/>
  <c r="V466" i="4"/>
  <c r="U466" i="4"/>
  <c r="T466" i="4"/>
  <c r="AF465" i="4"/>
  <c r="AD465" i="4"/>
  <c r="AE465" i="4" s="1"/>
  <c r="AC465" i="4"/>
  <c r="AB465" i="4"/>
  <c r="AA465" i="4"/>
  <c r="Z465" i="4"/>
  <c r="Y465" i="4"/>
  <c r="X465" i="4"/>
  <c r="W465" i="4"/>
  <c r="V465" i="4"/>
  <c r="U465" i="4"/>
  <c r="T465" i="4"/>
  <c r="AD464" i="4"/>
  <c r="AE464" i="4" s="1"/>
  <c r="AC464" i="4"/>
  <c r="AB464" i="4"/>
  <c r="AA464" i="4"/>
  <c r="AF464" i="4" s="1"/>
  <c r="Z464" i="4"/>
  <c r="Y464" i="4"/>
  <c r="X464" i="4"/>
  <c r="W464" i="4"/>
  <c r="V464" i="4"/>
  <c r="U464" i="4"/>
  <c r="T464" i="4"/>
  <c r="AD463" i="4"/>
  <c r="AE463" i="4" s="1"/>
  <c r="AC463" i="4"/>
  <c r="AB463" i="4"/>
  <c r="AA463" i="4"/>
  <c r="AF463" i="4" s="1"/>
  <c r="Z463" i="4"/>
  <c r="Y463" i="4"/>
  <c r="X463" i="4"/>
  <c r="W463" i="4"/>
  <c r="V463" i="4"/>
  <c r="U463" i="4"/>
  <c r="T463" i="4"/>
  <c r="AF462" i="4"/>
  <c r="AD462" i="4"/>
  <c r="AE462" i="4" s="1"/>
  <c r="AC462" i="4"/>
  <c r="AB462" i="4"/>
  <c r="AA462" i="4"/>
  <c r="Z462" i="4"/>
  <c r="Y462" i="4"/>
  <c r="X462" i="4"/>
  <c r="W462" i="4"/>
  <c r="V462" i="4"/>
  <c r="U462" i="4"/>
  <c r="T462" i="4"/>
  <c r="AD461" i="4"/>
  <c r="AE461" i="4" s="1"/>
  <c r="AC461" i="4"/>
  <c r="AB461" i="4"/>
  <c r="AA461" i="4"/>
  <c r="AF461" i="4" s="1"/>
  <c r="Z461" i="4"/>
  <c r="Y461" i="4"/>
  <c r="X461" i="4"/>
  <c r="W461" i="4"/>
  <c r="V461" i="4"/>
  <c r="U461" i="4"/>
  <c r="T461" i="4"/>
  <c r="AD460" i="4"/>
  <c r="AE460" i="4" s="1"/>
  <c r="AC460" i="4"/>
  <c r="AB460" i="4"/>
  <c r="AA460" i="4"/>
  <c r="AF460" i="4" s="1"/>
  <c r="Z460" i="4"/>
  <c r="Y460" i="4"/>
  <c r="X460" i="4"/>
  <c r="W460" i="4"/>
  <c r="V460" i="4"/>
  <c r="U460" i="4"/>
  <c r="T460" i="4"/>
  <c r="AD459" i="4"/>
  <c r="AE459" i="4" s="1"/>
  <c r="AC459" i="4"/>
  <c r="AB459" i="4"/>
  <c r="AA459" i="4"/>
  <c r="AF459" i="4" s="1"/>
  <c r="Z459" i="4"/>
  <c r="Y459" i="4"/>
  <c r="X459" i="4"/>
  <c r="W459" i="4"/>
  <c r="V459" i="4"/>
  <c r="U459" i="4"/>
  <c r="T459" i="4"/>
  <c r="AF458" i="4"/>
  <c r="AD458" i="4"/>
  <c r="AE458" i="4" s="1"/>
  <c r="AC458" i="4"/>
  <c r="AB458" i="4"/>
  <c r="AA458" i="4"/>
  <c r="Z458" i="4"/>
  <c r="Y458" i="4"/>
  <c r="X458" i="4"/>
  <c r="W458" i="4"/>
  <c r="V458" i="4"/>
  <c r="U458" i="4"/>
  <c r="T458" i="4"/>
  <c r="AD457" i="4"/>
  <c r="AE457" i="4" s="1"/>
  <c r="AC457" i="4"/>
  <c r="AB457" i="4"/>
  <c r="AA457" i="4"/>
  <c r="AF457" i="4" s="1"/>
  <c r="Z457" i="4"/>
  <c r="Y457" i="4"/>
  <c r="X457" i="4"/>
  <c r="W457" i="4"/>
  <c r="V457" i="4"/>
  <c r="U457" i="4"/>
  <c r="T457" i="4"/>
  <c r="AD456" i="4"/>
  <c r="AE456" i="4" s="1"/>
  <c r="AC456" i="4"/>
  <c r="AB456" i="4"/>
  <c r="AA456" i="4"/>
  <c r="AF456" i="4" s="1"/>
  <c r="Z456" i="4"/>
  <c r="Y456" i="4"/>
  <c r="X456" i="4"/>
  <c r="W456" i="4"/>
  <c r="V456" i="4"/>
  <c r="U456" i="4"/>
  <c r="T456" i="4"/>
  <c r="AD455" i="4"/>
  <c r="AE455" i="4" s="1"/>
  <c r="AC455" i="4"/>
  <c r="AB455" i="4"/>
  <c r="AA455" i="4"/>
  <c r="AF455" i="4" s="1"/>
  <c r="Z455" i="4"/>
  <c r="Y455" i="4"/>
  <c r="X455" i="4"/>
  <c r="W455" i="4"/>
  <c r="V455" i="4"/>
  <c r="U455" i="4"/>
  <c r="T455" i="4"/>
  <c r="AF454" i="4"/>
  <c r="AD454" i="4"/>
  <c r="AE454" i="4" s="1"/>
  <c r="AC454" i="4"/>
  <c r="AB454" i="4"/>
  <c r="AA454" i="4"/>
  <c r="Z454" i="4"/>
  <c r="Y454" i="4"/>
  <c r="X454" i="4"/>
  <c r="W454" i="4"/>
  <c r="V454" i="4"/>
  <c r="U454" i="4"/>
  <c r="T454" i="4"/>
  <c r="AF453" i="4"/>
  <c r="AD453" i="4"/>
  <c r="AE453" i="4" s="1"/>
  <c r="AC453" i="4"/>
  <c r="AB453" i="4"/>
  <c r="AA453" i="4"/>
  <c r="Z453" i="4"/>
  <c r="Y453" i="4"/>
  <c r="X453" i="4"/>
  <c r="W453" i="4"/>
  <c r="V453" i="4"/>
  <c r="U453" i="4"/>
  <c r="T453" i="4"/>
  <c r="AD452" i="4"/>
  <c r="AE452" i="4" s="1"/>
  <c r="AC452" i="4"/>
  <c r="AB452" i="4"/>
  <c r="AA452" i="4"/>
  <c r="AF452" i="4" s="1"/>
  <c r="Z452" i="4"/>
  <c r="Y452" i="4"/>
  <c r="X452" i="4"/>
  <c r="W452" i="4"/>
  <c r="V452" i="4"/>
  <c r="U452" i="4"/>
  <c r="T452" i="4"/>
  <c r="AD451" i="4"/>
  <c r="AE451" i="4" s="1"/>
  <c r="AC451" i="4"/>
  <c r="AB451" i="4"/>
  <c r="AA451" i="4"/>
  <c r="AF451" i="4" s="1"/>
  <c r="Z451" i="4"/>
  <c r="Y451" i="4"/>
  <c r="X451" i="4"/>
  <c r="W451" i="4"/>
  <c r="V451" i="4"/>
  <c r="U451" i="4"/>
  <c r="T451" i="4"/>
  <c r="AD450" i="4"/>
  <c r="AE450" i="4" s="1"/>
  <c r="AC450" i="4"/>
  <c r="AB450" i="4"/>
  <c r="AA450" i="4"/>
  <c r="AF450" i="4" s="1"/>
  <c r="Z450" i="4"/>
  <c r="Y450" i="4"/>
  <c r="X450" i="4"/>
  <c r="W450" i="4"/>
  <c r="V450" i="4"/>
  <c r="U450" i="4"/>
  <c r="T450" i="4"/>
  <c r="AF449" i="4"/>
  <c r="AD449" i="4"/>
  <c r="AE449" i="4" s="1"/>
  <c r="AC449" i="4"/>
  <c r="AB449" i="4"/>
  <c r="AA449" i="4"/>
  <c r="Z449" i="4"/>
  <c r="Y449" i="4"/>
  <c r="X449" i="4"/>
  <c r="W449" i="4"/>
  <c r="V449" i="4"/>
  <c r="U449" i="4"/>
  <c r="T449" i="4"/>
  <c r="AF448" i="4"/>
  <c r="AD448" i="4"/>
  <c r="AE448" i="4" s="1"/>
  <c r="AC448" i="4"/>
  <c r="AB448" i="4"/>
  <c r="AA448" i="4"/>
  <c r="Z448" i="4"/>
  <c r="Y448" i="4"/>
  <c r="X448" i="4"/>
  <c r="W448" i="4"/>
  <c r="V448" i="4"/>
  <c r="U448" i="4"/>
  <c r="T448" i="4"/>
  <c r="AD447" i="4"/>
  <c r="AE447" i="4" s="1"/>
  <c r="AC447" i="4"/>
  <c r="AB447" i="4"/>
  <c r="AA447" i="4"/>
  <c r="AF447" i="4" s="1"/>
  <c r="Z447" i="4"/>
  <c r="Y447" i="4"/>
  <c r="X447" i="4"/>
  <c r="W447" i="4"/>
  <c r="V447" i="4"/>
  <c r="U447" i="4"/>
  <c r="T447" i="4"/>
  <c r="AF446" i="4"/>
  <c r="AD446" i="4"/>
  <c r="AE446" i="4" s="1"/>
  <c r="AC446" i="4"/>
  <c r="AB446" i="4"/>
  <c r="AA446" i="4"/>
  <c r="Z446" i="4"/>
  <c r="Y446" i="4"/>
  <c r="X446" i="4"/>
  <c r="W446" i="4"/>
  <c r="V446" i="4"/>
  <c r="U446" i="4"/>
  <c r="T446" i="4"/>
  <c r="AD445" i="4"/>
  <c r="AE445" i="4" s="1"/>
  <c r="AC445" i="4"/>
  <c r="AB445" i="4"/>
  <c r="AA445" i="4"/>
  <c r="AF445" i="4" s="1"/>
  <c r="Z445" i="4"/>
  <c r="Y445" i="4"/>
  <c r="X445" i="4"/>
  <c r="W445" i="4"/>
  <c r="V445" i="4"/>
  <c r="U445" i="4"/>
  <c r="T445" i="4"/>
  <c r="AF444" i="4"/>
  <c r="AD444" i="4"/>
  <c r="AE444" i="4" s="1"/>
  <c r="AC444" i="4"/>
  <c r="AB444" i="4"/>
  <c r="AA444" i="4"/>
  <c r="Z444" i="4"/>
  <c r="Y444" i="4"/>
  <c r="X444" i="4"/>
  <c r="W444" i="4"/>
  <c r="V444" i="4"/>
  <c r="U444" i="4"/>
  <c r="T444" i="4"/>
  <c r="AF443" i="4"/>
  <c r="AD443" i="4"/>
  <c r="AE443" i="4" s="1"/>
  <c r="AC443" i="4"/>
  <c r="AB443" i="4"/>
  <c r="AA443" i="4"/>
  <c r="Z443" i="4"/>
  <c r="Y443" i="4"/>
  <c r="X443" i="4"/>
  <c r="W443" i="4"/>
  <c r="V443" i="4"/>
  <c r="U443" i="4"/>
  <c r="T443" i="4"/>
  <c r="AD442" i="4"/>
  <c r="AE442" i="4" s="1"/>
  <c r="AC442" i="4"/>
  <c r="AB442" i="4"/>
  <c r="AA442" i="4"/>
  <c r="AF442" i="4" s="1"/>
  <c r="Z442" i="4"/>
  <c r="Y442" i="4"/>
  <c r="X442" i="4"/>
  <c r="W442" i="4"/>
  <c r="V442" i="4"/>
  <c r="U442" i="4"/>
  <c r="T442" i="4"/>
  <c r="AD441" i="4"/>
  <c r="AE441" i="4" s="1"/>
  <c r="AC441" i="4"/>
  <c r="AB441" i="4"/>
  <c r="AA441" i="4"/>
  <c r="AF441" i="4" s="1"/>
  <c r="Z441" i="4"/>
  <c r="Y441" i="4"/>
  <c r="X441" i="4"/>
  <c r="W441" i="4"/>
  <c r="V441" i="4"/>
  <c r="U441" i="4"/>
  <c r="T441" i="4"/>
  <c r="AF440" i="4"/>
  <c r="AD440" i="4"/>
  <c r="AE440" i="4" s="1"/>
  <c r="AC440" i="4"/>
  <c r="AB440" i="4"/>
  <c r="AA440" i="4"/>
  <c r="Z440" i="4"/>
  <c r="Y440" i="4"/>
  <c r="X440" i="4"/>
  <c r="W440" i="4"/>
  <c r="V440" i="4"/>
  <c r="U440" i="4"/>
  <c r="T440" i="4"/>
  <c r="AD439" i="4"/>
  <c r="AE439" i="4" s="1"/>
  <c r="AC439" i="4"/>
  <c r="AB439" i="4"/>
  <c r="AA439" i="4"/>
  <c r="AF439" i="4" s="1"/>
  <c r="Z439" i="4"/>
  <c r="Y439" i="4"/>
  <c r="X439" i="4"/>
  <c r="W439" i="4"/>
  <c r="V439" i="4"/>
  <c r="U439" i="4"/>
  <c r="T439" i="4"/>
  <c r="AD438" i="4"/>
  <c r="AE438" i="4" s="1"/>
  <c r="AC438" i="4"/>
  <c r="AB438" i="4"/>
  <c r="AA438" i="4"/>
  <c r="AF438" i="4" s="1"/>
  <c r="Z438" i="4"/>
  <c r="Y438" i="4"/>
  <c r="X438" i="4"/>
  <c r="W438" i="4"/>
  <c r="V438" i="4"/>
  <c r="U438" i="4"/>
  <c r="T438" i="4"/>
  <c r="AD437" i="4"/>
  <c r="AE437" i="4" s="1"/>
  <c r="AC437" i="4"/>
  <c r="AB437" i="4"/>
  <c r="AA437" i="4"/>
  <c r="AF437" i="4" s="1"/>
  <c r="Z437" i="4"/>
  <c r="Y437" i="4"/>
  <c r="X437" i="4"/>
  <c r="W437" i="4"/>
  <c r="V437" i="4"/>
  <c r="U437" i="4"/>
  <c r="T437" i="4"/>
  <c r="AD436" i="4"/>
  <c r="AE436" i="4" s="1"/>
  <c r="AC436" i="4"/>
  <c r="AB436" i="4"/>
  <c r="AA436" i="4"/>
  <c r="AF436" i="4" s="1"/>
  <c r="Z436" i="4"/>
  <c r="Y436" i="4"/>
  <c r="X436" i="4"/>
  <c r="W436" i="4"/>
  <c r="V436" i="4"/>
  <c r="U436" i="4"/>
  <c r="T436" i="4"/>
  <c r="AD435" i="4"/>
  <c r="AE435" i="4" s="1"/>
  <c r="AC435" i="4"/>
  <c r="AB435" i="4"/>
  <c r="AA435" i="4"/>
  <c r="AF435" i="4" s="1"/>
  <c r="Z435" i="4"/>
  <c r="Y435" i="4"/>
  <c r="X435" i="4"/>
  <c r="W435" i="4"/>
  <c r="V435" i="4"/>
  <c r="U435" i="4"/>
  <c r="T435" i="4"/>
  <c r="AD434" i="4"/>
  <c r="AE434" i="4" s="1"/>
  <c r="AC434" i="4"/>
  <c r="AB434" i="4"/>
  <c r="AA434" i="4"/>
  <c r="AF434" i="4" s="1"/>
  <c r="Z434" i="4"/>
  <c r="Y434" i="4"/>
  <c r="X434" i="4"/>
  <c r="W434" i="4"/>
  <c r="V434" i="4"/>
  <c r="U434" i="4"/>
  <c r="T434" i="4"/>
  <c r="AD433" i="4"/>
  <c r="AE433" i="4" s="1"/>
  <c r="AC433" i="4"/>
  <c r="AB433" i="4"/>
  <c r="AA433" i="4"/>
  <c r="AF433" i="4" s="1"/>
  <c r="Z433" i="4"/>
  <c r="Y433" i="4"/>
  <c r="X433" i="4"/>
  <c r="W433" i="4"/>
  <c r="V433" i="4"/>
  <c r="U433" i="4"/>
  <c r="T433" i="4"/>
  <c r="AF432" i="4"/>
  <c r="AD432" i="4"/>
  <c r="AE432" i="4" s="1"/>
  <c r="AC432" i="4"/>
  <c r="AB432" i="4"/>
  <c r="AA432" i="4"/>
  <c r="Z432" i="4"/>
  <c r="Y432" i="4"/>
  <c r="X432" i="4"/>
  <c r="W432" i="4"/>
  <c r="V432" i="4"/>
  <c r="U432" i="4"/>
  <c r="T432" i="4"/>
  <c r="AD431" i="4"/>
  <c r="AE431" i="4" s="1"/>
  <c r="AC431" i="4"/>
  <c r="AB431" i="4"/>
  <c r="AA431" i="4"/>
  <c r="AF431" i="4" s="1"/>
  <c r="Z431" i="4"/>
  <c r="Y431" i="4"/>
  <c r="X431" i="4"/>
  <c r="W431" i="4"/>
  <c r="V431" i="4"/>
  <c r="U431" i="4"/>
  <c r="T431" i="4"/>
  <c r="AF430" i="4"/>
  <c r="AD430" i="4"/>
  <c r="AE430" i="4" s="1"/>
  <c r="AC430" i="4"/>
  <c r="AB430" i="4"/>
  <c r="AA430" i="4"/>
  <c r="Z430" i="4"/>
  <c r="Y430" i="4"/>
  <c r="X430" i="4"/>
  <c r="W430" i="4"/>
  <c r="V430" i="4"/>
  <c r="U430" i="4"/>
  <c r="T430" i="4"/>
  <c r="AF429" i="4"/>
  <c r="AD429" i="4"/>
  <c r="AE429" i="4" s="1"/>
  <c r="AC429" i="4"/>
  <c r="AB429" i="4"/>
  <c r="AA429" i="4"/>
  <c r="Z429" i="4"/>
  <c r="Y429" i="4"/>
  <c r="X429" i="4"/>
  <c r="W429" i="4"/>
  <c r="V429" i="4"/>
  <c r="U429" i="4"/>
  <c r="T429" i="4"/>
  <c r="AD428" i="4"/>
  <c r="AE428" i="4" s="1"/>
  <c r="AC428" i="4"/>
  <c r="AB428" i="4"/>
  <c r="AA428" i="4"/>
  <c r="AF428" i="4" s="1"/>
  <c r="Z428" i="4"/>
  <c r="Y428" i="4"/>
  <c r="X428" i="4"/>
  <c r="W428" i="4"/>
  <c r="V428" i="4"/>
  <c r="U428" i="4"/>
  <c r="T428" i="4"/>
  <c r="AF427" i="4"/>
  <c r="AD427" i="4"/>
  <c r="AE427" i="4" s="1"/>
  <c r="AC427" i="4"/>
  <c r="AB427" i="4"/>
  <c r="AA427" i="4"/>
  <c r="Z427" i="4"/>
  <c r="Y427" i="4"/>
  <c r="X427" i="4"/>
  <c r="W427" i="4"/>
  <c r="V427" i="4"/>
  <c r="U427" i="4"/>
  <c r="T427" i="4"/>
  <c r="AF426" i="4"/>
  <c r="AD426" i="4"/>
  <c r="AE426" i="4" s="1"/>
  <c r="AC426" i="4"/>
  <c r="AB426" i="4"/>
  <c r="AA426" i="4"/>
  <c r="Z426" i="4"/>
  <c r="Y426" i="4"/>
  <c r="X426" i="4"/>
  <c r="W426" i="4"/>
  <c r="V426" i="4"/>
  <c r="U426" i="4"/>
  <c r="T426" i="4"/>
  <c r="AD425" i="4"/>
  <c r="AE425" i="4" s="1"/>
  <c r="AC425" i="4"/>
  <c r="AB425" i="4"/>
  <c r="AA425" i="4"/>
  <c r="AF425" i="4" s="1"/>
  <c r="Z425" i="4"/>
  <c r="Y425" i="4"/>
  <c r="X425" i="4"/>
  <c r="W425" i="4"/>
  <c r="V425" i="4"/>
  <c r="U425" i="4"/>
  <c r="T425" i="4"/>
  <c r="AD424" i="4"/>
  <c r="AE424" i="4" s="1"/>
  <c r="AC424" i="4"/>
  <c r="AB424" i="4"/>
  <c r="AA424" i="4"/>
  <c r="AF424" i="4" s="1"/>
  <c r="Z424" i="4"/>
  <c r="Y424" i="4"/>
  <c r="X424" i="4"/>
  <c r="W424" i="4"/>
  <c r="V424" i="4"/>
  <c r="U424" i="4"/>
  <c r="T424" i="4"/>
  <c r="AD423" i="4"/>
  <c r="AE423" i="4" s="1"/>
  <c r="AC423" i="4"/>
  <c r="AB423" i="4"/>
  <c r="AA423" i="4"/>
  <c r="AF423" i="4" s="1"/>
  <c r="Z423" i="4"/>
  <c r="Y423" i="4"/>
  <c r="X423" i="4"/>
  <c r="W423" i="4"/>
  <c r="V423" i="4"/>
  <c r="U423" i="4"/>
  <c r="T423" i="4"/>
  <c r="AD422" i="4"/>
  <c r="AE422" i="4" s="1"/>
  <c r="AC422" i="4"/>
  <c r="AB422" i="4"/>
  <c r="AA422" i="4"/>
  <c r="AF422" i="4" s="1"/>
  <c r="Z422" i="4"/>
  <c r="Y422" i="4"/>
  <c r="X422" i="4"/>
  <c r="W422" i="4"/>
  <c r="V422" i="4"/>
  <c r="U422" i="4"/>
  <c r="T422" i="4"/>
  <c r="AD421" i="4"/>
  <c r="AE421" i="4" s="1"/>
  <c r="AC421" i="4"/>
  <c r="AB421" i="4"/>
  <c r="AA421" i="4"/>
  <c r="AF421" i="4" s="1"/>
  <c r="Z421" i="4"/>
  <c r="Y421" i="4"/>
  <c r="X421" i="4"/>
  <c r="W421" i="4"/>
  <c r="V421" i="4"/>
  <c r="U421" i="4"/>
  <c r="T421" i="4"/>
  <c r="AD420" i="4"/>
  <c r="AE420" i="4" s="1"/>
  <c r="AC420" i="4"/>
  <c r="AB420" i="4"/>
  <c r="AA420" i="4"/>
  <c r="AF420" i="4" s="1"/>
  <c r="Z420" i="4"/>
  <c r="Y420" i="4"/>
  <c r="X420" i="4"/>
  <c r="W420" i="4"/>
  <c r="V420" i="4"/>
  <c r="U420" i="4"/>
  <c r="T420" i="4"/>
  <c r="AF419" i="4"/>
  <c r="AD419" i="4"/>
  <c r="AE419" i="4" s="1"/>
  <c r="AC419" i="4"/>
  <c r="AB419" i="4"/>
  <c r="AA419" i="4"/>
  <c r="Z419" i="4"/>
  <c r="Y419" i="4"/>
  <c r="X419" i="4"/>
  <c r="W419" i="4"/>
  <c r="V419" i="4"/>
  <c r="U419" i="4"/>
  <c r="T419" i="4"/>
  <c r="AD418" i="4"/>
  <c r="AE418" i="4" s="1"/>
  <c r="AC418" i="4"/>
  <c r="AB418" i="4"/>
  <c r="AA418" i="4"/>
  <c r="AF418" i="4" s="1"/>
  <c r="Z418" i="4"/>
  <c r="Y418" i="4"/>
  <c r="X418" i="4"/>
  <c r="W418" i="4"/>
  <c r="V418" i="4"/>
  <c r="U418" i="4"/>
  <c r="T418" i="4"/>
  <c r="AD417" i="4"/>
  <c r="AE417" i="4" s="1"/>
  <c r="AC417" i="4"/>
  <c r="AB417" i="4"/>
  <c r="AA417" i="4"/>
  <c r="AF417" i="4" s="1"/>
  <c r="Z417" i="4"/>
  <c r="Y417" i="4"/>
  <c r="X417" i="4"/>
  <c r="W417" i="4"/>
  <c r="V417" i="4"/>
  <c r="U417" i="4"/>
  <c r="T417" i="4"/>
  <c r="AD416" i="4"/>
  <c r="AE416" i="4" s="1"/>
  <c r="AC416" i="4"/>
  <c r="AB416" i="4"/>
  <c r="AA416" i="4"/>
  <c r="AF416" i="4" s="1"/>
  <c r="Z416" i="4"/>
  <c r="Y416" i="4"/>
  <c r="X416" i="4"/>
  <c r="W416" i="4"/>
  <c r="V416" i="4"/>
  <c r="U416" i="4"/>
  <c r="T416" i="4"/>
  <c r="AF415" i="4"/>
  <c r="AD415" i="4"/>
  <c r="AE415" i="4" s="1"/>
  <c r="AC415" i="4"/>
  <c r="AB415" i="4"/>
  <c r="AA415" i="4"/>
  <c r="Z415" i="4"/>
  <c r="Y415" i="4"/>
  <c r="X415" i="4"/>
  <c r="W415" i="4"/>
  <c r="V415" i="4"/>
  <c r="U415" i="4"/>
  <c r="T415" i="4"/>
  <c r="AF414" i="4"/>
  <c r="AD414" i="4"/>
  <c r="AE414" i="4" s="1"/>
  <c r="AC414" i="4"/>
  <c r="AB414" i="4"/>
  <c r="AA414" i="4"/>
  <c r="Z414" i="4"/>
  <c r="Y414" i="4"/>
  <c r="X414" i="4"/>
  <c r="W414" i="4"/>
  <c r="V414" i="4"/>
  <c r="U414" i="4"/>
  <c r="T414" i="4"/>
  <c r="AD413" i="4"/>
  <c r="AE413" i="4" s="1"/>
  <c r="AC413" i="4"/>
  <c r="AB413" i="4"/>
  <c r="AA413" i="4"/>
  <c r="AF413" i="4" s="1"/>
  <c r="Z413" i="4"/>
  <c r="Y413" i="4"/>
  <c r="X413" i="4"/>
  <c r="W413" i="4"/>
  <c r="V413" i="4"/>
  <c r="U413" i="4"/>
  <c r="T413" i="4"/>
  <c r="AF412" i="4"/>
  <c r="AD412" i="4"/>
  <c r="AE412" i="4" s="1"/>
  <c r="AC412" i="4"/>
  <c r="AB412" i="4"/>
  <c r="AA412" i="4"/>
  <c r="Z412" i="4"/>
  <c r="Y412" i="4"/>
  <c r="X412" i="4"/>
  <c r="W412" i="4"/>
  <c r="V412" i="4"/>
  <c r="U412" i="4"/>
  <c r="T412" i="4"/>
  <c r="AD411" i="4"/>
  <c r="AE411" i="4" s="1"/>
  <c r="AC411" i="4"/>
  <c r="AB411" i="4"/>
  <c r="AA411" i="4"/>
  <c r="AF411" i="4" s="1"/>
  <c r="Z411" i="4"/>
  <c r="Y411" i="4"/>
  <c r="X411" i="4"/>
  <c r="W411" i="4"/>
  <c r="V411" i="4"/>
  <c r="U411" i="4"/>
  <c r="T411" i="4"/>
  <c r="AD410" i="4"/>
  <c r="AE410" i="4" s="1"/>
  <c r="AC410" i="4"/>
  <c r="AB410" i="4"/>
  <c r="AA410" i="4"/>
  <c r="AF410" i="4" s="1"/>
  <c r="Z410" i="4"/>
  <c r="Y410" i="4"/>
  <c r="X410" i="4"/>
  <c r="W410" i="4"/>
  <c r="V410" i="4"/>
  <c r="U410" i="4"/>
  <c r="T410" i="4"/>
  <c r="AD409" i="4"/>
  <c r="AE409" i="4" s="1"/>
  <c r="AC409" i="4"/>
  <c r="AB409" i="4"/>
  <c r="AA409" i="4"/>
  <c r="AF409" i="4" s="1"/>
  <c r="Z409" i="4"/>
  <c r="Y409" i="4"/>
  <c r="X409" i="4"/>
  <c r="W409" i="4"/>
  <c r="V409" i="4"/>
  <c r="U409" i="4"/>
  <c r="T409" i="4"/>
  <c r="AD408" i="4"/>
  <c r="AE408" i="4" s="1"/>
  <c r="AC408" i="4"/>
  <c r="AB408" i="4"/>
  <c r="AA408" i="4"/>
  <c r="AF408" i="4" s="1"/>
  <c r="Z408" i="4"/>
  <c r="Y408" i="4"/>
  <c r="X408" i="4"/>
  <c r="W408" i="4"/>
  <c r="V408" i="4"/>
  <c r="U408" i="4"/>
  <c r="T408" i="4"/>
  <c r="AF407" i="4"/>
  <c r="AD407" i="4"/>
  <c r="AE407" i="4" s="1"/>
  <c r="AC407" i="4"/>
  <c r="AB407" i="4"/>
  <c r="AA407" i="4"/>
  <c r="Z407" i="4"/>
  <c r="Y407" i="4"/>
  <c r="X407" i="4"/>
  <c r="W407" i="4"/>
  <c r="V407" i="4"/>
  <c r="U407" i="4"/>
  <c r="T407" i="4"/>
  <c r="AD406" i="4"/>
  <c r="AE406" i="4" s="1"/>
  <c r="AC406" i="4"/>
  <c r="AB406" i="4"/>
  <c r="AA406" i="4"/>
  <c r="AF406" i="4" s="1"/>
  <c r="Z406" i="4"/>
  <c r="Y406" i="4"/>
  <c r="X406" i="4"/>
  <c r="W406" i="4"/>
  <c r="V406" i="4"/>
  <c r="U406" i="4"/>
  <c r="T406" i="4"/>
  <c r="AF405" i="4"/>
  <c r="AD405" i="4"/>
  <c r="AE405" i="4" s="1"/>
  <c r="AC405" i="4"/>
  <c r="AB405" i="4"/>
  <c r="AA405" i="4"/>
  <c r="Z405" i="4"/>
  <c r="Y405" i="4"/>
  <c r="X405" i="4"/>
  <c r="W405" i="4"/>
  <c r="V405" i="4"/>
  <c r="U405" i="4"/>
  <c r="T405" i="4"/>
  <c r="AD404" i="4"/>
  <c r="AE404" i="4" s="1"/>
  <c r="AC404" i="4"/>
  <c r="AB404" i="4"/>
  <c r="AA404" i="4"/>
  <c r="AF404" i="4" s="1"/>
  <c r="Z404" i="4"/>
  <c r="Y404" i="4"/>
  <c r="X404" i="4"/>
  <c r="W404" i="4"/>
  <c r="V404" i="4"/>
  <c r="U404" i="4"/>
  <c r="T404" i="4"/>
  <c r="AD403" i="4"/>
  <c r="AE403" i="4" s="1"/>
  <c r="AC403" i="4"/>
  <c r="AB403" i="4"/>
  <c r="AA403" i="4"/>
  <c r="AF403" i="4" s="1"/>
  <c r="Z403" i="4"/>
  <c r="Y403" i="4"/>
  <c r="X403" i="4"/>
  <c r="W403" i="4"/>
  <c r="V403" i="4"/>
  <c r="U403" i="4"/>
  <c r="T403" i="4"/>
  <c r="AD402" i="4"/>
  <c r="AE402" i="4" s="1"/>
  <c r="AC402" i="4"/>
  <c r="AB402" i="4"/>
  <c r="AA402" i="4"/>
  <c r="AF402" i="4" s="1"/>
  <c r="Z402" i="4"/>
  <c r="Y402" i="4"/>
  <c r="X402" i="4"/>
  <c r="W402" i="4"/>
  <c r="V402" i="4"/>
  <c r="U402" i="4"/>
  <c r="T402" i="4"/>
  <c r="AF401" i="4"/>
  <c r="AD401" i="4"/>
  <c r="AE401" i="4" s="1"/>
  <c r="AC401" i="4"/>
  <c r="AB401" i="4"/>
  <c r="AA401" i="4"/>
  <c r="Z401" i="4"/>
  <c r="Y401" i="4"/>
  <c r="X401" i="4"/>
  <c r="W401" i="4"/>
  <c r="V401" i="4"/>
  <c r="U401" i="4"/>
  <c r="T401" i="4"/>
  <c r="AD400" i="4"/>
  <c r="AE400" i="4" s="1"/>
  <c r="AC400" i="4"/>
  <c r="AB400" i="4"/>
  <c r="AA400" i="4"/>
  <c r="AF400" i="4" s="1"/>
  <c r="Z400" i="4"/>
  <c r="Y400" i="4"/>
  <c r="X400" i="4"/>
  <c r="W400" i="4"/>
  <c r="V400" i="4"/>
  <c r="U400" i="4"/>
  <c r="T400" i="4"/>
  <c r="AF399" i="4"/>
  <c r="AD399" i="4"/>
  <c r="AE399" i="4" s="1"/>
  <c r="AC399" i="4"/>
  <c r="AB399" i="4"/>
  <c r="AA399" i="4"/>
  <c r="Z399" i="4"/>
  <c r="Y399" i="4"/>
  <c r="X399" i="4"/>
  <c r="W399" i="4"/>
  <c r="V399" i="4"/>
  <c r="U399" i="4"/>
  <c r="T399" i="4"/>
  <c r="AD398" i="4"/>
  <c r="AE398" i="4" s="1"/>
  <c r="AC398" i="4"/>
  <c r="AB398" i="4"/>
  <c r="AA398" i="4"/>
  <c r="AF398" i="4" s="1"/>
  <c r="Z398" i="4"/>
  <c r="Y398" i="4"/>
  <c r="X398" i="4"/>
  <c r="W398" i="4"/>
  <c r="V398" i="4"/>
  <c r="U398" i="4"/>
  <c r="T398" i="4"/>
  <c r="AF397" i="4"/>
  <c r="AD397" i="4"/>
  <c r="AE397" i="4" s="1"/>
  <c r="AC397" i="4"/>
  <c r="AB397" i="4"/>
  <c r="AA397" i="4"/>
  <c r="Z397" i="4"/>
  <c r="Y397" i="4"/>
  <c r="X397" i="4"/>
  <c r="W397" i="4"/>
  <c r="V397" i="4"/>
  <c r="U397" i="4"/>
  <c r="T397" i="4"/>
  <c r="AF396" i="4"/>
  <c r="AD396" i="4"/>
  <c r="AE396" i="4" s="1"/>
  <c r="AC396" i="4"/>
  <c r="AB396" i="4"/>
  <c r="AA396" i="4"/>
  <c r="Z396" i="4"/>
  <c r="Y396" i="4"/>
  <c r="X396" i="4"/>
  <c r="W396" i="4"/>
  <c r="V396" i="4"/>
  <c r="U396" i="4"/>
  <c r="T396" i="4"/>
  <c r="AF395" i="4"/>
  <c r="AD395" i="4"/>
  <c r="AE395" i="4" s="1"/>
  <c r="AC395" i="4"/>
  <c r="AB395" i="4"/>
  <c r="AA395" i="4"/>
  <c r="Z395" i="4"/>
  <c r="Y395" i="4"/>
  <c r="X395" i="4"/>
  <c r="W395" i="4"/>
  <c r="V395" i="4"/>
  <c r="U395" i="4"/>
  <c r="T395" i="4"/>
  <c r="AF394" i="4"/>
  <c r="AD394" i="4"/>
  <c r="AE394" i="4" s="1"/>
  <c r="AC394" i="4"/>
  <c r="AB394" i="4"/>
  <c r="AA394" i="4"/>
  <c r="Z394" i="4"/>
  <c r="Y394" i="4"/>
  <c r="X394" i="4"/>
  <c r="W394" i="4"/>
  <c r="V394" i="4"/>
  <c r="U394" i="4"/>
  <c r="T394" i="4"/>
  <c r="AF393" i="4"/>
  <c r="AD393" i="4"/>
  <c r="AE393" i="4" s="1"/>
  <c r="AC393" i="4"/>
  <c r="AB393" i="4"/>
  <c r="AA393" i="4"/>
  <c r="Z393" i="4"/>
  <c r="Y393" i="4"/>
  <c r="X393" i="4"/>
  <c r="W393" i="4"/>
  <c r="V393" i="4"/>
  <c r="U393" i="4"/>
  <c r="T393" i="4"/>
  <c r="AD392" i="4"/>
  <c r="AE392" i="4" s="1"/>
  <c r="AC392" i="4"/>
  <c r="AB392" i="4"/>
  <c r="AA392" i="4"/>
  <c r="AF392" i="4" s="1"/>
  <c r="Z392" i="4"/>
  <c r="Y392" i="4"/>
  <c r="X392" i="4"/>
  <c r="W392" i="4"/>
  <c r="V392" i="4"/>
  <c r="U392" i="4"/>
  <c r="T392" i="4"/>
  <c r="AF391" i="4"/>
  <c r="AD391" i="4"/>
  <c r="AE391" i="4" s="1"/>
  <c r="AC391" i="4"/>
  <c r="AB391" i="4"/>
  <c r="AA391" i="4"/>
  <c r="Z391" i="4"/>
  <c r="Y391" i="4"/>
  <c r="X391" i="4"/>
  <c r="W391" i="4"/>
  <c r="V391" i="4"/>
  <c r="U391" i="4"/>
  <c r="T391" i="4"/>
  <c r="AD390" i="4"/>
  <c r="AE390" i="4" s="1"/>
  <c r="AC390" i="4"/>
  <c r="AB390" i="4"/>
  <c r="AA390" i="4"/>
  <c r="AF390" i="4" s="1"/>
  <c r="Z390" i="4"/>
  <c r="Y390" i="4"/>
  <c r="X390" i="4"/>
  <c r="W390" i="4"/>
  <c r="V390" i="4"/>
  <c r="U390" i="4"/>
  <c r="T390" i="4"/>
  <c r="AF389" i="4"/>
  <c r="AD389" i="4"/>
  <c r="AE389" i="4" s="1"/>
  <c r="AC389" i="4"/>
  <c r="AB389" i="4"/>
  <c r="AA389" i="4"/>
  <c r="Z389" i="4"/>
  <c r="Y389" i="4"/>
  <c r="X389" i="4"/>
  <c r="W389" i="4"/>
  <c r="V389" i="4"/>
  <c r="U389" i="4"/>
  <c r="T389" i="4"/>
  <c r="AD388" i="4"/>
  <c r="AE388" i="4" s="1"/>
  <c r="AC388" i="4"/>
  <c r="AB388" i="4"/>
  <c r="AA388" i="4"/>
  <c r="AF388" i="4" s="1"/>
  <c r="Z388" i="4"/>
  <c r="Y388" i="4"/>
  <c r="X388" i="4"/>
  <c r="W388" i="4"/>
  <c r="V388" i="4"/>
  <c r="U388" i="4"/>
  <c r="T388" i="4"/>
  <c r="AD387" i="4"/>
  <c r="AE387" i="4" s="1"/>
  <c r="AC387" i="4"/>
  <c r="AB387" i="4"/>
  <c r="AA387" i="4"/>
  <c r="AF387" i="4" s="1"/>
  <c r="Z387" i="4"/>
  <c r="Y387" i="4"/>
  <c r="X387" i="4"/>
  <c r="W387" i="4"/>
  <c r="V387" i="4"/>
  <c r="U387" i="4"/>
  <c r="T387" i="4"/>
  <c r="AD386" i="4"/>
  <c r="AE386" i="4" s="1"/>
  <c r="AC386" i="4"/>
  <c r="AB386" i="4"/>
  <c r="AA386" i="4"/>
  <c r="AF386" i="4" s="1"/>
  <c r="Z386" i="4"/>
  <c r="Y386" i="4"/>
  <c r="X386" i="4"/>
  <c r="W386" i="4"/>
  <c r="V386" i="4"/>
  <c r="U386" i="4"/>
  <c r="T386" i="4"/>
  <c r="AD385" i="4"/>
  <c r="AE385" i="4" s="1"/>
  <c r="AC385" i="4"/>
  <c r="AB385" i="4"/>
  <c r="AA385" i="4"/>
  <c r="AF385" i="4" s="1"/>
  <c r="Z385" i="4"/>
  <c r="Y385" i="4"/>
  <c r="X385" i="4"/>
  <c r="W385" i="4"/>
  <c r="V385" i="4"/>
  <c r="U385" i="4"/>
  <c r="T385" i="4"/>
  <c r="AF384" i="4"/>
  <c r="AD384" i="4"/>
  <c r="AE384" i="4" s="1"/>
  <c r="AC384" i="4"/>
  <c r="AB384" i="4"/>
  <c r="AA384" i="4"/>
  <c r="Z384" i="4"/>
  <c r="Y384" i="4"/>
  <c r="X384" i="4"/>
  <c r="W384" i="4"/>
  <c r="V384" i="4"/>
  <c r="U384" i="4"/>
  <c r="T384" i="4"/>
  <c r="AD383" i="4"/>
  <c r="AE383" i="4" s="1"/>
  <c r="AC383" i="4"/>
  <c r="AB383" i="4"/>
  <c r="AA383" i="4"/>
  <c r="AF383" i="4" s="1"/>
  <c r="Z383" i="4"/>
  <c r="Y383" i="4"/>
  <c r="X383" i="4"/>
  <c r="W383" i="4"/>
  <c r="V383" i="4"/>
  <c r="U383" i="4"/>
  <c r="T383" i="4"/>
  <c r="AD382" i="4"/>
  <c r="AE382" i="4" s="1"/>
  <c r="AC382" i="4"/>
  <c r="AB382" i="4"/>
  <c r="AA382" i="4"/>
  <c r="AF382" i="4" s="1"/>
  <c r="Z382" i="4"/>
  <c r="Y382" i="4"/>
  <c r="X382" i="4"/>
  <c r="W382" i="4"/>
  <c r="V382" i="4"/>
  <c r="U382" i="4"/>
  <c r="T382" i="4"/>
  <c r="AF381" i="4"/>
  <c r="AD381" i="4"/>
  <c r="AE381" i="4" s="1"/>
  <c r="AC381" i="4"/>
  <c r="AB381" i="4"/>
  <c r="AA381" i="4"/>
  <c r="Z381" i="4"/>
  <c r="Y381" i="4"/>
  <c r="X381" i="4"/>
  <c r="W381" i="4"/>
  <c r="V381" i="4"/>
  <c r="U381" i="4"/>
  <c r="T381" i="4"/>
  <c r="AD380" i="4"/>
  <c r="AE380" i="4" s="1"/>
  <c r="AC380" i="4"/>
  <c r="AB380" i="4"/>
  <c r="AA380" i="4"/>
  <c r="AF380" i="4" s="1"/>
  <c r="Z380" i="4"/>
  <c r="Y380" i="4"/>
  <c r="X380" i="4"/>
  <c r="W380" i="4"/>
  <c r="V380" i="4"/>
  <c r="U380" i="4"/>
  <c r="T380" i="4"/>
  <c r="AD379" i="4"/>
  <c r="AE379" i="4" s="1"/>
  <c r="AC379" i="4"/>
  <c r="AB379" i="4"/>
  <c r="AA379" i="4"/>
  <c r="AF379" i="4" s="1"/>
  <c r="Z379" i="4"/>
  <c r="Y379" i="4"/>
  <c r="X379" i="4"/>
  <c r="W379" i="4"/>
  <c r="V379" i="4"/>
  <c r="U379" i="4"/>
  <c r="T379" i="4"/>
  <c r="AD378" i="4"/>
  <c r="AE378" i="4" s="1"/>
  <c r="AC378" i="4"/>
  <c r="AB378" i="4"/>
  <c r="AA378" i="4"/>
  <c r="AF378" i="4" s="1"/>
  <c r="Z378" i="4"/>
  <c r="Y378" i="4"/>
  <c r="X378" i="4"/>
  <c r="W378" i="4"/>
  <c r="V378" i="4"/>
  <c r="U378" i="4"/>
  <c r="T378" i="4"/>
  <c r="AF377" i="4"/>
  <c r="AD377" i="4"/>
  <c r="AE377" i="4" s="1"/>
  <c r="AC377" i="4"/>
  <c r="AB377" i="4"/>
  <c r="AA377" i="4"/>
  <c r="Z377" i="4"/>
  <c r="Y377" i="4"/>
  <c r="X377" i="4"/>
  <c r="W377" i="4"/>
  <c r="V377" i="4"/>
  <c r="U377" i="4"/>
  <c r="T377" i="4"/>
  <c r="AD376" i="4"/>
  <c r="AE376" i="4" s="1"/>
  <c r="AC376" i="4"/>
  <c r="AB376" i="4"/>
  <c r="AA376" i="4"/>
  <c r="AF376" i="4" s="1"/>
  <c r="Z376" i="4"/>
  <c r="Y376" i="4"/>
  <c r="X376" i="4"/>
  <c r="W376" i="4"/>
  <c r="V376" i="4"/>
  <c r="U376" i="4"/>
  <c r="T376" i="4"/>
  <c r="AD375" i="4"/>
  <c r="AE375" i="4" s="1"/>
  <c r="AC375" i="4"/>
  <c r="AB375" i="4"/>
  <c r="AA375" i="4"/>
  <c r="AF375" i="4" s="1"/>
  <c r="Z375" i="4"/>
  <c r="Y375" i="4"/>
  <c r="X375" i="4"/>
  <c r="W375" i="4"/>
  <c r="V375" i="4"/>
  <c r="U375" i="4"/>
  <c r="T375" i="4"/>
  <c r="AD374" i="4"/>
  <c r="AE374" i="4" s="1"/>
  <c r="AC374" i="4"/>
  <c r="AB374" i="4"/>
  <c r="AA374" i="4"/>
  <c r="AF374" i="4" s="1"/>
  <c r="Z374" i="4"/>
  <c r="Y374" i="4"/>
  <c r="X374" i="4"/>
  <c r="W374" i="4"/>
  <c r="V374" i="4"/>
  <c r="U374" i="4"/>
  <c r="T374" i="4"/>
  <c r="AD373" i="4"/>
  <c r="AE373" i="4" s="1"/>
  <c r="AC373" i="4"/>
  <c r="AB373" i="4"/>
  <c r="AA373" i="4"/>
  <c r="AF373" i="4" s="1"/>
  <c r="Z373" i="4"/>
  <c r="Y373" i="4"/>
  <c r="X373" i="4"/>
  <c r="W373" i="4"/>
  <c r="V373" i="4"/>
  <c r="U373" i="4"/>
  <c r="T373" i="4"/>
  <c r="AD372" i="4"/>
  <c r="AE372" i="4" s="1"/>
  <c r="AC372" i="4"/>
  <c r="AB372" i="4"/>
  <c r="AA372" i="4"/>
  <c r="AF372" i="4" s="1"/>
  <c r="Z372" i="4"/>
  <c r="Y372" i="4"/>
  <c r="X372" i="4"/>
  <c r="W372" i="4"/>
  <c r="V372" i="4"/>
  <c r="U372" i="4"/>
  <c r="T372" i="4"/>
  <c r="AD371" i="4"/>
  <c r="AE371" i="4" s="1"/>
  <c r="AC371" i="4"/>
  <c r="AB371" i="4"/>
  <c r="AA371" i="4"/>
  <c r="AF371" i="4" s="1"/>
  <c r="Z371" i="4"/>
  <c r="Y371" i="4"/>
  <c r="X371" i="4"/>
  <c r="W371" i="4"/>
  <c r="V371" i="4"/>
  <c r="U371" i="4"/>
  <c r="T371" i="4"/>
  <c r="AF370" i="4"/>
  <c r="AD370" i="4"/>
  <c r="AE370" i="4" s="1"/>
  <c r="AC370" i="4"/>
  <c r="AB370" i="4"/>
  <c r="AA370" i="4"/>
  <c r="Z370" i="4"/>
  <c r="Y370" i="4"/>
  <c r="X370" i="4"/>
  <c r="W370" i="4"/>
  <c r="V370" i="4"/>
  <c r="U370" i="4"/>
  <c r="T370" i="4"/>
  <c r="AF369" i="4"/>
  <c r="AD369" i="4"/>
  <c r="AE369" i="4" s="1"/>
  <c r="AC369" i="4"/>
  <c r="AB369" i="4"/>
  <c r="AA369" i="4"/>
  <c r="Z369" i="4"/>
  <c r="Y369" i="4"/>
  <c r="X369" i="4"/>
  <c r="W369" i="4"/>
  <c r="V369" i="4"/>
  <c r="U369" i="4"/>
  <c r="T369" i="4"/>
  <c r="AD368" i="4"/>
  <c r="AE368" i="4" s="1"/>
  <c r="AC368" i="4"/>
  <c r="AB368" i="4"/>
  <c r="AA368" i="4"/>
  <c r="AF368" i="4" s="1"/>
  <c r="Z368" i="4"/>
  <c r="Y368" i="4"/>
  <c r="X368" i="4"/>
  <c r="W368" i="4"/>
  <c r="V368" i="4"/>
  <c r="U368" i="4"/>
  <c r="T368" i="4"/>
  <c r="AD367" i="4"/>
  <c r="AE367" i="4" s="1"/>
  <c r="AC367" i="4"/>
  <c r="AB367" i="4"/>
  <c r="AA367" i="4"/>
  <c r="AF367" i="4" s="1"/>
  <c r="Z367" i="4"/>
  <c r="Y367" i="4"/>
  <c r="X367" i="4"/>
  <c r="W367" i="4"/>
  <c r="V367" i="4"/>
  <c r="U367" i="4"/>
  <c r="T367" i="4"/>
  <c r="AD366" i="4"/>
  <c r="AE366" i="4" s="1"/>
  <c r="AC366" i="4"/>
  <c r="AB366" i="4"/>
  <c r="AA366" i="4"/>
  <c r="AF366" i="4" s="1"/>
  <c r="Z366" i="4"/>
  <c r="Y366" i="4"/>
  <c r="X366" i="4"/>
  <c r="W366" i="4"/>
  <c r="V366" i="4"/>
  <c r="U366" i="4"/>
  <c r="T366" i="4"/>
  <c r="AD365" i="4"/>
  <c r="AE365" i="4" s="1"/>
  <c r="AC365" i="4"/>
  <c r="AB365" i="4"/>
  <c r="AA365" i="4"/>
  <c r="AF365" i="4" s="1"/>
  <c r="Z365" i="4"/>
  <c r="Y365" i="4"/>
  <c r="X365" i="4"/>
  <c r="W365" i="4"/>
  <c r="V365" i="4"/>
  <c r="U365" i="4"/>
  <c r="T365" i="4"/>
  <c r="AD364" i="4"/>
  <c r="AE364" i="4" s="1"/>
  <c r="AC364" i="4"/>
  <c r="AB364" i="4"/>
  <c r="AA364" i="4"/>
  <c r="AF364" i="4" s="1"/>
  <c r="Z364" i="4"/>
  <c r="Y364" i="4"/>
  <c r="X364" i="4"/>
  <c r="W364" i="4"/>
  <c r="V364" i="4"/>
  <c r="U364" i="4"/>
  <c r="T364" i="4"/>
  <c r="AD363" i="4"/>
  <c r="AE363" i="4" s="1"/>
  <c r="AC363" i="4"/>
  <c r="AB363" i="4"/>
  <c r="AA363" i="4"/>
  <c r="AF363" i="4" s="1"/>
  <c r="Z363" i="4"/>
  <c r="Y363" i="4"/>
  <c r="X363" i="4"/>
  <c r="W363" i="4"/>
  <c r="V363" i="4"/>
  <c r="U363" i="4"/>
  <c r="T363" i="4"/>
  <c r="AF362" i="4"/>
  <c r="AD362" i="4"/>
  <c r="AE362" i="4" s="1"/>
  <c r="AC362" i="4"/>
  <c r="AB362" i="4"/>
  <c r="AA362" i="4"/>
  <c r="Z362" i="4"/>
  <c r="Y362" i="4"/>
  <c r="X362" i="4"/>
  <c r="W362" i="4"/>
  <c r="V362" i="4"/>
  <c r="U362" i="4"/>
  <c r="T362" i="4"/>
  <c r="AF361" i="4"/>
  <c r="AD361" i="4"/>
  <c r="AE361" i="4" s="1"/>
  <c r="AC361" i="4"/>
  <c r="AB361" i="4"/>
  <c r="AA361" i="4"/>
  <c r="Z361" i="4"/>
  <c r="Y361" i="4"/>
  <c r="X361" i="4"/>
  <c r="W361" i="4"/>
  <c r="V361" i="4"/>
  <c r="U361" i="4"/>
  <c r="T361" i="4"/>
  <c r="AD360" i="4"/>
  <c r="AE360" i="4" s="1"/>
  <c r="AC360" i="4"/>
  <c r="AB360" i="4"/>
  <c r="AA360" i="4"/>
  <c r="AF360" i="4" s="1"/>
  <c r="Z360" i="4"/>
  <c r="Y360" i="4"/>
  <c r="X360" i="4"/>
  <c r="W360" i="4"/>
  <c r="V360" i="4"/>
  <c r="U360" i="4"/>
  <c r="T360" i="4"/>
  <c r="AD359" i="4"/>
  <c r="AE359" i="4" s="1"/>
  <c r="AC359" i="4"/>
  <c r="AB359" i="4"/>
  <c r="AA359" i="4"/>
  <c r="AF359" i="4" s="1"/>
  <c r="Z359" i="4"/>
  <c r="Y359" i="4"/>
  <c r="X359" i="4"/>
  <c r="W359" i="4"/>
  <c r="V359" i="4"/>
  <c r="U359" i="4"/>
  <c r="T359" i="4"/>
  <c r="AF358" i="4"/>
  <c r="AD358" i="4"/>
  <c r="AE358" i="4" s="1"/>
  <c r="AC358" i="4"/>
  <c r="AB358" i="4"/>
  <c r="AA358" i="4"/>
  <c r="Z358" i="4"/>
  <c r="Y358" i="4"/>
  <c r="X358" i="4"/>
  <c r="W358" i="4"/>
  <c r="V358" i="4"/>
  <c r="U358" i="4"/>
  <c r="T358" i="4"/>
  <c r="AF357" i="4"/>
  <c r="AD357" i="4"/>
  <c r="AE357" i="4" s="1"/>
  <c r="AC357" i="4"/>
  <c r="AB357" i="4"/>
  <c r="AA357" i="4"/>
  <c r="Z357" i="4"/>
  <c r="Y357" i="4"/>
  <c r="X357" i="4"/>
  <c r="W357" i="4"/>
  <c r="V357" i="4"/>
  <c r="U357" i="4"/>
  <c r="T357" i="4"/>
  <c r="AF356" i="4"/>
  <c r="AD356" i="4"/>
  <c r="AE356" i="4" s="1"/>
  <c r="AC356" i="4"/>
  <c r="AB356" i="4"/>
  <c r="AA356" i="4"/>
  <c r="Z356" i="4"/>
  <c r="Y356" i="4"/>
  <c r="X356" i="4"/>
  <c r="W356" i="4"/>
  <c r="V356" i="4"/>
  <c r="U356" i="4"/>
  <c r="T356" i="4"/>
  <c r="AD355" i="4"/>
  <c r="AE355" i="4" s="1"/>
  <c r="AC355" i="4"/>
  <c r="AB355" i="4"/>
  <c r="AA355" i="4"/>
  <c r="AF355" i="4" s="1"/>
  <c r="Z355" i="4"/>
  <c r="Y355" i="4"/>
  <c r="X355" i="4"/>
  <c r="W355" i="4"/>
  <c r="V355" i="4"/>
  <c r="U355" i="4"/>
  <c r="T355" i="4"/>
  <c r="AF354" i="4"/>
  <c r="AD354" i="4"/>
  <c r="AE354" i="4" s="1"/>
  <c r="AC354" i="4"/>
  <c r="AB354" i="4"/>
  <c r="AA354" i="4"/>
  <c r="Z354" i="4"/>
  <c r="Y354" i="4"/>
  <c r="X354" i="4"/>
  <c r="W354" i="4"/>
  <c r="V354" i="4"/>
  <c r="U354" i="4"/>
  <c r="T354" i="4"/>
  <c r="AD353" i="4"/>
  <c r="AE353" i="4" s="1"/>
  <c r="AC353" i="4"/>
  <c r="AB353" i="4"/>
  <c r="AA353" i="4"/>
  <c r="AF353" i="4" s="1"/>
  <c r="Z353" i="4"/>
  <c r="Y353" i="4"/>
  <c r="X353" i="4"/>
  <c r="W353" i="4"/>
  <c r="V353" i="4"/>
  <c r="U353" i="4"/>
  <c r="T353" i="4"/>
  <c r="AD352" i="4"/>
  <c r="AE352" i="4" s="1"/>
  <c r="AC352" i="4"/>
  <c r="AB352" i="4"/>
  <c r="AA352" i="4"/>
  <c r="AF352" i="4" s="1"/>
  <c r="Z352" i="4"/>
  <c r="Y352" i="4"/>
  <c r="X352" i="4"/>
  <c r="W352" i="4"/>
  <c r="V352" i="4"/>
  <c r="U352" i="4"/>
  <c r="T352" i="4"/>
  <c r="AF351" i="4"/>
  <c r="AD351" i="4"/>
  <c r="AE351" i="4" s="1"/>
  <c r="AC351" i="4"/>
  <c r="AB351" i="4"/>
  <c r="AA351" i="4"/>
  <c r="Z351" i="4"/>
  <c r="Y351" i="4"/>
  <c r="X351" i="4"/>
  <c r="W351" i="4"/>
  <c r="V351" i="4"/>
  <c r="U351" i="4"/>
  <c r="T351" i="4"/>
  <c r="AF350" i="4"/>
  <c r="AD350" i="4"/>
  <c r="AE350" i="4" s="1"/>
  <c r="AC350" i="4"/>
  <c r="AB350" i="4"/>
  <c r="AA350" i="4"/>
  <c r="Z350" i="4"/>
  <c r="Y350" i="4"/>
  <c r="X350" i="4"/>
  <c r="W350" i="4"/>
  <c r="V350" i="4"/>
  <c r="U350" i="4"/>
  <c r="T350" i="4"/>
  <c r="AD349" i="4"/>
  <c r="AE349" i="4" s="1"/>
  <c r="AC349" i="4"/>
  <c r="AB349" i="4"/>
  <c r="AA349" i="4"/>
  <c r="AF349" i="4" s="1"/>
  <c r="Z349" i="4"/>
  <c r="Y349" i="4"/>
  <c r="X349" i="4"/>
  <c r="W349" i="4"/>
  <c r="V349" i="4"/>
  <c r="U349" i="4"/>
  <c r="T349" i="4"/>
  <c r="AD348" i="4"/>
  <c r="AE348" i="4" s="1"/>
  <c r="AC348" i="4"/>
  <c r="AB348" i="4"/>
  <c r="AA348" i="4"/>
  <c r="AF348" i="4" s="1"/>
  <c r="Z348" i="4"/>
  <c r="Y348" i="4"/>
  <c r="X348" i="4"/>
  <c r="W348" i="4"/>
  <c r="V348" i="4"/>
  <c r="U348" i="4"/>
  <c r="T348" i="4"/>
  <c r="AD347" i="4"/>
  <c r="AE347" i="4" s="1"/>
  <c r="AC347" i="4"/>
  <c r="AB347" i="4"/>
  <c r="AA347" i="4"/>
  <c r="AF347" i="4" s="1"/>
  <c r="Z347" i="4"/>
  <c r="Y347" i="4"/>
  <c r="X347" i="4"/>
  <c r="W347" i="4"/>
  <c r="V347" i="4"/>
  <c r="U347" i="4"/>
  <c r="T347" i="4"/>
  <c r="AD346" i="4"/>
  <c r="AE346" i="4" s="1"/>
  <c r="AC346" i="4"/>
  <c r="AB346" i="4"/>
  <c r="AA346" i="4"/>
  <c r="AF346" i="4" s="1"/>
  <c r="Z346" i="4"/>
  <c r="Y346" i="4"/>
  <c r="X346" i="4"/>
  <c r="W346" i="4"/>
  <c r="V346" i="4"/>
  <c r="U346" i="4"/>
  <c r="T346" i="4"/>
  <c r="AF345" i="4"/>
  <c r="AD345" i="4"/>
  <c r="AE345" i="4" s="1"/>
  <c r="AC345" i="4"/>
  <c r="AB345" i="4"/>
  <c r="AA345" i="4"/>
  <c r="Z345" i="4"/>
  <c r="Y345" i="4"/>
  <c r="X345" i="4"/>
  <c r="W345" i="4"/>
  <c r="V345" i="4"/>
  <c r="U345" i="4"/>
  <c r="T345" i="4"/>
  <c r="AD344" i="4"/>
  <c r="AE344" i="4" s="1"/>
  <c r="AC344" i="4"/>
  <c r="AB344" i="4"/>
  <c r="AA344" i="4"/>
  <c r="AF344" i="4" s="1"/>
  <c r="Z344" i="4"/>
  <c r="Y344" i="4"/>
  <c r="X344" i="4"/>
  <c r="W344" i="4"/>
  <c r="V344" i="4"/>
  <c r="U344" i="4"/>
  <c r="T344" i="4"/>
  <c r="AD343" i="4"/>
  <c r="AE343" i="4" s="1"/>
  <c r="AC343" i="4"/>
  <c r="AB343" i="4"/>
  <c r="AA343" i="4"/>
  <c r="AF343" i="4" s="1"/>
  <c r="Z343" i="4"/>
  <c r="Y343" i="4"/>
  <c r="X343" i="4"/>
  <c r="W343" i="4"/>
  <c r="V343" i="4"/>
  <c r="U343" i="4"/>
  <c r="T343" i="4"/>
  <c r="AD342" i="4"/>
  <c r="AE342" i="4" s="1"/>
  <c r="AC342" i="4"/>
  <c r="AB342" i="4"/>
  <c r="AA342" i="4"/>
  <c r="AF342" i="4" s="1"/>
  <c r="Z342" i="4"/>
  <c r="Y342" i="4"/>
  <c r="X342" i="4"/>
  <c r="W342" i="4"/>
  <c r="V342" i="4"/>
  <c r="U342" i="4"/>
  <c r="T342" i="4"/>
  <c r="AD341" i="4"/>
  <c r="AE341" i="4" s="1"/>
  <c r="AC341" i="4"/>
  <c r="AB341" i="4"/>
  <c r="AA341" i="4"/>
  <c r="AF341" i="4" s="1"/>
  <c r="Z341" i="4"/>
  <c r="Y341" i="4"/>
  <c r="X341" i="4"/>
  <c r="W341" i="4"/>
  <c r="V341" i="4"/>
  <c r="U341" i="4"/>
  <c r="T341" i="4"/>
  <c r="AD340" i="4"/>
  <c r="AE340" i="4" s="1"/>
  <c r="AC340" i="4"/>
  <c r="AB340" i="4"/>
  <c r="AA340" i="4"/>
  <c r="AF340" i="4" s="1"/>
  <c r="Z340" i="4"/>
  <c r="Y340" i="4"/>
  <c r="X340" i="4"/>
  <c r="W340" i="4"/>
  <c r="V340" i="4"/>
  <c r="U340" i="4"/>
  <c r="T340" i="4"/>
  <c r="AD339" i="4"/>
  <c r="AE339" i="4" s="1"/>
  <c r="AC339" i="4"/>
  <c r="AB339" i="4"/>
  <c r="AA339" i="4"/>
  <c r="AF339" i="4" s="1"/>
  <c r="Z339" i="4"/>
  <c r="Y339" i="4"/>
  <c r="X339" i="4"/>
  <c r="W339" i="4"/>
  <c r="V339" i="4"/>
  <c r="U339" i="4"/>
  <c r="T339" i="4"/>
  <c r="AF338" i="4"/>
  <c r="AD338" i="4"/>
  <c r="AE338" i="4" s="1"/>
  <c r="AC338" i="4"/>
  <c r="AB338" i="4"/>
  <c r="AA338" i="4"/>
  <c r="Z338" i="4"/>
  <c r="Y338" i="4"/>
  <c r="X338" i="4"/>
  <c r="W338" i="4"/>
  <c r="V338" i="4"/>
  <c r="U338" i="4"/>
  <c r="T338" i="4"/>
  <c r="AF337" i="4"/>
  <c r="AD337" i="4"/>
  <c r="AE337" i="4" s="1"/>
  <c r="AC337" i="4"/>
  <c r="AB337" i="4"/>
  <c r="AA337" i="4"/>
  <c r="Z337" i="4"/>
  <c r="Y337" i="4"/>
  <c r="X337" i="4"/>
  <c r="W337" i="4"/>
  <c r="V337" i="4"/>
  <c r="U337" i="4"/>
  <c r="T337" i="4"/>
  <c r="AF336" i="4"/>
  <c r="AD336" i="4"/>
  <c r="AE336" i="4" s="1"/>
  <c r="AC336" i="4"/>
  <c r="AB336" i="4"/>
  <c r="AA336" i="4"/>
  <c r="Z336" i="4"/>
  <c r="Y336" i="4"/>
  <c r="X336" i="4"/>
  <c r="W336" i="4"/>
  <c r="V336" i="4"/>
  <c r="U336" i="4"/>
  <c r="T336" i="4"/>
  <c r="AD335" i="4"/>
  <c r="AE335" i="4" s="1"/>
  <c r="AC335" i="4"/>
  <c r="AB335" i="4"/>
  <c r="AA335" i="4"/>
  <c r="AF335" i="4" s="1"/>
  <c r="Z335" i="4"/>
  <c r="Y335" i="4"/>
  <c r="X335" i="4"/>
  <c r="W335" i="4"/>
  <c r="V335" i="4"/>
  <c r="U335" i="4"/>
  <c r="T335" i="4"/>
  <c r="AF334" i="4"/>
  <c r="AD334" i="4"/>
  <c r="AE334" i="4" s="1"/>
  <c r="AC334" i="4"/>
  <c r="AB334" i="4"/>
  <c r="AA334" i="4"/>
  <c r="Z334" i="4"/>
  <c r="Y334" i="4"/>
  <c r="X334" i="4"/>
  <c r="W334" i="4"/>
  <c r="V334" i="4"/>
  <c r="U334" i="4"/>
  <c r="T334" i="4"/>
  <c r="AF333" i="4"/>
  <c r="AD333" i="4"/>
  <c r="AE333" i="4" s="1"/>
  <c r="AC333" i="4"/>
  <c r="AB333" i="4"/>
  <c r="AA333" i="4"/>
  <c r="Z333" i="4"/>
  <c r="Y333" i="4"/>
  <c r="X333" i="4"/>
  <c r="W333" i="4"/>
  <c r="V333" i="4"/>
  <c r="U333" i="4"/>
  <c r="T333" i="4"/>
  <c r="AD332" i="4"/>
  <c r="AE332" i="4" s="1"/>
  <c r="AC332" i="4"/>
  <c r="AB332" i="4"/>
  <c r="AA332" i="4"/>
  <c r="AF332" i="4" s="1"/>
  <c r="Z332" i="4"/>
  <c r="Y332" i="4"/>
  <c r="X332" i="4"/>
  <c r="W332" i="4"/>
  <c r="V332" i="4"/>
  <c r="U332" i="4"/>
  <c r="T332" i="4"/>
  <c r="AF331" i="4"/>
  <c r="AD331" i="4"/>
  <c r="AE331" i="4" s="1"/>
  <c r="AC331" i="4"/>
  <c r="AB331" i="4"/>
  <c r="AA331" i="4"/>
  <c r="Z331" i="4"/>
  <c r="Y331" i="4"/>
  <c r="X331" i="4"/>
  <c r="W331" i="4"/>
  <c r="V331" i="4"/>
  <c r="U331" i="4"/>
  <c r="T331" i="4"/>
  <c r="AD330" i="4"/>
  <c r="AE330" i="4" s="1"/>
  <c r="AC330" i="4"/>
  <c r="AB330" i="4"/>
  <c r="AA330" i="4"/>
  <c r="AF330" i="4" s="1"/>
  <c r="Z330" i="4"/>
  <c r="Y330" i="4"/>
  <c r="X330" i="4"/>
  <c r="W330" i="4"/>
  <c r="V330" i="4"/>
  <c r="U330" i="4"/>
  <c r="T330" i="4"/>
  <c r="AD329" i="4"/>
  <c r="AE329" i="4" s="1"/>
  <c r="AC329" i="4"/>
  <c r="AB329" i="4"/>
  <c r="AA329" i="4"/>
  <c r="AF329" i="4" s="1"/>
  <c r="Z329" i="4"/>
  <c r="Y329" i="4"/>
  <c r="X329" i="4"/>
  <c r="W329" i="4"/>
  <c r="V329" i="4"/>
  <c r="U329" i="4"/>
  <c r="T329" i="4"/>
  <c r="AF328" i="4"/>
  <c r="AD328" i="4"/>
  <c r="AE328" i="4" s="1"/>
  <c r="AC328" i="4"/>
  <c r="AB328" i="4"/>
  <c r="AA328" i="4"/>
  <c r="Z328" i="4"/>
  <c r="Y328" i="4"/>
  <c r="X328" i="4"/>
  <c r="W328" i="4"/>
  <c r="V328" i="4"/>
  <c r="U328" i="4"/>
  <c r="T328" i="4"/>
  <c r="AD327" i="4"/>
  <c r="AE327" i="4" s="1"/>
  <c r="AC327" i="4"/>
  <c r="AB327" i="4"/>
  <c r="AA327" i="4"/>
  <c r="AF327" i="4" s="1"/>
  <c r="Z327" i="4"/>
  <c r="Y327" i="4"/>
  <c r="X327" i="4"/>
  <c r="W327" i="4"/>
  <c r="V327" i="4"/>
  <c r="U327" i="4"/>
  <c r="T327" i="4"/>
  <c r="AD326" i="4"/>
  <c r="AE326" i="4" s="1"/>
  <c r="AC326" i="4"/>
  <c r="AB326" i="4"/>
  <c r="AA326" i="4"/>
  <c r="AF326" i="4" s="1"/>
  <c r="Z326" i="4"/>
  <c r="Y326" i="4"/>
  <c r="X326" i="4"/>
  <c r="W326" i="4"/>
  <c r="V326" i="4"/>
  <c r="U326" i="4"/>
  <c r="T326" i="4"/>
  <c r="AD325" i="4"/>
  <c r="AE325" i="4" s="1"/>
  <c r="AC325" i="4"/>
  <c r="AB325" i="4"/>
  <c r="AA325" i="4"/>
  <c r="AF325" i="4" s="1"/>
  <c r="Z325" i="4"/>
  <c r="Y325" i="4"/>
  <c r="X325" i="4"/>
  <c r="W325" i="4"/>
  <c r="V325" i="4"/>
  <c r="U325" i="4"/>
  <c r="T325" i="4"/>
  <c r="AD324" i="4"/>
  <c r="AE324" i="4" s="1"/>
  <c r="AC324" i="4"/>
  <c r="AB324" i="4"/>
  <c r="AA324" i="4"/>
  <c r="AF324" i="4" s="1"/>
  <c r="Z324" i="4"/>
  <c r="Y324" i="4"/>
  <c r="X324" i="4"/>
  <c r="W324" i="4"/>
  <c r="V324" i="4"/>
  <c r="U324" i="4"/>
  <c r="T324" i="4"/>
  <c r="AF323" i="4"/>
  <c r="AD323" i="4"/>
  <c r="AE323" i="4" s="1"/>
  <c r="AC323" i="4"/>
  <c r="AB323" i="4"/>
  <c r="AA323" i="4"/>
  <c r="Z323" i="4"/>
  <c r="Y323" i="4"/>
  <c r="X323" i="4"/>
  <c r="W323" i="4"/>
  <c r="V323" i="4"/>
  <c r="U323" i="4"/>
  <c r="T323" i="4"/>
  <c r="AF322" i="4"/>
  <c r="AD322" i="4"/>
  <c r="AE322" i="4" s="1"/>
  <c r="AC322" i="4"/>
  <c r="AB322" i="4"/>
  <c r="AA322" i="4"/>
  <c r="Z322" i="4"/>
  <c r="Y322" i="4"/>
  <c r="X322" i="4"/>
  <c r="W322" i="4"/>
  <c r="V322" i="4"/>
  <c r="U322" i="4"/>
  <c r="T322" i="4"/>
  <c r="AD321" i="4"/>
  <c r="AE321" i="4" s="1"/>
  <c r="AC321" i="4"/>
  <c r="AB321" i="4"/>
  <c r="AA321" i="4"/>
  <c r="AF321" i="4" s="1"/>
  <c r="Z321" i="4"/>
  <c r="Y321" i="4"/>
  <c r="X321" i="4"/>
  <c r="W321" i="4"/>
  <c r="V321" i="4"/>
  <c r="U321" i="4"/>
  <c r="T321" i="4"/>
  <c r="AF320" i="4"/>
  <c r="AD320" i="4"/>
  <c r="AE320" i="4" s="1"/>
  <c r="AC320" i="4"/>
  <c r="AB320" i="4"/>
  <c r="AA320" i="4"/>
  <c r="Z320" i="4"/>
  <c r="Y320" i="4"/>
  <c r="X320" i="4"/>
  <c r="W320" i="4"/>
  <c r="V320" i="4"/>
  <c r="U320" i="4"/>
  <c r="T320" i="4"/>
  <c r="AD319" i="4"/>
  <c r="AE319" i="4" s="1"/>
  <c r="AC319" i="4"/>
  <c r="AB319" i="4"/>
  <c r="AA319" i="4"/>
  <c r="AF319" i="4" s="1"/>
  <c r="Z319" i="4"/>
  <c r="Y319" i="4"/>
  <c r="X319" i="4"/>
  <c r="W319" i="4"/>
  <c r="V319" i="4"/>
  <c r="U319" i="4"/>
  <c r="T319" i="4"/>
  <c r="AD318" i="4"/>
  <c r="AE318" i="4" s="1"/>
  <c r="AC318" i="4"/>
  <c r="AB318" i="4"/>
  <c r="AA318" i="4"/>
  <c r="AF318" i="4" s="1"/>
  <c r="Z318" i="4"/>
  <c r="Y318" i="4"/>
  <c r="X318" i="4"/>
  <c r="W318" i="4"/>
  <c r="V318" i="4"/>
  <c r="U318" i="4"/>
  <c r="T318" i="4"/>
  <c r="AF317" i="4"/>
  <c r="AD317" i="4"/>
  <c r="AE317" i="4" s="1"/>
  <c r="AC317" i="4"/>
  <c r="AB317" i="4"/>
  <c r="AA317" i="4"/>
  <c r="Z317" i="4"/>
  <c r="Y317" i="4"/>
  <c r="X317" i="4"/>
  <c r="W317" i="4"/>
  <c r="V317" i="4"/>
  <c r="U317" i="4"/>
  <c r="T317" i="4"/>
  <c r="AD316" i="4"/>
  <c r="AE316" i="4" s="1"/>
  <c r="AC316" i="4"/>
  <c r="AB316" i="4"/>
  <c r="AA316" i="4"/>
  <c r="AF316" i="4" s="1"/>
  <c r="Z316" i="4"/>
  <c r="Y316" i="4"/>
  <c r="X316" i="4"/>
  <c r="W316" i="4"/>
  <c r="V316" i="4"/>
  <c r="U316" i="4"/>
  <c r="T316" i="4"/>
  <c r="AF315" i="4"/>
  <c r="AD315" i="4"/>
  <c r="AE315" i="4" s="1"/>
  <c r="AC315" i="4"/>
  <c r="AB315" i="4"/>
  <c r="AA315" i="4"/>
  <c r="Z315" i="4"/>
  <c r="Y315" i="4"/>
  <c r="X315" i="4"/>
  <c r="W315" i="4"/>
  <c r="V315" i="4"/>
  <c r="U315" i="4"/>
  <c r="T315" i="4"/>
  <c r="AF314" i="4"/>
  <c r="AD314" i="4"/>
  <c r="AE314" i="4" s="1"/>
  <c r="AC314" i="4"/>
  <c r="AB314" i="4"/>
  <c r="AA314" i="4"/>
  <c r="Z314" i="4"/>
  <c r="Y314" i="4"/>
  <c r="X314" i="4"/>
  <c r="W314" i="4"/>
  <c r="V314" i="4"/>
  <c r="U314" i="4"/>
  <c r="T314" i="4"/>
  <c r="AD313" i="4"/>
  <c r="AE313" i="4" s="1"/>
  <c r="AC313" i="4"/>
  <c r="AB313" i="4"/>
  <c r="AA313" i="4"/>
  <c r="AF313" i="4" s="1"/>
  <c r="Z313" i="4"/>
  <c r="Y313" i="4"/>
  <c r="X313" i="4"/>
  <c r="W313" i="4"/>
  <c r="V313" i="4"/>
  <c r="U313" i="4"/>
  <c r="T313" i="4"/>
  <c r="AF312" i="4"/>
  <c r="AD312" i="4"/>
  <c r="AE312" i="4" s="1"/>
  <c r="AC312" i="4"/>
  <c r="AB312" i="4"/>
  <c r="AA312" i="4"/>
  <c r="Z312" i="4"/>
  <c r="Y312" i="4"/>
  <c r="X312" i="4"/>
  <c r="W312" i="4"/>
  <c r="V312" i="4"/>
  <c r="U312" i="4"/>
  <c r="T312" i="4"/>
  <c r="AF311" i="4"/>
  <c r="AD311" i="4"/>
  <c r="AE311" i="4" s="1"/>
  <c r="AC311" i="4"/>
  <c r="AB311" i="4"/>
  <c r="AA311" i="4"/>
  <c r="Z311" i="4"/>
  <c r="Y311" i="4"/>
  <c r="X311" i="4"/>
  <c r="W311" i="4"/>
  <c r="V311" i="4"/>
  <c r="U311" i="4"/>
  <c r="T311" i="4"/>
  <c r="AF310" i="4"/>
  <c r="AD310" i="4"/>
  <c r="AE310" i="4" s="1"/>
  <c r="AC310" i="4"/>
  <c r="AB310" i="4"/>
  <c r="AA310" i="4"/>
  <c r="Z310" i="4"/>
  <c r="Y310" i="4"/>
  <c r="X310" i="4"/>
  <c r="W310" i="4"/>
  <c r="V310" i="4"/>
  <c r="U310" i="4"/>
  <c r="T310" i="4"/>
  <c r="AD309" i="4"/>
  <c r="AE309" i="4" s="1"/>
  <c r="AC309" i="4"/>
  <c r="AB309" i="4"/>
  <c r="AA309" i="4"/>
  <c r="AF309" i="4" s="1"/>
  <c r="Z309" i="4"/>
  <c r="Y309" i="4"/>
  <c r="X309" i="4"/>
  <c r="W309" i="4"/>
  <c r="V309" i="4"/>
  <c r="U309" i="4"/>
  <c r="T309" i="4"/>
  <c r="AF308" i="4"/>
  <c r="AD308" i="4"/>
  <c r="AE308" i="4" s="1"/>
  <c r="AC308" i="4"/>
  <c r="AB308" i="4"/>
  <c r="AA308" i="4"/>
  <c r="Z308" i="4"/>
  <c r="Y308" i="4"/>
  <c r="X308" i="4"/>
  <c r="W308" i="4"/>
  <c r="V308" i="4"/>
  <c r="U308" i="4"/>
  <c r="T308" i="4"/>
  <c r="AD307" i="4"/>
  <c r="AE307" i="4" s="1"/>
  <c r="AC307" i="4"/>
  <c r="AB307" i="4"/>
  <c r="AA307" i="4"/>
  <c r="AF307" i="4" s="1"/>
  <c r="Z307" i="4"/>
  <c r="Y307" i="4"/>
  <c r="X307" i="4"/>
  <c r="W307" i="4"/>
  <c r="V307" i="4"/>
  <c r="U307" i="4"/>
  <c r="T307" i="4"/>
  <c r="AF306" i="4"/>
  <c r="AD306" i="4"/>
  <c r="AE306" i="4" s="1"/>
  <c r="AC306" i="4"/>
  <c r="AB306" i="4"/>
  <c r="AA306" i="4"/>
  <c r="Z306" i="4"/>
  <c r="Y306" i="4"/>
  <c r="X306" i="4"/>
  <c r="W306" i="4"/>
  <c r="V306" i="4"/>
  <c r="U306" i="4"/>
  <c r="T306" i="4"/>
  <c r="AD305" i="4"/>
  <c r="AE305" i="4" s="1"/>
  <c r="AC305" i="4"/>
  <c r="AB305" i="4"/>
  <c r="AA305" i="4"/>
  <c r="AF305" i="4" s="1"/>
  <c r="Z305" i="4"/>
  <c r="Y305" i="4"/>
  <c r="X305" i="4"/>
  <c r="W305" i="4"/>
  <c r="V305" i="4"/>
  <c r="U305" i="4"/>
  <c r="T305" i="4"/>
  <c r="AD304" i="4"/>
  <c r="AE304" i="4" s="1"/>
  <c r="AC304" i="4"/>
  <c r="AB304" i="4"/>
  <c r="AA304" i="4"/>
  <c r="AF304" i="4" s="1"/>
  <c r="Z304" i="4"/>
  <c r="Y304" i="4"/>
  <c r="X304" i="4"/>
  <c r="W304" i="4"/>
  <c r="V304" i="4"/>
  <c r="U304" i="4"/>
  <c r="T304" i="4"/>
  <c r="AD303" i="4"/>
  <c r="AE303" i="4" s="1"/>
  <c r="AC303" i="4"/>
  <c r="AB303" i="4"/>
  <c r="AA303" i="4"/>
  <c r="AF303" i="4" s="1"/>
  <c r="Z303" i="4"/>
  <c r="Y303" i="4"/>
  <c r="X303" i="4"/>
  <c r="W303" i="4"/>
  <c r="V303" i="4"/>
  <c r="U303" i="4"/>
  <c r="T303" i="4"/>
  <c r="AF302" i="4"/>
  <c r="AD302" i="4"/>
  <c r="AE302" i="4" s="1"/>
  <c r="AC302" i="4"/>
  <c r="AB302" i="4"/>
  <c r="AA302" i="4"/>
  <c r="Z302" i="4"/>
  <c r="Y302" i="4"/>
  <c r="X302" i="4"/>
  <c r="W302" i="4"/>
  <c r="V302" i="4"/>
  <c r="U302" i="4"/>
  <c r="T302" i="4"/>
  <c r="AF301" i="4"/>
  <c r="AD301" i="4"/>
  <c r="AE301" i="4" s="1"/>
  <c r="AC301" i="4"/>
  <c r="AB301" i="4"/>
  <c r="AA301" i="4"/>
  <c r="Z301" i="4"/>
  <c r="Y301" i="4"/>
  <c r="X301" i="4"/>
  <c r="W301" i="4"/>
  <c r="V301" i="4"/>
  <c r="U301" i="4"/>
  <c r="T301" i="4"/>
  <c r="AD300" i="4"/>
  <c r="AE300" i="4" s="1"/>
  <c r="AC300" i="4"/>
  <c r="AB300" i="4"/>
  <c r="AA300" i="4"/>
  <c r="AF300" i="4" s="1"/>
  <c r="Z300" i="4"/>
  <c r="Y300" i="4"/>
  <c r="X300" i="4"/>
  <c r="W300" i="4"/>
  <c r="V300" i="4"/>
  <c r="U300" i="4"/>
  <c r="T300" i="4"/>
  <c r="AD299" i="4"/>
  <c r="AE299" i="4" s="1"/>
  <c r="AC299" i="4"/>
  <c r="AB299" i="4"/>
  <c r="AA299" i="4"/>
  <c r="AF299" i="4" s="1"/>
  <c r="Z299" i="4"/>
  <c r="Y299" i="4"/>
  <c r="X299" i="4"/>
  <c r="W299" i="4"/>
  <c r="V299" i="4"/>
  <c r="U299" i="4"/>
  <c r="T299" i="4"/>
  <c r="AF298" i="4"/>
  <c r="AD298" i="4"/>
  <c r="AE298" i="4" s="1"/>
  <c r="AC298" i="4"/>
  <c r="AB298" i="4"/>
  <c r="AA298" i="4"/>
  <c r="Z298" i="4"/>
  <c r="Y298" i="4"/>
  <c r="X298" i="4"/>
  <c r="W298" i="4"/>
  <c r="V298" i="4"/>
  <c r="U298" i="4"/>
  <c r="T298" i="4"/>
  <c r="AD297" i="4"/>
  <c r="AE297" i="4" s="1"/>
  <c r="AC297" i="4"/>
  <c r="AB297" i="4"/>
  <c r="AA297" i="4"/>
  <c r="AF297" i="4" s="1"/>
  <c r="Z297" i="4"/>
  <c r="Y297" i="4"/>
  <c r="X297" i="4"/>
  <c r="W297" i="4"/>
  <c r="V297" i="4"/>
  <c r="U297" i="4"/>
  <c r="T297" i="4"/>
  <c r="AD296" i="4"/>
  <c r="AE296" i="4" s="1"/>
  <c r="AC296" i="4"/>
  <c r="AB296" i="4"/>
  <c r="AA296" i="4"/>
  <c r="AF296" i="4" s="1"/>
  <c r="Z296" i="4"/>
  <c r="Y296" i="4"/>
  <c r="X296" i="4"/>
  <c r="W296" i="4"/>
  <c r="V296" i="4"/>
  <c r="U296" i="4"/>
  <c r="T296" i="4"/>
  <c r="AF295" i="4"/>
  <c r="AD295" i="4"/>
  <c r="AE295" i="4" s="1"/>
  <c r="AC295" i="4"/>
  <c r="AB295" i="4"/>
  <c r="AA295" i="4"/>
  <c r="Z295" i="4"/>
  <c r="Y295" i="4"/>
  <c r="X295" i="4"/>
  <c r="W295" i="4"/>
  <c r="V295" i="4"/>
  <c r="U295" i="4"/>
  <c r="T295" i="4"/>
  <c r="AD294" i="4"/>
  <c r="AE294" i="4" s="1"/>
  <c r="AC294" i="4"/>
  <c r="AB294" i="4"/>
  <c r="AA294" i="4"/>
  <c r="AF294" i="4" s="1"/>
  <c r="Z294" i="4"/>
  <c r="Y294" i="4"/>
  <c r="X294" i="4"/>
  <c r="W294" i="4"/>
  <c r="V294" i="4"/>
  <c r="U294" i="4"/>
  <c r="T294" i="4"/>
  <c r="AD293" i="4"/>
  <c r="AE293" i="4" s="1"/>
  <c r="AC293" i="4"/>
  <c r="AB293" i="4"/>
  <c r="AA293" i="4"/>
  <c r="AF293" i="4" s="1"/>
  <c r="Z293" i="4"/>
  <c r="Y293" i="4"/>
  <c r="X293" i="4"/>
  <c r="W293" i="4"/>
  <c r="V293" i="4"/>
  <c r="U293" i="4"/>
  <c r="T293" i="4"/>
  <c r="AD292" i="4"/>
  <c r="AE292" i="4" s="1"/>
  <c r="AC292" i="4"/>
  <c r="AB292" i="4"/>
  <c r="AA292" i="4"/>
  <c r="AF292" i="4" s="1"/>
  <c r="Z292" i="4"/>
  <c r="Y292" i="4"/>
  <c r="X292" i="4"/>
  <c r="W292" i="4"/>
  <c r="V292" i="4"/>
  <c r="U292" i="4"/>
  <c r="T292" i="4"/>
  <c r="AF291" i="4"/>
  <c r="AD291" i="4"/>
  <c r="AE291" i="4" s="1"/>
  <c r="AC291" i="4"/>
  <c r="AB291" i="4"/>
  <c r="AA291" i="4"/>
  <c r="Z291" i="4"/>
  <c r="Y291" i="4"/>
  <c r="X291" i="4"/>
  <c r="W291" i="4"/>
  <c r="V291" i="4"/>
  <c r="U291" i="4"/>
  <c r="T291" i="4"/>
  <c r="AD290" i="4"/>
  <c r="AE290" i="4" s="1"/>
  <c r="AC290" i="4"/>
  <c r="AB290" i="4"/>
  <c r="AA290" i="4"/>
  <c r="AF290" i="4" s="1"/>
  <c r="Z290" i="4"/>
  <c r="Y290" i="4"/>
  <c r="X290" i="4"/>
  <c r="W290" i="4"/>
  <c r="V290" i="4"/>
  <c r="U290" i="4"/>
  <c r="T290" i="4"/>
  <c r="AD289" i="4"/>
  <c r="AE289" i="4" s="1"/>
  <c r="AC289" i="4"/>
  <c r="AB289" i="4"/>
  <c r="AA289" i="4"/>
  <c r="AF289" i="4" s="1"/>
  <c r="Z289" i="4"/>
  <c r="Y289" i="4"/>
  <c r="X289" i="4"/>
  <c r="W289" i="4"/>
  <c r="V289" i="4"/>
  <c r="U289" i="4"/>
  <c r="T289" i="4"/>
  <c r="AF288" i="4"/>
  <c r="AD288" i="4"/>
  <c r="AE288" i="4" s="1"/>
  <c r="AC288" i="4"/>
  <c r="AB288" i="4"/>
  <c r="AA288" i="4"/>
  <c r="Z288" i="4"/>
  <c r="Y288" i="4"/>
  <c r="X288" i="4"/>
  <c r="W288" i="4"/>
  <c r="V288" i="4"/>
  <c r="U288" i="4"/>
  <c r="T288" i="4"/>
  <c r="AD287" i="4"/>
  <c r="AE287" i="4" s="1"/>
  <c r="AC287" i="4"/>
  <c r="AB287" i="4"/>
  <c r="AA287" i="4"/>
  <c r="AF287" i="4" s="1"/>
  <c r="Z287" i="4"/>
  <c r="Y287" i="4"/>
  <c r="X287" i="4"/>
  <c r="W287" i="4"/>
  <c r="V287" i="4"/>
  <c r="U287" i="4"/>
  <c r="T287" i="4"/>
  <c r="AF286" i="4"/>
  <c r="AD286" i="4"/>
  <c r="AE286" i="4" s="1"/>
  <c r="AC286" i="4"/>
  <c r="AB286" i="4"/>
  <c r="AA286" i="4"/>
  <c r="Z286" i="4"/>
  <c r="Y286" i="4"/>
  <c r="X286" i="4"/>
  <c r="W286" i="4"/>
  <c r="V286" i="4"/>
  <c r="U286" i="4"/>
  <c r="T286" i="4"/>
  <c r="AF285" i="4"/>
  <c r="AD285" i="4"/>
  <c r="AE285" i="4" s="1"/>
  <c r="AC285" i="4"/>
  <c r="AB285" i="4"/>
  <c r="AA285" i="4"/>
  <c r="Z285" i="4"/>
  <c r="Y285" i="4"/>
  <c r="X285" i="4"/>
  <c r="W285" i="4"/>
  <c r="V285" i="4"/>
  <c r="U285" i="4"/>
  <c r="T285" i="4"/>
  <c r="AD284" i="4"/>
  <c r="AE284" i="4" s="1"/>
  <c r="AC284" i="4"/>
  <c r="AB284" i="4"/>
  <c r="AA284" i="4"/>
  <c r="AF284" i="4" s="1"/>
  <c r="Z284" i="4"/>
  <c r="Y284" i="4"/>
  <c r="X284" i="4"/>
  <c r="W284" i="4"/>
  <c r="V284" i="4"/>
  <c r="U284" i="4"/>
  <c r="T284" i="4"/>
  <c r="AD283" i="4"/>
  <c r="AE283" i="4" s="1"/>
  <c r="AC283" i="4"/>
  <c r="AB283" i="4"/>
  <c r="AA283" i="4"/>
  <c r="AF283" i="4" s="1"/>
  <c r="Z283" i="4"/>
  <c r="Y283" i="4"/>
  <c r="X283" i="4"/>
  <c r="W283" i="4"/>
  <c r="V283" i="4"/>
  <c r="U283" i="4"/>
  <c r="T283" i="4"/>
  <c r="AD282" i="4"/>
  <c r="AE282" i="4" s="1"/>
  <c r="AC282" i="4"/>
  <c r="AB282" i="4"/>
  <c r="AA282" i="4"/>
  <c r="AF282" i="4" s="1"/>
  <c r="Z282" i="4"/>
  <c r="Y282" i="4"/>
  <c r="X282" i="4"/>
  <c r="W282" i="4"/>
  <c r="V282" i="4"/>
  <c r="U282" i="4"/>
  <c r="T282" i="4"/>
  <c r="AD281" i="4"/>
  <c r="AE281" i="4" s="1"/>
  <c r="AC281" i="4"/>
  <c r="AB281" i="4"/>
  <c r="AA281" i="4"/>
  <c r="AF281" i="4" s="1"/>
  <c r="Z281" i="4"/>
  <c r="Y281" i="4"/>
  <c r="X281" i="4"/>
  <c r="W281" i="4"/>
  <c r="V281" i="4"/>
  <c r="U281" i="4"/>
  <c r="T281" i="4"/>
  <c r="AD280" i="4"/>
  <c r="AE280" i="4" s="1"/>
  <c r="AC280" i="4"/>
  <c r="AB280" i="4"/>
  <c r="AA280" i="4"/>
  <c r="AF280" i="4" s="1"/>
  <c r="Z280" i="4"/>
  <c r="Y280" i="4"/>
  <c r="X280" i="4"/>
  <c r="W280" i="4"/>
  <c r="V280" i="4"/>
  <c r="U280" i="4"/>
  <c r="T280" i="4"/>
  <c r="AD279" i="4"/>
  <c r="AE279" i="4" s="1"/>
  <c r="AC279" i="4"/>
  <c r="AB279" i="4"/>
  <c r="AA279" i="4"/>
  <c r="AF279" i="4" s="1"/>
  <c r="Z279" i="4"/>
  <c r="Y279" i="4"/>
  <c r="X279" i="4"/>
  <c r="W279" i="4"/>
  <c r="V279" i="4"/>
  <c r="U279" i="4"/>
  <c r="T279" i="4"/>
  <c r="AD278" i="4"/>
  <c r="AE278" i="4" s="1"/>
  <c r="AC278" i="4"/>
  <c r="AB278" i="4"/>
  <c r="AA278" i="4"/>
  <c r="AF278" i="4" s="1"/>
  <c r="Z278" i="4"/>
  <c r="Y278" i="4"/>
  <c r="X278" i="4"/>
  <c r="W278" i="4"/>
  <c r="V278" i="4"/>
  <c r="U278" i="4"/>
  <c r="T278" i="4"/>
  <c r="AD277" i="4"/>
  <c r="AE277" i="4" s="1"/>
  <c r="AC277" i="4"/>
  <c r="AB277" i="4"/>
  <c r="AA277" i="4"/>
  <c r="AF277" i="4" s="1"/>
  <c r="Z277" i="4"/>
  <c r="Y277" i="4"/>
  <c r="X277" i="4"/>
  <c r="W277" i="4"/>
  <c r="V277" i="4"/>
  <c r="U277" i="4"/>
  <c r="T277" i="4"/>
  <c r="AD276" i="4"/>
  <c r="AE276" i="4" s="1"/>
  <c r="AC276" i="4"/>
  <c r="AB276" i="4"/>
  <c r="AA276" i="4"/>
  <c r="AF276" i="4" s="1"/>
  <c r="Z276" i="4"/>
  <c r="Y276" i="4"/>
  <c r="X276" i="4"/>
  <c r="W276" i="4"/>
  <c r="V276" i="4"/>
  <c r="U276" i="4"/>
  <c r="T276" i="4"/>
  <c r="AD275" i="4"/>
  <c r="AE275" i="4" s="1"/>
  <c r="AC275" i="4"/>
  <c r="AB275" i="4"/>
  <c r="AA275" i="4"/>
  <c r="AF275" i="4" s="1"/>
  <c r="Z275" i="4"/>
  <c r="Y275" i="4"/>
  <c r="X275" i="4"/>
  <c r="W275" i="4"/>
  <c r="V275" i="4"/>
  <c r="U275" i="4"/>
  <c r="T275" i="4"/>
  <c r="AF274" i="4"/>
  <c r="AD274" i="4"/>
  <c r="AE274" i="4" s="1"/>
  <c r="AC274" i="4"/>
  <c r="AB274" i="4"/>
  <c r="AA274" i="4"/>
  <c r="Z274" i="4"/>
  <c r="Y274" i="4"/>
  <c r="X274" i="4"/>
  <c r="W274" i="4"/>
  <c r="V274" i="4"/>
  <c r="U274" i="4"/>
  <c r="T274" i="4"/>
  <c r="AD273" i="4"/>
  <c r="AE273" i="4" s="1"/>
  <c r="AC273" i="4"/>
  <c r="AB273" i="4"/>
  <c r="AA273" i="4"/>
  <c r="AF273" i="4" s="1"/>
  <c r="Z273" i="4"/>
  <c r="Y273" i="4"/>
  <c r="X273" i="4"/>
  <c r="W273" i="4"/>
  <c r="V273" i="4"/>
  <c r="U273" i="4"/>
  <c r="T273" i="4"/>
  <c r="AF272" i="4"/>
  <c r="AD272" i="4"/>
  <c r="AE272" i="4" s="1"/>
  <c r="AC272" i="4"/>
  <c r="AB272" i="4"/>
  <c r="AA272" i="4"/>
  <c r="Z272" i="4"/>
  <c r="Y272" i="4"/>
  <c r="X272" i="4"/>
  <c r="W272" i="4"/>
  <c r="V272" i="4"/>
  <c r="U272" i="4"/>
  <c r="T272" i="4"/>
  <c r="AF271" i="4"/>
  <c r="AD271" i="4"/>
  <c r="AE271" i="4" s="1"/>
  <c r="AC271" i="4"/>
  <c r="AB271" i="4"/>
  <c r="AA271" i="4"/>
  <c r="Z271" i="4"/>
  <c r="Y271" i="4"/>
  <c r="X271" i="4"/>
  <c r="W271" i="4"/>
  <c r="V271" i="4"/>
  <c r="U271" i="4"/>
  <c r="T271" i="4"/>
  <c r="AD270" i="4"/>
  <c r="AE270" i="4" s="1"/>
  <c r="AC270" i="4"/>
  <c r="AB270" i="4"/>
  <c r="AA270" i="4"/>
  <c r="AF270" i="4" s="1"/>
  <c r="Z270" i="4"/>
  <c r="Y270" i="4"/>
  <c r="X270" i="4"/>
  <c r="W270" i="4"/>
  <c r="V270" i="4"/>
  <c r="U270" i="4"/>
  <c r="T270" i="4"/>
  <c r="AD269" i="4"/>
  <c r="AE269" i="4" s="1"/>
  <c r="AC269" i="4"/>
  <c r="AB269" i="4"/>
  <c r="AA269" i="4"/>
  <c r="AF269" i="4" s="1"/>
  <c r="Z269" i="4"/>
  <c r="Y269" i="4"/>
  <c r="X269" i="4"/>
  <c r="W269" i="4"/>
  <c r="V269" i="4"/>
  <c r="U269" i="4"/>
  <c r="T269" i="4"/>
  <c r="AD268" i="4"/>
  <c r="AE268" i="4" s="1"/>
  <c r="AC268" i="4"/>
  <c r="AB268" i="4"/>
  <c r="AA268" i="4"/>
  <c r="AF268" i="4" s="1"/>
  <c r="Z268" i="4"/>
  <c r="Y268" i="4"/>
  <c r="X268" i="4"/>
  <c r="W268" i="4"/>
  <c r="V268" i="4"/>
  <c r="U268" i="4"/>
  <c r="T268" i="4"/>
  <c r="AF267" i="4"/>
  <c r="AD267" i="4"/>
  <c r="AE267" i="4" s="1"/>
  <c r="AC267" i="4"/>
  <c r="AB267" i="4"/>
  <c r="AA267" i="4"/>
  <c r="Z267" i="4"/>
  <c r="Y267" i="4"/>
  <c r="X267" i="4"/>
  <c r="W267" i="4"/>
  <c r="V267" i="4"/>
  <c r="U267" i="4"/>
  <c r="T267" i="4"/>
  <c r="AF266" i="4"/>
  <c r="AD266" i="4"/>
  <c r="AE266" i="4" s="1"/>
  <c r="AC266" i="4"/>
  <c r="AB266" i="4"/>
  <c r="AA266" i="4"/>
  <c r="Z266" i="4"/>
  <c r="Y266" i="4"/>
  <c r="X266" i="4"/>
  <c r="W266" i="4"/>
  <c r="V266" i="4"/>
  <c r="U266" i="4"/>
  <c r="T266" i="4"/>
  <c r="AD265" i="4"/>
  <c r="AE265" i="4" s="1"/>
  <c r="AC265" i="4"/>
  <c r="AB265" i="4"/>
  <c r="AA265" i="4"/>
  <c r="AF265" i="4" s="1"/>
  <c r="Z265" i="4"/>
  <c r="Y265" i="4"/>
  <c r="X265" i="4"/>
  <c r="W265" i="4"/>
  <c r="V265" i="4"/>
  <c r="U265" i="4"/>
  <c r="T265" i="4"/>
  <c r="AF264" i="4"/>
  <c r="AD264" i="4"/>
  <c r="AE264" i="4" s="1"/>
  <c r="AC264" i="4"/>
  <c r="AB264" i="4"/>
  <c r="AA264" i="4"/>
  <c r="Z264" i="4"/>
  <c r="Y264" i="4"/>
  <c r="X264" i="4"/>
  <c r="W264" i="4"/>
  <c r="V264" i="4"/>
  <c r="U264" i="4"/>
  <c r="T264" i="4"/>
  <c r="AD263" i="4"/>
  <c r="AE263" i="4" s="1"/>
  <c r="AC263" i="4"/>
  <c r="AB263" i="4"/>
  <c r="AA263" i="4"/>
  <c r="AF263" i="4" s="1"/>
  <c r="Z263" i="4"/>
  <c r="Y263" i="4"/>
  <c r="X263" i="4"/>
  <c r="W263" i="4"/>
  <c r="V263" i="4"/>
  <c r="U263" i="4"/>
  <c r="T263" i="4"/>
  <c r="AD262" i="4"/>
  <c r="AE262" i="4" s="1"/>
  <c r="AC262" i="4"/>
  <c r="AB262" i="4"/>
  <c r="AA262" i="4"/>
  <c r="AF262" i="4" s="1"/>
  <c r="Z262" i="4"/>
  <c r="Y262" i="4"/>
  <c r="X262" i="4"/>
  <c r="W262" i="4"/>
  <c r="V262" i="4"/>
  <c r="U262" i="4"/>
  <c r="T262" i="4"/>
  <c r="AD261" i="4"/>
  <c r="AE261" i="4" s="1"/>
  <c r="AC261" i="4"/>
  <c r="AB261" i="4"/>
  <c r="AA261" i="4"/>
  <c r="AF261" i="4" s="1"/>
  <c r="Z261" i="4"/>
  <c r="Y261" i="4"/>
  <c r="X261" i="4"/>
  <c r="W261" i="4"/>
  <c r="V261" i="4"/>
  <c r="U261" i="4"/>
  <c r="T261" i="4"/>
  <c r="AD260" i="4"/>
  <c r="AE260" i="4" s="1"/>
  <c r="AC260" i="4"/>
  <c r="AB260" i="4"/>
  <c r="AA260" i="4"/>
  <c r="AF260" i="4" s="1"/>
  <c r="Z260" i="4"/>
  <c r="Y260" i="4"/>
  <c r="X260" i="4"/>
  <c r="W260" i="4"/>
  <c r="V260" i="4"/>
  <c r="U260" i="4"/>
  <c r="T260" i="4"/>
  <c r="AD259" i="4"/>
  <c r="AE259" i="4" s="1"/>
  <c r="AC259" i="4"/>
  <c r="AB259" i="4"/>
  <c r="AA259" i="4"/>
  <c r="AF259" i="4" s="1"/>
  <c r="Z259" i="4"/>
  <c r="Y259" i="4"/>
  <c r="X259" i="4"/>
  <c r="W259" i="4"/>
  <c r="V259" i="4"/>
  <c r="U259" i="4"/>
  <c r="T259" i="4"/>
  <c r="AD258" i="4"/>
  <c r="AE258" i="4" s="1"/>
  <c r="AC258" i="4"/>
  <c r="AB258" i="4"/>
  <c r="AA258" i="4"/>
  <c r="AF258" i="4" s="1"/>
  <c r="Z258" i="4"/>
  <c r="Y258" i="4"/>
  <c r="X258" i="4"/>
  <c r="W258" i="4"/>
  <c r="V258" i="4"/>
  <c r="U258" i="4"/>
  <c r="T258" i="4"/>
  <c r="AF257" i="4"/>
  <c r="AD257" i="4"/>
  <c r="AE257" i="4" s="1"/>
  <c r="AC257" i="4"/>
  <c r="AB257" i="4"/>
  <c r="AA257" i="4"/>
  <c r="Z257" i="4"/>
  <c r="Y257" i="4"/>
  <c r="X257" i="4"/>
  <c r="W257" i="4"/>
  <c r="V257" i="4"/>
  <c r="U257" i="4"/>
  <c r="T257" i="4"/>
  <c r="AD256" i="4"/>
  <c r="AE256" i="4" s="1"/>
  <c r="AC256" i="4"/>
  <c r="AB256" i="4"/>
  <c r="AA256" i="4"/>
  <c r="AF256" i="4" s="1"/>
  <c r="Z256" i="4"/>
  <c r="Y256" i="4"/>
  <c r="X256" i="4"/>
  <c r="W256" i="4"/>
  <c r="V256" i="4"/>
  <c r="U256" i="4"/>
  <c r="T256" i="4"/>
  <c r="AD255" i="4"/>
  <c r="AE255" i="4" s="1"/>
  <c r="AC255" i="4"/>
  <c r="AB255" i="4"/>
  <c r="AA255" i="4"/>
  <c r="AF255" i="4" s="1"/>
  <c r="Z255" i="4"/>
  <c r="Y255" i="4"/>
  <c r="X255" i="4"/>
  <c r="W255" i="4"/>
  <c r="V255" i="4"/>
  <c r="U255" i="4"/>
  <c r="T255" i="4"/>
  <c r="AD254" i="4"/>
  <c r="AE254" i="4" s="1"/>
  <c r="AC254" i="4"/>
  <c r="AB254" i="4"/>
  <c r="AA254" i="4"/>
  <c r="AF254" i="4" s="1"/>
  <c r="Z254" i="4"/>
  <c r="Y254" i="4"/>
  <c r="X254" i="4"/>
  <c r="W254" i="4"/>
  <c r="V254" i="4"/>
  <c r="U254" i="4"/>
  <c r="T254" i="4"/>
  <c r="AD253" i="4"/>
  <c r="AE253" i="4" s="1"/>
  <c r="AC253" i="4"/>
  <c r="AB253" i="4"/>
  <c r="AA253" i="4"/>
  <c r="AF253" i="4" s="1"/>
  <c r="Z253" i="4"/>
  <c r="Y253" i="4"/>
  <c r="X253" i="4"/>
  <c r="W253" i="4"/>
  <c r="V253" i="4"/>
  <c r="U253" i="4"/>
  <c r="T253" i="4"/>
  <c r="AF252" i="4"/>
  <c r="AD252" i="4"/>
  <c r="AE252" i="4" s="1"/>
  <c r="AC252" i="4"/>
  <c r="AB252" i="4"/>
  <c r="AA252" i="4"/>
  <c r="Z252" i="4"/>
  <c r="Y252" i="4"/>
  <c r="X252" i="4"/>
  <c r="W252" i="4"/>
  <c r="V252" i="4"/>
  <c r="U252" i="4"/>
  <c r="T252" i="4"/>
  <c r="AD251" i="4"/>
  <c r="AE251" i="4" s="1"/>
  <c r="AC251" i="4"/>
  <c r="AB251" i="4"/>
  <c r="AA251" i="4"/>
  <c r="AF251" i="4" s="1"/>
  <c r="Z251" i="4"/>
  <c r="Y251" i="4"/>
  <c r="X251" i="4"/>
  <c r="W251" i="4"/>
  <c r="V251" i="4"/>
  <c r="U251" i="4"/>
  <c r="T251" i="4"/>
  <c r="AF250" i="4"/>
  <c r="AD250" i="4"/>
  <c r="AE250" i="4" s="1"/>
  <c r="AC250" i="4"/>
  <c r="AB250" i="4"/>
  <c r="AA250" i="4"/>
  <c r="Z250" i="4"/>
  <c r="Y250" i="4"/>
  <c r="X250" i="4"/>
  <c r="W250" i="4"/>
  <c r="V250" i="4"/>
  <c r="U250" i="4"/>
  <c r="T250" i="4"/>
  <c r="AD249" i="4"/>
  <c r="AE249" i="4" s="1"/>
  <c r="AC249" i="4"/>
  <c r="AB249" i="4"/>
  <c r="AA249" i="4"/>
  <c r="AF249" i="4" s="1"/>
  <c r="Z249" i="4"/>
  <c r="Y249" i="4"/>
  <c r="X249" i="4"/>
  <c r="W249" i="4"/>
  <c r="V249" i="4"/>
  <c r="U249" i="4"/>
  <c r="T249" i="4"/>
  <c r="AD248" i="4"/>
  <c r="AE248" i="4" s="1"/>
  <c r="AC248" i="4"/>
  <c r="AB248" i="4"/>
  <c r="AA248" i="4"/>
  <c r="AF248" i="4" s="1"/>
  <c r="Z248" i="4"/>
  <c r="Y248" i="4"/>
  <c r="X248" i="4"/>
  <c r="W248" i="4"/>
  <c r="V248" i="4"/>
  <c r="U248" i="4"/>
  <c r="T248" i="4"/>
  <c r="AD247" i="4"/>
  <c r="AE247" i="4" s="1"/>
  <c r="AC247" i="4"/>
  <c r="AB247" i="4"/>
  <c r="AA247" i="4"/>
  <c r="AF247" i="4" s="1"/>
  <c r="Z247" i="4"/>
  <c r="Y247" i="4"/>
  <c r="X247" i="4"/>
  <c r="W247" i="4"/>
  <c r="V247" i="4"/>
  <c r="U247" i="4"/>
  <c r="T247" i="4"/>
  <c r="AF246" i="4"/>
  <c r="AD246" i="4"/>
  <c r="AE246" i="4" s="1"/>
  <c r="AC246" i="4"/>
  <c r="AB246" i="4"/>
  <c r="AA246" i="4"/>
  <c r="Z246" i="4"/>
  <c r="Y246" i="4"/>
  <c r="X246" i="4"/>
  <c r="W246" i="4"/>
  <c r="V246" i="4"/>
  <c r="U246" i="4"/>
  <c r="T246" i="4"/>
  <c r="AF245" i="4"/>
  <c r="AD245" i="4"/>
  <c r="AE245" i="4" s="1"/>
  <c r="AC245" i="4"/>
  <c r="AB245" i="4"/>
  <c r="AA245" i="4"/>
  <c r="Z245" i="4"/>
  <c r="Y245" i="4"/>
  <c r="X245" i="4"/>
  <c r="W245" i="4"/>
  <c r="V245" i="4"/>
  <c r="U245" i="4"/>
  <c r="T245" i="4"/>
  <c r="AD244" i="4"/>
  <c r="AE244" i="4" s="1"/>
  <c r="AC244" i="4"/>
  <c r="AB244" i="4"/>
  <c r="AA244" i="4"/>
  <c r="AF244" i="4" s="1"/>
  <c r="Z244" i="4"/>
  <c r="Y244" i="4"/>
  <c r="X244" i="4"/>
  <c r="W244" i="4"/>
  <c r="V244" i="4"/>
  <c r="U244" i="4"/>
  <c r="T244" i="4"/>
  <c r="AF243" i="4"/>
  <c r="AD243" i="4"/>
  <c r="AE243" i="4" s="1"/>
  <c r="AC243" i="4"/>
  <c r="AB243" i="4"/>
  <c r="AA243" i="4"/>
  <c r="Z243" i="4"/>
  <c r="Y243" i="4"/>
  <c r="X243" i="4"/>
  <c r="W243" i="4"/>
  <c r="V243" i="4"/>
  <c r="U243" i="4"/>
  <c r="T243" i="4"/>
  <c r="AF242" i="4"/>
  <c r="AD242" i="4"/>
  <c r="AE242" i="4" s="1"/>
  <c r="AC242" i="4"/>
  <c r="AB242" i="4"/>
  <c r="AA242" i="4"/>
  <c r="Z242" i="4"/>
  <c r="Y242" i="4"/>
  <c r="X242" i="4"/>
  <c r="W242" i="4"/>
  <c r="V242" i="4"/>
  <c r="U242" i="4"/>
  <c r="T242" i="4"/>
  <c r="AF241" i="4"/>
  <c r="AD241" i="4"/>
  <c r="AE241" i="4" s="1"/>
  <c r="AC241" i="4"/>
  <c r="AB241" i="4"/>
  <c r="AA241" i="4"/>
  <c r="Z241" i="4"/>
  <c r="Y241" i="4"/>
  <c r="X241" i="4"/>
  <c r="W241" i="4"/>
  <c r="V241" i="4"/>
  <c r="U241" i="4"/>
  <c r="T241" i="4"/>
  <c r="AD240" i="4"/>
  <c r="AE240" i="4" s="1"/>
  <c r="AC240" i="4"/>
  <c r="AB240" i="4"/>
  <c r="AA240" i="4"/>
  <c r="AF240" i="4" s="1"/>
  <c r="Z240" i="4"/>
  <c r="Y240" i="4"/>
  <c r="X240" i="4"/>
  <c r="W240" i="4"/>
  <c r="V240" i="4"/>
  <c r="U240" i="4"/>
  <c r="T240" i="4"/>
  <c r="AF239" i="4"/>
  <c r="AD239" i="4"/>
  <c r="AE239" i="4" s="1"/>
  <c r="AC239" i="4"/>
  <c r="AB239" i="4"/>
  <c r="AA239" i="4"/>
  <c r="Z239" i="4"/>
  <c r="Y239" i="4"/>
  <c r="X239" i="4"/>
  <c r="W239" i="4"/>
  <c r="V239" i="4"/>
  <c r="U239" i="4"/>
  <c r="T239" i="4"/>
  <c r="AF238" i="4"/>
  <c r="AD238" i="4"/>
  <c r="AE238" i="4" s="1"/>
  <c r="AC238" i="4"/>
  <c r="AB238" i="4"/>
  <c r="AA238" i="4"/>
  <c r="Z238" i="4"/>
  <c r="Y238" i="4"/>
  <c r="X238" i="4"/>
  <c r="W238" i="4"/>
  <c r="V238" i="4"/>
  <c r="U238" i="4"/>
  <c r="T238" i="4"/>
  <c r="AD237" i="4"/>
  <c r="AE237" i="4" s="1"/>
  <c r="AC237" i="4"/>
  <c r="AB237" i="4"/>
  <c r="AA237" i="4"/>
  <c r="AF237" i="4" s="1"/>
  <c r="Z237" i="4"/>
  <c r="Y237" i="4"/>
  <c r="X237" i="4"/>
  <c r="W237" i="4"/>
  <c r="V237" i="4"/>
  <c r="U237" i="4"/>
  <c r="T237" i="4"/>
  <c r="AD236" i="4"/>
  <c r="AE236" i="4" s="1"/>
  <c r="AC236" i="4"/>
  <c r="AB236" i="4"/>
  <c r="AA236" i="4"/>
  <c r="AF236" i="4" s="1"/>
  <c r="Z236" i="4"/>
  <c r="Y236" i="4"/>
  <c r="X236" i="4"/>
  <c r="W236" i="4"/>
  <c r="V236" i="4"/>
  <c r="U236" i="4"/>
  <c r="T236" i="4"/>
  <c r="AD235" i="4"/>
  <c r="AE235" i="4" s="1"/>
  <c r="AC235" i="4"/>
  <c r="AB235" i="4"/>
  <c r="AA235" i="4"/>
  <c r="AF235" i="4" s="1"/>
  <c r="Z235" i="4"/>
  <c r="Y235" i="4"/>
  <c r="X235" i="4"/>
  <c r="W235" i="4"/>
  <c r="V235" i="4"/>
  <c r="U235" i="4"/>
  <c r="T235" i="4"/>
  <c r="AD234" i="4"/>
  <c r="AE234" i="4" s="1"/>
  <c r="AC234" i="4"/>
  <c r="AB234" i="4"/>
  <c r="AA234" i="4"/>
  <c r="AF234" i="4" s="1"/>
  <c r="Z234" i="4"/>
  <c r="Y234" i="4"/>
  <c r="X234" i="4"/>
  <c r="W234" i="4"/>
  <c r="V234" i="4"/>
  <c r="U234" i="4"/>
  <c r="T234" i="4"/>
  <c r="AF233" i="4"/>
  <c r="AD233" i="4"/>
  <c r="AE233" i="4" s="1"/>
  <c r="AC233" i="4"/>
  <c r="AB233" i="4"/>
  <c r="AA233" i="4"/>
  <c r="Z233" i="4"/>
  <c r="Y233" i="4"/>
  <c r="X233" i="4"/>
  <c r="W233" i="4"/>
  <c r="V233" i="4"/>
  <c r="U233" i="4"/>
  <c r="T233" i="4"/>
  <c r="AD232" i="4"/>
  <c r="AE232" i="4" s="1"/>
  <c r="AC232" i="4"/>
  <c r="AB232" i="4"/>
  <c r="AA232" i="4"/>
  <c r="AF232" i="4" s="1"/>
  <c r="Z232" i="4"/>
  <c r="Y232" i="4"/>
  <c r="X232" i="4"/>
  <c r="W232" i="4"/>
  <c r="V232" i="4"/>
  <c r="U232" i="4"/>
  <c r="T232" i="4"/>
  <c r="AF231" i="4"/>
  <c r="AD231" i="4"/>
  <c r="AE231" i="4" s="1"/>
  <c r="AC231" i="4"/>
  <c r="AB231" i="4"/>
  <c r="AA231" i="4"/>
  <c r="Z231" i="4"/>
  <c r="Y231" i="4"/>
  <c r="X231" i="4"/>
  <c r="W231" i="4"/>
  <c r="V231" i="4"/>
  <c r="U231" i="4"/>
  <c r="T231" i="4"/>
  <c r="AD230" i="4"/>
  <c r="AE230" i="4" s="1"/>
  <c r="AC230" i="4"/>
  <c r="AB230" i="4"/>
  <c r="AA230" i="4"/>
  <c r="AF230" i="4" s="1"/>
  <c r="Z230" i="4"/>
  <c r="Y230" i="4"/>
  <c r="X230" i="4"/>
  <c r="W230" i="4"/>
  <c r="V230" i="4"/>
  <c r="U230" i="4"/>
  <c r="T230" i="4"/>
  <c r="AF229" i="4"/>
  <c r="AD229" i="4"/>
  <c r="AE229" i="4" s="1"/>
  <c r="AC229" i="4"/>
  <c r="AB229" i="4"/>
  <c r="AA229" i="4"/>
  <c r="Z229" i="4"/>
  <c r="Y229" i="4"/>
  <c r="X229" i="4"/>
  <c r="W229" i="4"/>
  <c r="V229" i="4"/>
  <c r="U229" i="4"/>
  <c r="T229" i="4"/>
  <c r="AD228" i="4"/>
  <c r="AE228" i="4" s="1"/>
  <c r="AC228" i="4"/>
  <c r="AB228" i="4"/>
  <c r="AA228" i="4"/>
  <c r="AF228" i="4" s="1"/>
  <c r="Z228" i="4"/>
  <c r="Y228" i="4"/>
  <c r="X228" i="4"/>
  <c r="W228" i="4"/>
  <c r="V228" i="4"/>
  <c r="U228" i="4"/>
  <c r="T228" i="4"/>
  <c r="AD227" i="4"/>
  <c r="AE227" i="4" s="1"/>
  <c r="AC227" i="4"/>
  <c r="AB227" i="4"/>
  <c r="AA227" i="4"/>
  <c r="AF227" i="4" s="1"/>
  <c r="Z227" i="4"/>
  <c r="Y227" i="4"/>
  <c r="X227" i="4"/>
  <c r="W227" i="4"/>
  <c r="V227" i="4"/>
  <c r="U227" i="4"/>
  <c r="T227" i="4"/>
  <c r="AF226" i="4"/>
  <c r="AD226" i="4"/>
  <c r="AE226" i="4" s="1"/>
  <c r="AC226" i="4"/>
  <c r="AB226" i="4"/>
  <c r="AA226" i="4"/>
  <c r="Z226" i="4"/>
  <c r="Y226" i="4"/>
  <c r="X226" i="4"/>
  <c r="W226" i="4"/>
  <c r="V226" i="4"/>
  <c r="U226" i="4"/>
  <c r="T226" i="4"/>
  <c r="AF225" i="4"/>
  <c r="AD225" i="4"/>
  <c r="AE225" i="4" s="1"/>
  <c r="AC225" i="4"/>
  <c r="AB225" i="4"/>
  <c r="AA225" i="4"/>
  <c r="Z225" i="4"/>
  <c r="Y225" i="4"/>
  <c r="X225" i="4"/>
  <c r="W225" i="4"/>
  <c r="V225" i="4"/>
  <c r="U225" i="4"/>
  <c r="T225" i="4"/>
  <c r="AD224" i="4"/>
  <c r="AE224" i="4" s="1"/>
  <c r="AC224" i="4"/>
  <c r="AB224" i="4"/>
  <c r="AA224" i="4"/>
  <c r="AF224" i="4" s="1"/>
  <c r="Z224" i="4"/>
  <c r="Y224" i="4"/>
  <c r="X224" i="4"/>
  <c r="W224" i="4"/>
  <c r="V224" i="4"/>
  <c r="U224" i="4"/>
  <c r="T224" i="4"/>
  <c r="AF223" i="4"/>
  <c r="AD223" i="4"/>
  <c r="AE223" i="4" s="1"/>
  <c r="AC223" i="4"/>
  <c r="AB223" i="4"/>
  <c r="AA223" i="4"/>
  <c r="Z223" i="4"/>
  <c r="Y223" i="4"/>
  <c r="X223" i="4"/>
  <c r="W223" i="4"/>
  <c r="V223" i="4"/>
  <c r="U223" i="4"/>
  <c r="T223" i="4"/>
  <c r="AF222" i="4"/>
  <c r="AD222" i="4"/>
  <c r="AE222" i="4" s="1"/>
  <c r="AC222" i="4"/>
  <c r="AB222" i="4"/>
  <c r="AA222" i="4"/>
  <c r="Z222" i="4"/>
  <c r="Y222" i="4"/>
  <c r="X222" i="4"/>
  <c r="W222" i="4"/>
  <c r="V222" i="4"/>
  <c r="U222" i="4"/>
  <c r="T222" i="4"/>
  <c r="AF221" i="4"/>
  <c r="AD221" i="4"/>
  <c r="AE221" i="4" s="1"/>
  <c r="AC221" i="4"/>
  <c r="AB221" i="4"/>
  <c r="AA221" i="4"/>
  <c r="Z221" i="4"/>
  <c r="Y221" i="4"/>
  <c r="X221" i="4"/>
  <c r="W221" i="4"/>
  <c r="V221" i="4"/>
  <c r="U221" i="4"/>
  <c r="T221" i="4"/>
  <c r="AD220" i="4"/>
  <c r="AE220" i="4" s="1"/>
  <c r="AC220" i="4"/>
  <c r="AB220" i="4"/>
  <c r="AA220" i="4"/>
  <c r="AF220" i="4" s="1"/>
  <c r="Z220" i="4"/>
  <c r="Y220" i="4"/>
  <c r="X220" i="4"/>
  <c r="W220" i="4"/>
  <c r="V220" i="4"/>
  <c r="U220" i="4"/>
  <c r="T220" i="4"/>
  <c r="AD219" i="4"/>
  <c r="AE219" i="4" s="1"/>
  <c r="AC219" i="4"/>
  <c r="AB219" i="4"/>
  <c r="AA219" i="4"/>
  <c r="AF219" i="4" s="1"/>
  <c r="Z219" i="4"/>
  <c r="Y219" i="4"/>
  <c r="X219" i="4"/>
  <c r="W219" i="4"/>
  <c r="V219" i="4"/>
  <c r="U219" i="4"/>
  <c r="T219" i="4"/>
  <c r="AD218" i="4"/>
  <c r="AE218" i="4" s="1"/>
  <c r="AC218" i="4"/>
  <c r="AB218" i="4"/>
  <c r="AA218" i="4"/>
  <c r="AF218" i="4" s="1"/>
  <c r="Z218" i="4"/>
  <c r="Y218" i="4"/>
  <c r="X218" i="4"/>
  <c r="W218" i="4"/>
  <c r="V218" i="4"/>
  <c r="U218" i="4"/>
  <c r="T218" i="4"/>
  <c r="AD217" i="4"/>
  <c r="AE217" i="4" s="1"/>
  <c r="AC217" i="4"/>
  <c r="AB217" i="4"/>
  <c r="AA217" i="4"/>
  <c r="AF217" i="4" s="1"/>
  <c r="Z217" i="4"/>
  <c r="Y217" i="4"/>
  <c r="X217" i="4"/>
  <c r="W217" i="4"/>
  <c r="V217" i="4"/>
  <c r="U217" i="4"/>
  <c r="T217" i="4"/>
  <c r="AD216" i="4"/>
  <c r="AE216" i="4" s="1"/>
  <c r="AC216" i="4"/>
  <c r="AB216" i="4"/>
  <c r="AA216" i="4"/>
  <c r="AF216" i="4" s="1"/>
  <c r="Z216" i="4"/>
  <c r="Y216" i="4"/>
  <c r="X216" i="4"/>
  <c r="W216" i="4"/>
  <c r="V216" i="4"/>
  <c r="U216" i="4"/>
  <c r="T216" i="4"/>
  <c r="AD215" i="4"/>
  <c r="AE215" i="4" s="1"/>
  <c r="AC215" i="4"/>
  <c r="AB215" i="4"/>
  <c r="AA215" i="4"/>
  <c r="AF215" i="4" s="1"/>
  <c r="Z215" i="4"/>
  <c r="Y215" i="4"/>
  <c r="X215" i="4"/>
  <c r="W215" i="4"/>
  <c r="V215" i="4"/>
  <c r="U215" i="4"/>
  <c r="T215" i="4"/>
  <c r="AF214" i="4"/>
  <c r="AD214" i="4"/>
  <c r="AE214" i="4" s="1"/>
  <c r="AC214" i="4"/>
  <c r="AB214" i="4"/>
  <c r="AA214" i="4"/>
  <c r="Z214" i="4"/>
  <c r="Y214" i="4"/>
  <c r="X214" i="4"/>
  <c r="W214" i="4"/>
  <c r="V214" i="4"/>
  <c r="U214" i="4"/>
  <c r="T214" i="4"/>
  <c r="AF213" i="4"/>
  <c r="AD213" i="4"/>
  <c r="AE213" i="4" s="1"/>
  <c r="AC213" i="4"/>
  <c r="AB213" i="4"/>
  <c r="AA213" i="4"/>
  <c r="Z213" i="4"/>
  <c r="Y213" i="4"/>
  <c r="X213" i="4"/>
  <c r="W213" i="4"/>
  <c r="V213" i="4"/>
  <c r="U213" i="4"/>
  <c r="T213" i="4"/>
  <c r="AD212" i="4"/>
  <c r="AE212" i="4" s="1"/>
  <c r="AC212" i="4"/>
  <c r="AB212" i="4"/>
  <c r="AA212" i="4"/>
  <c r="AF212" i="4" s="1"/>
  <c r="Z212" i="4"/>
  <c r="Y212" i="4"/>
  <c r="X212" i="4"/>
  <c r="W212" i="4"/>
  <c r="V212" i="4"/>
  <c r="U212" i="4"/>
  <c r="T212" i="4"/>
  <c r="AD211" i="4"/>
  <c r="AE211" i="4" s="1"/>
  <c r="AC211" i="4"/>
  <c r="AB211" i="4"/>
  <c r="AA211" i="4"/>
  <c r="AF211" i="4" s="1"/>
  <c r="Z211" i="4"/>
  <c r="Y211" i="4"/>
  <c r="X211" i="4"/>
  <c r="W211" i="4"/>
  <c r="V211" i="4"/>
  <c r="U211" i="4"/>
  <c r="T211" i="4"/>
  <c r="AD210" i="4"/>
  <c r="AE210" i="4" s="1"/>
  <c r="AC210" i="4"/>
  <c r="AB210" i="4"/>
  <c r="AA210" i="4"/>
  <c r="AF210" i="4" s="1"/>
  <c r="Z210" i="4"/>
  <c r="Y210" i="4"/>
  <c r="X210" i="4"/>
  <c r="W210" i="4"/>
  <c r="V210" i="4"/>
  <c r="U210" i="4"/>
  <c r="T210" i="4"/>
  <c r="AF209" i="4"/>
  <c r="AD209" i="4"/>
  <c r="AE209" i="4" s="1"/>
  <c r="AC209" i="4"/>
  <c r="AB209" i="4"/>
  <c r="AA209" i="4"/>
  <c r="Z209" i="4"/>
  <c r="Y209" i="4"/>
  <c r="X209" i="4"/>
  <c r="W209" i="4"/>
  <c r="V209" i="4"/>
  <c r="U209" i="4"/>
  <c r="T209" i="4"/>
  <c r="AD208" i="4"/>
  <c r="AE208" i="4" s="1"/>
  <c r="AC208" i="4"/>
  <c r="AB208" i="4"/>
  <c r="AA208" i="4"/>
  <c r="AF208" i="4" s="1"/>
  <c r="Z208" i="4"/>
  <c r="Y208" i="4"/>
  <c r="X208" i="4"/>
  <c r="W208" i="4"/>
  <c r="V208" i="4"/>
  <c r="U208" i="4"/>
  <c r="T208" i="4"/>
  <c r="AD207" i="4"/>
  <c r="AE207" i="4" s="1"/>
  <c r="AC207" i="4"/>
  <c r="AB207" i="4"/>
  <c r="AA207" i="4"/>
  <c r="AF207" i="4" s="1"/>
  <c r="Z207" i="4"/>
  <c r="Y207" i="4"/>
  <c r="X207" i="4"/>
  <c r="W207" i="4"/>
  <c r="V207" i="4"/>
  <c r="U207" i="4"/>
  <c r="T207" i="4"/>
  <c r="AF206" i="4"/>
  <c r="AD206" i="4"/>
  <c r="AE206" i="4" s="1"/>
  <c r="AC206" i="4"/>
  <c r="AB206" i="4"/>
  <c r="AA206" i="4"/>
  <c r="Z206" i="4"/>
  <c r="Y206" i="4"/>
  <c r="X206" i="4"/>
  <c r="W206" i="4"/>
  <c r="V206" i="4"/>
  <c r="U206" i="4"/>
  <c r="T206" i="4"/>
  <c r="AD205" i="4"/>
  <c r="AE205" i="4" s="1"/>
  <c r="AC205" i="4"/>
  <c r="AB205" i="4"/>
  <c r="AA205" i="4"/>
  <c r="AF205" i="4" s="1"/>
  <c r="Z205" i="4"/>
  <c r="Y205" i="4"/>
  <c r="X205" i="4"/>
  <c r="W205" i="4"/>
  <c r="V205" i="4"/>
  <c r="U205" i="4"/>
  <c r="T205" i="4"/>
  <c r="AF204" i="4"/>
  <c r="AD204" i="4"/>
  <c r="AE204" i="4" s="1"/>
  <c r="AC204" i="4"/>
  <c r="AB204" i="4"/>
  <c r="AA204" i="4"/>
  <c r="Z204" i="4"/>
  <c r="Y204" i="4"/>
  <c r="X204" i="4"/>
  <c r="W204" i="4"/>
  <c r="V204" i="4"/>
  <c r="U204" i="4"/>
  <c r="T204" i="4"/>
  <c r="AD203" i="4"/>
  <c r="AE203" i="4" s="1"/>
  <c r="AC203" i="4"/>
  <c r="AB203" i="4"/>
  <c r="AA203" i="4"/>
  <c r="AF203" i="4" s="1"/>
  <c r="Z203" i="4"/>
  <c r="Y203" i="4"/>
  <c r="X203" i="4"/>
  <c r="W203" i="4"/>
  <c r="V203" i="4"/>
  <c r="U203" i="4"/>
  <c r="T203" i="4"/>
  <c r="AF202" i="4"/>
  <c r="AD202" i="4"/>
  <c r="AE202" i="4" s="1"/>
  <c r="AC202" i="4"/>
  <c r="AB202" i="4"/>
  <c r="AA202" i="4"/>
  <c r="Z202" i="4"/>
  <c r="Y202" i="4"/>
  <c r="X202" i="4"/>
  <c r="W202" i="4"/>
  <c r="V202" i="4"/>
  <c r="U202" i="4"/>
  <c r="T202" i="4"/>
  <c r="AF201" i="4"/>
  <c r="AD201" i="4"/>
  <c r="AE201" i="4" s="1"/>
  <c r="AC201" i="4"/>
  <c r="AB201" i="4"/>
  <c r="AA201" i="4"/>
  <c r="Z201" i="4"/>
  <c r="Y201" i="4"/>
  <c r="X201" i="4"/>
  <c r="W201" i="4"/>
  <c r="V201" i="4"/>
  <c r="U201" i="4"/>
  <c r="T201" i="4"/>
  <c r="AD200" i="4"/>
  <c r="AE200" i="4" s="1"/>
  <c r="AC200" i="4"/>
  <c r="AB200" i="4"/>
  <c r="AA200" i="4"/>
  <c r="AF200" i="4" s="1"/>
  <c r="Z200" i="4"/>
  <c r="Y200" i="4"/>
  <c r="X200" i="4"/>
  <c r="W200" i="4"/>
  <c r="V200" i="4"/>
  <c r="U200" i="4"/>
  <c r="T200" i="4"/>
  <c r="AF199" i="4"/>
  <c r="AD199" i="4"/>
  <c r="AE199" i="4" s="1"/>
  <c r="AC199" i="4"/>
  <c r="AB199" i="4"/>
  <c r="AA199" i="4"/>
  <c r="Z199" i="4"/>
  <c r="Y199" i="4"/>
  <c r="X199" i="4"/>
  <c r="W199" i="4"/>
  <c r="V199" i="4"/>
  <c r="U199" i="4"/>
  <c r="T199" i="4"/>
  <c r="AF198" i="4"/>
  <c r="AD198" i="4"/>
  <c r="AE198" i="4" s="1"/>
  <c r="AC198" i="4"/>
  <c r="AB198" i="4"/>
  <c r="AA198" i="4"/>
  <c r="Z198" i="4"/>
  <c r="Y198" i="4"/>
  <c r="X198" i="4"/>
  <c r="W198" i="4"/>
  <c r="V198" i="4"/>
  <c r="U198" i="4"/>
  <c r="T198" i="4"/>
  <c r="AF197" i="4"/>
  <c r="AD197" i="4"/>
  <c r="AE197" i="4" s="1"/>
  <c r="AC197" i="4"/>
  <c r="AB197" i="4"/>
  <c r="AA197" i="4"/>
  <c r="Z197" i="4"/>
  <c r="Y197" i="4"/>
  <c r="X197" i="4"/>
  <c r="W197" i="4"/>
  <c r="V197" i="4"/>
  <c r="U197" i="4"/>
  <c r="T197" i="4"/>
  <c r="AD196" i="4"/>
  <c r="AE196" i="4" s="1"/>
  <c r="AC196" i="4"/>
  <c r="AB196" i="4"/>
  <c r="AA196" i="4"/>
  <c r="AF196" i="4" s="1"/>
  <c r="Z196" i="4"/>
  <c r="Y196" i="4"/>
  <c r="X196" i="4"/>
  <c r="W196" i="4"/>
  <c r="V196" i="4"/>
  <c r="U196" i="4"/>
  <c r="T196" i="4"/>
  <c r="AF195" i="4"/>
  <c r="AD195" i="4"/>
  <c r="AE195" i="4" s="1"/>
  <c r="AC195" i="4"/>
  <c r="AB195" i="4"/>
  <c r="AA195" i="4"/>
  <c r="Z195" i="4"/>
  <c r="Y195" i="4"/>
  <c r="X195" i="4"/>
  <c r="W195" i="4"/>
  <c r="V195" i="4"/>
  <c r="U195" i="4"/>
  <c r="T195" i="4"/>
  <c r="AF194" i="4"/>
  <c r="AD194" i="4"/>
  <c r="AE194" i="4" s="1"/>
  <c r="AC194" i="4"/>
  <c r="AB194" i="4"/>
  <c r="AA194" i="4"/>
  <c r="Z194" i="4"/>
  <c r="Y194" i="4"/>
  <c r="X194" i="4"/>
  <c r="W194" i="4"/>
  <c r="V194" i="4"/>
  <c r="U194" i="4"/>
  <c r="T194" i="4"/>
  <c r="AD193" i="4"/>
  <c r="AE193" i="4" s="1"/>
  <c r="AC193" i="4"/>
  <c r="AB193" i="4"/>
  <c r="AA193" i="4"/>
  <c r="AF193" i="4" s="1"/>
  <c r="Z193" i="4"/>
  <c r="Y193" i="4"/>
  <c r="X193" i="4"/>
  <c r="W193" i="4"/>
  <c r="V193" i="4"/>
  <c r="U193" i="4"/>
  <c r="T193" i="4"/>
  <c r="AD192" i="4"/>
  <c r="AE192" i="4" s="1"/>
  <c r="AC192" i="4"/>
  <c r="AB192" i="4"/>
  <c r="AA192" i="4"/>
  <c r="AF192" i="4" s="1"/>
  <c r="Z192" i="4"/>
  <c r="Y192" i="4"/>
  <c r="X192" i="4"/>
  <c r="W192" i="4"/>
  <c r="V192" i="4"/>
  <c r="U192" i="4"/>
  <c r="T192" i="4"/>
  <c r="AD191" i="4"/>
  <c r="AE191" i="4" s="1"/>
  <c r="AC191" i="4"/>
  <c r="AB191" i="4"/>
  <c r="AA191" i="4"/>
  <c r="AF191" i="4" s="1"/>
  <c r="Z191" i="4"/>
  <c r="Y191" i="4"/>
  <c r="X191" i="4"/>
  <c r="W191" i="4"/>
  <c r="V191" i="4"/>
  <c r="U191" i="4"/>
  <c r="T191" i="4"/>
  <c r="AF190" i="4"/>
  <c r="AD190" i="4"/>
  <c r="AE190" i="4" s="1"/>
  <c r="AC190" i="4"/>
  <c r="AB190" i="4"/>
  <c r="AA190" i="4"/>
  <c r="Z190" i="4"/>
  <c r="Y190" i="4"/>
  <c r="X190" i="4"/>
  <c r="W190" i="4"/>
  <c r="V190" i="4"/>
  <c r="U190" i="4"/>
  <c r="T190" i="4"/>
  <c r="AF189" i="4"/>
  <c r="AD189" i="4"/>
  <c r="AE189" i="4" s="1"/>
  <c r="AC189" i="4"/>
  <c r="AB189" i="4"/>
  <c r="AA189" i="4"/>
  <c r="Z189" i="4"/>
  <c r="Y189" i="4"/>
  <c r="X189" i="4"/>
  <c r="W189" i="4"/>
  <c r="V189" i="4"/>
  <c r="U189" i="4"/>
  <c r="T189" i="4"/>
  <c r="AD188" i="4"/>
  <c r="AE188" i="4" s="1"/>
  <c r="AC188" i="4"/>
  <c r="AB188" i="4"/>
  <c r="AA188" i="4"/>
  <c r="AF188" i="4" s="1"/>
  <c r="Z188" i="4"/>
  <c r="Y188" i="4"/>
  <c r="X188" i="4"/>
  <c r="W188" i="4"/>
  <c r="V188" i="4"/>
  <c r="U188" i="4"/>
  <c r="T188" i="4"/>
  <c r="AD187" i="4"/>
  <c r="AE187" i="4" s="1"/>
  <c r="AC187" i="4"/>
  <c r="AB187" i="4"/>
  <c r="AA187" i="4"/>
  <c r="AF187" i="4" s="1"/>
  <c r="Z187" i="4"/>
  <c r="Y187" i="4"/>
  <c r="X187" i="4"/>
  <c r="W187" i="4"/>
  <c r="V187" i="4"/>
  <c r="U187" i="4"/>
  <c r="T187" i="4"/>
  <c r="AD186" i="4"/>
  <c r="AE186" i="4" s="1"/>
  <c r="AC186" i="4"/>
  <c r="AB186" i="4"/>
  <c r="AA186" i="4"/>
  <c r="AF186" i="4" s="1"/>
  <c r="Z186" i="4"/>
  <c r="Y186" i="4"/>
  <c r="X186" i="4"/>
  <c r="W186" i="4"/>
  <c r="V186" i="4"/>
  <c r="U186" i="4"/>
  <c r="T186" i="4"/>
  <c r="AD185" i="4"/>
  <c r="AE185" i="4" s="1"/>
  <c r="AC185" i="4"/>
  <c r="AB185" i="4"/>
  <c r="AA185" i="4"/>
  <c r="AF185" i="4" s="1"/>
  <c r="Z185" i="4"/>
  <c r="Y185" i="4"/>
  <c r="X185" i="4"/>
  <c r="W185" i="4"/>
  <c r="V185" i="4"/>
  <c r="U185" i="4"/>
  <c r="T185" i="4"/>
  <c r="AD184" i="4"/>
  <c r="AE184" i="4" s="1"/>
  <c r="AC184" i="4"/>
  <c r="AB184" i="4"/>
  <c r="AA184" i="4"/>
  <c r="AF184" i="4" s="1"/>
  <c r="Z184" i="4"/>
  <c r="Y184" i="4"/>
  <c r="X184" i="4"/>
  <c r="W184" i="4"/>
  <c r="V184" i="4"/>
  <c r="U184" i="4"/>
  <c r="T184" i="4"/>
  <c r="AD183" i="4"/>
  <c r="AE183" i="4" s="1"/>
  <c r="AC183" i="4"/>
  <c r="AB183" i="4"/>
  <c r="AA183" i="4"/>
  <c r="AF183" i="4" s="1"/>
  <c r="Z183" i="4"/>
  <c r="Y183" i="4"/>
  <c r="X183" i="4"/>
  <c r="W183" i="4"/>
  <c r="V183" i="4"/>
  <c r="U183" i="4"/>
  <c r="T183" i="4"/>
  <c r="AF182" i="4"/>
  <c r="AD182" i="4"/>
  <c r="AE182" i="4" s="1"/>
  <c r="AC182" i="4"/>
  <c r="AB182" i="4"/>
  <c r="AA182" i="4"/>
  <c r="Z182" i="4"/>
  <c r="Y182" i="4"/>
  <c r="X182" i="4"/>
  <c r="W182" i="4"/>
  <c r="V182" i="4"/>
  <c r="U182" i="4"/>
  <c r="T182" i="4"/>
  <c r="AD181" i="4"/>
  <c r="AE181" i="4" s="1"/>
  <c r="AC181" i="4"/>
  <c r="AB181" i="4"/>
  <c r="AA181" i="4"/>
  <c r="AF181" i="4" s="1"/>
  <c r="Z181" i="4"/>
  <c r="Y181" i="4"/>
  <c r="X181" i="4"/>
  <c r="W181" i="4"/>
  <c r="V181" i="4"/>
  <c r="U181" i="4"/>
  <c r="T181" i="4"/>
  <c r="AF180" i="4"/>
  <c r="AD180" i="4"/>
  <c r="AE180" i="4" s="1"/>
  <c r="AC180" i="4"/>
  <c r="AB180" i="4"/>
  <c r="AA180" i="4"/>
  <c r="Z180" i="4"/>
  <c r="Y180" i="4"/>
  <c r="X180" i="4"/>
  <c r="W180" i="4"/>
  <c r="V180" i="4"/>
  <c r="U180" i="4"/>
  <c r="T180" i="4"/>
  <c r="AF179" i="4"/>
  <c r="AD179" i="4"/>
  <c r="AE179" i="4" s="1"/>
  <c r="AC179" i="4"/>
  <c r="AB179" i="4"/>
  <c r="AA179" i="4"/>
  <c r="Z179" i="4"/>
  <c r="Y179" i="4"/>
  <c r="X179" i="4"/>
  <c r="W179" i="4"/>
  <c r="V179" i="4"/>
  <c r="U179" i="4"/>
  <c r="T179" i="4"/>
  <c r="AD178" i="4"/>
  <c r="AE178" i="4" s="1"/>
  <c r="AC178" i="4"/>
  <c r="AB178" i="4"/>
  <c r="AA178" i="4"/>
  <c r="AF178" i="4" s="1"/>
  <c r="Z178" i="4"/>
  <c r="Y178" i="4"/>
  <c r="X178" i="4"/>
  <c r="W178" i="4"/>
  <c r="V178" i="4"/>
  <c r="U178" i="4"/>
  <c r="T178" i="4"/>
  <c r="AF177" i="4"/>
  <c r="AD177" i="4"/>
  <c r="AE177" i="4" s="1"/>
  <c r="AC177" i="4"/>
  <c r="AB177" i="4"/>
  <c r="AA177" i="4"/>
  <c r="Z177" i="4"/>
  <c r="Y177" i="4"/>
  <c r="X177" i="4"/>
  <c r="W177" i="4"/>
  <c r="V177" i="4"/>
  <c r="U177" i="4"/>
  <c r="T177" i="4"/>
  <c r="AD176" i="4"/>
  <c r="AE176" i="4" s="1"/>
  <c r="AC176" i="4"/>
  <c r="AB176" i="4"/>
  <c r="AA176" i="4"/>
  <c r="AF176" i="4" s="1"/>
  <c r="Z176" i="4"/>
  <c r="Y176" i="4"/>
  <c r="X176" i="4"/>
  <c r="W176" i="4"/>
  <c r="V176" i="4"/>
  <c r="U176" i="4"/>
  <c r="T176" i="4"/>
  <c r="AD175" i="4"/>
  <c r="AE175" i="4" s="1"/>
  <c r="AC175" i="4"/>
  <c r="AB175" i="4"/>
  <c r="AA175" i="4"/>
  <c r="AF175" i="4" s="1"/>
  <c r="Z175" i="4"/>
  <c r="Y175" i="4"/>
  <c r="X175" i="4"/>
  <c r="W175" i="4"/>
  <c r="V175" i="4"/>
  <c r="U175" i="4"/>
  <c r="T175" i="4"/>
  <c r="AF174" i="4"/>
  <c r="AD174" i="4"/>
  <c r="AE174" i="4" s="1"/>
  <c r="AC174" i="4"/>
  <c r="AB174" i="4"/>
  <c r="AA174" i="4"/>
  <c r="Z174" i="4"/>
  <c r="Y174" i="4"/>
  <c r="X174" i="4"/>
  <c r="W174" i="4"/>
  <c r="V174" i="4"/>
  <c r="U174" i="4"/>
  <c r="T174" i="4"/>
  <c r="AF173" i="4"/>
  <c r="AD173" i="4"/>
  <c r="AE173" i="4" s="1"/>
  <c r="AC173" i="4"/>
  <c r="AB173" i="4"/>
  <c r="AA173" i="4"/>
  <c r="Z173" i="4"/>
  <c r="Y173" i="4"/>
  <c r="X173" i="4"/>
  <c r="W173" i="4"/>
  <c r="V173" i="4"/>
  <c r="U173" i="4"/>
  <c r="T173" i="4"/>
  <c r="AD172" i="4"/>
  <c r="AE172" i="4" s="1"/>
  <c r="AC172" i="4"/>
  <c r="AB172" i="4"/>
  <c r="AA172" i="4"/>
  <c r="AF172" i="4" s="1"/>
  <c r="Z172" i="4"/>
  <c r="Y172" i="4"/>
  <c r="X172" i="4"/>
  <c r="W172" i="4"/>
  <c r="V172" i="4"/>
  <c r="U172" i="4"/>
  <c r="T172" i="4"/>
  <c r="AD171" i="4"/>
  <c r="AE171" i="4" s="1"/>
  <c r="AC171" i="4"/>
  <c r="AB171" i="4"/>
  <c r="AA171" i="4"/>
  <c r="AF171" i="4" s="1"/>
  <c r="Z171" i="4"/>
  <c r="Y171" i="4"/>
  <c r="X171" i="4"/>
  <c r="W171" i="4"/>
  <c r="V171" i="4"/>
  <c r="U171" i="4"/>
  <c r="T171" i="4"/>
  <c r="AF170" i="4"/>
  <c r="AD170" i="4"/>
  <c r="AE170" i="4" s="1"/>
  <c r="AC170" i="4"/>
  <c r="AB170" i="4"/>
  <c r="AA170" i="4"/>
  <c r="Z170" i="4"/>
  <c r="Y170" i="4"/>
  <c r="X170" i="4"/>
  <c r="W170" i="4"/>
  <c r="V170" i="4"/>
  <c r="U170" i="4"/>
  <c r="T170" i="4"/>
  <c r="AF169" i="4"/>
  <c r="AD169" i="4"/>
  <c r="AE169" i="4" s="1"/>
  <c r="AC169" i="4"/>
  <c r="AB169" i="4"/>
  <c r="AA169" i="4"/>
  <c r="Z169" i="4"/>
  <c r="Y169" i="4"/>
  <c r="X169" i="4"/>
  <c r="W169" i="4"/>
  <c r="V169" i="4"/>
  <c r="U169" i="4"/>
  <c r="T169" i="4"/>
  <c r="AD168" i="4"/>
  <c r="AE168" i="4" s="1"/>
  <c r="AC168" i="4"/>
  <c r="AB168" i="4"/>
  <c r="AA168" i="4"/>
  <c r="AF168" i="4" s="1"/>
  <c r="Z168" i="4"/>
  <c r="Y168" i="4"/>
  <c r="X168" i="4"/>
  <c r="W168" i="4"/>
  <c r="V168" i="4"/>
  <c r="U168" i="4"/>
  <c r="T168" i="4"/>
  <c r="AD167" i="4"/>
  <c r="AE167" i="4" s="1"/>
  <c r="AC167" i="4"/>
  <c r="AB167" i="4"/>
  <c r="AA167" i="4"/>
  <c r="AF167" i="4" s="1"/>
  <c r="Z167" i="4"/>
  <c r="Y167" i="4"/>
  <c r="X167" i="4"/>
  <c r="W167" i="4"/>
  <c r="V167" i="4"/>
  <c r="U167" i="4"/>
  <c r="T167" i="4"/>
  <c r="AF166" i="4"/>
  <c r="AD166" i="4"/>
  <c r="AE166" i="4" s="1"/>
  <c r="AC166" i="4"/>
  <c r="AB166" i="4"/>
  <c r="AA166" i="4"/>
  <c r="Z166" i="4"/>
  <c r="Y166" i="4"/>
  <c r="X166" i="4"/>
  <c r="W166" i="4"/>
  <c r="V166" i="4"/>
  <c r="U166" i="4"/>
  <c r="T166" i="4"/>
  <c r="AD165" i="4"/>
  <c r="AE165" i="4" s="1"/>
  <c r="AC165" i="4"/>
  <c r="AB165" i="4"/>
  <c r="AA165" i="4"/>
  <c r="AF165" i="4" s="1"/>
  <c r="Z165" i="4"/>
  <c r="Y165" i="4"/>
  <c r="X165" i="4"/>
  <c r="W165" i="4"/>
  <c r="V165" i="4"/>
  <c r="U165" i="4"/>
  <c r="T165" i="4"/>
  <c r="AD164" i="4"/>
  <c r="AE164" i="4" s="1"/>
  <c r="AC164" i="4"/>
  <c r="AB164" i="4"/>
  <c r="AA164" i="4"/>
  <c r="AF164" i="4" s="1"/>
  <c r="Z164" i="4"/>
  <c r="Y164" i="4"/>
  <c r="X164" i="4"/>
  <c r="W164" i="4"/>
  <c r="V164" i="4"/>
  <c r="U164" i="4"/>
  <c r="T164" i="4"/>
  <c r="AD163" i="4"/>
  <c r="AE163" i="4" s="1"/>
  <c r="AC163" i="4"/>
  <c r="AB163" i="4"/>
  <c r="AA163" i="4"/>
  <c r="AF163" i="4" s="1"/>
  <c r="Z163" i="4"/>
  <c r="Y163" i="4"/>
  <c r="X163" i="4"/>
  <c r="W163" i="4"/>
  <c r="V163" i="4"/>
  <c r="U163" i="4"/>
  <c r="T163" i="4"/>
  <c r="AD162" i="4"/>
  <c r="AE162" i="4" s="1"/>
  <c r="AC162" i="4"/>
  <c r="AB162" i="4"/>
  <c r="AA162" i="4"/>
  <c r="AF162" i="4" s="1"/>
  <c r="Z162" i="4"/>
  <c r="Y162" i="4"/>
  <c r="X162" i="4"/>
  <c r="W162" i="4"/>
  <c r="V162" i="4"/>
  <c r="U162" i="4"/>
  <c r="T162" i="4"/>
  <c r="AD161" i="4"/>
  <c r="AE161" i="4" s="1"/>
  <c r="AC161" i="4"/>
  <c r="AB161" i="4"/>
  <c r="AA161" i="4"/>
  <c r="AF161" i="4" s="1"/>
  <c r="Z161" i="4"/>
  <c r="Y161" i="4"/>
  <c r="X161" i="4"/>
  <c r="W161" i="4"/>
  <c r="V161" i="4"/>
  <c r="U161" i="4"/>
  <c r="T161" i="4"/>
  <c r="AD160" i="4"/>
  <c r="AE160" i="4" s="1"/>
  <c r="AC160" i="4"/>
  <c r="AB160" i="4"/>
  <c r="AA160" i="4"/>
  <c r="AF160" i="4" s="1"/>
  <c r="Z160" i="4"/>
  <c r="Y160" i="4"/>
  <c r="X160" i="4"/>
  <c r="W160" i="4"/>
  <c r="V160" i="4"/>
  <c r="U160" i="4"/>
  <c r="T160" i="4"/>
  <c r="AF159" i="4"/>
  <c r="AD159" i="4"/>
  <c r="AE159" i="4" s="1"/>
  <c r="AC159" i="4"/>
  <c r="AB159" i="4"/>
  <c r="AA159" i="4"/>
  <c r="Z159" i="4"/>
  <c r="Y159" i="4"/>
  <c r="X159" i="4"/>
  <c r="W159" i="4"/>
  <c r="V159" i="4"/>
  <c r="U159" i="4"/>
  <c r="T159" i="4"/>
  <c r="AD158" i="4"/>
  <c r="AE158" i="4" s="1"/>
  <c r="AC158" i="4"/>
  <c r="AB158" i="4"/>
  <c r="AA158" i="4"/>
  <c r="AF158" i="4" s="1"/>
  <c r="Z158" i="4"/>
  <c r="Y158" i="4"/>
  <c r="X158" i="4"/>
  <c r="W158" i="4"/>
  <c r="V158" i="4"/>
  <c r="U158" i="4"/>
  <c r="T158" i="4"/>
  <c r="AD157" i="4"/>
  <c r="AE157" i="4" s="1"/>
  <c r="AC157" i="4"/>
  <c r="AB157" i="4"/>
  <c r="AA157" i="4"/>
  <c r="AF157" i="4" s="1"/>
  <c r="Z157" i="4"/>
  <c r="Y157" i="4"/>
  <c r="X157" i="4"/>
  <c r="W157" i="4"/>
  <c r="V157" i="4"/>
  <c r="U157" i="4"/>
  <c r="T157" i="4"/>
  <c r="AD156" i="4"/>
  <c r="AE156" i="4" s="1"/>
  <c r="AC156" i="4"/>
  <c r="AB156" i="4"/>
  <c r="AA156" i="4"/>
  <c r="AF156" i="4" s="1"/>
  <c r="Z156" i="4"/>
  <c r="Y156" i="4"/>
  <c r="X156" i="4"/>
  <c r="W156" i="4"/>
  <c r="V156" i="4"/>
  <c r="U156" i="4"/>
  <c r="T156" i="4"/>
  <c r="AD155" i="4"/>
  <c r="AE155" i="4" s="1"/>
  <c r="AC155" i="4"/>
  <c r="AB155" i="4"/>
  <c r="AA155" i="4"/>
  <c r="AF155" i="4" s="1"/>
  <c r="Z155" i="4"/>
  <c r="Y155" i="4"/>
  <c r="X155" i="4"/>
  <c r="W155" i="4"/>
  <c r="V155" i="4"/>
  <c r="U155" i="4"/>
  <c r="T155" i="4"/>
  <c r="AF154" i="4"/>
  <c r="AD154" i="4"/>
  <c r="AE154" i="4" s="1"/>
  <c r="AC154" i="4"/>
  <c r="AB154" i="4"/>
  <c r="AA154" i="4"/>
  <c r="Z154" i="4"/>
  <c r="Y154" i="4"/>
  <c r="X154" i="4"/>
  <c r="W154" i="4"/>
  <c r="V154" i="4"/>
  <c r="U154" i="4"/>
  <c r="T154" i="4"/>
  <c r="AF153" i="4"/>
  <c r="AD153" i="4"/>
  <c r="AE153" i="4" s="1"/>
  <c r="AC153" i="4"/>
  <c r="AB153" i="4"/>
  <c r="AA153" i="4"/>
  <c r="Z153" i="4"/>
  <c r="Y153" i="4"/>
  <c r="X153" i="4"/>
  <c r="W153" i="4"/>
  <c r="V153" i="4"/>
  <c r="U153" i="4"/>
  <c r="T153" i="4"/>
  <c r="AD152" i="4"/>
  <c r="AE152" i="4" s="1"/>
  <c r="AC152" i="4"/>
  <c r="AB152" i="4"/>
  <c r="AA152" i="4"/>
  <c r="AF152" i="4" s="1"/>
  <c r="Z152" i="4"/>
  <c r="Y152" i="4"/>
  <c r="X152" i="4"/>
  <c r="W152" i="4"/>
  <c r="V152" i="4"/>
  <c r="U152" i="4"/>
  <c r="T152" i="4"/>
  <c r="AD151" i="4"/>
  <c r="AE151" i="4" s="1"/>
  <c r="AC151" i="4"/>
  <c r="AB151" i="4"/>
  <c r="AA151" i="4"/>
  <c r="AF151" i="4" s="1"/>
  <c r="Z151" i="4"/>
  <c r="Y151" i="4"/>
  <c r="X151" i="4"/>
  <c r="W151" i="4"/>
  <c r="V151" i="4"/>
  <c r="U151" i="4"/>
  <c r="T151" i="4"/>
  <c r="AF150" i="4"/>
  <c r="AD150" i="4"/>
  <c r="AE150" i="4" s="1"/>
  <c r="AC150" i="4"/>
  <c r="AB150" i="4"/>
  <c r="AA150" i="4"/>
  <c r="Z150" i="4"/>
  <c r="Y150" i="4"/>
  <c r="X150" i="4"/>
  <c r="W150" i="4"/>
  <c r="V150" i="4"/>
  <c r="U150" i="4"/>
  <c r="T150" i="4"/>
  <c r="AF149" i="4"/>
  <c r="AD149" i="4"/>
  <c r="AE149" i="4" s="1"/>
  <c r="AC149" i="4"/>
  <c r="AB149" i="4"/>
  <c r="AA149" i="4"/>
  <c r="Z149" i="4"/>
  <c r="Y149" i="4"/>
  <c r="X149" i="4"/>
  <c r="W149" i="4"/>
  <c r="V149" i="4"/>
  <c r="U149" i="4"/>
  <c r="T149" i="4"/>
  <c r="AF148" i="4"/>
  <c r="AD148" i="4"/>
  <c r="AE148" i="4" s="1"/>
  <c r="AC148" i="4"/>
  <c r="AB148" i="4"/>
  <c r="AA148" i="4"/>
  <c r="Z148" i="4"/>
  <c r="Y148" i="4"/>
  <c r="X148" i="4"/>
  <c r="W148" i="4"/>
  <c r="V148" i="4"/>
  <c r="U148" i="4"/>
  <c r="T148" i="4"/>
  <c r="AD147" i="4"/>
  <c r="AE147" i="4" s="1"/>
  <c r="AC147" i="4"/>
  <c r="AB147" i="4"/>
  <c r="AA147" i="4"/>
  <c r="AF147" i="4" s="1"/>
  <c r="Z147" i="4"/>
  <c r="Y147" i="4"/>
  <c r="X147" i="4"/>
  <c r="W147" i="4"/>
  <c r="V147" i="4"/>
  <c r="U147" i="4"/>
  <c r="T147" i="4"/>
  <c r="AD146" i="4"/>
  <c r="AE146" i="4" s="1"/>
  <c r="AC146" i="4"/>
  <c r="AB146" i="4"/>
  <c r="AA146" i="4"/>
  <c r="AF146" i="4" s="1"/>
  <c r="Z146" i="4"/>
  <c r="Y146" i="4"/>
  <c r="X146" i="4"/>
  <c r="W146" i="4"/>
  <c r="V146" i="4"/>
  <c r="U146" i="4"/>
  <c r="T146" i="4"/>
  <c r="AD145" i="4"/>
  <c r="AE145" i="4" s="1"/>
  <c r="AC145" i="4"/>
  <c r="AB145" i="4"/>
  <c r="AA145" i="4"/>
  <c r="AF145" i="4" s="1"/>
  <c r="Z145" i="4"/>
  <c r="Y145" i="4"/>
  <c r="X145" i="4"/>
  <c r="W145" i="4"/>
  <c r="V145" i="4"/>
  <c r="U145" i="4"/>
  <c r="T145" i="4"/>
  <c r="AD144" i="4"/>
  <c r="AE144" i="4" s="1"/>
  <c r="AC144" i="4"/>
  <c r="AB144" i="4"/>
  <c r="AA144" i="4"/>
  <c r="AF144" i="4" s="1"/>
  <c r="Z144" i="4"/>
  <c r="Y144" i="4"/>
  <c r="X144" i="4"/>
  <c r="W144" i="4"/>
  <c r="V144" i="4"/>
  <c r="U144" i="4"/>
  <c r="T144" i="4"/>
  <c r="AD143" i="4"/>
  <c r="AE143" i="4" s="1"/>
  <c r="AC143" i="4"/>
  <c r="AB143" i="4"/>
  <c r="AA143" i="4"/>
  <c r="AF143" i="4" s="1"/>
  <c r="Z143" i="4"/>
  <c r="Y143" i="4"/>
  <c r="X143" i="4"/>
  <c r="W143" i="4"/>
  <c r="V143" i="4"/>
  <c r="U143" i="4"/>
  <c r="T143" i="4"/>
  <c r="AF142" i="4"/>
  <c r="AD142" i="4"/>
  <c r="AE142" i="4" s="1"/>
  <c r="AC142" i="4"/>
  <c r="AB142" i="4"/>
  <c r="AA142" i="4"/>
  <c r="Z142" i="4"/>
  <c r="Y142" i="4"/>
  <c r="X142" i="4"/>
  <c r="W142" i="4"/>
  <c r="V142" i="4"/>
  <c r="U142" i="4"/>
  <c r="T142" i="4"/>
  <c r="AD141" i="4"/>
  <c r="AE141" i="4" s="1"/>
  <c r="AC141" i="4"/>
  <c r="AB141" i="4"/>
  <c r="AA141" i="4"/>
  <c r="AF141" i="4" s="1"/>
  <c r="Z141" i="4"/>
  <c r="Y141" i="4"/>
  <c r="X141" i="4"/>
  <c r="W141" i="4"/>
  <c r="V141" i="4"/>
  <c r="U141" i="4"/>
  <c r="T141" i="4"/>
  <c r="AD140" i="4"/>
  <c r="AE140" i="4" s="1"/>
  <c r="AC140" i="4"/>
  <c r="AB140" i="4"/>
  <c r="AA140" i="4"/>
  <c r="AF140" i="4" s="1"/>
  <c r="Z140" i="4"/>
  <c r="Y140" i="4"/>
  <c r="X140" i="4"/>
  <c r="W140" i="4"/>
  <c r="V140" i="4"/>
  <c r="U140" i="4"/>
  <c r="T140" i="4"/>
  <c r="AD139" i="4"/>
  <c r="AE139" i="4" s="1"/>
  <c r="AC139" i="4"/>
  <c r="AB139" i="4"/>
  <c r="AA139" i="4"/>
  <c r="AF139" i="4" s="1"/>
  <c r="Z139" i="4"/>
  <c r="Y139" i="4"/>
  <c r="X139" i="4"/>
  <c r="W139" i="4"/>
  <c r="V139" i="4"/>
  <c r="U139" i="4"/>
  <c r="T139" i="4"/>
  <c r="AD138" i="4"/>
  <c r="AE138" i="4" s="1"/>
  <c r="AC138" i="4"/>
  <c r="AB138" i="4"/>
  <c r="AA138" i="4"/>
  <c r="AF138" i="4" s="1"/>
  <c r="Z138" i="4"/>
  <c r="Y138" i="4"/>
  <c r="X138" i="4"/>
  <c r="W138" i="4"/>
  <c r="V138" i="4"/>
  <c r="U138" i="4"/>
  <c r="T138" i="4"/>
  <c r="AF137" i="4"/>
  <c r="AD137" i="4"/>
  <c r="AE137" i="4" s="1"/>
  <c r="AC137" i="4"/>
  <c r="AB137" i="4"/>
  <c r="AA137" i="4"/>
  <c r="Z137" i="4"/>
  <c r="Y137" i="4"/>
  <c r="X137" i="4"/>
  <c r="W137" i="4"/>
  <c r="V137" i="4"/>
  <c r="U137" i="4"/>
  <c r="T137" i="4"/>
  <c r="AF136" i="4"/>
  <c r="AD136" i="4"/>
  <c r="AE136" i="4" s="1"/>
  <c r="AC136" i="4"/>
  <c r="AB136" i="4"/>
  <c r="AA136" i="4"/>
  <c r="Z136" i="4"/>
  <c r="Y136" i="4"/>
  <c r="X136" i="4"/>
  <c r="W136" i="4"/>
  <c r="V136" i="4"/>
  <c r="U136" i="4"/>
  <c r="T136" i="4"/>
  <c r="AD135" i="4"/>
  <c r="AE135" i="4" s="1"/>
  <c r="AC135" i="4"/>
  <c r="AB135" i="4"/>
  <c r="AA135" i="4"/>
  <c r="AF135" i="4" s="1"/>
  <c r="Z135" i="4"/>
  <c r="Y135" i="4"/>
  <c r="X135" i="4"/>
  <c r="W135" i="4"/>
  <c r="V135" i="4"/>
  <c r="U135" i="4"/>
  <c r="T135" i="4"/>
  <c r="AD134" i="4"/>
  <c r="AE134" i="4" s="1"/>
  <c r="AC134" i="4"/>
  <c r="AB134" i="4"/>
  <c r="AA134" i="4"/>
  <c r="AF134" i="4" s="1"/>
  <c r="Z134" i="4"/>
  <c r="Y134" i="4"/>
  <c r="X134" i="4"/>
  <c r="W134" i="4"/>
  <c r="V134" i="4"/>
  <c r="U134" i="4"/>
  <c r="T134" i="4"/>
  <c r="AD133" i="4"/>
  <c r="AE133" i="4" s="1"/>
  <c r="AC133" i="4"/>
  <c r="AB133" i="4"/>
  <c r="AA133" i="4"/>
  <c r="AF133" i="4" s="1"/>
  <c r="Z133" i="4"/>
  <c r="Y133" i="4"/>
  <c r="X133" i="4"/>
  <c r="W133" i="4"/>
  <c r="V133" i="4"/>
  <c r="U133" i="4"/>
  <c r="T133" i="4"/>
  <c r="AF132" i="4"/>
  <c r="AD132" i="4"/>
  <c r="AE132" i="4" s="1"/>
  <c r="AC132" i="4"/>
  <c r="AB132" i="4"/>
  <c r="AA132" i="4"/>
  <c r="Z132" i="4"/>
  <c r="Y132" i="4"/>
  <c r="X132" i="4"/>
  <c r="W132" i="4"/>
  <c r="V132" i="4"/>
  <c r="U132" i="4"/>
  <c r="T132" i="4"/>
  <c r="AD131" i="4"/>
  <c r="AE131" i="4" s="1"/>
  <c r="AC131" i="4"/>
  <c r="AB131" i="4"/>
  <c r="AA131" i="4"/>
  <c r="AF131" i="4" s="1"/>
  <c r="Z131" i="4"/>
  <c r="Y131" i="4"/>
  <c r="X131" i="4"/>
  <c r="W131" i="4"/>
  <c r="V131" i="4"/>
  <c r="U131" i="4"/>
  <c r="T131" i="4"/>
  <c r="AD130" i="4"/>
  <c r="AE130" i="4" s="1"/>
  <c r="AC130" i="4"/>
  <c r="AB130" i="4"/>
  <c r="AA130" i="4"/>
  <c r="AF130" i="4" s="1"/>
  <c r="Z130" i="4"/>
  <c r="Y130" i="4"/>
  <c r="X130" i="4"/>
  <c r="W130" i="4"/>
  <c r="V130" i="4"/>
  <c r="U130" i="4"/>
  <c r="T130" i="4"/>
  <c r="AF129" i="4"/>
  <c r="AD129" i="4"/>
  <c r="AE129" i="4" s="1"/>
  <c r="AC129" i="4"/>
  <c r="AB129" i="4"/>
  <c r="AA129" i="4"/>
  <c r="Z129" i="4"/>
  <c r="Y129" i="4"/>
  <c r="X129" i="4"/>
  <c r="W129" i="4"/>
  <c r="V129" i="4"/>
  <c r="U129" i="4"/>
  <c r="T129" i="4"/>
  <c r="AD128" i="4"/>
  <c r="AE128" i="4" s="1"/>
  <c r="AC128" i="4"/>
  <c r="AB128" i="4"/>
  <c r="AA128" i="4"/>
  <c r="AF128" i="4" s="1"/>
  <c r="Z128" i="4"/>
  <c r="Y128" i="4"/>
  <c r="X128" i="4"/>
  <c r="W128" i="4"/>
  <c r="V128" i="4"/>
  <c r="U128" i="4"/>
  <c r="T128" i="4"/>
  <c r="AF127" i="4"/>
  <c r="AD127" i="4"/>
  <c r="AE127" i="4" s="1"/>
  <c r="AC127" i="4"/>
  <c r="AB127" i="4"/>
  <c r="AA127" i="4"/>
  <c r="Z127" i="4"/>
  <c r="Y127" i="4"/>
  <c r="X127" i="4"/>
  <c r="W127" i="4"/>
  <c r="V127" i="4"/>
  <c r="U127" i="4"/>
  <c r="T127" i="4"/>
  <c r="AD126" i="4"/>
  <c r="AE126" i="4" s="1"/>
  <c r="AC126" i="4"/>
  <c r="AB126" i="4"/>
  <c r="AA126" i="4"/>
  <c r="AF126" i="4" s="1"/>
  <c r="Z126" i="4"/>
  <c r="Y126" i="4"/>
  <c r="X126" i="4"/>
  <c r="W126" i="4"/>
  <c r="V126" i="4"/>
  <c r="U126" i="4"/>
  <c r="T126" i="4"/>
  <c r="AD125" i="4"/>
  <c r="AE125" i="4" s="1"/>
  <c r="AC125" i="4"/>
  <c r="AB125" i="4"/>
  <c r="AA125" i="4"/>
  <c r="AF125" i="4" s="1"/>
  <c r="Z125" i="4"/>
  <c r="Y125" i="4"/>
  <c r="X125" i="4"/>
  <c r="W125" i="4"/>
  <c r="V125" i="4"/>
  <c r="U125" i="4"/>
  <c r="T125" i="4"/>
  <c r="AD124" i="4"/>
  <c r="AE124" i="4" s="1"/>
  <c r="AC124" i="4"/>
  <c r="AB124" i="4"/>
  <c r="AA124" i="4"/>
  <c r="AF124" i="4" s="1"/>
  <c r="Z124" i="4"/>
  <c r="Y124" i="4"/>
  <c r="X124" i="4"/>
  <c r="W124" i="4"/>
  <c r="V124" i="4"/>
  <c r="U124" i="4"/>
  <c r="T124" i="4"/>
  <c r="AD123" i="4"/>
  <c r="AE123" i="4" s="1"/>
  <c r="AC123" i="4"/>
  <c r="AB123" i="4"/>
  <c r="AA123" i="4"/>
  <c r="AF123" i="4" s="1"/>
  <c r="Z123" i="4"/>
  <c r="Y123" i="4"/>
  <c r="X123" i="4"/>
  <c r="W123" i="4"/>
  <c r="V123" i="4"/>
  <c r="U123" i="4"/>
  <c r="T123" i="4"/>
  <c r="AF122" i="4"/>
  <c r="AD122" i="4"/>
  <c r="AE122" i="4" s="1"/>
  <c r="AC122" i="4"/>
  <c r="AB122" i="4"/>
  <c r="AA122" i="4"/>
  <c r="Z122" i="4"/>
  <c r="Y122" i="4"/>
  <c r="X122" i="4"/>
  <c r="W122" i="4"/>
  <c r="V122" i="4"/>
  <c r="U122" i="4"/>
  <c r="T122" i="4"/>
  <c r="AD121" i="4"/>
  <c r="AE121" i="4" s="1"/>
  <c r="AC121" i="4"/>
  <c r="AB121" i="4"/>
  <c r="AA121" i="4"/>
  <c r="AF121" i="4" s="1"/>
  <c r="Z121" i="4"/>
  <c r="Y121" i="4"/>
  <c r="X121" i="4"/>
  <c r="W121" i="4"/>
  <c r="V121" i="4"/>
  <c r="U121" i="4"/>
  <c r="T121" i="4"/>
  <c r="AD120" i="4"/>
  <c r="AE120" i="4" s="1"/>
  <c r="AC120" i="4"/>
  <c r="AB120" i="4"/>
  <c r="AA120" i="4"/>
  <c r="AF120" i="4" s="1"/>
  <c r="Z120" i="4"/>
  <c r="Y120" i="4"/>
  <c r="X120" i="4"/>
  <c r="W120" i="4"/>
  <c r="V120" i="4"/>
  <c r="U120" i="4"/>
  <c r="T120" i="4"/>
  <c r="AD119" i="4"/>
  <c r="AE119" i="4" s="1"/>
  <c r="AC119" i="4"/>
  <c r="AB119" i="4"/>
  <c r="AA119" i="4"/>
  <c r="AF119" i="4" s="1"/>
  <c r="Z119" i="4"/>
  <c r="Y119" i="4"/>
  <c r="X119" i="4"/>
  <c r="W119" i="4"/>
  <c r="V119" i="4"/>
  <c r="U119" i="4"/>
  <c r="T119" i="4"/>
  <c r="AD118" i="4"/>
  <c r="AE118" i="4" s="1"/>
  <c r="AC118" i="4"/>
  <c r="AB118" i="4"/>
  <c r="AA118" i="4"/>
  <c r="AF118" i="4" s="1"/>
  <c r="Z118" i="4"/>
  <c r="Y118" i="4"/>
  <c r="X118" i="4"/>
  <c r="W118" i="4"/>
  <c r="V118" i="4"/>
  <c r="U118" i="4"/>
  <c r="T118" i="4"/>
  <c r="AD117" i="4"/>
  <c r="AE117" i="4" s="1"/>
  <c r="AC117" i="4"/>
  <c r="AB117" i="4"/>
  <c r="AA117" i="4"/>
  <c r="AF117" i="4" s="1"/>
  <c r="Z117" i="4"/>
  <c r="Y117" i="4"/>
  <c r="X117" i="4"/>
  <c r="W117" i="4"/>
  <c r="V117" i="4"/>
  <c r="U117" i="4"/>
  <c r="T117" i="4"/>
  <c r="AD116" i="4"/>
  <c r="AE116" i="4" s="1"/>
  <c r="AC116" i="4"/>
  <c r="AB116" i="4"/>
  <c r="AA116" i="4"/>
  <c r="AF116" i="4" s="1"/>
  <c r="Z116" i="4"/>
  <c r="Y116" i="4"/>
  <c r="X116" i="4"/>
  <c r="W116" i="4"/>
  <c r="V116" i="4"/>
  <c r="U116" i="4"/>
  <c r="T116" i="4"/>
  <c r="AD115" i="4"/>
  <c r="AE115" i="4" s="1"/>
  <c r="AC115" i="4"/>
  <c r="AB115" i="4"/>
  <c r="AA115" i="4"/>
  <c r="AF115" i="4" s="1"/>
  <c r="Z115" i="4"/>
  <c r="Y115" i="4"/>
  <c r="X115" i="4"/>
  <c r="W115" i="4"/>
  <c r="V115" i="4"/>
  <c r="U115" i="4"/>
  <c r="T115" i="4"/>
  <c r="AD114" i="4"/>
  <c r="AE114" i="4" s="1"/>
  <c r="AC114" i="4"/>
  <c r="AB114" i="4"/>
  <c r="AA114" i="4"/>
  <c r="AF114" i="4" s="1"/>
  <c r="Z114" i="4"/>
  <c r="Y114" i="4"/>
  <c r="X114" i="4"/>
  <c r="W114" i="4"/>
  <c r="V114" i="4"/>
  <c r="U114" i="4"/>
  <c r="T114" i="4"/>
  <c r="AF113" i="4"/>
  <c r="AD113" i="4"/>
  <c r="AE113" i="4" s="1"/>
  <c r="AC113" i="4"/>
  <c r="AB113" i="4"/>
  <c r="AA113" i="4"/>
  <c r="Z113" i="4"/>
  <c r="Y113" i="4"/>
  <c r="X113" i="4"/>
  <c r="W113" i="4"/>
  <c r="V113" i="4"/>
  <c r="U113" i="4"/>
  <c r="T113" i="4"/>
  <c r="AD112" i="4"/>
  <c r="AE112" i="4" s="1"/>
  <c r="AC112" i="4"/>
  <c r="AB112" i="4"/>
  <c r="AA112" i="4"/>
  <c r="AF112" i="4" s="1"/>
  <c r="Z112" i="4"/>
  <c r="Y112" i="4"/>
  <c r="X112" i="4"/>
  <c r="W112" i="4"/>
  <c r="V112" i="4"/>
  <c r="U112" i="4"/>
  <c r="T112" i="4"/>
  <c r="AF111" i="4"/>
  <c r="AD111" i="4"/>
  <c r="AE111" i="4" s="1"/>
  <c r="AC111" i="4"/>
  <c r="AB111" i="4"/>
  <c r="AA111" i="4"/>
  <c r="Z111" i="4"/>
  <c r="Y111" i="4"/>
  <c r="X111" i="4"/>
  <c r="W111" i="4"/>
  <c r="V111" i="4"/>
  <c r="U111" i="4"/>
  <c r="T111" i="4"/>
  <c r="AD110" i="4"/>
  <c r="AE110" i="4" s="1"/>
  <c r="AC110" i="4"/>
  <c r="AB110" i="4"/>
  <c r="AA110" i="4"/>
  <c r="AF110" i="4" s="1"/>
  <c r="Z110" i="4"/>
  <c r="Y110" i="4"/>
  <c r="X110" i="4"/>
  <c r="W110" i="4"/>
  <c r="V110" i="4"/>
  <c r="U110" i="4"/>
  <c r="T110" i="4"/>
  <c r="AF109" i="4"/>
  <c r="AD109" i="4"/>
  <c r="AE109" i="4" s="1"/>
  <c r="AC109" i="4"/>
  <c r="AB109" i="4"/>
  <c r="AA109" i="4"/>
  <c r="Z109" i="4"/>
  <c r="Y109" i="4"/>
  <c r="X109" i="4"/>
  <c r="W109" i="4"/>
  <c r="V109" i="4"/>
  <c r="U109" i="4"/>
  <c r="T109" i="4"/>
  <c r="AD108" i="4"/>
  <c r="AE108" i="4" s="1"/>
  <c r="AC108" i="4"/>
  <c r="AB108" i="4"/>
  <c r="AA108" i="4"/>
  <c r="AF108" i="4" s="1"/>
  <c r="Z108" i="4"/>
  <c r="Y108" i="4"/>
  <c r="X108" i="4"/>
  <c r="W108" i="4"/>
  <c r="V108" i="4"/>
  <c r="U108" i="4"/>
  <c r="T108" i="4"/>
  <c r="AD107" i="4"/>
  <c r="AE107" i="4" s="1"/>
  <c r="AC107" i="4"/>
  <c r="AB107" i="4"/>
  <c r="AA107" i="4"/>
  <c r="AF107" i="4" s="1"/>
  <c r="Z107" i="4"/>
  <c r="Y107" i="4"/>
  <c r="X107" i="4"/>
  <c r="W107" i="4"/>
  <c r="V107" i="4"/>
  <c r="U107" i="4"/>
  <c r="T107" i="4"/>
  <c r="AD106" i="4"/>
  <c r="AE106" i="4" s="1"/>
  <c r="AC106" i="4"/>
  <c r="AB106" i="4"/>
  <c r="AA106" i="4"/>
  <c r="AF106" i="4" s="1"/>
  <c r="Z106" i="4"/>
  <c r="Y106" i="4"/>
  <c r="X106" i="4"/>
  <c r="W106" i="4"/>
  <c r="V106" i="4"/>
  <c r="U106" i="4"/>
  <c r="T106" i="4"/>
  <c r="AD105" i="4"/>
  <c r="AE105" i="4" s="1"/>
  <c r="AC105" i="4"/>
  <c r="AB105" i="4"/>
  <c r="AA105" i="4"/>
  <c r="AF105" i="4" s="1"/>
  <c r="Z105" i="4"/>
  <c r="Y105" i="4"/>
  <c r="X105" i="4"/>
  <c r="W105" i="4"/>
  <c r="V105" i="4"/>
  <c r="U105" i="4"/>
  <c r="T105" i="4"/>
  <c r="AF104" i="4"/>
  <c r="AD104" i="4"/>
  <c r="AE104" i="4" s="1"/>
  <c r="AC104" i="4"/>
  <c r="AB104" i="4"/>
  <c r="AA104" i="4"/>
  <c r="Z104" i="4"/>
  <c r="Y104" i="4"/>
  <c r="X104" i="4"/>
  <c r="W104" i="4"/>
  <c r="V104" i="4"/>
  <c r="U104" i="4"/>
  <c r="T104" i="4"/>
  <c r="AD103" i="4"/>
  <c r="AE103" i="4" s="1"/>
  <c r="AC103" i="4"/>
  <c r="AB103" i="4"/>
  <c r="AA103" i="4"/>
  <c r="AF103" i="4" s="1"/>
  <c r="Z103" i="4"/>
  <c r="Y103" i="4"/>
  <c r="X103" i="4"/>
  <c r="W103" i="4"/>
  <c r="V103" i="4"/>
  <c r="U103" i="4"/>
  <c r="T103" i="4"/>
  <c r="AD102" i="4"/>
  <c r="AE102" i="4" s="1"/>
  <c r="AC102" i="4"/>
  <c r="AB102" i="4"/>
  <c r="AA102" i="4"/>
  <c r="AF102" i="4" s="1"/>
  <c r="Z102" i="4"/>
  <c r="Y102" i="4"/>
  <c r="X102" i="4"/>
  <c r="W102" i="4"/>
  <c r="V102" i="4"/>
  <c r="U102" i="4"/>
  <c r="T102" i="4"/>
  <c r="AD101" i="4"/>
  <c r="AE101" i="4" s="1"/>
  <c r="AC101" i="4"/>
  <c r="AB101" i="4"/>
  <c r="AA101" i="4"/>
  <c r="AF101" i="4" s="1"/>
  <c r="Z101" i="4"/>
  <c r="Y101" i="4"/>
  <c r="X101" i="4"/>
  <c r="W101" i="4"/>
  <c r="V101" i="4"/>
  <c r="U101" i="4"/>
  <c r="T101" i="4"/>
  <c r="AD100" i="4"/>
  <c r="AE100" i="4" s="1"/>
  <c r="AC100" i="4"/>
  <c r="AB100" i="4"/>
  <c r="AA100" i="4"/>
  <c r="AF100" i="4" s="1"/>
  <c r="Z100" i="4"/>
  <c r="Y100" i="4"/>
  <c r="X100" i="4"/>
  <c r="W100" i="4"/>
  <c r="V100" i="4"/>
  <c r="U100" i="4"/>
  <c r="T100" i="4"/>
  <c r="AF99" i="4"/>
  <c r="AD99" i="4"/>
  <c r="AE99" i="4" s="1"/>
  <c r="AC99" i="4"/>
  <c r="AB99" i="4"/>
  <c r="AA99" i="4"/>
  <c r="Z99" i="4"/>
  <c r="Y99" i="4"/>
  <c r="X99" i="4"/>
  <c r="W99" i="4"/>
  <c r="V99" i="4"/>
  <c r="U99" i="4"/>
  <c r="T99" i="4"/>
  <c r="AD98" i="4"/>
  <c r="AE98" i="4" s="1"/>
  <c r="AC98" i="4"/>
  <c r="AB98" i="4"/>
  <c r="AA98" i="4"/>
  <c r="AF98" i="4" s="1"/>
  <c r="Z98" i="4"/>
  <c r="Y98" i="4"/>
  <c r="X98" i="4"/>
  <c r="W98" i="4"/>
  <c r="V98" i="4"/>
  <c r="U98" i="4"/>
  <c r="T98" i="4"/>
  <c r="AF97" i="4"/>
  <c r="AD97" i="4"/>
  <c r="AE97" i="4" s="1"/>
  <c r="AC97" i="4"/>
  <c r="AB97" i="4"/>
  <c r="AA97" i="4"/>
  <c r="Z97" i="4"/>
  <c r="Y97" i="4"/>
  <c r="X97" i="4"/>
  <c r="W97" i="4"/>
  <c r="V97" i="4"/>
  <c r="U97" i="4"/>
  <c r="T97" i="4"/>
  <c r="AD96" i="4"/>
  <c r="AE96" i="4" s="1"/>
  <c r="AC96" i="4"/>
  <c r="AB96" i="4"/>
  <c r="AA96" i="4"/>
  <c r="AF96" i="4" s="1"/>
  <c r="Z96" i="4"/>
  <c r="Y96" i="4"/>
  <c r="X96" i="4"/>
  <c r="W96" i="4"/>
  <c r="V96" i="4"/>
  <c r="U96" i="4"/>
  <c r="T96" i="4"/>
  <c r="AF95" i="4"/>
  <c r="AD95" i="4"/>
  <c r="AE95" i="4" s="1"/>
  <c r="AC95" i="4"/>
  <c r="AB95" i="4"/>
  <c r="AA95" i="4"/>
  <c r="Z95" i="4"/>
  <c r="Y95" i="4"/>
  <c r="X95" i="4"/>
  <c r="W95" i="4"/>
  <c r="V95" i="4"/>
  <c r="U95" i="4"/>
  <c r="T95" i="4"/>
  <c r="AF94" i="4"/>
  <c r="AD94" i="4"/>
  <c r="AE94" i="4" s="1"/>
  <c r="AC94" i="4"/>
  <c r="AB94" i="4"/>
  <c r="AA94" i="4"/>
  <c r="Z94" i="4"/>
  <c r="Y94" i="4"/>
  <c r="X94" i="4"/>
  <c r="W94" i="4"/>
  <c r="V94" i="4"/>
  <c r="U94" i="4"/>
  <c r="T94" i="4"/>
  <c r="AF93" i="4"/>
  <c r="AD93" i="4"/>
  <c r="AE93" i="4" s="1"/>
  <c r="AC93" i="4"/>
  <c r="AB93" i="4"/>
  <c r="AA93" i="4"/>
  <c r="Z93" i="4"/>
  <c r="Y93" i="4"/>
  <c r="X93" i="4"/>
  <c r="W93" i="4"/>
  <c r="V93" i="4"/>
  <c r="U93" i="4"/>
  <c r="T93" i="4"/>
  <c r="AF92" i="4"/>
  <c r="AD92" i="4"/>
  <c r="AE92" i="4" s="1"/>
  <c r="AC92" i="4"/>
  <c r="AB92" i="4"/>
  <c r="AA92" i="4"/>
  <c r="Z92" i="4"/>
  <c r="Y92" i="4"/>
  <c r="X92" i="4"/>
  <c r="W92" i="4"/>
  <c r="V92" i="4"/>
  <c r="U92" i="4"/>
  <c r="T92" i="4"/>
  <c r="AF91" i="4"/>
  <c r="AD91" i="4"/>
  <c r="AE91" i="4" s="1"/>
  <c r="AC91" i="4"/>
  <c r="AB91" i="4"/>
  <c r="AA91" i="4"/>
  <c r="Z91" i="4"/>
  <c r="Y91" i="4"/>
  <c r="X91" i="4"/>
  <c r="W91" i="4"/>
  <c r="V91" i="4"/>
  <c r="U91" i="4"/>
  <c r="T91" i="4"/>
  <c r="AF90" i="4"/>
  <c r="AD90" i="4"/>
  <c r="AE90" i="4" s="1"/>
  <c r="AC90" i="4"/>
  <c r="AB90" i="4"/>
  <c r="AA90" i="4"/>
  <c r="Z90" i="4"/>
  <c r="Y90" i="4"/>
  <c r="X90" i="4"/>
  <c r="W90" i="4"/>
  <c r="V90" i="4"/>
  <c r="U90" i="4"/>
  <c r="T90" i="4"/>
  <c r="AD89" i="4"/>
  <c r="AE89" i="4" s="1"/>
  <c r="AC89" i="4"/>
  <c r="AB89" i="4"/>
  <c r="AA89" i="4"/>
  <c r="AF89" i="4" s="1"/>
  <c r="Z89" i="4"/>
  <c r="Y89" i="4"/>
  <c r="X89" i="4"/>
  <c r="W89" i="4"/>
  <c r="V89" i="4"/>
  <c r="U89" i="4"/>
  <c r="T89" i="4"/>
  <c r="AD88" i="4"/>
  <c r="AE88" i="4" s="1"/>
  <c r="AC88" i="4"/>
  <c r="AB88" i="4"/>
  <c r="AA88" i="4"/>
  <c r="AF88" i="4" s="1"/>
  <c r="Z88" i="4"/>
  <c r="Y88" i="4"/>
  <c r="X88" i="4"/>
  <c r="W88" i="4"/>
  <c r="V88" i="4"/>
  <c r="U88" i="4"/>
  <c r="T88" i="4"/>
  <c r="AD87" i="4"/>
  <c r="AE87" i="4" s="1"/>
  <c r="AC87" i="4"/>
  <c r="AB87" i="4"/>
  <c r="AA87" i="4"/>
  <c r="AF87" i="4" s="1"/>
  <c r="Z87" i="4"/>
  <c r="Y87" i="4"/>
  <c r="X87" i="4"/>
  <c r="W87" i="4"/>
  <c r="V87" i="4"/>
  <c r="U87" i="4"/>
  <c r="T87" i="4"/>
  <c r="AD86" i="4"/>
  <c r="AE86" i="4" s="1"/>
  <c r="AC86" i="4"/>
  <c r="AB86" i="4"/>
  <c r="AA86" i="4"/>
  <c r="AF86" i="4" s="1"/>
  <c r="Z86" i="4"/>
  <c r="Y86" i="4"/>
  <c r="X86" i="4"/>
  <c r="W86" i="4"/>
  <c r="V86" i="4"/>
  <c r="U86" i="4"/>
  <c r="T86" i="4"/>
  <c r="AD85" i="4"/>
  <c r="AE85" i="4" s="1"/>
  <c r="AC85" i="4"/>
  <c r="AB85" i="4"/>
  <c r="AA85" i="4"/>
  <c r="AF85" i="4" s="1"/>
  <c r="Z85" i="4"/>
  <c r="Y85" i="4"/>
  <c r="X85" i="4"/>
  <c r="W85" i="4"/>
  <c r="V85" i="4"/>
  <c r="U85" i="4"/>
  <c r="T85" i="4"/>
  <c r="AF84" i="4"/>
  <c r="AD84" i="4"/>
  <c r="AE84" i="4" s="1"/>
  <c r="AC84" i="4"/>
  <c r="AB84" i="4"/>
  <c r="AA84" i="4"/>
  <c r="Z84" i="4"/>
  <c r="Y84" i="4"/>
  <c r="X84" i="4"/>
  <c r="W84" i="4"/>
  <c r="V84" i="4"/>
  <c r="U84" i="4"/>
  <c r="T84" i="4"/>
  <c r="AD83" i="4"/>
  <c r="AE83" i="4" s="1"/>
  <c r="AC83" i="4"/>
  <c r="AB83" i="4"/>
  <c r="AA83" i="4"/>
  <c r="AF83" i="4" s="1"/>
  <c r="Z83" i="4"/>
  <c r="Y83" i="4"/>
  <c r="X83" i="4"/>
  <c r="W83" i="4"/>
  <c r="V83" i="4"/>
  <c r="U83" i="4"/>
  <c r="T83" i="4"/>
  <c r="AF82" i="4"/>
  <c r="AD82" i="4"/>
  <c r="AE82" i="4" s="1"/>
  <c r="AC82" i="4"/>
  <c r="AB82" i="4"/>
  <c r="AA82" i="4"/>
  <c r="Z82" i="4"/>
  <c r="Y82" i="4"/>
  <c r="X82" i="4"/>
  <c r="W82" i="4"/>
  <c r="V82" i="4"/>
  <c r="U82" i="4"/>
  <c r="T82" i="4"/>
  <c r="AF81" i="4"/>
  <c r="AD81" i="4"/>
  <c r="AE81" i="4" s="1"/>
  <c r="AC81" i="4"/>
  <c r="AB81" i="4"/>
  <c r="AA81" i="4"/>
  <c r="Z81" i="4"/>
  <c r="Y81" i="4"/>
  <c r="X81" i="4"/>
  <c r="W81" i="4"/>
  <c r="V81" i="4"/>
  <c r="U81" i="4"/>
  <c r="T81" i="4"/>
  <c r="AF80" i="4"/>
  <c r="AD80" i="4"/>
  <c r="AE80" i="4" s="1"/>
  <c r="AC80" i="4"/>
  <c r="AB80" i="4"/>
  <c r="AA80" i="4"/>
  <c r="Z80" i="4"/>
  <c r="Y80" i="4"/>
  <c r="X80" i="4"/>
  <c r="W80" i="4"/>
  <c r="V80" i="4"/>
  <c r="U80" i="4"/>
  <c r="T80" i="4"/>
  <c r="AF79" i="4"/>
  <c r="AD79" i="4"/>
  <c r="AE79" i="4" s="1"/>
  <c r="AC79" i="4"/>
  <c r="AB79" i="4"/>
  <c r="AA79" i="4"/>
  <c r="Z79" i="4"/>
  <c r="Y79" i="4"/>
  <c r="X79" i="4"/>
  <c r="W79" i="4"/>
  <c r="V79" i="4"/>
  <c r="U79" i="4"/>
  <c r="T79" i="4"/>
  <c r="AF78" i="4"/>
  <c r="AD78" i="4"/>
  <c r="AE78" i="4" s="1"/>
  <c r="AC78" i="4"/>
  <c r="AB78" i="4"/>
  <c r="AA78" i="4"/>
  <c r="Z78" i="4"/>
  <c r="Y78" i="4"/>
  <c r="X78" i="4"/>
  <c r="W78" i="4"/>
  <c r="V78" i="4"/>
  <c r="U78" i="4"/>
  <c r="T78" i="4"/>
  <c r="AD77" i="4"/>
  <c r="AE77" i="4" s="1"/>
  <c r="AC77" i="4"/>
  <c r="AB77" i="4"/>
  <c r="AA77" i="4"/>
  <c r="AF77" i="4" s="1"/>
  <c r="Z77" i="4"/>
  <c r="Y77" i="4"/>
  <c r="X77" i="4"/>
  <c r="W77" i="4"/>
  <c r="V77" i="4"/>
  <c r="U77" i="4"/>
  <c r="T77" i="4"/>
  <c r="AF76" i="4"/>
  <c r="AD76" i="4"/>
  <c r="AE76" i="4" s="1"/>
  <c r="AC76" i="4"/>
  <c r="AB76" i="4"/>
  <c r="AA76" i="4"/>
  <c r="Z76" i="4"/>
  <c r="Y76" i="4"/>
  <c r="X76" i="4"/>
  <c r="W76" i="4"/>
  <c r="V76" i="4"/>
  <c r="U76" i="4"/>
  <c r="T76" i="4"/>
  <c r="AD75" i="4"/>
  <c r="AE75" i="4" s="1"/>
  <c r="AC75" i="4"/>
  <c r="AB75" i="4"/>
  <c r="AA75" i="4"/>
  <c r="AF75" i="4" s="1"/>
  <c r="Z75" i="4"/>
  <c r="Y75" i="4"/>
  <c r="X75" i="4"/>
  <c r="W75" i="4"/>
  <c r="V75" i="4"/>
  <c r="U75" i="4"/>
  <c r="T75" i="4"/>
  <c r="AF74" i="4"/>
  <c r="AD74" i="4"/>
  <c r="AE74" i="4" s="1"/>
  <c r="AC74" i="4"/>
  <c r="AB74" i="4"/>
  <c r="AA74" i="4"/>
  <c r="Z74" i="4"/>
  <c r="Y74" i="4"/>
  <c r="X74" i="4"/>
  <c r="W74" i="4"/>
  <c r="V74" i="4"/>
  <c r="U74" i="4"/>
  <c r="T74" i="4"/>
  <c r="AF73" i="4"/>
  <c r="AD73" i="4"/>
  <c r="AE73" i="4" s="1"/>
  <c r="AC73" i="4"/>
  <c r="AB73" i="4"/>
  <c r="AA73" i="4"/>
  <c r="Z73" i="4"/>
  <c r="Y73" i="4"/>
  <c r="X73" i="4"/>
  <c r="W73" i="4"/>
  <c r="V73" i="4"/>
  <c r="U73" i="4"/>
  <c r="T73" i="4"/>
  <c r="AF72" i="4"/>
  <c r="AD72" i="4"/>
  <c r="AE72" i="4" s="1"/>
  <c r="AC72" i="4"/>
  <c r="AB72" i="4"/>
  <c r="AA72" i="4"/>
  <c r="Z72" i="4"/>
  <c r="Y72" i="4"/>
  <c r="X72" i="4"/>
  <c r="W72" i="4"/>
  <c r="V72" i="4"/>
  <c r="U72" i="4"/>
  <c r="T72" i="4"/>
  <c r="AF71" i="4"/>
  <c r="AD71" i="4"/>
  <c r="AE71" i="4" s="1"/>
  <c r="AC71" i="4"/>
  <c r="AB71" i="4"/>
  <c r="AA71" i="4"/>
  <c r="Z71" i="4"/>
  <c r="Y71" i="4"/>
  <c r="X71" i="4"/>
  <c r="W71" i="4"/>
  <c r="V71" i="4"/>
  <c r="U71" i="4"/>
  <c r="T71" i="4"/>
  <c r="AD70" i="4"/>
  <c r="AE70" i="4" s="1"/>
  <c r="AC70" i="4"/>
  <c r="AB70" i="4"/>
  <c r="AA70" i="4"/>
  <c r="AF70" i="4" s="1"/>
  <c r="Z70" i="4"/>
  <c r="Y70" i="4"/>
  <c r="X70" i="4"/>
  <c r="W70" i="4"/>
  <c r="V70" i="4"/>
  <c r="U70" i="4"/>
  <c r="T70" i="4"/>
  <c r="AD69" i="4"/>
  <c r="AE69" i="4" s="1"/>
  <c r="AC69" i="4"/>
  <c r="AB69" i="4"/>
  <c r="AA69" i="4"/>
  <c r="AF69" i="4" s="1"/>
  <c r="Z69" i="4"/>
  <c r="Y69" i="4"/>
  <c r="X69" i="4"/>
  <c r="W69" i="4"/>
  <c r="V69" i="4"/>
  <c r="U69" i="4"/>
  <c r="T69" i="4"/>
  <c r="AF68" i="4"/>
  <c r="AD68" i="4"/>
  <c r="AE68" i="4" s="1"/>
  <c r="AC68" i="4"/>
  <c r="AB68" i="4"/>
  <c r="AA68" i="4"/>
  <c r="Z68" i="4"/>
  <c r="Y68" i="4"/>
  <c r="X68" i="4"/>
  <c r="W68" i="4"/>
  <c r="V68" i="4"/>
  <c r="U68" i="4"/>
  <c r="T68" i="4"/>
  <c r="AF67" i="4"/>
  <c r="AD67" i="4"/>
  <c r="AE67" i="4" s="1"/>
  <c r="AC67" i="4"/>
  <c r="AB67" i="4"/>
  <c r="AA67" i="4"/>
  <c r="Z67" i="4"/>
  <c r="Y67" i="4"/>
  <c r="X67" i="4"/>
  <c r="W67" i="4"/>
  <c r="V67" i="4"/>
  <c r="U67" i="4"/>
  <c r="T67" i="4"/>
  <c r="AD66" i="4"/>
  <c r="AE66" i="4" s="1"/>
  <c r="AC66" i="4"/>
  <c r="AB66" i="4"/>
  <c r="AA66" i="4"/>
  <c r="AF66" i="4" s="1"/>
  <c r="Z66" i="4"/>
  <c r="Y66" i="4"/>
  <c r="X66" i="4"/>
  <c r="W66" i="4"/>
  <c r="V66" i="4"/>
  <c r="U66" i="4"/>
  <c r="T66" i="4"/>
  <c r="AD65" i="4"/>
  <c r="AE65" i="4" s="1"/>
  <c r="AC65" i="4"/>
  <c r="AB65" i="4"/>
  <c r="AA65" i="4"/>
  <c r="AF65" i="4" s="1"/>
  <c r="Z65" i="4"/>
  <c r="Y65" i="4"/>
  <c r="X65" i="4"/>
  <c r="W65" i="4"/>
  <c r="V65" i="4"/>
  <c r="U65" i="4"/>
  <c r="T65" i="4"/>
  <c r="AD64" i="4"/>
  <c r="AE64" i="4" s="1"/>
  <c r="AC64" i="4"/>
  <c r="AB64" i="4"/>
  <c r="AA64" i="4"/>
  <c r="AF64" i="4" s="1"/>
  <c r="Z64" i="4"/>
  <c r="Y64" i="4"/>
  <c r="X64" i="4"/>
  <c r="W64" i="4"/>
  <c r="V64" i="4"/>
  <c r="U64" i="4"/>
  <c r="T64" i="4"/>
  <c r="AD63" i="4"/>
  <c r="AE63" i="4" s="1"/>
  <c r="AC63" i="4"/>
  <c r="AB63" i="4"/>
  <c r="AA63" i="4"/>
  <c r="AF63" i="4" s="1"/>
  <c r="Z63" i="4"/>
  <c r="Y63" i="4"/>
  <c r="X63" i="4"/>
  <c r="W63" i="4"/>
  <c r="V63" i="4"/>
  <c r="U63" i="4"/>
  <c r="T63" i="4"/>
  <c r="AD62" i="4"/>
  <c r="AE62" i="4" s="1"/>
  <c r="AC62" i="4"/>
  <c r="AB62" i="4"/>
  <c r="AA62" i="4"/>
  <c r="AF62" i="4" s="1"/>
  <c r="Z62" i="4"/>
  <c r="Y62" i="4"/>
  <c r="X62" i="4"/>
  <c r="W62" i="4"/>
  <c r="V62" i="4"/>
  <c r="U62" i="4"/>
  <c r="T62" i="4"/>
  <c r="AD61" i="4"/>
  <c r="AE61" i="4" s="1"/>
  <c r="AC61" i="4"/>
  <c r="AB61" i="4"/>
  <c r="AA61" i="4"/>
  <c r="AF61" i="4" s="1"/>
  <c r="Z61" i="4"/>
  <c r="Y61" i="4"/>
  <c r="X61" i="4"/>
  <c r="W61" i="4"/>
  <c r="V61" i="4"/>
  <c r="U61" i="4"/>
  <c r="T61" i="4"/>
  <c r="AD60" i="4"/>
  <c r="AE60" i="4" s="1"/>
  <c r="AC60" i="4"/>
  <c r="AB60" i="4"/>
  <c r="AA60" i="4"/>
  <c r="AF60" i="4" s="1"/>
  <c r="Z60" i="4"/>
  <c r="Y60" i="4"/>
  <c r="X60" i="4"/>
  <c r="W60" i="4"/>
  <c r="V60" i="4"/>
  <c r="U60" i="4"/>
  <c r="T60" i="4"/>
  <c r="AD59" i="4"/>
  <c r="AE59" i="4" s="1"/>
  <c r="AC59" i="4"/>
  <c r="AB59" i="4"/>
  <c r="AA59" i="4"/>
  <c r="AF59" i="4" s="1"/>
  <c r="Z59" i="4"/>
  <c r="Y59" i="4"/>
  <c r="X59" i="4"/>
  <c r="W59" i="4"/>
  <c r="V59" i="4"/>
  <c r="U59" i="4"/>
  <c r="T59" i="4"/>
  <c r="AF58" i="4"/>
  <c r="AD58" i="4"/>
  <c r="AE58" i="4" s="1"/>
  <c r="AC58" i="4"/>
  <c r="AB58" i="4"/>
  <c r="AA58" i="4"/>
  <c r="Z58" i="4"/>
  <c r="Y58" i="4"/>
  <c r="X58" i="4"/>
  <c r="W58" i="4"/>
  <c r="V58" i="4"/>
  <c r="U58" i="4"/>
  <c r="T58" i="4"/>
  <c r="AF57" i="4"/>
  <c r="AD57" i="4"/>
  <c r="AE57" i="4" s="1"/>
  <c r="AC57" i="4"/>
  <c r="AB57" i="4"/>
  <c r="AA57" i="4"/>
  <c r="Z57" i="4"/>
  <c r="Y57" i="4"/>
  <c r="X57" i="4"/>
  <c r="W57" i="4"/>
  <c r="V57" i="4"/>
  <c r="U57" i="4"/>
  <c r="T57" i="4"/>
  <c r="AD56" i="4"/>
  <c r="AE56" i="4" s="1"/>
  <c r="AC56" i="4"/>
  <c r="AB56" i="4"/>
  <c r="AA56" i="4"/>
  <c r="AF56" i="4" s="1"/>
  <c r="Z56" i="4"/>
  <c r="Y56" i="4"/>
  <c r="X56" i="4"/>
  <c r="W56" i="4"/>
  <c r="V56" i="4"/>
  <c r="U56" i="4"/>
  <c r="T56" i="4"/>
  <c r="AF55" i="4"/>
  <c r="AD55" i="4"/>
  <c r="AE55" i="4" s="1"/>
  <c r="AC55" i="4"/>
  <c r="AB55" i="4"/>
  <c r="AA55" i="4"/>
  <c r="Z55" i="4"/>
  <c r="Y55" i="4"/>
  <c r="X55" i="4"/>
  <c r="W55" i="4"/>
  <c r="V55" i="4"/>
  <c r="U55" i="4"/>
  <c r="T55" i="4"/>
  <c r="AD54" i="4"/>
  <c r="AE54" i="4" s="1"/>
  <c r="AC54" i="4"/>
  <c r="AB54" i="4"/>
  <c r="AA54" i="4"/>
  <c r="AF54" i="4" s="1"/>
  <c r="Z54" i="4"/>
  <c r="Y54" i="4"/>
  <c r="X54" i="4"/>
  <c r="W54" i="4"/>
  <c r="V54" i="4"/>
  <c r="U54" i="4"/>
  <c r="T54" i="4"/>
  <c r="AD53" i="4"/>
  <c r="AE53" i="4" s="1"/>
  <c r="AC53" i="4"/>
  <c r="AB53" i="4"/>
  <c r="AA53" i="4"/>
  <c r="AF53" i="4" s="1"/>
  <c r="Z53" i="4"/>
  <c r="Y53" i="4"/>
  <c r="X53" i="4"/>
  <c r="W53" i="4"/>
  <c r="V53" i="4"/>
  <c r="U53" i="4"/>
  <c r="T53" i="4"/>
  <c r="AD52" i="4"/>
  <c r="AE52" i="4" s="1"/>
  <c r="AC52" i="4"/>
  <c r="AB52" i="4"/>
  <c r="AA52" i="4"/>
  <c r="AF52" i="4" s="1"/>
  <c r="Z52" i="4"/>
  <c r="Y52" i="4"/>
  <c r="X52" i="4"/>
  <c r="W52" i="4"/>
  <c r="V52" i="4"/>
  <c r="U52" i="4"/>
  <c r="T52" i="4"/>
  <c r="AD51" i="4"/>
  <c r="AE51" i="4" s="1"/>
  <c r="AC51" i="4"/>
  <c r="AB51" i="4"/>
  <c r="AA51" i="4"/>
  <c r="AF51" i="4" s="1"/>
  <c r="Z51" i="4"/>
  <c r="Y51" i="4"/>
  <c r="X51" i="4"/>
  <c r="W51" i="4"/>
  <c r="V51" i="4"/>
  <c r="U51" i="4"/>
  <c r="T51" i="4"/>
  <c r="AF50" i="4"/>
  <c r="AD50" i="4"/>
  <c r="AE50" i="4" s="1"/>
  <c r="AC50" i="4"/>
  <c r="AB50" i="4"/>
  <c r="AA50" i="4"/>
  <c r="Z50" i="4"/>
  <c r="Y50" i="4"/>
  <c r="X50" i="4"/>
  <c r="W50" i="4"/>
  <c r="V50" i="4"/>
  <c r="U50" i="4"/>
  <c r="T50" i="4"/>
  <c r="AF49" i="4"/>
  <c r="AD49" i="4"/>
  <c r="AE49" i="4" s="1"/>
  <c r="AC49" i="4"/>
  <c r="AB49" i="4"/>
  <c r="AA49" i="4"/>
  <c r="Z49" i="4"/>
  <c r="Y49" i="4"/>
  <c r="X49" i="4"/>
  <c r="W49" i="4"/>
  <c r="V49" i="4"/>
  <c r="U49" i="4"/>
  <c r="T49" i="4"/>
  <c r="AF48" i="4"/>
  <c r="AD48" i="4"/>
  <c r="AE48" i="4" s="1"/>
  <c r="AC48" i="4"/>
  <c r="AB48" i="4"/>
  <c r="AA48" i="4"/>
  <c r="Z48" i="4"/>
  <c r="Y48" i="4"/>
  <c r="X48" i="4"/>
  <c r="W48" i="4"/>
  <c r="V48" i="4"/>
  <c r="U48" i="4"/>
  <c r="T48" i="4"/>
  <c r="AF47" i="4"/>
  <c r="AD47" i="4"/>
  <c r="AE47" i="4" s="1"/>
  <c r="AC47" i="4"/>
  <c r="AB47" i="4"/>
  <c r="AA47" i="4"/>
  <c r="Z47" i="4"/>
  <c r="Y47" i="4"/>
  <c r="X47" i="4"/>
  <c r="W47" i="4"/>
  <c r="V47" i="4"/>
  <c r="U47" i="4"/>
  <c r="T47" i="4"/>
  <c r="AF46" i="4"/>
  <c r="AD46" i="4"/>
  <c r="AE46" i="4" s="1"/>
  <c r="AC46" i="4"/>
  <c r="AB46" i="4"/>
  <c r="AA46" i="4"/>
  <c r="Z46" i="4"/>
  <c r="Y46" i="4"/>
  <c r="X46" i="4"/>
  <c r="W46" i="4"/>
  <c r="V46" i="4"/>
  <c r="U46" i="4"/>
  <c r="T46" i="4"/>
  <c r="AD45" i="4"/>
  <c r="AE45" i="4" s="1"/>
  <c r="AC45" i="4"/>
  <c r="AB45" i="4"/>
  <c r="AA45" i="4"/>
  <c r="AF45" i="4" s="1"/>
  <c r="Z45" i="4"/>
  <c r="Y45" i="4"/>
  <c r="X45" i="4"/>
  <c r="W45" i="4"/>
  <c r="V45" i="4"/>
  <c r="U45" i="4"/>
  <c r="T45" i="4"/>
  <c r="AF44" i="4"/>
  <c r="AD44" i="4"/>
  <c r="AE44" i="4" s="1"/>
  <c r="AC44" i="4"/>
  <c r="AB44" i="4"/>
  <c r="AA44" i="4"/>
  <c r="Z44" i="4"/>
  <c r="Y44" i="4"/>
  <c r="X44" i="4"/>
  <c r="W44" i="4"/>
  <c r="V44" i="4"/>
  <c r="U44" i="4"/>
  <c r="T44" i="4"/>
  <c r="AD43" i="4"/>
  <c r="AE43" i="4" s="1"/>
  <c r="AC43" i="4"/>
  <c r="AB43" i="4"/>
  <c r="AA43" i="4"/>
  <c r="AF43" i="4" s="1"/>
  <c r="Z43" i="4"/>
  <c r="Y43" i="4"/>
  <c r="X43" i="4"/>
  <c r="W43" i="4"/>
  <c r="V43" i="4"/>
  <c r="U43" i="4"/>
  <c r="T43" i="4"/>
  <c r="AD42" i="4"/>
  <c r="AE42" i="4" s="1"/>
  <c r="AC42" i="4"/>
  <c r="AB42" i="4"/>
  <c r="AA42" i="4"/>
  <c r="AF42" i="4" s="1"/>
  <c r="Z42" i="4"/>
  <c r="Y42" i="4"/>
  <c r="X42" i="4"/>
  <c r="W42" i="4"/>
  <c r="V42" i="4"/>
  <c r="U42" i="4"/>
  <c r="T42" i="4"/>
  <c r="AF41" i="4"/>
  <c r="AD41" i="4"/>
  <c r="AE41" i="4" s="1"/>
  <c r="AC41" i="4"/>
  <c r="AB41" i="4"/>
  <c r="AA41" i="4"/>
  <c r="Z41" i="4"/>
  <c r="Y41" i="4"/>
  <c r="X41" i="4"/>
  <c r="W41" i="4"/>
  <c r="V41" i="4"/>
  <c r="U41" i="4"/>
  <c r="T41" i="4"/>
  <c r="AD40" i="4"/>
  <c r="AE40" i="4" s="1"/>
  <c r="AC40" i="4"/>
  <c r="AB40" i="4"/>
  <c r="AA40" i="4"/>
  <c r="AF40" i="4" s="1"/>
  <c r="Z40" i="4"/>
  <c r="Y40" i="4"/>
  <c r="X40" i="4"/>
  <c r="W40" i="4"/>
  <c r="V40" i="4"/>
  <c r="U40" i="4"/>
  <c r="T40" i="4"/>
  <c r="AF39" i="4"/>
  <c r="AD39" i="4"/>
  <c r="AE39" i="4" s="1"/>
  <c r="AC39" i="4"/>
  <c r="AB39" i="4"/>
  <c r="AA39" i="4"/>
  <c r="Z39" i="4"/>
  <c r="Y39" i="4"/>
  <c r="X39" i="4"/>
  <c r="W39" i="4"/>
  <c r="V39" i="4"/>
  <c r="U39" i="4"/>
  <c r="T39" i="4"/>
  <c r="AD38" i="4"/>
  <c r="AE38" i="4" s="1"/>
  <c r="AC38" i="4"/>
  <c r="AB38" i="4"/>
  <c r="AA38" i="4"/>
  <c r="AF38" i="4" s="1"/>
  <c r="Z38" i="4"/>
  <c r="Y38" i="4"/>
  <c r="X38" i="4"/>
  <c r="W38" i="4"/>
  <c r="V38" i="4"/>
  <c r="U38" i="4"/>
  <c r="T38" i="4"/>
  <c r="AD37" i="4"/>
  <c r="AE37" i="4" s="1"/>
  <c r="AC37" i="4"/>
  <c r="AB37" i="4"/>
  <c r="AA37" i="4"/>
  <c r="AF37" i="4" s="1"/>
  <c r="Z37" i="4"/>
  <c r="Y37" i="4"/>
  <c r="X37" i="4"/>
  <c r="W37" i="4"/>
  <c r="V37" i="4"/>
  <c r="U37" i="4"/>
  <c r="T37" i="4"/>
  <c r="AD36" i="4"/>
  <c r="AE36" i="4" s="1"/>
  <c r="AC36" i="4"/>
  <c r="AB36" i="4"/>
  <c r="AA36" i="4"/>
  <c r="AF36" i="4" s="1"/>
  <c r="Z36" i="4"/>
  <c r="Y36" i="4"/>
  <c r="X36" i="4"/>
  <c r="W36" i="4"/>
  <c r="V36" i="4"/>
  <c r="U36" i="4"/>
  <c r="T36" i="4"/>
  <c r="AF35" i="4"/>
  <c r="AD35" i="4"/>
  <c r="AE35" i="4" s="1"/>
  <c r="AC35" i="4"/>
  <c r="AB35" i="4"/>
  <c r="AA35" i="4"/>
  <c r="Z35" i="4"/>
  <c r="Y35" i="4"/>
  <c r="X35" i="4"/>
  <c r="W35" i="4"/>
  <c r="V35" i="4"/>
  <c r="U35" i="4"/>
  <c r="T35" i="4"/>
  <c r="AD34" i="4"/>
  <c r="AE34" i="4" s="1"/>
  <c r="AC34" i="4"/>
  <c r="AB34" i="4"/>
  <c r="AA34" i="4"/>
  <c r="AF34" i="4" s="1"/>
  <c r="Z34" i="4"/>
  <c r="Y34" i="4"/>
  <c r="X34" i="4"/>
  <c r="W34" i="4"/>
  <c r="V34" i="4"/>
  <c r="U34" i="4"/>
  <c r="T34" i="4"/>
  <c r="AD33" i="4"/>
  <c r="AE33" i="4" s="1"/>
  <c r="AC33" i="4"/>
  <c r="AB33" i="4"/>
  <c r="AA33" i="4"/>
  <c r="AF33" i="4" s="1"/>
  <c r="Z33" i="4"/>
  <c r="Y33" i="4"/>
  <c r="X33" i="4"/>
  <c r="W33" i="4"/>
  <c r="V33" i="4"/>
  <c r="U33" i="4"/>
  <c r="T33" i="4"/>
  <c r="AD32" i="4"/>
  <c r="AE32" i="4" s="1"/>
  <c r="AC32" i="4"/>
  <c r="AB32" i="4"/>
  <c r="AA32" i="4"/>
  <c r="AF32" i="4" s="1"/>
  <c r="Z32" i="4"/>
  <c r="Y32" i="4"/>
  <c r="X32" i="4"/>
  <c r="W32" i="4"/>
  <c r="V32" i="4"/>
  <c r="U32" i="4"/>
  <c r="T32" i="4"/>
  <c r="AF31" i="4"/>
  <c r="AD31" i="4"/>
  <c r="AE31" i="4" s="1"/>
  <c r="AC31" i="4"/>
  <c r="AB31" i="4"/>
  <c r="AA31" i="4"/>
  <c r="Z31" i="4"/>
  <c r="Y31" i="4"/>
  <c r="X31" i="4"/>
  <c r="W31" i="4"/>
  <c r="V31" i="4"/>
  <c r="U31" i="4"/>
  <c r="T31" i="4"/>
  <c r="AD30" i="4"/>
  <c r="AE30" i="4" s="1"/>
  <c r="AC30" i="4"/>
  <c r="AB30" i="4"/>
  <c r="AA30" i="4"/>
  <c r="AF30" i="4" s="1"/>
  <c r="Z30" i="4"/>
  <c r="Y30" i="4"/>
  <c r="X30" i="4"/>
  <c r="W30" i="4"/>
  <c r="V30" i="4"/>
  <c r="U30" i="4"/>
  <c r="T30" i="4"/>
  <c r="AD29" i="4"/>
  <c r="AE29" i="4" s="1"/>
  <c r="AC29" i="4"/>
  <c r="AB29" i="4"/>
  <c r="AA29" i="4"/>
  <c r="AF29" i="4" s="1"/>
  <c r="Z29" i="4"/>
  <c r="Y29" i="4"/>
  <c r="X29" i="4"/>
  <c r="W29" i="4"/>
  <c r="V29" i="4"/>
  <c r="U29" i="4"/>
  <c r="T29" i="4"/>
  <c r="AF28" i="4"/>
  <c r="AD28" i="4"/>
  <c r="AE28" i="4" s="1"/>
  <c r="AC28" i="4"/>
  <c r="AB28" i="4"/>
  <c r="AA28" i="4"/>
  <c r="Z28" i="4"/>
  <c r="Y28" i="4"/>
  <c r="X28" i="4"/>
  <c r="W28" i="4"/>
  <c r="V28" i="4"/>
  <c r="U28" i="4"/>
  <c r="T28" i="4"/>
  <c r="AD27" i="4"/>
  <c r="AE27" i="4" s="1"/>
  <c r="AC27" i="4"/>
  <c r="AB27" i="4"/>
  <c r="AA27" i="4"/>
  <c r="AF27" i="4" s="1"/>
  <c r="Z27" i="4"/>
  <c r="Y27" i="4"/>
  <c r="X27" i="4"/>
  <c r="W27" i="4"/>
  <c r="V27" i="4"/>
  <c r="U27" i="4"/>
  <c r="T27" i="4"/>
  <c r="AD26" i="4"/>
  <c r="AE26" i="4" s="1"/>
  <c r="AC26" i="4"/>
  <c r="AB26" i="4"/>
  <c r="AA26" i="4"/>
  <c r="AF26" i="4" s="1"/>
  <c r="Z26" i="4"/>
  <c r="Y26" i="4"/>
  <c r="X26" i="4"/>
  <c r="W26" i="4"/>
  <c r="V26" i="4"/>
  <c r="U26" i="4"/>
  <c r="T26" i="4"/>
  <c r="AD25" i="4"/>
  <c r="AE25" i="4" s="1"/>
  <c r="AC25" i="4"/>
  <c r="AB25" i="4"/>
  <c r="AA25" i="4"/>
  <c r="AF25" i="4" s="1"/>
  <c r="Z25" i="4"/>
  <c r="Y25" i="4"/>
  <c r="X25" i="4"/>
  <c r="W25" i="4"/>
  <c r="V25" i="4"/>
  <c r="U25" i="4"/>
  <c r="T25" i="4"/>
  <c r="AD24" i="4"/>
  <c r="AE24" i="4" s="1"/>
  <c r="AC24" i="4"/>
  <c r="AB24" i="4"/>
  <c r="AA24" i="4"/>
  <c r="AF24" i="4" s="1"/>
  <c r="Z24" i="4"/>
  <c r="Y24" i="4"/>
  <c r="X24" i="4"/>
  <c r="W24" i="4"/>
  <c r="V24" i="4"/>
  <c r="U24" i="4"/>
  <c r="T24" i="4"/>
  <c r="AD23" i="4"/>
  <c r="AE23" i="4" s="1"/>
  <c r="AC23" i="4"/>
  <c r="AB23" i="4"/>
  <c r="AA23" i="4"/>
  <c r="AF23" i="4" s="1"/>
  <c r="Z23" i="4"/>
  <c r="Y23" i="4"/>
  <c r="X23" i="4"/>
  <c r="W23" i="4"/>
  <c r="V23" i="4"/>
  <c r="U23" i="4"/>
  <c r="T23" i="4"/>
  <c r="AD22" i="4"/>
  <c r="AE22" i="4" s="1"/>
  <c r="AC22" i="4"/>
  <c r="AB22" i="4"/>
  <c r="AA22" i="4"/>
  <c r="AF22" i="4" s="1"/>
  <c r="Z22" i="4"/>
  <c r="Y22" i="4"/>
  <c r="X22" i="4"/>
  <c r="W22" i="4"/>
  <c r="V22" i="4"/>
  <c r="U22" i="4"/>
  <c r="T22" i="4"/>
  <c r="AD21" i="4"/>
  <c r="AE21" i="4" s="1"/>
  <c r="AC21" i="4"/>
  <c r="AB21" i="4"/>
  <c r="AA21" i="4"/>
  <c r="AF21" i="4" s="1"/>
  <c r="Z21" i="4"/>
  <c r="Y21" i="4"/>
  <c r="X21" i="4"/>
  <c r="W21" i="4"/>
  <c r="V21" i="4"/>
  <c r="U21" i="4"/>
  <c r="T21" i="4"/>
  <c r="AD20" i="4"/>
  <c r="AE20" i="4" s="1"/>
  <c r="AC20" i="4"/>
  <c r="AB20" i="4"/>
  <c r="AA20" i="4"/>
  <c r="AF20" i="4" s="1"/>
  <c r="Z20" i="4"/>
  <c r="Y20" i="4"/>
  <c r="X20" i="4"/>
  <c r="W20" i="4"/>
  <c r="V20" i="4"/>
  <c r="U20" i="4"/>
  <c r="T20" i="4"/>
  <c r="AD19" i="4"/>
  <c r="AE19" i="4" s="1"/>
  <c r="AC19" i="4"/>
  <c r="AB19" i="4"/>
  <c r="AA19" i="4"/>
  <c r="AF19" i="4" s="1"/>
  <c r="Z19" i="4"/>
  <c r="Y19" i="4"/>
  <c r="X19" i="4"/>
  <c r="W19" i="4"/>
  <c r="V19" i="4"/>
  <c r="U19" i="4"/>
  <c r="T19" i="4"/>
  <c r="AF18" i="4"/>
  <c r="AD18" i="4"/>
  <c r="AE18" i="4" s="1"/>
  <c r="AC18" i="4"/>
  <c r="AB18" i="4"/>
  <c r="AA18" i="4"/>
  <c r="Z18" i="4"/>
  <c r="Y18" i="4"/>
  <c r="X18" i="4"/>
  <c r="W18" i="4"/>
  <c r="V18" i="4"/>
  <c r="U18" i="4"/>
  <c r="T18" i="4"/>
  <c r="AF17" i="4"/>
  <c r="AD17" i="4"/>
  <c r="AE17" i="4" s="1"/>
  <c r="AC17" i="4"/>
  <c r="AB17" i="4"/>
  <c r="AA17" i="4"/>
  <c r="Z17" i="4"/>
  <c r="Y17" i="4"/>
  <c r="X17" i="4"/>
  <c r="W17" i="4"/>
  <c r="V17" i="4"/>
  <c r="U17" i="4"/>
  <c r="T17" i="4"/>
  <c r="AD16" i="4"/>
  <c r="AE16" i="4" s="1"/>
  <c r="AC16" i="4"/>
  <c r="AB16" i="4"/>
  <c r="AA16" i="4"/>
  <c r="AF16" i="4" s="1"/>
  <c r="Z16" i="4"/>
  <c r="Y16" i="4"/>
  <c r="X16" i="4"/>
  <c r="W16" i="4"/>
  <c r="V16" i="4"/>
  <c r="U16" i="4"/>
  <c r="T16" i="4"/>
  <c r="AD15" i="4"/>
  <c r="AE15" i="4" s="1"/>
  <c r="AC15" i="4"/>
  <c r="AB15" i="4"/>
  <c r="AA15" i="4"/>
  <c r="AF15" i="4" s="1"/>
  <c r="Z15" i="4"/>
  <c r="Y15" i="4"/>
  <c r="X15" i="4"/>
  <c r="W15" i="4"/>
  <c r="V15" i="4"/>
  <c r="U15" i="4"/>
  <c r="T15" i="4"/>
  <c r="AF14" i="4"/>
  <c r="AD14" i="4"/>
  <c r="AE14" i="4" s="1"/>
  <c r="AC14" i="4"/>
  <c r="AB14" i="4"/>
  <c r="AA14" i="4"/>
  <c r="Z14" i="4"/>
  <c r="Y14" i="4"/>
  <c r="X14" i="4"/>
  <c r="W14" i="4"/>
  <c r="V14" i="4"/>
  <c r="U14" i="4"/>
  <c r="T14" i="4"/>
  <c r="AF13" i="4"/>
  <c r="AD13" i="4"/>
  <c r="AE13" i="4" s="1"/>
  <c r="AC13" i="4"/>
  <c r="AB13" i="4"/>
  <c r="AA13" i="4"/>
  <c r="Z13" i="4"/>
  <c r="Y13" i="4"/>
  <c r="X13" i="4"/>
  <c r="W13" i="4"/>
  <c r="V13" i="4"/>
  <c r="U13" i="4"/>
  <c r="T13" i="4"/>
  <c r="AF12" i="4"/>
  <c r="AD12" i="4"/>
  <c r="AE12" i="4" s="1"/>
  <c r="AC12" i="4"/>
  <c r="AB12" i="4"/>
  <c r="AA12" i="4"/>
  <c r="Z12" i="4"/>
  <c r="Y12" i="4"/>
  <c r="X12" i="4"/>
  <c r="W12" i="4"/>
  <c r="V12" i="4"/>
  <c r="U12" i="4"/>
  <c r="T12" i="4"/>
  <c r="AD11" i="4"/>
  <c r="AE11" i="4" s="1"/>
  <c r="AC11" i="4"/>
  <c r="AB11" i="4"/>
  <c r="AA11" i="4"/>
  <c r="AF11" i="4" s="1"/>
  <c r="Z11" i="4"/>
  <c r="Y11" i="4"/>
  <c r="X11" i="4"/>
  <c r="W11" i="4"/>
  <c r="V11" i="4"/>
  <c r="U11" i="4"/>
  <c r="T11" i="4"/>
  <c r="AF10" i="4"/>
  <c r="AD10" i="4"/>
  <c r="AE10" i="4" s="1"/>
  <c r="AC10" i="4"/>
  <c r="AB10" i="4"/>
  <c r="AA10" i="4"/>
  <c r="Z10" i="4"/>
  <c r="Y10" i="4"/>
  <c r="X10" i="4"/>
  <c r="W10" i="4"/>
  <c r="V10" i="4"/>
  <c r="U10" i="4"/>
  <c r="T10" i="4"/>
  <c r="AF9" i="4"/>
  <c r="AD9" i="4"/>
  <c r="AE9" i="4" s="1"/>
  <c r="AC9" i="4"/>
  <c r="AB9" i="4"/>
  <c r="AA9" i="4"/>
  <c r="Z9" i="4"/>
  <c r="Y9" i="4"/>
  <c r="X9" i="4"/>
  <c r="W9" i="4"/>
  <c r="V9" i="4"/>
  <c r="U9" i="4"/>
  <c r="T9" i="4"/>
  <c r="AD8" i="4"/>
  <c r="AE8" i="4" s="1"/>
  <c r="AC8" i="4"/>
  <c r="AB8" i="4"/>
  <c r="AA8" i="4"/>
  <c r="AF8" i="4" s="1"/>
  <c r="Z8" i="4"/>
  <c r="Y8" i="4"/>
  <c r="X8" i="4"/>
  <c r="W8" i="4"/>
  <c r="V8" i="4"/>
  <c r="U8" i="4"/>
  <c r="T8" i="4"/>
  <c r="AF7" i="4"/>
  <c r="AD7" i="4"/>
  <c r="AE7" i="4" s="1"/>
  <c r="AC7" i="4"/>
  <c r="AB7" i="4"/>
  <c r="AA7" i="4"/>
  <c r="Z7" i="4"/>
  <c r="Y7" i="4"/>
  <c r="X7" i="4"/>
  <c r="W7" i="4"/>
  <c r="V7" i="4"/>
  <c r="U7" i="4"/>
  <c r="T7" i="4"/>
  <c r="AF6" i="4"/>
  <c r="AD6" i="4"/>
  <c r="AE6" i="4" s="1"/>
  <c r="AC6" i="4"/>
  <c r="AB6" i="4"/>
  <c r="AA6" i="4"/>
  <c r="Z6" i="4"/>
  <c r="Y6" i="4"/>
  <c r="X6" i="4"/>
  <c r="W6" i="4"/>
  <c r="V6" i="4"/>
  <c r="U6" i="4"/>
  <c r="T6" i="4"/>
  <c r="AD5" i="4"/>
  <c r="AE5" i="4" s="1"/>
  <c r="AC5" i="4"/>
  <c r="AB5" i="4"/>
  <c r="AA5" i="4"/>
  <c r="AF5" i="4" s="1"/>
  <c r="Z5" i="4"/>
  <c r="Y5" i="4"/>
  <c r="X5" i="4"/>
  <c r="W5" i="4"/>
  <c r="V5" i="4"/>
  <c r="U5" i="4"/>
  <c r="T5" i="4"/>
  <c r="AD4" i="4"/>
  <c r="AE4" i="4" s="1"/>
  <c r="AC4" i="4"/>
  <c r="AB4" i="4"/>
  <c r="AA4" i="4"/>
  <c r="AF4" i="4" s="1"/>
  <c r="Z4" i="4"/>
  <c r="Y4" i="4"/>
  <c r="X4" i="4"/>
  <c r="W4" i="4"/>
  <c r="V4" i="4"/>
  <c r="U4" i="4"/>
  <c r="T4" i="4"/>
  <c r="AF3" i="4"/>
  <c r="AD3" i="4"/>
  <c r="AE3" i="4" s="1"/>
  <c r="AC3" i="4"/>
  <c r="AB3" i="4"/>
  <c r="AA3" i="4"/>
  <c r="Z3" i="4"/>
  <c r="Y3" i="4"/>
  <c r="X3" i="4"/>
  <c r="W3" i="4"/>
  <c r="V3" i="4"/>
  <c r="U3" i="4"/>
  <c r="T3" i="4"/>
  <c r="AD2" i="4"/>
  <c r="AE2" i="4" s="1"/>
  <c r="AC2" i="4"/>
  <c r="AB2" i="4"/>
  <c r="AA2" i="4"/>
  <c r="AF2" i="4" s="1"/>
  <c r="Z2" i="4"/>
  <c r="Y2" i="4"/>
  <c r="X2" i="4"/>
  <c r="W2" i="4"/>
  <c r="V2" i="4"/>
  <c r="U2" i="4"/>
  <c r="T2" i="4"/>
  <c r="G51" i="2"/>
  <c r="E51" i="2"/>
  <c r="F51" i="2" s="1"/>
  <c r="C51" i="2"/>
  <c r="G50" i="2"/>
  <c r="E50" i="2"/>
  <c r="F50" i="2" s="1"/>
  <c r="C50" i="2"/>
  <c r="G49" i="2"/>
  <c r="E49" i="2"/>
  <c r="F49" i="2" s="1"/>
  <c r="C49" i="2"/>
  <c r="G48" i="2"/>
  <c r="E48" i="2"/>
  <c r="F48" i="2" s="1"/>
  <c r="C48" i="2"/>
  <c r="G47" i="2"/>
  <c r="G52" i="2" s="1"/>
  <c r="E47" i="2"/>
  <c r="C47" i="2"/>
  <c r="J41" i="2"/>
  <c r="I41" i="2"/>
  <c r="E41" i="2"/>
  <c r="G41" i="2" s="1"/>
  <c r="D41" i="2"/>
  <c r="B41" i="2"/>
  <c r="J40" i="2"/>
  <c r="I40" i="2"/>
  <c r="F40" i="2"/>
  <c r="H40" i="2" s="1"/>
  <c r="E40" i="2"/>
  <c r="G40" i="2" s="1"/>
  <c r="D40" i="2"/>
  <c r="B40" i="2"/>
  <c r="J39" i="2"/>
  <c r="I39" i="2"/>
  <c r="E39" i="2"/>
  <c r="G39" i="2" s="1"/>
  <c r="D39" i="2"/>
  <c r="B39" i="2"/>
  <c r="J38" i="2"/>
  <c r="I38" i="2"/>
  <c r="F38" i="2"/>
  <c r="H38" i="2" s="1"/>
  <c r="E38" i="2"/>
  <c r="G38" i="2" s="1"/>
  <c r="D38" i="2"/>
  <c r="B38" i="2"/>
  <c r="J37" i="2"/>
  <c r="I37" i="2"/>
  <c r="E37" i="2"/>
  <c r="D37" i="2"/>
  <c r="D42" i="2" s="1"/>
  <c r="B37" i="2"/>
  <c r="H32" i="2"/>
  <c r="G32" i="2"/>
  <c r="I32" i="2" s="1"/>
  <c r="E32" i="2"/>
  <c r="F32" i="2" s="1"/>
  <c r="D32" i="2"/>
  <c r="J32" i="2" s="1"/>
  <c r="C32" i="2"/>
  <c r="B32" i="2"/>
  <c r="H31" i="2"/>
  <c r="G31" i="2"/>
  <c r="I31" i="2" s="1"/>
  <c r="E31" i="2"/>
  <c r="F31" i="2" s="1"/>
  <c r="D31" i="2"/>
  <c r="J31" i="2" s="1"/>
  <c r="C31" i="2"/>
  <c r="B31" i="2"/>
  <c r="H30" i="2"/>
  <c r="G30" i="2"/>
  <c r="I30" i="2" s="1"/>
  <c r="E30" i="2"/>
  <c r="F30" i="2" s="1"/>
  <c r="D30" i="2"/>
  <c r="J30" i="2" s="1"/>
  <c r="C30" i="2"/>
  <c r="B30" i="2"/>
  <c r="H29" i="2"/>
  <c r="G29" i="2"/>
  <c r="I29" i="2" s="1"/>
  <c r="E29" i="2"/>
  <c r="F29" i="2" s="1"/>
  <c r="D29" i="2"/>
  <c r="J29" i="2" s="1"/>
  <c r="C29" i="2"/>
  <c r="B29" i="2"/>
  <c r="H28" i="2"/>
  <c r="G28" i="2"/>
  <c r="I28" i="2" s="1"/>
  <c r="E28" i="2"/>
  <c r="F28" i="2" s="1"/>
  <c r="D28" i="2"/>
  <c r="J28" i="2" s="1"/>
  <c r="C28" i="2"/>
  <c r="B28" i="2"/>
  <c r="Q12" i="2"/>
  <c r="Q11" i="2"/>
  <c r="P11" i="2"/>
  <c r="H11" i="2"/>
  <c r="G11" i="2"/>
  <c r="I11" i="2" s="1"/>
  <c r="F17" i="1" s="1"/>
  <c r="F11" i="2"/>
  <c r="D11" i="2"/>
  <c r="C11" i="2"/>
  <c r="Q10" i="2"/>
  <c r="P10" i="2"/>
  <c r="H10" i="2"/>
  <c r="G10" i="2"/>
  <c r="I10" i="2" s="1"/>
  <c r="F16" i="1" s="1"/>
  <c r="F10" i="2"/>
  <c r="D10" i="2"/>
  <c r="C10" i="2"/>
  <c r="Q9" i="2"/>
  <c r="P9" i="2"/>
  <c r="H9" i="2"/>
  <c r="G9" i="2"/>
  <c r="I9" i="2" s="1"/>
  <c r="F15" i="1" s="1"/>
  <c r="F9" i="2"/>
  <c r="D9" i="2"/>
  <c r="C9" i="2"/>
  <c r="Q8" i="2"/>
  <c r="P8" i="2"/>
  <c r="H8" i="2"/>
  <c r="G8" i="2"/>
  <c r="I8" i="2" s="1"/>
  <c r="F14" i="1" s="1"/>
  <c r="F8" i="2"/>
  <c r="D8" i="2"/>
  <c r="C8" i="2"/>
  <c r="Q7" i="2"/>
  <c r="P7" i="2"/>
  <c r="H7" i="2"/>
  <c r="G7" i="2"/>
  <c r="I7" i="2" s="1"/>
  <c r="F13" i="1" s="1"/>
  <c r="F7" i="2"/>
  <c r="D7" i="2"/>
  <c r="C7" i="2"/>
  <c r="Q6" i="2"/>
  <c r="P6" i="2"/>
  <c r="H6" i="2"/>
  <c r="H12" i="2" s="1"/>
  <c r="G6" i="2"/>
  <c r="F6" i="2"/>
  <c r="F12" i="2" s="1"/>
  <c r="D8" i="1" s="1"/>
  <c r="D6" i="2"/>
  <c r="C6" i="2"/>
  <c r="C12" i="2" s="1"/>
  <c r="C17" i="1"/>
  <c r="B17" i="1"/>
  <c r="C16" i="1"/>
  <c r="B16" i="1"/>
  <c r="C15" i="1"/>
  <c r="B15" i="1"/>
  <c r="C14" i="1"/>
  <c r="B14" i="1"/>
  <c r="C13" i="1"/>
  <c r="B13" i="1"/>
  <c r="C12" i="1"/>
  <c r="B12" i="1"/>
  <c r="J8" i="1"/>
  <c r="D22" i="3"/>
  <c r="E22" i="3" s="1"/>
  <c r="B22" i="3"/>
  <c r="C22" i="3" s="1"/>
  <c r="D21" i="3"/>
  <c r="E21" i="3" s="1"/>
  <c r="B21" i="3"/>
  <c r="C21" i="3" s="1"/>
  <c r="D20" i="3"/>
  <c r="E20" i="3" s="1"/>
  <c r="B20" i="3"/>
  <c r="C20" i="3" s="1"/>
  <c r="D19" i="3"/>
  <c r="E19" i="3" s="1"/>
  <c r="B19" i="3"/>
  <c r="C19" i="3" s="1"/>
  <c r="D18" i="3"/>
  <c r="E18" i="3" s="1"/>
  <c r="B18" i="3"/>
  <c r="C18" i="3" s="1"/>
  <c r="D17" i="3"/>
  <c r="E17" i="3" s="1"/>
  <c r="B17" i="3"/>
  <c r="C17" i="3" s="1"/>
  <c r="F11" i="3"/>
  <c r="E11" i="3"/>
  <c r="D11" i="3"/>
  <c r="C11" i="3"/>
  <c r="B11" i="3"/>
  <c r="G11" i="3" s="1"/>
  <c r="F10" i="3"/>
  <c r="E10" i="3"/>
  <c r="D10" i="3"/>
  <c r="C10" i="3"/>
  <c r="B10" i="3"/>
  <c r="G10" i="3" s="1"/>
  <c r="F9" i="3"/>
  <c r="E9" i="3"/>
  <c r="D9" i="3"/>
  <c r="C9" i="3"/>
  <c r="B9" i="3"/>
  <c r="G9" i="3" s="1"/>
  <c r="F8" i="3"/>
  <c r="E8" i="3"/>
  <c r="D8" i="3"/>
  <c r="C8" i="3"/>
  <c r="B8" i="3"/>
  <c r="G8" i="3" s="1"/>
  <c r="F7" i="3"/>
  <c r="E7" i="3"/>
  <c r="D7" i="3"/>
  <c r="C7" i="3"/>
  <c r="B7" i="3"/>
  <c r="G7" i="3" s="1"/>
  <c r="F6" i="3"/>
  <c r="F12" i="3" s="1"/>
  <c r="E6" i="3"/>
  <c r="E12" i="3" s="1"/>
  <c r="D6" i="3"/>
  <c r="D12" i="3" s="1"/>
  <c r="C6" i="3"/>
  <c r="C12" i="3" s="1"/>
  <c r="B6" i="3"/>
  <c r="F37" i="2" l="1"/>
  <c r="AE1406" i="4"/>
  <c r="AE1369" i="4"/>
  <c r="O10" i="2"/>
  <c r="K10" i="2"/>
  <c r="J10" i="2"/>
  <c r="M10" i="2" s="1"/>
  <c r="N10" i="2" s="1"/>
  <c r="E16" i="1" s="1"/>
  <c r="J8" i="2"/>
  <c r="M8" i="2" s="1"/>
  <c r="K8" i="2"/>
  <c r="O11" i="2"/>
  <c r="AE1364" i="4"/>
  <c r="K11" i="2"/>
  <c r="J11" i="2"/>
  <c r="M11" i="2" s="1"/>
  <c r="N11" i="2" s="1"/>
  <c r="E17" i="1" s="1"/>
  <c r="AE1362" i="4"/>
  <c r="O7" i="2"/>
  <c r="O6" i="2"/>
  <c r="O12" i="2" s="1"/>
  <c r="J7" i="1" s="1"/>
  <c r="AE1361" i="4"/>
  <c r="K6" i="2"/>
  <c r="J6" i="2"/>
  <c r="O9" i="2"/>
  <c r="AE1360" i="4"/>
  <c r="J9" i="2"/>
  <c r="M9" i="2" s="1"/>
  <c r="N9" i="2" s="1"/>
  <c r="E15" i="1" s="1"/>
  <c r="K9" i="2"/>
  <c r="AE1359" i="4"/>
  <c r="F39" i="2"/>
  <c r="H39" i="2" s="1"/>
  <c r="F41" i="2"/>
  <c r="H41" i="2" s="1"/>
  <c r="AE1358" i="4"/>
  <c r="C20" i="2"/>
  <c r="C17" i="2"/>
  <c r="C18" i="2"/>
  <c r="C22" i="2"/>
  <c r="D7" i="1"/>
  <c r="C23" i="2"/>
  <c r="C19" i="2"/>
  <c r="J7" i="2"/>
  <c r="M7" i="2" s="1"/>
  <c r="N7" i="2" s="1"/>
  <c r="E13" i="1" s="1"/>
  <c r="K7" i="2"/>
  <c r="C21" i="2"/>
  <c r="O8" i="2"/>
  <c r="AE1357" i="4"/>
  <c r="D23" i="2"/>
  <c r="D19" i="2"/>
  <c r="L8" i="2"/>
  <c r="D22" i="2"/>
  <c r="D20" i="2"/>
  <c r="D17" i="2"/>
  <c r="D18" i="2"/>
  <c r="D21" i="2"/>
  <c r="F7" i="1"/>
  <c r="D32" i="3"/>
  <c r="B32" i="3"/>
  <c r="C32" i="3"/>
  <c r="D28" i="3"/>
  <c r="B28" i="3"/>
  <c r="C28" i="3"/>
  <c r="B29" i="3"/>
  <c r="C29" i="3"/>
  <c r="D29" i="3"/>
  <c r="B31" i="3"/>
  <c r="D31" i="3"/>
  <c r="C31" i="3"/>
  <c r="D27" i="3"/>
  <c r="B27" i="3"/>
  <c r="C27" i="3"/>
  <c r="C33" i="3" s="1"/>
  <c r="C30" i="3"/>
  <c r="B30" i="3"/>
  <c r="D30" i="3"/>
  <c r="E52" i="2"/>
  <c r="F47" i="2"/>
  <c r="C52" i="2"/>
  <c r="D47" i="2" s="1"/>
  <c r="E42" i="2"/>
  <c r="G37" i="2"/>
  <c r="B42" i="2"/>
  <c r="C37" i="2"/>
  <c r="E11" i="2"/>
  <c r="D17" i="1" s="1"/>
  <c r="R11" i="2"/>
  <c r="G17" i="1" s="1"/>
  <c r="R10" i="2"/>
  <c r="G16" i="1" s="1"/>
  <c r="E10" i="2"/>
  <c r="D16" i="1" s="1"/>
  <c r="E9" i="2"/>
  <c r="D15" i="1" s="1"/>
  <c r="R9" i="2"/>
  <c r="G15" i="1" s="1"/>
  <c r="E8" i="2"/>
  <c r="D14" i="1" s="1"/>
  <c r="R8" i="2"/>
  <c r="G14" i="1" s="1"/>
  <c r="E7" i="2"/>
  <c r="D13" i="1" s="1"/>
  <c r="R7" i="2"/>
  <c r="G13" i="1" s="1"/>
  <c r="I6" i="2"/>
  <c r="F12" i="1" s="1"/>
  <c r="G12" i="2"/>
  <c r="P12" i="2"/>
  <c r="R12" i="2"/>
  <c r="R6" i="2"/>
  <c r="G12" i="1" s="1"/>
  <c r="E6" i="2"/>
  <c r="D12" i="1" s="1"/>
  <c r="D12" i="2"/>
  <c r="G6" i="3"/>
  <c r="G12" i="3" s="1"/>
  <c r="B12" i="3"/>
  <c r="H37" i="2" l="1"/>
  <c r="F42" i="2"/>
  <c r="H42" i="2" s="1"/>
  <c r="J12" i="2"/>
  <c r="M12" i="2" s="1"/>
  <c r="M6" i="2"/>
  <c r="N6" i="2" s="1"/>
  <c r="E12" i="1" s="1"/>
  <c r="E32" i="3"/>
  <c r="H17" i="1"/>
  <c r="H13" i="1"/>
  <c r="E28" i="3"/>
  <c r="H14" i="1"/>
  <c r="E29" i="3"/>
  <c r="E31" i="3"/>
  <c r="H16" i="1"/>
  <c r="B33" i="3"/>
  <c r="E27" i="3"/>
  <c r="H12" i="1"/>
  <c r="H15" i="1"/>
  <c r="E30" i="3"/>
  <c r="D50" i="2"/>
  <c r="D48" i="2"/>
  <c r="D52" i="2" s="1"/>
  <c r="D49" i="2"/>
  <c r="D51" i="2"/>
  <c r="C38" i="2"/>
  <c r="C42" i="2" s="1"/>
  <c r="C39" i="2"/>
  <c r="C41" i="2"/>
  <c r="C40" i="2"/>
  <c r="I42" i="2"/>
  <c r="J42" i="2"/>
  <c r="I12" i="2"/>
  <c r="F8" i="1"/>
  <c r="L7" i="1"/>
  <c r="G18" i="1"/>
  <c r="E12" i="2"/>
  <c r="C18" i="1"/>
  <c r="B7" i="1"/>
  <c r="E20" i="2"/>
  <c r="E19" i="2"/>
  <c r="K12" i="2"/>
  <c r="E22" i="2"/>
  <c r="E21" i="2"/>
  <c r="E18" i="2"/>
  <c r="E23" i="2"/>
  <c r="E17" i="2"/>
  <c r="F17" i="2" s="1"/>
  <c r="D33" i="3"/>
  <c r="F52" i="2"/>
  <c r="G42" i="2"/>
  <c r="N8" i="2"/>
  <c r="E14" i="1" s="1"/>
  <c r="L12" i="2"/>
  <c r="N12" i="2" s="1"/>
  <c r="E33" i="3" l="1"/>
  <c r="H18" i="1"/>
  <c r="L8" i="1"/>
  <c r="F18" i="1"/>
  <c r="H8" i="1"/>
  <c r="B8" i="1"/>
  <c r="D18" i="1"/>
  <c r="B18" i="2"/>
  <c r="G17" i="2"/>
  <c r="H17" i="2" s="1"/>
  <c r="H7" i="1"/>
  <c r="E18" i="1"/>
  <c r="F18" i="2" l="1"/>
  <c r="B19" i="2" l="1"/>
  <c r="G18" i="2"/>
  <c r="H18" i="2" s="1"/>
  <c r="G19" i="2" l="1"/>
  <c r="H19" i="2" s="1"/>
  <c r="F19" i="2"/>
  <c r="B20" i="2" s="1"/>
  <c r="F20" i="2" l="1"/>
  <c r="B21" i="2" l="1"/>
  <c r="G20" i="2"/>
  <c r="H20" i="2" s="1"/>
  <c r="G21" i="2" l="1"/>
  <c r="H21" i="2" s="1"/>
  <c r="F21" i="2"/>
  <c r="B22" i="2" s="1"/>
  <c r="F22" i="2" l="1"/>
  <c r="B23" i="2" l="1"/>
  <c r="G22" i="2"/>
  <c r="H22" i="2" s="1"/>
  <c r="G23" i="2" l="1"/>
  <c r="H23" i="2" s="1"/>
  <c r="F23" i="2"/>
</calcChain>
</file>

<file path=xl/sharedStrings.xml><?xml version="1.0" encoding="utf-8"?>
<sst xmlns="http://schemas.openxmlformats.org/spreadsheetml/2006/main" count="43545" uniqueCount="3941">
  <si>
    <t>NEXACORE TECHNOLOGIES — EXECUTIVE HR &amp; WORKFORCE ANALYTICS DASHBOARD</t>
  </si>
  <si>
    <t>Observation Window: FY 2019 – FY 2025 | Reporting Cutoff: 2025-12-31 | Synthetic Portfolio Dataset (n = 1,450 Unique Employees)</t>
  </si>
  <si>
    <t>Select Department Filter:</t>
  </si>
  <si>
    <t>All Departments</t>
  </si>
  <si>
    <t>Select Reporting Year:</t>
  </si>
  <si>
    <t>Department filter updates workforce KPIs; year filter updates hires and exits. Attrition KPI is fixed to FY2025.</t>
  </si>
  <si>
    <t>ACTIVE HEADCOUNT (AS OF CUTOFF)</t>
  </si>
  <si>
    <t>NEW HIRES (SELECTED YEAR)</t>
  </si>
  <si>
    <t>TOTAL EXITS (SELECTED YEAR)</t>
  </si>
  <si>
    <t>FY2025 ATTRITION RATE</t>
  </si>
  <si>
    <t>AVG TENURE (ACTIVE STAFF)</t>
  </si>
  <si>
    <t>ACTIVE OVERTIME PARTICIPATION</t>
  </si>
  <si>
    <t>Department Workforce, Attrition &amp; Risk Scorecard (With Exception Highlighting)</t>
  </si>
  <si>
    <t>Executive Insights &amp; Recommended Management Actions</t>
  </si>
  <si>
    <t>Department</t>
  </si>
  <si>
    <t>Active HC</t>
  </si>
  <si>
    <t>HC Variance</t>
  </si>
  <si>
    <t>FY25 Attrition %</t>
  </si>
  <si>
    <t>Cohort Attrition %</t>
  </si>
  <si>
    <t>Overtime %</t>
  </si>
  <si>
    <t>High Risk Staff</t>
  </si>
  <si>
    <t>1. Overtime &amp; Turnover Hotspot (Sales &amp; Ops):</t>
  </si>
  <si>
    <t>Enterprise Sales (52.2% OT, 15.1% FY25 attrition) and Customer Ops (51.2% OT, 37.1% cohort attrition) lead turnover. Action: Audit workload &amp; fill -26 open roles.</t>
  </si>
  <si>
    <t>2. External Agency ROI Deficit:</t>
  </si>
  <si>
    <t>External Agencies cost ₹145k/hire (2.4x weighted avg) yet show 40.4% cohort attrition &amp; 21.7% first-year attrition vs. Employee Referrals (20.0% cohort attrition at ₹42k). Action: Shift budget to Referrals.</t>
  </si>
  <si>
    <t>3. Entry-Level (L1) Onboarding Risk:</t>
  </si>
  <si>
    <t>L1 Associates represent 50.2% of all historical exits (34.9% attrition), and 64.0% of all exits occur in Year 1. Action: Launch 30-60-90 day L1 structured check-ins.</t>
  </si>
  <si>
    <t>4. Hybrid Hub vs. Remote Retention:</t>
  </si>
  <si>
    <t>Organization Total / Avg</t>
  </si>
  <si>
    <t>Remote-India cohort attrition is 14.3% vs. Pune (31.5%) and Bengaluru (29.4%). Action: Review commute/flexibility policies in Pune &amp; Bengaluru delivery centers.</t>
  </si>
  <si>
    <t>WORKFORCE ANALYTICS FORMULA ENGINE (SUMIF/S, COUNTIF/S, AVERAGEIF/S, VLOOKUP, INDEX/MATCH, XLOOKUP, SUMPRODUCT)</t>
  </si>
  <si>
    <t>All summary tables dynamically calculate from 'Cleaned_Data' ($A$2:$AF$1451) and 'Employee_Lookups' and feed the Executive Dashboard.</t>
  </si>
  <si>
    <t>1. Department-Wise Headcount, Attrition, Tenure, Overtime &amp; Budget Variance</t>
  </si>
  <si>
    <t>Dept_Code</t>
  </si>
  <si>
    <t>Approved_HC_Target</t>
  </si>
  <si>
    <t>Active_Headcount</t>
  </si>
  <si>
    <t>HC_Target_Variance</t>
  </si>
  <si>
    <t>Total_Historical_Hires</t>
  </si>
  <si>
    <t>Total_Historical_Exits</t>
  </si>
  <si>
    <t>Voluntary_Exits</t>
  </si>
  <si>
    <t>Cumulative_Cohort_Attrition_%</t>
  </si>
  <si>
    <t>FY2025_Starting_HC</t>
  </si>
  <si>
    <t>FY2025_Hires</t>
  </si>
  <si>
    <t>FY2025_Exits</t>
  </si>
  <si>
    <t>FY2025_Avg_HC</t>
  </si>
  <si>
    <t>FY2025_Annual_Attrition_%</t>
  </si>
  <si>
    <t>Avg_Tenure_Active_Yrs</t>
  </si>
  <si>
    <t>Avg_Active_Salary_INR</t>
  </si>
  <si>
    <t>Avg_Perf_Rating</t>
  </si>
  <si>
    <t>Active_Overtime_%</t>
  </si>
  <si>
    <t>Engineering &amp; Product</t>
  </si>
  <si>
    <t>DEP-ENG</t>
  </si>
  <si>
    <t>Enterprise Sales</t>
  </si>
  <si>
    <t>DEP-SAL</t>
  </si>
  <si>
    <t>Customer Operations</t>
  </si>
  <si>
    <t>DEP-OPS</t>
  </si>
  <si>
    <t>Growth Marketing</t>
  </si>
  <si>
    <t>DEP-MKT</t>
  </si>
  <si>
    <t>Finance &amp; Strategy</t>
  </si>
  <si>
    <t>DEP-FIN</t>
  </si>
  <si>
    <t>People &amp; Talent</t>
  </si>
  <si>
    <t>DEP-HR</t>
  </si>
  <si>
    <t>Total / Organization Benchmark</t>
  </si>
  <si>
    <t>ALL-ORG</t>
  </si>
  <si>
    <t>2. Historical Workforce Growth, Hiring Velocity &amp; Annualized Attrition Trend (2019–2025)</t>
  </si>
  <si>
    <t>Calendar_Year</t>
  </si>
  <si>
    <t>Starting_Headcount</t>
  </si>
  <si>
    <t>New_Hires</t>
  </si>
  <si>
    <t>Total_Exits</t>
  </si>
  <si>
    <t>Net_Headcount_Change</t>
  </si>
  <si>
    <t>Ending_Headcount</t>
  </si>
  <si>
    <t>Average_Headcount</t>
  </si>
  <si>
    <t>Annual_Attrition_Rate_%</t>
  </si>
  <si>
    <t>3. Job Level &amp; Compensation Band Distribution, Attrition &amp; Overtime Analysis</t>
  </si>
  <si>
    <t>Job_Level</t>
  </si>
  <si>
    <t>Level_Category</t>
  </si>
  <si>
    <t>Salary_Band</t>
  </si>
  <si>
    <t>Historical_Exits</t>
  </si>
  <si>
    <t>Cohort_Attrition_%</t>
  </si>
  <si>
    <t>Band_Midpoint_INR</t>
  </si>
  <si>
    <t>Avg_Compa_Ratio</t>
  </si>
  <si>
    <t>L1</t>
  </si>
  <si>
    <t>L2</t>
  </si>
  <si>
    <t>L3</t>
  </si>
  <si>
    <t>L4</t>
  </si>
  <si>
    <t>L5</t>
  </si>
  <si>
    <t>4. Recruitment Source ROI, First-Year Attrition &amp; Weighted Cost-Per-Hire (SUMPRODUCT)</t>
  </si>
  <si>
    <t>Recruitment_Source</t>
  </si>
  <si>
    <t>Total_Hires</t>
  </si>
  <si>
    <t>Share_of_Hires_%</t>
  </si>
  <si>
    <t>Active_Retained</t>
  </si>
  <si>
    <t>First_Year_Exits (&lt;1 Yr)</t>
  </si>
  <si>
    <t>Overall_Source_Attrition_%</t>
  </si>
  <si>
    <t>First_Year_Attrition_%</t>
  </si>
  <si>
    <t>Std_Cost_Per_Hire_INR</t>
  </si>
  <si>
    <t>Campus Recruitment</t>
  </si>
  <si>
    <t>Company Career Portal</t>
  </si>
  <si>
    <t>Employee Referral</t>
  </si>
  <si>
    <t>External Agency</t>
  </si>
  <si>
    <t>LinkedIn Sourcing</t>
  </si>
  <si>
    <t>Total / Weighted Portfolio</t>
  </si>
  <si>
    <t>5. Location &amp; Work Mode Headcount, Attrition &amp; Payroll Distribution</t>
  </si>
  <si>
    <t>Location</t>
  </si>
  <si>
    <t>Work_Mode</t>
  </si>
  <si>
    <t>Share_of_Active_HC_%</t>
  </si>
  <si>
    <t>Active_Payroll_INR (SUMIFS)</t>
  </si>
  <si>
    <t>Bengaluru</t>
  </si>
  <si>
    <t>Hybrid</t>
  </si>
  <si>
    <t>Pune</t>
  </si>
  <si>
    <t>Hyderabad</t>
  </si>
  <si>
    <t>On-Site</t>
  </si>
  <si>
    <t>Mumbai</t>
  </si>
  <si>
    <t>Remote-India</t>
  </si>
  <si>
    <t>Remote</t>
  </si>
  <si>
    <t>Total Organization</t>
  </si>
  <si>
    <t>All Modes</t>
  </si>
  <si>
    <t>MULTI-DIMENSIONAL CROSS-TAB ANALYSIS (Formula-Driven Pivot Matrices + Native PivotTable Staging)</t>
  </si>
  <si>
    <t>Note: Because Python XML builders cannot compile binary PivotCaches natively, these cross-tabs use live COUNTIFS/AVERAGEIFS formulas. Native PivotTables can be added in 30 seconds from 'tbl_Cleaned_HR'.</t>
  </si>
  <si>
    <t>Cross-Tab 1: Active Headcount by Department vs. Job Level (COUNTIFS Matrix)</t>
  </si>
  <si>
    <t>Total Active HC</t>
  </si>
  <si>
    <t>Total Active by Level</t>
  </si>
  <si>
    <t>Cross-Tab 2: Attrition Rate Comparison — Overtime vs. Non-Overtime Cohorts by Department</t>
  </si>
  <si>
    <t>Overtime = Yes (Exits)</t>
  </si>
  <si>
    <t>Overtime = Yes (Attrition %)</t>
  </si>
  <si>
    <t>Overtime = No (Exits)</t>
  </si>
  <si>
    <t>Overtime = No (Attrition %)</t>
  </si>
  <si>
    <t>Cross-Tab 3: Active Workforce Retention Risk Segmentation (High / Moderate / Low Risk)</t>
  </si>
  <si>
    <t>High Risk (Active)</t>
  </si>
  <si>
    <t>Moderate Risk (Active)</t>
  </si>
  <si>
    <t>Low Risk (Active)</t>
  </si>
  <si>
    <t>High Risk Share_%</t>
  </si>
  <si>
    <t>Total Active Risk Pool</t>
  </si>
  <si>
    <t>Employee_ID</t>
  </si>
  <si>
    <t>Full_Name</t>
  </si>
  <si>
    <t>Job_Level_Code</t>
  </si>
  <si>
    <t>Job_Title</t>
  </si>
  <si>
    <t>Hire_Date</t>
  </si>
  <si>
    <t>Employment_Status</t>
  </si>
  <si>
    <t>Exit_Date</t>
  </si>
  <si>
    <t>Exit_Reason</t>
  </si>
  <si>
    <t>Annual_Salary_INR</t>
  </si>
  <si>
    <t>Performance_Rating</t>
  </si>
  <si>
    <t>Overtime_Flag</t>
  </si>
  <si>
    <t>Training_Hours</t>
  </si>
  <si>
    <t>Manager_ID</t>
  </si>
  <si>
    <t>Emp_Serial_MID</t>
  </si>
  <si>
    <t>Dept_Abbr_LEFT</t>
  </si>
  <si>
    <t>Level_Check_RIGHT</t>
  </si>
  <si>
    <t>Manager_Name_VLOOKUP</t>
  </si>
  <si>
    <t>Cost_Center_VLOOKUP</t>
  </si>
  <si>
    <t>Salary_Band_INDEX_MATCH</t>
  </si>
  <si>
    <t>Band_Midpoint_XLOOKUP</t>
  </si>
  <si>
    <t>Compa_Ratio</t>
  </si>
  <si>
    <t>Hire_Year</t>
  </si>
  <si>
    <t>Exit_Year</t>
  </si>
  <si>
    <t>Tenure_Years</t>
  </si>
  <si>
    <t>Tenure_Band_IF</t>
  </si>
  <si>
    <t>Retention_Risk_Flag</t>
  </si>
  <si>
    <t>EMP-11004</t>
  </si>
  <si>
    <t>Aarav Shah</t>
  </si>
  <si>
    <t>MKT-L1</t>
  </si>
  <si>
    <t>Marketing Associate</t>
  </si>
  <si>
    <t>Active</t>
  </si>
  <si>
    <t>N/A - Active</t>
  </si>
  <si>
    <t>No</t>
  </si>
  <si>
    <t>MGR-602</t>
  </si>
  <si>
    <t>EMP-10815</t>
  </si>
  <si>
    <t>Pranav Chitnis</t>
  </si>
  <si>
    <t>OPS-L4</t>
  </si>
  <si>
    <t>Director of Operations</t>
  </si>
  <si>
    <t>Involuntary Exit</t>
  </si>
  <si>
    <t>Performance / Restructuring</t>
  </si>
  <si>
    <t>Yes</t>
  </si>
  <si>
    <t>MGR-302</t>
  </si>
  <si>
    <t>EMP-10751</t>
  </si>
  <si>
    <t>Vihaan Menon</t>
  </si>
  <si>
    <t>ENG-L2</t>
  </si>
  <si>
    <t>Software Engineer II</t>
  </si>
  <si>
    <t>MGR-101</t>
  </si>
  <si>
    <t>EMP-10863</t>
  </si>
  <si>
    <t>Yash Bhatt</t>
  </si>
  <si>
    <t>ENG-L1</t>
  </si>
  <si>
    <t>Software Engineer I</t>
  </si>
  <si>
    <t>EMP-10356</t>
  </si>
  <si>
    <t>Ananya Reddy</t>
  </si>
  <si>
    <t>SAL-L2</t>
  </si>
  <si>
    <t>Account Executive</t>
  </si>
  <si>
    <t>Voluntary Exit</t>
  </si>
  <si>
    <t>Higher Education</t>
  </si>
  <si>
    <t>MGR-202</t>
  </si>
  <si>
    <t>EMP-10463</t>
  </si>
  <si>
    <t>Pranav Malhotra</t>
  </si>
  <si>
    <t>SAL-L3</t>
  </si>
  <si>
    <t>Regional Sales Manager</t>
  </si>
  <si>
    <t>MGR-201</t>
  </si>
  <si>
    <t>EMP-11114</t>
  </si>
  <si>
    <t>Ira Patil</t>
  </si>
  <si>
    <t>MGR-103</t>
  </si>
  <si>
    <t>EMP-11174</t>
  </si>
  <si>
    <t>Yash Joshi</t>
  </si>
  <si>
    <t>SAL-L4</t>
  </si>
  <si>
    <t>Director of Enterprise Sales</t>
  </si>
  <si>
    <t>EMP-10746</t>
  </si>
  <si>
    <t>Tejas Rao</t>
  </si>
  <si>
    <t>EMP-11431</t>
  </si>
  <si>
    <t>Pranav Joshi</t>
  </si>
  <si>
    <t>FIN-L1</t>
  </si>
  <si>
    <t>Financial Analyst</t>
  </si>
  <si>
    <t>MGR-401</t>
  </si>
  <si>
    <t>EMP-10360</t>
  </si>
  <si>
    <t>Neha Sharma</t>
  </si>
  <si>
    <t>FIN-L2</t>
  </si>
  <si>
    <t>Senior FP&amp;A Analyst</t>
  </si>
  <si>
    <t>Career Growth</t>
  </si>
  <si>
    <t>MGR-402</t>
  </si>
  <si>
    <t>EMP-10920</t>
  </si>
  <si>
    <t>Shruti Joshi</t>
  </si>
  <si>
    <t>ENG-L3</t>
  </si>
  <si>
    <t>Engineering Manager</t>
  </si>
  <si>
    <t>MGR-102</t>
  </si>
  <si>
    <t>EMP-10123</t>
  </si>
  <si>
    <t>Diya Verma</t>
  </si>
  <si>
    <t>MKT-L2</t>
  </si>
  <si>
    <t>Growth Specialist</t>
  </si>
  <si>
    <t>MGR-601</t>
  </si>
  <si>
    <t>EMP-10426</t>
  </si>
  <si>
    <t>Vihaan Sharma</t>
  </si>
  <si>
    <t>EMP-10013</t>
  </si>
  <si>
    <t>Krishna Sengupta</t>
  </si>
  <si>
    <t>OPS-L2</t>
  </si>
  <si>
    <t>Customer Success Specialist</t>
  </si>
  <si>
    <t>EMP-10687</t>
  </si>
  <si>
    <t>Omkar Sharma</t>
  </si>
  <si>
    <t>EMP-10004</t>
  </si>
  <si>
    <t>Neha Gokhale</t>
  </si>
  <si>
    <t>EMP-11084</t>
  </si>
  <si>
    <t>Reyansh Bhatt</t>
  </si>
  <si>
    <t>MGR-203</t>
  </si>
  <si>
    <t>EMP-10414</t>
  </si>
  <si>
    <t>Omkar Joshi</t>
  </si>
  <si>
    <t>OPS-L3</t>
  </si>
  <si>
    <t>Operations Lead</t>
  </si>
  <si>
    <t>EMP-11177</t>
  </si>
  <si>
    <t>Neha Chatterjee</t>
  </si>
  <si>
    <t>MGR-104</t>
  </si>
  <si>
    <t>EMP-10739</t>
  </si>
  <si>
    <t>Tejas Kapoor</t>
  </si>
  <si>
    <t>EMP-11332</t>
  </si>
  <si>
    <t>Navya Iyer</t>
  </si>
  <si>
    <t>EMP-11268</t>
  </si>
  <si>
    <t>Meera Iyer</t>
  </si>
  <si>
    <t>-HR-L2</t>
  </si>
  <si>
    <t>Talent Acquisition Partner</t>
  </si>
  <si>
    <t>MGR-502</t>
  </si>
  <si>
    <t>EMP-11152</t>
  </si>
  <si>
    <t>Ayaan Iyer</t>
  </si>
  <si>
    <t>EMP-10245</t>
  </si>
  <si>
    <t>Myra Shah</t>
  </si>
  <si>
    <t>EMP-10019</t>
  </si>
  <si>
    <t>Riya Nair</t>
  </si>
  <si>
    <t>EMP-11308</t>
  </si>
  <si>
    <t>Vikram Nair</t>
  </si>
  <si>
    <t>MGR-301</t>
  </si>
  <si>
    <t>EMP-11214</t>
  </si>
  <si>
    <t>Kavya Sharma</t>
  </si>
  <si>
    <t>EMP-11425</t>
  </si>
  <si>
    <t>Navya Nair</t>
  </si>
  <si>
    <t>EMP-11185</t>
  </si>
  <si>
    <t>Pari Joshi</t>
  </si>
  <si>
    <t>Work-Life Balance</t>
  </si>
  <si>
    <t>EMP-11334</t>
  </si>
  <si>
    <t>Kiara Patil</t>
  </si>
  <si>
    <t>EMP-10701</t>
  </si>
  <si>
    <t>Aarav Iyer</t>
  </si>
  <si>
    <t>MGR-303</t>
  </si>
  <si>
    <t>EMP-10695</t>
  </si>
  <si>
    <t>Krishna Joshi</t>
  </si>
  <si>
    <t>OPS-L1</t>
  </si>
  <si>
    <t>Operations Coordinator</t>
  </si>
  <si>
    <t>EMP-10817</t>
  </si>
  <si>
    <t>SAL-L5</t>
  </si>
  <si>
    <t>VP of Sales</t>
  </si>
  <si>
    <t>Compensation</t>
  </si>
  <si>
    <t>EMP-10124</t>
  </si>
  <si>
    <t>Aadhya Reddy</t>
  </si>
  <si>
    <t>EMP-10654</t>
  </si>
  <si>
    <t>Kiara Nair</t>
  </si>
  <si>
    <t>FIN-L3</t>
  </si>
  <si>
    <t>Finance Manager</t>
  </si>
  <si>
    <t>EMP-11437</t>
  </si>
  <si>
    <t>Aadhya Rao</t>
  </si>
  <si>
    <t>EMP-10692</t>
  </si>
  <si>
    <t>Omkar Shah</t>
  </si>
  <si>
    <t>EMP-10274</t>
  </si>
  <si>
    <t>Aadhya Nair</t>
  </si>
  <si>
    <t>EMP-10808</t>
  </si>
  <si>
    <t>Vihaan Patil</t>
  </si>
  <si>
    <t>EMP-10263</t>
  </si>
  <si>
    <t>Riya Joshi</t>
  </si>
  <si>
    <t>EMP-10115</t>
  </si>
  <si>
    <t>Aadhya Kapoor</t>
  </si>
  <si>
    <t>EMP-10235</t>
  </si>
  <si>
    <t>EMP-11318</t>
  </si>
  <si>
    <t>Sai Iyer</t>
  </si>
  <si>
    <t>EMP-10354</t>
  </si>
  <si>
    <t>Saanvi Chatterjee</t>
  </si>
  <si>
    <t>EMP-10750</t>
  </si>
  <si>
    <t>Ishaan Chatterjee</t>
  </si>
  <si>
    <t>Relocation</t>
  </si>
  <si>
    <t>EMP-10401</t>
  </si>
  <si>
    <t>Vikram Mehta</t>
  </si>
  <si>
    <t>EMP-11022</t>
  </si>
  <si>
    <t>Swati Kulkarni</t>
  </si>
  <si>
    <t>EMP-11193</t>
  </si>
  <si>
    <t>Sai Kulkarni</t>
  </si>
  <si>
    <t>EMP-10397</t>
  </si>
  <si>
    <t>Kavya Chatterjee</t>
  </si>
  <si>
    <t>-HR-L4</t>
  </si>
  <si>
    <t>Director of People</t>
  </si>
  <si>
    <t>MGR-501</t>
  </si>
  <si>
    <t>EMP-10901</t>
  </si>
  <si>
    <t>Krishna Shah</t>
  </si>
  <si>
    <t>SAL-L1</t>
  </si>
  <si>
    <t>Sales Development Rep</t>
  </si>
  <si>
    <t>EMP-11104</t>
  </si>
  <si>
    <t>Neha Nair</t>
  </si>
  <si>
    <t>EMP-11124</t>
  </si>
  <si>
    <t>Swati Reddy</t>
  </si>
  <si>
    <t>ENG-L5</t>
  </si>
  <si>
    <t>VP of Engineering</t>
  </si>
  <si>
    <t>EMP-11448</t>
  </si>
  <si>
    <t>Aadhya Iyer</t>
  </si>
  <si>
    <t>EMP-10542</t>
  </si>
  <si>
    <t>Ananya Sengupta</t>
  </si>
  <si>
    <t>EMP-10213</t>
  </si>
  <si>
    <t>Mrunal Rao</t>
  </si>
  <si>
    <t>EMP-10345</t>
  </si>
  <si>
    <t>Kiara Rao</t>
  </si>
  <si>
    <t>EMP-11119</t>
  </si>
  <si>
    <t>Ira Nair</t>
  </si>
  <si>
    <t>EMP-10522</t>
  </si>
  <si>
    <t>Arjun Sharma</t>
  </si>
  <si>
    <t>EMP-10187</t>
  </si>
  <si>
    <t>Pari Chitnis</t>
  </si>
  <si>
    <t>EMP-10417</t>
  </si>
  <si>
    <t>Yash Malhotra</t>
  </si>
  <si>
    <t>EMP-11253</t>
  </si>
  <si>
    <t>Gaurav Sengupta</t>
  </si>
  <si>
    <t>EMP-10962</t>
  </si>
  <si>
    <t>Neha Kapoor</t>
  </si>
  <si>
    <t>EMP-10038</t>
  </si>
  <si>
    <t>Ayaan Joshi</t>
  </si>
  <si>
    <t>EMP-10111</t>
  </si>
  <si>
    <t>Pranav Nair</t>
  </si>
  <si>
    <t>EMP-11443</t>
  </si>
  <si>
    <t>Omkar Kapoor</t>
  </si>
  <si>
    <t>-HR-L1</t>
  </si>
  <si>
    <t>HR Coordinator</t>
  </si>
  <si>
    <t>EMP-10335</t>
  </si>
  <si>
    <t>Arjun Mehta</t>
  </si>
  <si>
    <t>EMP-10234</t>
  </si>
  <si>
    <t>Nikhil Sengupta</t>
  </si>
  <si>
    <t>EMP-10296</t>
  </si>
  <si>
    <t>Vivaan Sengupta</t>
  </si>
  <si>
    <t>EMP-10211</t>
  </si>
  <si>
    <t>EMP-11391</t>
  </si>
  <si>
    <t>Tejas Shah</t>
  </si>
  <si>
    <t>EMP-11413</t>
  </si>
  <si>
    <t>Saanvi Kapoor</t>
  </si>
  <si>
    <t>EMP-11089</t>
  </si>
  <si>
    <t>Aditya Nair</t>
  </si>
  <si>
    <t>EMP-10724</t>
  </si>
  <si>
    <t>Ananya Rao</t>
  </si>
  <si>
    <t>EMP-10157</t>
  </si>
  <si>
    <t>Swati Shah</t>
  </si>
  <si>
    <t>EMP-11002</t>
  </si>
  <si>
    <t>Neha Iyer</t>
  </si>
  <si>
    <t>EMP-10555</t>
  </si>
  <si>
    <t>Pallavi Verma</t>
  </si>
  <si>
    <t>EMP-10997</t>
  </si>
  <si>
    <t>Siddharth Reddy</t>
  </si>
  <si>
    <t>EMP-10171</t>
  </si>
  <si>
    <t>Omkar Mehta</t>
  </si>
  <si>
    <t>EMP-11113</t>
  </si>
  <si>
    <t>Myra Kapoor</t>
  </si>
  <si>
    <t>EMP-11042</t>
  </si>
  <si>
    <t>EMP-11001</t>
  </si>
  <si>
    <t>Riya Patil</t>
  </si>
  <si>
    <t>EMP-10979</t>
  </si>
  <si>
    <t>EMP-10967</t>
  </si>
  <si>
    <t>Saanvi Bhatt</t>
  </si>
  <si>
    <t>MKT-L3</t>
  </si>
  <si>
    <t>Product Marketing Manager</t>
  </si>
  <si>
    <t>EMP-11244</t>
  </si>
  <si>
    <t>Kavya Verma</t>
  </si>
  <si>
    <t>EMP-10292</t>
  </si>
  <si>
    <t>Shruti Reddy</t>
  </si>
  <si>
    <t>ENG-L4</t>
  </si>
  <si>
    <t>Director of Engineering</t>
  </si>
  <si>
    <t>EMP-11136</t>
  </si>
  <si>
    <t>Sneha Sharma</t>
  </si>
  <si>
    <t>EMP-10864</t>
  </si>
  <si>
    <t>Nikhil Reddy</t>
  </si>
  <si>
    <t>EMP-10543</t>
  </si>
  <si>
    <t>EMP-11312</t>
  </si>
  <si>
    <t>Vihaan Chatterjee</t>
  </si>
  <si>
    <t>EMP-10054</t>
  </si>
  <si>
    <t>Riya Malhotra</t>
  </si>
  <si>
    <t>EMP-10953</t>
  </si>
  <si>
    <t>EMP-10757</t>
  </si>
  <si>
    <t>Aarav Deshmukh</t>
  </si>
  <si>
    <t>EMP-11351</t>
  </si>
  <si>
    <t>EMP-10328</t>
  </si>
  <si>
    <t>Gaurav Sharma</t>
  </si>
  <si>
    <t>EMP-10935</t>
  </si>
  <si>
    <t>Vihaan Bhatt</t>
  </si>
  <si>
    <t>EMP-10758</t>
  </si>
  <si>
    <t>Myra Iyer</t>
  </si>
  <si>
    <t>EMP-10196</t>
  </si>
  <si>
    <t>Ishaan Rao</t>
  </si>
  <si>
    <t>EMP-11032</t>
  </si>
  <si>
    <t>Aditya Chatterjee</t>
  </si>
  <si>
    <t>EMP-10819</t>
  </si>
  <si>
    <t>Tanvi Gokhale</t>
  </si>
  <si>
    <t>EMP-10010</t>
  </si>
  <si>
    <t>Rohan Kulkarni</t>
  </si>
  <si>
    <t>EMP-11331</t>
  </si>
  <si>
    <t>Karan Menon</t>
  </si>
  <si>
    <t>EMP-10672</t>
  </si>
  <si>
    <t>Ira Sharma</t>
  </si>
  <si>
    <t>EMP-11164</t>
  </si>
  <si>
    <t>Aadhya Menon</t>
  </si>
  <si>
    <t>EMP-11144</t>
  </si>
  <si>
    <t>Pranav Verma</t>
  </si>
  <si>
    <t>EMP-10076</t>
  </si>
  <si>
    <t>Ayaan Verma</t>
  </si>
  <si>
    <t>EMP-10051</t>
  </si>
  <si>
    <t>EMP-10064</t>
  </si>
  <si>
    <t>Kiara Menon</t>
  </si>
  <si>
    <t>EMP-10769</t>
  </si>
  <si>
    <t>Sai Chitnis</t>
  </si>
  <si>
    <t>EMP-11064</t>
  </si>
  <si>
    <t>Aarav Sharma</t>
  </si>
  <si>
    <t>EMP-10500</t>
  </si>
  <si>
    <t>Sneha Rao</t>
  </si>
  <si>
    <t>EMP-10991</t>
  </si>
  <si>
    <t>EMP-10909</t>
  </si>
  <si>
    <t>EMP-11239</t>
  </si>
  <si>
    <t>EMP-10536</t>
  </si>
  <si>
    <t>Neha Menon</t>
  </si>
  <si>
    <t>EMP-10255</t>
  </si>
  <si>
    <t>Aditya Malhotra</t>
  </si>
  <si>
    <t>EMP-10982</t>
  </si>
  <si>
    <t>Riya Rao</t>
  </si>
  <si>
    <t>EMP-11401</t>
  </si>
  <si>
    <t>MKT-L4</t>
  </si>
  <si>
    <t>Director of Marketing</t>
  </si>
  <si>
    <t>EMP-10188</t>
  </si>
  <si>
    <t>Ananya Iyer</t>
  </si>
  <si>
    <t>EMP-11130</t>
  </si>
  <si>
    <t>Ayaan Mehta</t>
  </si>
  <si>
    <t>EMP-11087</t>
  </si>
  <si>
    <t>Aadhya Sengupta</t>
  </si>
  <si>
    <t>EMP-10799</t>
  </si>
  <si>
    <t>Reyansh Reddy</t>
  </si>
  <si>
    <t>EMP-11205</t>
  </si>
  <si>
    <t>Kavya Shah</t>
  </si>
  <si>
    <t>EMP-11418</t>
  </si>
  <si>
    <t>Gaurav Patil</t>
  </si>
  <si>
    <t>EMP-11275</t>
  </si>
  <si>
    <t>Ananya Shah</t>
  </si>
  <si>
    <t>EMP-10126</t>
  </si>
  <si>
    <t>Myra Reddy</t>
  </si>
  <si>
    <t>EMP-10055</t>
  </si>
  <si>
    <t>Karan Reddy</t>
  </si>
  <si>
    <t>EMP-11441</t>
  </si>
  <si>
    <t>EMP-11377</t>
  </si>
  <si>
    <t>Shruti Chatterjee</t>
  </si>
  <si>
    <t>EMP-11313</t>
  </si>
  <si>
    <t>Kiara Mehta</t>
  </si>
  <si>
    <t>EMP-10647</t>
  </si>
  <si>
    <t>Reyansh Shah</t>
  </si>
  <si>
    <t>EMP-10875</t>
  </si>
  <si>
    <t>Yash Iyer</t>
  </si>
  <si>
    <t>-HR-L3</t>
  </si>
  <si>
    <t>HR Business Partner</t>
  </si>
  <si>
    <t>EMP-10684</t>
  </si>
  <si>
    <t>Pari Reddy</t>
  </si>
  <si>
    <t>EMP-10261</t>
  </si>
  <si>
    <t>EMP-11260</t>
  </si>
  <si>
    <t>Siddharth Sengupta</t>
  </si>
  <si>
    <t>EMP-11227</t>
  </si>
  <si>
    <t>EMP-10256</t>
  </si>
  <si>
    <t>Aarav Rao</t>
  </si>
  <si>
    <t>EMP-10540</t>
  </si>
  <si>
    <t>Yash Chatterjee</t>
  </si>
  <si>
    <t>EMP-10640</t>
  </si>
  <si>
    <t>Rohan Bhatt</t>
  </si>
  <si>
    <t>EMP-10237</t>
  </si>
  <si>
    <t>Tanvi Sharma</t>
  </si>
  <si>
    <t>EMP-10473</t>
  </si>
  <si>
    <t>Myra Sengupta</t>
  </si>
  <si>
    <t>EMP-10324</t>
  </si>
  <si>
    <t>Siddharth Bhatt</t>
  </si>
  <si>
    <t>EMP-10442</t>
  </si>
  <si>
    <t>Pooja Iyer</t>
  </si>
  <si>
    <t>EMP-10700</t>
  </si>
  <si>
    <t>Saanvi Shah</t>
  </si>
  <si>
    <t>EMP-10772</t>
  </si>
  <si>
    <t>Pallavi Nair</t>
  </si>
  <si>
    <t>EMP-10122</t>
  </si>
  <si>
    <t>Navya Chitnis</t>
  </si>
  <si>
    <t>EMP-10985</t>
  </si>
  <si>
    <t>Mrunal Shah</t>
  </si>
  <si>
    <t>EMP-11438</t>
  </si>
  <si>
    <t>Neha Rao</t>
  </si>
  <si>
    <t>EMP-11432</t>
  </si>
  <si>
    <t>EMP-11023</t>
  </si>
  <si>
    <t>Tanvi Malhotra</t>
  </si>
  <si>
    <t>EMP-10466</t>
  </si>
  <si>
    <t>Meera Shah</t>
  </si>
  <si>
    <t>EMP-10270</t>
  </si>
  <si>
    <t>Yash Kulkarni</t>
  </si>
  <si>
    <t>EMP-11392</t>
  </si>
  <si>
    <t>Aadhya Chitnis</t>
  </si>
  <si>
    <t>EMP-10680</t>
  </si>
  <si>
    <t>Vihaan Iyer</t>
  </si>
  <si>
    <t>EMP-10086</t>
  </si>
  <si>
    <t>Riya Mehta</t>
  </si>
  <si>
    <t>EMP-10944</t>
  </si>
  <si>
    <t>EMP-10956</t>
  </si>
  <si>
    <t>Reyansh Kulkarni</t>
  </si>
  <si>
    <t>EMP-10936</t>
  </si>
  <si>
    <t>Vikram Menon</t>
  </si>
  <si>
    <t>EMP-10312</t>
  </si>
  <si>
    <t>Vivaan Patil</t>
  </si>
  <si>
    <t>EMP-10490</t>
  </si>
  <si>
    <t>OPS-L5</t>
  </si>
  <si>
    <t>VP of Customer Ops</t>
  </si>
  <si>
    <t>EMP-11341</t>
  </si>
  <si>
    <t>Karan Chatterjee</t>
  </si>
  <si>
    <t>EMP-11410</t>
  </si>
  <si>
    <t>EMP-10837</t>
  </si>
  <si>
    <t>EMP-10605</t>
  </si>
  <si>
    <t>Tanvi Bhatt</t>
  </si>
  <si>
    <t>EMP-10216</t>
  </si>
  <si>
    <t>Shruti Deshmukh</t>
  </si>
  <si>
    <t>EMP-11027</t>
  </si>
  <si>
    <t>Vikram Rao</t>
  </si>
  <si>
    <t>EMP-11095</t>
  </si>
  <si>
    <t>Kiara Kapoor</t>
  </si>
  <si>
    <t>EMP-10564</t>
  </si>
  <si>
    <t>Neha Mehta</t>
  </si>
  <si>
    <t>EMP-11229</t>
  </si>
  <si>
    <t>Pranav Patil</t>
  </si>
  <si>
    <t>EMP-10733</t>
  </si>
  <si>
    <t>Vikram Patil</t>
  </si>
  <si>
    <t>EMP-11382</t>
  </si>
  <si>
    <t>Aarav Chitnis</t>
  </si>
  <si>
    <t>EMP-10827</t>
  </si>
  <si>
    <t>EMP-11439</t>
  </si>
  <si>
    <t>EMP-10278</t>
  </si>
  <si>
    <t>Aadhya Mehta</t>
  </si>
  <si>
    <t>EMP-10429</t>
  </si>
  <si>
    <t>Gaurav Mehta</t>
  </si>
  <si>
    <t>EMP-10660</t>
  </si>
  <si>
    <t>Ishaan Deshmukh</t>
  </si>
  <si>
    <t>EMP-11265</t>
  </si>
  <si>
    <t>Saanvi Gokhale</t>
  </si>
  <si>
    <t>EMP-10588</t>
  </si>
  <si>
    <t>Reyansh Gokhale</t>
  </si>
  <si>
    <t>EMP-11262</t>
  </si>
  <si>
    <t>Aadhya Malhotra</t>
  </si>
  <si>
    <t>EMP-11079</t>
  </si>
  <si>
    <t>Sneha Iyer</t>
  </si>
  <si>
    <t>EMP-10625</t>
  </si>
  <si>
    <t>Vihaan Kulkarni</t>
  </si>
  <si>
    <t>EMP-10349</t>
  </si>
  <si>
    <t>Siddharth Kulkarni</t>
  </si>
  <si>
    <t>FIN-L4</t>
  </si>
  <si>
    <t>Director of Finance</t>
  </si>
  <si>
    <t>EMP-10869</t>
  </si>
  <si>
    <t>Siddharth Chitnis</t>
  </si>
  <si>
    <t>EMP-10206</t>
  </si>
  <si>
    <t>Reyansh Patil</t>
  </si>
  <si>
    <t>EMP-11289</t>
  </si>
  <si>
    <t>EMP-10893</t>
  </si>
  <si>
    <t>Tejas Kulkarni</t>
  </si>
  <si>
    <t>EMP-10059</t>
  </si>
  <si>
    <t>Kiara Sharma</t>
  </si>
  <si>
    <t>EMP-11122</t>
  </si>
  <si>
    <t>EMP-11203</t>
  </si>
  <si>
    <t>Vivaan Verma</t>
  </si>
  <si>
    <t>EMP-10362</t>
  </si>
  <si>
    <t>EMP-10110</t>
  </si>
  <si>
    <t>Ayaan Sharma</t>
  </si>
  <si>
    <t>EMP-10892</t>
  </si>
  <si>
    <t>Ishaan Chitnis</t>
  </si>
  <si>
    <t>EMP-11371</t>
  </si>
  <si>
    <t>Vikram Sharma</t>
  </si>
  <si>
    <t>EMP-10085</t>
  </si>
  <si>
    <t>Kiara Chatterjee</t>
  </si>
  <si>
    <t>EMP-10774</t>
  </si>
  <si>
    <t>EMP-10560</t>
  </si>
  <si>
    <t>EMP-10166</t>
  </si>
  <si>
    <t>EMP-10409</t>
  </si>
  <si>
    <t>Pooja Patil</t>
  </si>
  <si>
    <t>EMP-10798</t>
  </si>
  <si>
    <t>Aditya Kulkarni</t>
  </si>
  <si>
    <t>EMP-10147</t>
  </si>
  <si>
    <t>Aadhya Shah</t>
  </si>
  <si>
    <t>EMP-10782</t>
  </si>
  <si>
    <t>Pallavi Rao</t>
  </si>
  <si>
    <t>EMP-10284</t>
  </si>
  <si>
    <t>EMP-11402</t>
  </si>
  <si>
    <t>Saanvi Joshi</t>
  </si>
  <si>
    <t>EMP-10002</t>
  </si>
  <si>
    <t>Yash Patil</t>
  </si>
  <si>
    <t>EMP-10477</t>
  </si>
  <si>
    <t>Neha Joshi</t>
  </si>
  <si>
    <t>EMP-10048</t>
  </si>
  <si>
    <t>Gaurav Malhotra</t>
  </si>
  <si>
    <t>EMP-10303</t>
  </si>
  <si>
    <t>Aditya Verma</t>
  </si>
  <si>
    <t>EMP-11317</t>
  </si>
  <si>
    <t>Pooja Shah</t>
  </si>
  <si>
    <t>EMP-10749</t>
  </si>
  <si>
    <t>Shruti Verma</t>
  </si>
  <si>
    <t>EMP-11248</t>
  </si>
  <si>
    <t>Omkar Chatterjee</t>
  </si>
  <si>
    <t>EMP-11234</t>
  </si>
  <si>
    <t>Pranav Sharma</t>
  </si>
  <si>
    <t>EMP-10380</t>
  </si>
  <si>
    <t>Diya Nair</t>
  </si>
  <si>
    <t>EMP-10387</t>
  </si>
  <si>
    <t>EMP-10090</t>
  </si>
  <si>
    <t>Krishna Menon</t>
  </si>
  <si>
    <t>EMP-10489</t>
  </si>
  <si>
    <t>Reyansh Malhotra</t>
  </si>
  <si>
    <t>EMP-10233</t>
  </si>
  <si>
    <t>Pooja Kulkarni</t>
  </si>
  <si>
    <t>EMP-10469</t>
  </si>
  <si>
    <t>Myra Bhatt</t>
  </si>
  <si>
    <t>EMP-11086</t>
  </si>
  <si>
    <t>EMP-11370</t>
  </si>
  <si>
    <t>Aarav Mehta</t>
  </si>
  <si>
    <t>EMP-10734</t>
  </si>
  <si>
    <t>Pooja Bhatt</t>
  </si>
  <si>
    <t>EMP-11416</t>
  </si>
  <si>
    <t>EMP-10626</t>
  </si>
  <si>
    <t>Vikram Reddy</t>
  </si>
  <si>
    <t>EMP-11287</t>
  </si>
  <si>
    <t>Pari Shah</t>
  </si>
  <si>
    <t>EMP-11319</t>
  </si>
  <si>
    <t>EMP-10153</t>
  </si>
  <si>
    <t>EMP-11147</t>
  </si>
  <si>
    <t>Karan Chitnis</t>
  </si>
  <si>
    <t>EMP-10170</t>
  </si>
  <si>
    <t>Tejas Sharma</t>
  </si>
  <si>
    <t>EMP-11081</t>
  </si>
  <si>
    <t>EMP-11298</t>
  </si>
  <si>
    <t>EMP-10165</t>
  </si>
  <si>
    <t>Gaurav Bhatt</t>
  </si>
  <si>
    <t>EMP-10795</t>
  </si>
  <si>
    <t>Mrunal Verma</t>
  </si>
  <si>
    <t>EMP-10972</t>
  </si>
  <si>
    <t>Ayaan Kulkarni</t>
  </si>
  <si>
    <t>EMP-10743</t>
  </si>
  <si>
    <t>Ira Reddy</t>
  </si>
  <si>
    <t>EMP-10179</t>
  </si>
  <si>
    <t>EMP-11232</t>
  </si>
  <si>
    <t>Yash Nair</t>
  </si>
  <si>
    <t>EMP-10648</t>
  </si>
  <si>
    <t>Vikram Kapoor</t>
  </si>
  <si>
    <t>EMP-10934</t>
  </si>
  <si>
    <t>Sai Chatterjee</t>
  </si>
  <si>
    <t>EMP-10441</t>
  </si>
  <si>
    <t>Meera Mehta</t>
  </si>
  <si>
    <t>EMP-10404</t>
  </si>
  <si>
    <t>Nikhil Chitnis</t>
  </si>
  <si>
    <t>EMP-10865</t>
  </si>
  <si>
    <t>Ananya Chatterjee</t>
  </si>
  <si>
    <t>EMP-10676</t>
  </si>
  <si>
    <t>Pari Iyer</t>
  </si>
  <si>
    <t>EMP-10083</t>
  </si>
  <si>
    <t>Vivaan Chatterjee</t>
  </si>
  <si>
    <t>EMP-11123</t>
  </si>
  <si>
    <t>Omkar Sengupta</t>
  </si>
  <si>
    <t>EMP-10747</t>
  </si>
  <si>
    <t>Navya Chatterjee</t>
  </si>
  <si>
    <t>EMP-10585</t>
  </si>
  <si>
    <t>Omkar Menon</t>
  </si>
  <si>
    <t>EMP-10961</t>
  </si>
  <si>
    <t>EMP-11097</t>
  </si>
  <si>
    <t>Gaurav Shah</t>
  </si>
  <si>
    <t>EMP-11062</t>
  </si>
  <si>
    <t>Arjun Malhotra</t>
  </si>
  <si>
    <t>EMP-10141</t>
  </si>
  <si>
    <t>Vihaan Malhotra</t>
  </si>
  <si>
    <t>EMP-10182</t>
  </si>
  <si>
    <t>Sneha Chatterjee</t>
  </si>
  <si>
    <t>EMP-11036</t>
  </si>
  <si>
    <t>Diya Gokhale</t>
  </si>
  <si>
    <t>EMP-11078</t>
  </si>
  <si>
    <t>Pari Nair</t>
  </si>
  <si>
    <t>EMP-10445</t>
  </si>
  <si>
    <t>EMP-11380</t>
  </si>
  <si>
    <t>Krishna Mehta</t>
  </si>
  <si>
    <t>EMP-10896</t>
  </si>
  <si>
    <t>Myra Rao</t>
  </si>
  <si>
    <t>EMP-10910</t>
  </si>
  <si>
    <t>Kiara Shah</t>
  </si>
  <si>
    <t>EMP-11083</t>
  </si>
  <si>
    <t>EMP-10777</t>
  </si>
  <si>
    <t>Mrunal Nair</t>
  </si>
  <si>
    <t>EMP-11427</t>
  </si>
  <si>
    <t>Pooja Chatterjee</t>
  </si>
  <si>
    <t>EMP-10907</t>
  </si>
  <si>
    <t>Tanvi Chatterjee</t>
  </si>
  <si>
    <t>EMP-11282</t>
  </si>
  <si>
    <t>Swati Malhotra</t>
  </si>
  <si>
    <t>EMP-10796</t>
  </si>
  <si>
    <t>Pallavi Chatterjee</t>
  </si>
  <si>
    <t>EMP-10031</t>
  </si>
  <si>
    <t>Shruti Sharma</t>
  </si>
  <si>
    <t>EMP-10001</t>
  </si>
  <si>
    <t>Ayaan Deshmukh</t>
  </si>
  <si>
    <t>EMP-10087</t>
  </si>
  <si>
    <t>Sneha Chitnis</t>
  </si>
  <si>
    <t>EMP-10649</t>
  </si>
  <si>
    <t>Aarav Malhotra</t>
  </si>
  <si>
    <t>EMP-11134</t>
  </si>
  <si>
    <t>Aditya Shah</t>
  </si>
  <si>
    <t>EMP-11346</t>
  </si>
  <si>
    <t>Yash Reddy</t>
  </si>
  <si>
    <t>EMP-10128</t>
  </si>
  <si>
    <t>Vihaan Shah</t>
  </si>
  <si>
    <t>EMP-10755</t>
  </si>
  <si>
    <t>Ira Gokhale</t>
  </si>
  <si>
    <t>EMP-10925</t>
  </si>
  <si>
    <t>Ira Shah</t>
  </si>
  <si>
    <t>EMP-10569</t>
  </si>
  <si>
    <t>Arjun Menon</t>
  </si>
  <si>
    <t>EMP-11047</t>
  </si>
  <si>
    <t>EMP-10707</t>
  </si>
  <si>
    <t>Ishaan Menon</t>
  </si>
  <si>
    <t>EMP-10850</t>
  </si>
  <si>
    <t>Karan Joshi</t>
  </si>
  <si>
    <t>EMP-10597</t>
  </si>
  <si>
    <t>Ishaan Verma</t>
  </si>
  <si>
    <t>EMP-11269</t>
  </si>
  <si>
    <t>Riya Verma</t>
  </si>
  <si>
    <t>EMP-10289</t>
  </si>
  <si>
    <t>Rohan Iyer</t>
  </si>
  <si>
    <t>EMP-11288</t>
  </si>
  <si>
    <t>Nikhil Verma</t>
  </si>
  <si>
    <t>EMP-10078</t>
  </si>
  <si>
    <t>EMP-10491</t>
  </si>
  <si>
    <t>Vihaan Nair</t>
  </si>
  <si>
    <t>EMP-10382</t>
  </si>
  <si>
    <t>EMP-10768</t>
  </si>
  <si>
    <t>Omkar Bhatt</t>
  </si>
  <si>
    <t>EMP-10915</t>
  </si>
  <si>
    <t>EMP-11399</t>
  </si>
  <si>
    <t>EMP-10017</t>
  </si>
  <si>
    <t>Tejas Iyer</t>
  </si>
  <si>
    <t>EMP-10954</t>
  </si>
  <si>
    <t>Aditya Patil</t>
  </si>
  <si>
    <t>EMP-10042</t>
  </si>
  <si>
    <t>Pallavi Bhatt</t>
  </si>
  <si>
    <t>EMP-11061</t>
  </si>
  <si>
    <t>Ananya Gokhale</t>
  </si>
  <si>
    <t>EMP-10025</t>
  </si>
  <si>
    <t>EMP-10561</t>
  </si>
  <si>
    <t>Navya Shah</t>
  </si>
  <si>
    <t>EMP-10894</t>
  </si>
  <si>
    <t>EMP-10185</t>
  </si>
  <si>
    <t>EMP-11277</t>
  </si>
  <si>
    <t>EMP-10579</t>
  </si>
  <si>
    <t>EMP-10855</t>
  </si>
  <si>
    <t>Sai Joshi</t>
  </si>
  <si>
    <t>EMP-10014</t>
  </si>
  <si>
    <t>Neha Shah</t>
  </si>
  <si>
    <t>EMP-10159</t>
  </si>
  <si>
    <t>Sai Sengupta</t>
  </si>
  <si>
    <t>EMP-11326</t>
  </si>
  <si>
    <t>Krishna Nair</t>
  </si>
  <si>
    <t>EMP-10576</t>
  </si>
  <si>
    <t>Aarav Menon</t>
  </si>
  <si>
    <t>EMP-11080</t>
  </si>
  <si>
    <t>Ananya Verma</t>
  </si>
  <si>
    <t>EMP-10884</t>
  </si>
  <si>
    <t>EMP-10770</t>
  </si>
  <si>
    <t>Diya Bhatt</t>
  </si>
  <si>
    <t>EMP-10580</t>
  </si>
  <si>
    <t>EMP-10911</t>
  </si>
  <si>
    <t>Kavya Iyer</t>
  </si>
  <si>
    <t>EMP-11006</t>
  </si>
  <si>
    <t>EMP-10092</t>
  </si>
  <si>
    <t>Ayaan Patil</t>
  </si>
  <si>
    <t>EMP-11159</t>
  </si>
  <si>
    <t>EMP-10022</t>
  </si>
  <si>
    <t>Pooja Reddy</t>
  </si>
  <si>
    <t>EMP-10943</t>
  </si>
  <si>
    <t>Pari Patil</t>
  </si>
  <si>
    <t>EMP-10039</t>
  </si>
  <si>
    <t>Saanvi Menon</t>
  </si>
  <si>
    <t>EMP-11135</t>
  </si>
  <si>
    <t>EMP-10814</t>
  </si>
  <si>
    <t>Meera Bhatt</t>
  </si>
  <si>
    <t>EMP-11353</t>
  </si>
  <si>
    <t>EMP-10895</t>
  </si>
  <si>
    <t>Ayaan Bhatt</t>
  </si>
  <si>
    <t>EMP-10839</t>
  </si>
  <si>
    <t>Meera Rao</t>
  </si>
  <si>
    <t>EMP-11043</t>
  </si>
  <si>
    <t>Meera Chatterjee</t>
  </si>
  <si>
    <t>EMP-10150</t>
  </si>
  <si>
    <t>Rohan Malhotra</t>
  </si>
  <si>
    <t>EMP-10983</t>
  </si>
  <si>
    <t>Arjun Kulkarni</t>
  </si>
  <si>
    <t>EMP-11294</t>
  </si>
  <si>
    <t>Pallavi Joshi</t>
  </si>
  <si>
    <t>EMP-10443</t>
  </si>
  <si>
    <t>Vivaan Nair</t>
  </si>
  <si>
    <t>EMP-10842</t>
  </si>
  <si>
    <t>Riya Chitnis</t>
  </si>
  <si>
    <t>EMP-10599</t>
  </si>
  <si>
    <t>Tejas Malhotra</t>
  </si>
  <si>
    <t>EMP-11403</t>
  </si>
  <si>
    <t>Tanvi Joshi</t>
  </si>
  <si>
    <t>EMP-10457</t>
  </si>
  <si>
    <t>Pooja Menon</t>
  </si>
  <si>
    <t>EMP-10586</t>
  </si>
  <si>
    <t>Meera Kapoor</t>
  </si>
  <si>
    <t>EMP-10475</t>
  </si>
  <si>
    <t>EMP-10978</t>
  </si>
  <si>
    <t>Siddharth Verma</t>
  </si>
  <si>
    <t>EMP-10631</t>
  </si>
  <si>
    <t>Pari Sengupta</t>
  </si>
  <si>
    <t>EMP-10818</t>
  </si>
  <si>
    <t>EMP-10144</t>
  </si>
  <si>
    <t>EMP-11040</t>
  </si>
  <si>
    <t>EMP-10664</t>
  </si>
  <si>
    <t>Vivaan Kulkarni</t>
  </si>
  <si>
    <t>EMP-11154</t>
  </si>
  <si>
    <t>EMP-11243</t>
  </si>
  <si>
    <t>Ananya Menon</t>
  </si>
  <si>
    <t>EMP-10202</t>
  </si>
  <si>
    <t>Riya Sengupta</t>
  </si>
  <si>
    <t>EMP-10541</t>
  </si>
  <si>
    <t>Navya Sharma</t>
  </si>
  <si>
    <t>EMP-11424</t>
  </si>
  <si>
    <t>Tejas Chatterjee</t>
  </si>
  <si>
    <t>EMP-10913</t>
  </si>
  <si>
    <t>Aditya Deshmukh</t>
  </si>
  <si>
    <t>EMP-10811</t>
  </si>
  <si>
    <t>EMP-10635</t>
  </si>
  <si>
    <t>Tanvi Kulkarni</t>
  </si>
  <si>
    <t>EMP-10602</t>
  </si>
  <si>
    <t>Vihaan Deshmukh</t>
  </si>
  <si>
    <t>EMP-10521</t>
  </si>
  <si>
    <t>EMP-11339</t>
  </si>
  <si>
    <t>Tejas Chitnis</t>
  </si>
  <si>
    <t>EMP-10210</t>
  </si>
  <si>
    <t>Pooja Malhotra</t>
  </si>
  <si>
    <t>EMP-10720</t>
  </si>
  <si>
    <t>EMP-10006</t>
  </si>
  <si>
    <t>Swati Rao</t>
  </si>
  <si>
    <t>EMP-10402</t>
  </si>
  <si>
    <t>EMP-11158</t>
  </si>
  <si>
    <t>EMP-11404</t>
  </si>
  <si>
    <t>EMP-10323</t>
  </si>
  <si>
    <t>Nikhil Patil</t>
  </si>
  <si>
    <t>EMP-10224</t>
  </si>
  <si>
    <t>Saanvi Mehta</t>
  </si>
  <si>
    <t>EMP-11379</t>
  </si>
  <si>
    <t>Arjun Reddy</t>
  </si>
  <si>
    <t>EMP-10820</t>
  </si>
  <si>
    <t>EMP-11366</t>
  </si>
  <si>
    <t>EMP-10287</t>
  </si>
  <si>
    <t>EMP-10242</t>
  </si>
  <si>
    <t>Ishaan Nair</t>
  </si>
  <si>
    <t>EMP-10408</t>
  </si>
  <si>
    <t>EMP-10801</t>
  </si>
  <si>
    <t>EMP-11309</t>
  </si>
  <si>
    <t>EMP-10656</t>
  </si>
  <si>
    <t>EMP-10697</t>
  </si>
  <si>
    <t>EMP-11140</t>
  </si>
  <si>
    <t>Reyansh Sharma</t>
  </si>
  <si>
    <t>EMP-11293</t>
  </si>
  <si>
    <t>Kiara Malhotra</t>
  </si>
  <si>
    <t>EMP-10118</t>
  </si>
  <si>
    <t>Sneha Shah</t>
  </si>
  <si>
    <t>EMP-10154</t>
  </si>
  <si>
    <t>EMP-10930</t>
  </si>
  <si>
    <t>EMP-10736</t>
  </si>
  <si>
    <t>Neha Bhatt</t>
  </si>
  <si>
    <t>EMP-10714</t>
  </si>
  <si>
    <t>Vivaan Mehta</t>
  </si>
  <si>
    <t>EMP-10043</t>
  </si>
  <si>
    <t>Aditya Chitnis</t>
  </si>
  <si>
    <t>EMP-10732</t>
  </si>
  <si>
    <t>Rohan Rao</t>
  </si>
  <si>
    <t>EMP-10932</t>
  </si>
  <si>
    <t>EMP-11133</t>
  </si>
  <si>
    <t>EMP-11329</t>
  </si>
  <si>
    <t>Ira Deshmukh</t>
  </si>
  <si>
    <t>EMP-10028</t>
  </si>
  <si>
    <t>Swati Joshi</t>
  </si>
  <si>
    <t>EMP-10532</t>
  </si>
  <si>
    <t>EMP-10453</t>
  </si>
  <si>
    <t>Pari Gokhale</t>
  </si>
  <si>
    <t>EMP-10778</t>
  </si>
  <si>
    <t>Kavya Gokhale</t>
  </si>
  <si>
    <t>EMP-10624</t>
  </si>
  <si>
    <t>EMP-10721</t>
  </si>
  <si>
    <t>EMP-11252</t>
  </si>
  <si>
    <t>Sai Nair</t>
  </si>
  <si>
    <t>EMP-10752</t>
  </si>
  <si>
    <t>EMP-10464</t>
  </si>
  <si>
    <t>Pari Deshmukh</t>
  </si>
  <si>
    <t>EMP-10986</t>
  </si>
  <si>
    <t>-HR-L5</t>
  </si>
  <si>
    <t>VP of People</t>
  </si>
  <si>
    <t>EMP-10788</t>
  </si>
  <si>
    <t>EMP-10971</t>
  </si>
  <si>
    <t>Neha Sengupta</t>
  </si>
  <si>
    <t>EMP-11011</t>
  </si>
  <si>
    <t>Diya Patil</t>
  </si>
  <si>
    <t>EMP-10444</t>
  </si>
  <si>
    <t>EMP-10075</t>
  </si>
  <si>
    <t>Omkar Iyer</t>
  </si>
  <si>
    <t>EMP-11315</t>
  </si>
  <si>
    <t>EMP-11033</t>
  </si>
  <si>
    <t>EMP-11118</t>
  </si>
  <si>
    <t>Reyansh Deshmukh</t>
  </si>
  <si>
    <t>EMP-10377</t>
  </si>
  <si>
    <t>EMP-11250</t>
  </si>
  <si>
    <t>EMP-11279</t>
  </si>
  <si>
    <t>Navya Kapoor</t>
  </si>
  <si>
    <t>EMP-11059</t>
  </si>
  <si>
    <t>Swati Verma</t>
  </si>
  <si>
    <t>EMP-10133</t>
  </si>
  <si>
    <t>EMP-10807</t>
  </si>
  <si>
    <t>Pranav Mehta</t>
  </si>
  <si>
    <t>EMP-10119</t>
  </si>
  <si>
    <t>Nikhil Gokhale</t>
  </si>
  <si>
    <t>EMP-10658</t>
  </si>
  <si>
    <t>Navya Deshmukh</t>
  </si>
  <si>
    <t>EMP-10231</t>
  </si>
  <si>
    <t>EMP-10236</t>
  </si>
  <si>
    <t>EMP-10230</t>
  </si>
  <si>
    <t>Shruti Rao</t>
  </si>
  <si>
    <t>EMP-10399</t>
  </si>
  <si>
    <t>Shruti Kapoor</t>
  </si>
  <si>
    <t>EMP-11222</t>
  </si>
  <si>
    <t>EMP-11364</t>
  </si>
  <si>
    <t>EMP-10551</t>
  </si>
  <si>
    <t>Siddharth Deshmukh</t>
  </si>
  <si>
    <t>EMP-11026</t>
  </si>
  <si>
    <t>EMP-11035</t>
  </si>
  <si>
    <t>Pallavi Chitnis</t>
  </si>
  <si>
    <t>EMP-10066</t>
  </si>
  <si>
    <t>EMP-11009</t>
  </si>
  <si>
    <t>Ira Chatterjee</t>
  </si>
  <si>
    <t>EMP-10372</t>
  </si>
  <si>
    <t>Riya Kapoor</t>
  </si>
  <si>
    <t>EMP-10074</t>
  </si>
  <si>
    <t>Aadhya Patil</t>
  </si>
  <si>
    <t>EMP-10418</t>
  </si>
  <si>
    <t>EMP-11276</t>
  </si>
  <si>
    <t>EMP-11400</t>
  </si>
  <si>
    <t>Yash Sengupta</t>
  </si>
  <si>
    <t>EMP-10383</t>
  </si>
  <si>
    <t>EMP-10504</t>
  </si>
  <si>
    <t>Yash Rao</t>
  </si>
  <si>
    <t>EMP-11155</t>
  </si>
  <si>
    <t>Aarav Nair</t>
  </si>
  <si>
    <t>EMP-11270</t>
  </si>
  <si>
    <t>Neha Chitnis</t>
  </si>
  <si>
    <t>EMP-10520</t>
  </si>
  <si>
    <t>Ananya Bhatt</t>
  </si>
  <si>
    <t>EMP-10604</t>
  </si>
  <si>
    <t>Meera Verma</t>
  </si>
  <si>
    <t>EMP-11236</t>
  </si>
  <si>
    <t>Kiara Iyer</t>
  </si>
  <si>
    <t>EMP-11359</t>
  </si>
  <si>
    <t>Mrunal Bhatt</t>
  </si>
  <si>
    <t>EMP-10926</t>
  </si>
  <si>
    <t>EMP-10108</t>
  </si>
  <si>
    <t>Navya Reddy</t>
  </si>
  <si>
    <t>EMP-11385</t>
  </si>
  <si>
    <t>EMP-11267</t>
  </si>
  <si>
    <t>Ira Menon</t>
  </si>
  <si>
    <t>EMP-10789</t>
  </si>
  <si>
    <t>Shruti Sengupta</t>
  </si>
  <si>
    <t>EMP-11333</t>
  </si>
  <si>
    <t>EMP-10845</t>
  </si>
  <si>
    <t>Pallavi Kulkarni</t>
  </si>
  <si>
    <t>EMP-10859</t>
  </si>
  <si>
    <t>Ishaan Reddy</t>
  </si>
  <si>
    <t>EMP-10717</t>
  </si>
  <si>
    <t>Omkar Nair</t>
  </si>
  <si>
    <t>EMP-11261</t>
  </si>
  <si>
    <t>Swati Deshmukh</t>
  </si>
  <si>
    <t>EMP-10886</t>
  </si>
  <si>
    <t>EMP-10298</t>
  </si>
  <si>
    <t>EMP-11176</t>
  </si>
  <si>
    <t>Meera Nair</t>
  </si>
  <si>
    <t>EMP-10251</t>
  </si>
  <si>
    <t>EMP-10393</t>
  </si>
  <si>
    <t>Swati Bhatt</t>
  </si>
  <si>
    <t>EMP-10860</t>
  </si>
  <si>
    <t>Vivaan Joshi</t>
  </si>
  <si>
    <t>EMP-10558</t>
  </si>
  <si>
    <t>EMP-10077</t>
  </si>
  <si>
    <t>Nikhil Malhotra</t>
  </si>
  <si>
    <t>EMP-10804</t>
  </si>
  <si>
    <t>EMP-11160</t>
  </si>
  <si>
    <t>Ishaan Bhatt</t>
  </si>
  <si>
    <t>EMP-10299</t>
  </si>
  <si>
    <t>EMP-11328</t>
  </si>
  <si>
    <t>EMP-10637</t>
  </si>
  <si>
    <t>Saanvi Sengupta</t>
  </si>
  <si>
    <t>EMP-11106</t>
  </si>
  <si>
    <t>EMP-10156</t>
  </si>
  <si>
    <t>Reyansh Chitnis</t>
  </si>
  <si>
    <t>EMP-10694</t>
  </si>
  <si>
    <t>Rohan Chitnis</t>
  </si>
  <si>
    <t>EMP-10492</t>
  </si>
  <si>
    <t>EMP-10989</t>
  </si>
  <si>
    <t>EMP-11350</t>
  </si>
  <si>
    <t>Riya Chatterjee</t>
  </si>
  <si>
    <t>EMP-10353</t>
  </si>
  <si>
    <t>Sai Reddy</t>
  </si>
  <si>
    <t>EMP-10786</t>
  </si>
  <si>
    <t>Ira Kulkarni</t>
  </si>
  <si>
    <t>EMP-11127</t>
  </si>
  <si>
    <t>Krishna Bhatt</t>
  </si>
  <si>
    <t>EMP-10476</t>
  </si>
  <si>
    <t>EMP-10398</t>
  </si>
  <si>
    <t>EMP-10617</t>
  </si>
  <si>
    <t>Aditya Gokhale</t>
  </si>
  <si>
    <t>EMP-10340</t>
  </si>
  <si>
    <t>Vikram Deshmukh</t>
  </si>
  <si>
    <t>EMP-11168</t>
  </si>
  <si>
    <t>EMP-10715</t>
  </si>
  <si>
    <t>Ayaan Menon</t>
  </si>
  <si>
    <t>EMP-10367</t>
  </si>
  <si>
    <t>EMP-11182</t>
  </si>
  <si>
    <t>EMP-10780</t>
  </si>
  <si>
    <t>Ananya Chitnis</t>
  </si>
  <si>
    <t>EMP-10113</t>
  </si>
  <si>
    <t>Navya Rao</t>
  </si>
  <si>
    <t>EMP-11436</t>
  </si>
  <si>
    <t>EMP-10241</t>
  </si>
  <si>
    <t>Vihaan Mehta</t>
  </si>
  <si>
    <t>EMP-10639</t>
  </si>
  <si>
    <t>EMP-10748</t>
  </si>
  <si>
    <t>Aarav Joshi</t>
  </si>
  <si>
    <t>EMP-11286</t>
  </si>
  <si>
    <t>Tejas Gokhale</t>
  </si>
  <si>
    <t>EMP-11025</t>
  </si>
  <si>
    <t>Pallavi Iyer</t>
  </si>
  <si>
    <t>EMP-10020</t>
  </si>
  <si>
    <t>Arjun Bhatt</t>
  </si>
  <si>
    <t>EMP-10502</t>
  </si>
  <si>
    <t>EMP-10682</t>
  </si>
  <si>
    <t>Karan Patil</t>
  </si>
  <si>
    <t>EMP-10711</t>
  </si>
  <si>
    <t>EMP-11340</t>
  </si>
  <si>
    <t>EMP-10294</t>
  </si>
  <si>
    <t>EMP-10505</t>
  </si>
  <si>
    <t>EMP-11107</t>
  </si>
  <si>
    <t>EMP-10201</t>
  </si>
  <si>
    <t>EMP-10057</t>
  </si>
  <si>
    <t>EMP-10142</t>
  </si>
  <si>
    <t>EMP-11254</t>
  </si>
  <si>
    <t>Neha Kulkarni</t>
  </si>
  <si>
    <t>EMP-10510</t>
  </si>
  <si>
    <t>EMP-11117</t>
  </si>
  <si>
    <t>Pooja Gokhale</t>
  </si>
  <si>
    <t>EMP-10690</t>
  </si>
  <si>
    <t>Sai Shah</t>
  </si>
  <si>
    <t>EMP-10667</t>
  </si>
  <si>
    <t>EMP-10627</t>
  </si>
  <si>
    <t>EMP-10668</t>
  </si>
  <si>
    <t>Sneha Reddy</t>
  </si>
  <si>
    <t>EMP-11010</t>
  </si>
  <si>
    <t>EMP-10582</t>
  </si>
  <si>
    <t>Pari Chatterjee</t>
  </si>
  <si>
    <t>EMP-11211</t>
  </si>
  <si>
    <t>EMP-10306</t>
  </si>
  <si>
    <t>Vihaan Joshi</t>
  </si>
  <si>
    <t>EMP-10044</t>
  </si>
  <si>
    <t>Siddharth Shah</t>
  </si>
  <si>
    <t>EMP-10871</t>
  </si>
  <si>
    <t>EMP-10608</t>
  </si>
  <si>
    <t>Siddharth Menon</t>
  </si>
  <si>
    <t>EMP-11444</t>
  </si>
  <si>
    <t>Karan Kapoor</t>
  </si>
  <si>
    <t>EMP-10339</t>
  </si>
  <si>
    <t>EMP-10927</t>
  </si>
  <si>
    <t>EMP-10220</t>
  </si>
  <si>
    <t>EMP-11070</t>
  </si>
  <si>
    <t>EMP-10283</t>
  </si>
  <si>
    <t>Krishna Malhotra</t>
  </si>
  <si>
    <t>EMP-10823</t>
  </si>
  <si>
    <t>Pallavi Sengupta</t>
  </si>
  <si>
    <t>EMP-11440</t>
  </si>
  <si>
    <t>Karan Nair</t>
  </si>
  <si>
    <t>EMP-10329</t>
  </si>
  <si>
    <t>EMP-11225</t>
  </si>
  <si>
    <t>Ayaan Nair</t>
  </si>
  <si>
    <t>EMP-10432</t>
  </si>
  <si>
    <t>Kavya Bhatt</t>
  </si>
  <si>
    <t>EMP-10180</t>
  </si>
  <si>
    <t>EMP-11242</t>
  </si>
  <si>
    <t>EMP-11361</t>
  </si>
  <si>
    <t>EMP-10940</t>
  </si>
  <si>
    <t>EMP-11325</t>
  </si>
  <si>
    <t>Meera Sengupta</t>
  </si>
  <si>
    <t>EMP-10577</t>
  </si>
  <si>
    <t>EMP-10708</t>
  </si>
  <si>
    <t>EMP-10614</t>
  </si>
  <si>
    <t>Tanvi Shah</t>
  </si>
  <si>
    <t>EMP-11190</t>
  </si>
  <si>
    <t>EMP-11137</t>
  </si>
  <si>
    <t>Diya Chatterjee</t>
  </si>
  <si>
    <t>EMP-10897</t>
  </si>
  <si>
    <t>Rohan Kapoor</t>
  </si>
  <si>
    <t>EMP-10422</t>
  </si>
  <si>
    <t>EMP-11338</t>
  </si>
  <si>
    <t>Aarav Chatterjee</t>
  </si>
  <si>
    <t>EMP-10773</t>
  </si>
  <si>
    <t>Karan Deshmukh</t>
  </si>
  <si>
    <t>EMP-10762</t>
  </si>
  <si>
    <t>EMP-10670</t>
  </si>
  <si>
    <t>Ishaan Mehta</t>
  </si>
  <si>
    <t>EMP-10495</t>
  </si>
  <si>
    <t>Tanvi Iyer</t>
  </si>
  <si>
    <t>EMP-11075</t>
  </si>
  <si>
    <t>EMP-11278</t>
  </si>
  <si>
    <t>Diya Reddy</t>
  </si>
  <si>
    <t>EMP-11290</t>
  </si>
  <si>
    <t>EMP-10288</t>
  </si>
  <si>
    <t>EMP-11348</t>
  </si>
  <si>
    <t>Neha Reddy</t>
  </si>
  <si>
    <t>EMP-10177</t>
  </si>
  <si>
    <t>EMP-10203</t>
  </si>
  <si>
    <t>Sneha Menon</t>
  </si>
  <si>
    <t>EMP-10805</t>
  </si>
  <si>
    <t>EMP-11259</t>
  </si>
  <si>
    <t>Mrunal Sharma</t>
  </si>
  <si>
    <t>EMP-11056</t>
  </si>
  <si>
    <t>Neha Malhotra</t>
  </si>
  <si>
    <t>EMP-10549</t>
  </si>
  <si>
    <t>EMP-11305</t>
  </si>
  <si>
    <t>EMP-11397</t>
  </si>
  <si>
    <t>Navya Kulkarni</t>
  </si>
  <si>
    <t>EMP-10976</t>
  </si>
  <si>
    <t>Saanvi Reddy</t>
  </si>
  <si>
    <t>EMP-11271</t>
  </si>
  <si>
    <t>Pallavi Shah</t>
  </si>
  <si>
    <t>EMP-10436</t>
  </si>
  <si>
    <t>Kavya Kulkarni</t>
  </si>
  <si>
    <t>EMP-10169</t>
  </si>
  <si>
    <t>Gaurav Iyer</t>
  </si>
  <si>
    <t>EMP-11053</t>
  </si>
  <si>
    <t>EMP-10703</t>
  </si>
  <si>
    <t>EMP-10938</t>
  </si>
  <si>
    <t>Karan Shah</t>
  </si>
  <si>
    <t>EMP-11314</t>
  </si>
  <si>
    <t>Tanvi Rao</t>
  </si>
  <si>
    <t>EMP-11449</t>
  </si>
  <si>
    <t>EMP-10433</t>
  </si>
  <si>
    <t>Mrunal Mehta</t>
  </si>
  <si>
    <t>EMP-10908</t>
  </si>
  <si>
    <t>Ira Rao</t>
  </si>
  <si>
    <t>EMP-10308</t>
  </si>
  <si>
    <t>Vikram Bhatt</t>
  </si>
  <si>
    <t>EMP-10810</t>
  </si>
  <si>
    <t>Tanvi Patil</t>
  </si>
  <si>
    <t>EMP-10917</t>
  </si>
  <si>
    <t>EMP-10900</t>
  </si>
  <si>
    <t>Karan Sharma</t>
  </si>
  <si>
    <t>EMP-11057</t>
  </si>
  <si>
    <t>Ishaan Gokhale</t>
  </si>
  <si>
    <t>EMP-10127</t>
  </si>
  <si>
    <t>EMP-10315</t>
  </si>
  <si>
    <t>Ishaan Patil</t>
  </si>
  <si>
    <t>EMP-10279</t>
  </si>
  <si>
    <t>Ishaan Sengupta</t>
  </si>
  <si>
    <t>EMP-10671</t>
  </si>
  <si>
    <t>Vivaan Gokhale</t>
  </si>
  <si>
    <t>EMP-11020</t>
  </si>
  <si>
    <t>EMP-10825</t>
  </si>
  <si>
    <t>Ishaan Kapoor</t>
  </si>
  <si>
    <t>EMP-10470</t>
  </si>
  <si>
    <t>EMP-10812</t>
  </si>
  <si>
    <t>Krishna Chatterjee</t>
  </si>
  <si>
    <t>EMP-10948</t>
  </si>
  <si>
    <t>EMP-10161</t>
  </si>
  <si>
    <t>EMP-10350</t>
  </si>
  <si>
    <t>Rohan Nair</t>
  </si>
  <si>
    <t>EMP-10338</t>
  </si>
  <si>
    <t>Pooja Sharma</t>
  </si>
  <si>
    <t>EMP-11138</t>
  </si>
  <si>
    <t>EMP-10341</t>
  </si>
  <si>
    <t>EMP-10264</t>
  </si>
  <si>
    <t>EMP-10641</t>
  </si>
  <si>
    <t>Tejas Nair</t>
  </si>
  <si>
    <t>EMP-11263</t>
  </si>
  <si>
    <t>Sai Verma</t>
  </si>
  <si>
    <t>EMP-10317</t>
  </si>
  <si>
    <t>EMP-11422</t>
  </si>
  <si>
    <t>EMP-10887</t>
  </si>
  <si>
    <t>EMP-10259</t>
  </si>
  <si>
    <t>Diya Shah</t>
  </si>
  <si>
    <t>EMP-10073</t>
  </si>
  <si>
    <t>EMP-10415</t>
  </si>
  <si>
    <t>Ananya Patil</t>
  </si>
  <si>
    <t>EMP-11430</t>
  </si>
  <si>
    <t>Shruti Iyer</t>
  </si>
  <si>
    <t>EMP-10385</t>
  </si>
  <si>
    <t>EMP-10519</t>
  </si>
  <si>
    <t>Pooja Sengupta</t>
  </si>
  <si>
    <t>EMP-10099</t>
  </si>
  <si>
    <t>Tejas Mehta</t>
  </si>
  <si>
    <t>EMP-10316</t>
  </si>
  <si>
    <t>Shruti Shah</t>
  </si>
  <si>
    <t>EMP-11082</t>
  </si>
  <si>
    <t>EMP-10428</t>
  </si>
  <si>
    <t>EMP-11101</t>
  </si>
  <si>
    <t>Kavya Chitnis</t>
  </si>
  <si>
    <t>EMP-10534</t>
  </si>
  <si>
    <t>EMP-10728</t>
  </si>
  <si>
    <t>EMP-10822</t>
  </si>
  <si>
    <t>EMP-10526</t>
  </si>
  <si>
    <t>Tejas Patil</t>
  </si>
  <si>
    <t>EMP-11065</t>
  </si>
  <si>
    <t>EMP-10195</t>
  </si>
  <si>
    <t>EMP-10621</t>
  </si>
  <si>
    <t>Meera Joshi</t>
  </si>
  <si>
    <t>EMP-11202</t>
  </si>
  <si>
    <t>Swati Chitnis</t>
  </si>
  <si>
    <t>EMP-10496</t>
  </si>
  <si>
    <t>EMP-10096</t>
  </si>
  <si>
    <t>Ananya Deshmukh</t>
  </si>
  <si>
    <t>EMP-10416</t>
  </si>
  <si>
    <t>Aarav Kulkarni</t>
  </si>
  <si>
    <t>EMP-10663</t>
  </si>
  <si>
    <t>Gaurav Joshi</t>
  </si>
  <si>
    <t>EMP-10271</t>
  </si>
  <si>
    <t>EMP-11146</t>
  </si>
  <si>
    <t>Diya Malhotra</t>
  </si>
  <si>
    <t>EMP-11295</t>
  </si>
  <si>
    <t>FIN-L5</t>
  </si>
  <si>
    <t>VP of Finance</t>
  </si>
  <si>
    <t>EMP-10710</t>
  </si>
  <si>
    <t>EMP-10609</t>
  </si>
  <si>
    <t>EMP-10987</t>
  </si>
  <si>
    <t>EMP-10016</t>
  </si>
  <si>
    <t>EMP-10344</t>
  </si>
  <si>
    <t>EMP-10186</t>
  </si>
  <si>
    <t>EMP-10705</t>
  </si>
  <si>
    <t>Tanvi Kapoor</t>
  </si>
  <si>
    <t>EMP-10570</t>
  </si>
  <si>
    <t>EMP-10756</t>
  </si>
  <si>
    <t>EMP-10716</t>
  </si>
  <si>
    <t>Reyansh Iyer</t>
  </si>
  <si>
    <t>EMP-11092</t>
  </si>
  <si>
    <t>EMP-10376</t>
  </si>
  <si>
    <t>Arjun Chatterjee</t>
  </si>
  <si>
    <t>EMP-10515</t>
  </si>
  <si>
    <t>Ananya Kapoor</t>
  </si>
  <si>
    <t>EMP-11151</t>
  </si>
  <si>
    <t>EMP-10374</t>
  </si>
  <si>
    <t>EMP-11028</t>
  </si>
  <si>
    <t>EMP-11387</t>
  </si>
  <si>
    <t>Navya Patil</t>
  </si>
  <si>
    <t>EMP-10222</t>
  </si>
  <si>
    <t>EMP-10933</t>
  </si>
  <si>
    <t>Aadhya Sharma</t>
  </si>
  <si>
    <t>EMP-10727</t>
  </si>
  <si>
    <t>EMP-11206</t>
  </si>
  <si>
    <t>Aarav Sengupta</t>
  </si>
  <si>
    <t>EMP-11423</t>
  </si>
  <si>
    <t>Arjun Nair</t>
  </si>
  <si>
    <t>EMP-10834</t>
  </si>
  <si>
    <t>EMP-11100</t>
  </si>
  <si>
    <t>EMP-10849</t>
  </si>
  <si>
    <t>EMP-10681</t>
  </si>
  <si>
    <t>EMP-10775</t>
  </si>
  <si>
    <t>EMP-11433</t>
  </si>
  <si>
    <t>Sneha Mehta</t>
  </si>
  <si>
    <t>EMP-10876</t>
  </si>
  <si>
    <t>Mrunal Patil</t>
  </si>
  <si>
    <t>EMP-11196</t>
  </si>
  <si>
    <t>EMP-10914</t>
  </si>
  <si>
    <t>EMP-11063</t>
  </si>
  <si>
    <t>EMP-10033</t>
  </si>
  <si>
    <t>EMP-10091</t>
  </si>
  <si>
    <t>EMP-11450</t>
  </si>
  <si>
    <t>Aditya Kapoor</t>
  </si>
  <si>
    <t>EMP-11098</t>
  </si>
  <si>
    <t>Neha Patil</t>
  </si>
  <si>
    <t>EMP-10337</t>
  </si>
  <si>
    <t>EMP-10595</t>
  </si>
  <si>
    <t>EMP-11067</t>
  </si>
  <si>
    <t>Siddharth Nair</t>
  </si>
  <si>
    <t>EMP-10623</t>
  </si>
  <si>
    <t>Kiara Deshmukh</t>
  </si>
  <si>
    <t>EMP-10950</t>
  </si>
  <si>
    <t>Gaurav Nair</t>
  </si>
  <si>
    <t>EMP-10661</t>
  </si>
  <si>
    <t>EMP-10300</t>
  </si>
  <si>
    <t>Swati Chatterjee</t>
  </si>
  <si>
    <t>EMP-11388</t>
  </si>
  <si>
    <t>EMP-10787</t>
  </si>
  <si>
    <t>EMP-10942</t>
  </si>
  <si>
    <t>EMP-10008</t>
  </si>
  <si>
    <t>Pooja Chitnis</t>
  </si>
  <si>
    <t>EMP-10365</t>
  </si>
  <si>
    <t>EMP-10754</t>
  </si>
  <si>
    <t>Aditya Joshi</t>
  </si>
  <si>
    <t>EMP-10225</t>
  </si>
  <si>
    <t>EMP-11321</t>
  </si>
  <si>
    <t>EMP-10107</t>
  </si>
  <si>
    <t>EMP-10011</t>
  </si>
  <si>
    <t>Omkar Gokhale</t>
  </si>
  <si>
    <t>EMP-10633</t>
  </si>
  <si>
    <t>EMP-11374</t>
  </si>
  <si>
    <t>EMP-11060</t>
  </si>
  <si>
    <t>Saanvi Nair</t>
  </si>
  <si>
    <t>EMP-10885</t>
  </si>
  <si>
    <t>Vivaan Menon</t>
  </si>
  <si>
    <t>EMP-10653</t>
  </si>
  <si>
    <t>EMP-10471</t>
  </si>
  <si>
    <t>Ishaan Iyer</t>
  </si>
  <si>
    <t>EMP-10162</t>
  </si>
  <si>
    <t>EMP-11224</t>
  </si>
  <si>
    <t>EMP-10355</t>
  </si>
  <si>
    <t>EMP-10738</t>
  </si>
  <si>
    <t>Krishna Patil</t>
  </si>
  <si>
    <t>EMP-10351</t>
  </si>
  <si>
    <t>EMP-10037</t>
  </si>
  <si>
    <t>Riya Shah</t>
  </si>
  <si>
    <t>EMP-10619</t>
  </si>
  <si>
    <t>EMP-11068</t>
  </si>
  <si>
    <t>EMP-10120</t>
  </si>
  <si>
    <t>EMP-11041</t>
  </si>
  <si>
    <t>EMP-11157</t>
  </si>
  <si>
    <t>EMP-10117</t>
  </si>
  <si>
    <t>Meera Reddy</t>
  </si>
  <si>
    <t>EMP-10508</t>
  </si>
  <si>
    <t>EMP-11126</t>
  </si>
  <si>
    <t>Nikhil Menon</t>
  </si>
  <si>
    <t>EMP-10937</t>
  </si>
  <si>
    <t>EMP-10699</t>
  </si>
  <si>
    <t>EMP-11156</t>
  </si>
  <si>
    <t>EMP-10258</t>
  </si>
  <si>
    <t>Myra Verma</t>
  </si>
  <si>
    <t>EMP-10379</t>
  </si>
  <si>
    <t>EMP-11240</t>
  </si>
  <si>
    <t>EMP-11039</t>
  </si>
  <si>
    <t>EMP-11426</t>
  </si>
  <si>
    <t>EMP-11316</t>
  </si>
  <si>
    <t>EMP-10005</t>
  </si>
  <si>
    <t>Tejas Menon</t>
  </si>
  <si>
    <t>EMP-11264</t>
  </si>
  <si>
    <t>EMP-10200</t>
  </si>
  <si>
    <t>Sneha Verma</t>
  </si>
  <si>
    <t>EMP-11336</t>
  </si>
  <si>
    <t>Saanvi Chitnis</t>
  </si>
  <si>
    <t>EMP-10319</t>
  </si>
  <si>
    <t>EMP-10674</t>
  </si>
  <si>
    <t>EMP-10506</t>
  </si>
  <si>
    <t>EMP-10881</t>
  </si>
  <si>
    <t>EMP-10509</t>
  </si>
  <si>
    <t>EMP-10816</t>
  </si>
  <si>
    <t>Navya Verma</t>
  </si>
  <si>
    <t>EMP-10217</t>
  </si>
  <si>
    <t>Arjun Rao</t>
  </si>
  <si>
    <t>EMP-11283</t>
  </si>
  <si>
    <t>EMP-11171</t>
  </si>
  <si>
    <t>Ira Kapoor</t>
  </si>
  <si>
    <t>EMP-11049</t>
  </si>
  <si>
    <t>EMP-11142</t>
  </si>
  <si>
    <t>EMP-10525</t>
  </si>
  <si>
    <t>EMP-11373</t>
  </si>
  <si>
    <t>EMP-10474</t>
  </si>
  <si>
    <t>Pranav Gokhale</t>
  </si>
  <si>
    <t>EMP-10529</t>
  </si>
  <si>
    <t>Swati Sharma</t>
  </si>
  <si>
    <t>EMP-10998</t>
  </si>
  <si>
    <t>Yash Kapoor</t>
  </si>
  <si>
    <t>EMP-11307</t>
  </si>
  <si>
    <t>Meera Chitnis</t>
  </si>
  <si>
    <t>EMP-11238</t>
  </si>
  <si>
    <t>Pranav Shah</t>
  </si>
  <si>
    <t>EMP-10552</t>
  </si>
  <si>
    <t>Aditya Mehta</t>
  </si>
  <si>
    <t>EMP-10622</t>
  </si>
  <si>
    <t>EMP-10918</t>
  </si>
  <si>
    <t>EMP-11247</t>
  </si>
  <si>
    <t>Swati Iyer</t>
  </si>
  <si>
    <t>EMP-10280</t>
  </si>
  <si>
    <t>Diya Kapoor</t>
  </si>
  <si>
    <t>EMP-10939</t>
  </si>
  <si>
    <t>Reyansh Kapoor</t>
  </si>
  <si>
    <t>EMP-10767</t>
  </si>
  <si>
    <t>Kavya Patil</t>
  </si>
  <si>
    <t>EMP-11013</t>
  </si>
  <si>
    <t>EMP-10712</t>
  </si>
  <si>
    <t>Krishna Iyer</t>
  </si>
  <si>
    <t>EMP-10957</t>
  </si>
  <si>
    <t>Mrunal Joshi</t>
  </si>
  <si>
    <t>EMP-10968</t>
  </si>
  <si>
    <t>Pari Rao</t>
  </si>
  <si>
    <t>EMP-11120</t>
  </si>
  <si>
    <t>EMP-11115</t>
  </si>
  <si>
    <t>EMP-11396</t>
  </si>
  <si>
    <t>Yash Mehta</t>
  </si>
  <si>
    <t>EMP-10164</t>
  </si>
  <si>
    <t>EMP-10310</t>
  </si>
  <si>
    <t>EMP-10326</t>
  </si>
  <si>
    <t>EMP-10193</t>
  </si>
  <si>
    <t>Pranav Reddy</t>
  </si>
  <si>
    <t>EMP-11378</t>
  </si>
  <si>
    <t>EMP-10223</t>
  </si>
  <si>
    <t>Omkar Kulkarni</t>
  </si>
  <si>
    <t>EMP-10644</t>
  </si>
  <si>
    <t>Ira Bhatt</t>
  </si>
  <si>
    <t>EMP-11110</t>
  </si>
  <si>
    <t>EMP-10363</t>
  </si>
  <si>
    <t>Karan Iyer</t>
  </si>
  <si>
    <t>EMP-11172</t>
  </si>
  <si>
    <t>Sai Patil</t>
  </si>
  <si>
    <t>EMP-10922</t>
  </si>
  <si>
    <t>Omkar Verma</t>
  </si>
  <si>
    <t>EMP-11145</t>
  </si>
  <si>
    <t>Kavya Nair</t>
  </si>
  <si>
    <t>EMP-11162</t>
  </si>
  <si>
    <t>Vivaan Shah</t>
  </si>
  <si>
    <t>EMP-10980</t>
  </si>
  <si>
    <t>EMP-10482</t>
  </si>
  <si>
    <t>EMP-10125</t>
  </si>
  <si>
    <t>Navya Bhatt</t>
  </si>
  <si>
    <t>EMP-11296</t>
  </si>
  <si>
    <t>EMP-10995</t>
  </si>
  <si>
    <t>Rohan Reddy</t>
  </si>
  <si>
    <t>EMP-10851</t>
  </si>
  <si>
    <t>Rohan Joshi</t>
  </si>
  <si>
    <t>EMP-11381</t>
  </si>
  <si>
    <t>EMP-11197</t>
  </si>
  <si>
    <t>EMP-11150</t>
  </si>
  <si>
    <t>EMP-11352</t>
  </si>
  <si>
    <t>EMP-10898</t>
  </si>
  <si>
    <t>Siddharth Gokhale</t>
  </si>
  <si>
    <t>EMP-11419</t>
  </si>
  <si>
    <t>Arjun Kapoor</t>
  </si>
  <si>
    <t>EMP-10420</t>
  </si>
  <si>
    <t>Neha Verma</t>
  </si>
  <si>
    <t>EMP-10793</t>
  </si>
  <si>
    <t>Ira Iyer</t>
  </si>
  <si>
    <t>EMP-11093</t>
  </si>
  <si>
    <t>EMP-11112</t>
  </si>
  <si>
    <t>Karan Mehta</t>
  </si>
  <si>
    <t>EMP-10281</t>
  </si>
  <si>
    <t>EMP-10779</t>
  </si>
  <si>
    <t>Saanvi Kulkarni</t>
  </si>
  <si>
    <t>EMP-11228</t>
  </si>
  <si>
    <t>EMP-11111</t>
  </si>
  <si>
    <t>EMP-11181</t>
  </si>
  <si>
    <t>EMP-10563</t>
  </si>
  <si>
    <t>EMP-10311</t>
  </si>
  <si>
    <t>EMP-10425</t>
  </si>
  <si>
    <t>EMP-11204</t>
  </si>
  <si>
    <t>EMP-10557</t>
  </si>
  <si>
    <t>Siddharth Sharma</t>
  </si>
  <si>
    <t>EMP-10116</t>
  </si>
  <si>
    <t>EMP-10268</t>
  </si>
  <si>
    <t>Karan Kulkarni</t>
  </si>
  <si>
    <t>EMP-11349</t>
  </si>
  <si>
    <t>EMP-11246</t>
  </si>
  <si>
    <t>EMP-10590</t>
  </si>
  <si>
    <t>Kavya Menon</t>
  </si>
  <si>
    <t>EMP-10730</t>
  </si>
  <si>
    <t>EMP-10951</t>
  </si>
  <si>
    <t>EMP-10462</t>
  </si>
  <si>
    <t>EMP-10704</t>
  </si>
  <si>
    <t>Aditya Sharma</t>
  </si>
  <si>
    <t>EMP-11085</t>
  </si>
  <si>
    <t>Nikhil Sharma</t>
  </si>
  <si>
    <t>EMP-10533</t>
  </si>
  <si>
    <t>Shruti Gokhale</t>
  </si>
  <si>
    <t>EMP-10071</t>
  </si>
  <si>
    <t>EMP-10666</t>
  </si>
  <si>
    <t>Vivaan Bhatt</t>
  </si>
  <si>
    <t>EMP-11044</t>
  </si>
  <si>
    <t>EMP-11129</t>
  </si>
  <si>
    <t>Swati Kapoor</t>
  </si>
  <si>
    <t>EMP-10856</t>
  </si>
  <si>
    <t>EMP-10877</t>
  </si>
  <si>
    <t>EMP-11345</t>
  </si>
  <si>
    <t>EMP-11071</t>
  </si>
  <si>
    <t>EMP-10003</t>
  </si>
  <si>
    <t>EMP-11324</t>
  </si>
  <si>
    <t>EMP-10574</t>
  </si>
  <si>
    <t>Kavya Malhotra</t>
  </si>
  <si>
    <t>EMP-10679</t>
  </si>
  <si>
    <t>EMP-10709</t>
  </si>
  <si>
    <t>EMP-10277</t>
  </si>
  <si>
    <t>EMP-10726</t>
  </si>
  <si>
    <t>EMP-10531</t>
  </si>
  <si>
    <t>EMP-10221</t>
  </si>
  <si>
    <t>EMP-10456</t>
  </si>
  <si>
    <t>EMP-10082</t>
  </si>
  <si>
    <t>Sai Menon</t>
  </si>
  <si>
    <t>EMP-10285</t>
  </si>
  <si>
    <t>EMP-10430</t>
  </si>
  <si>
    <t>Karan Verma</t>
  </si>
  <si>
    <t>EMP-11421</t>
  </si>
  <si>
    <t>EMP-10249</t>
  </si>
  <si>
    <t>Myra Chatterjee</t>
  </si>
  <si>
    <t>EMP-10643</t>
  </si>
  <si>
    <t>EMP-10286</t>
  </si>
  <si>
    <t>Pranav Iyer</t>
  </si>
  <si>
    <t>EMP-10290</t>
  </si>
  <si>
    <t>EMP-11192</t>
  </si>
  <si>
    <t>EMP-10089</t>
  </si>
  <si>
    <t>Navya Joshi</t>
  </si>
  <si>
    <t>EMP-10322</t>
  </si>
  <si>
    <t>EMP-10437</t>
  </si>
  <si>
    <t>Pooja Deshmukh</t>
  </si>
  <si>
    <t>EMP-10981</t>
  </si>
  <si>
    <t>Pooja Rao</t>
  </si>
  <si>
    <t>EMP-11386</t>
  </si>
  <si>
    <t>EMP-11302</t>
  </si>
  <si>
    <t>EMP-10836</t>
  </si>
  <si>
    <t>Vikram Kulkarni</t>
  </si>
  <si>
    <t>EMP-11179</t>
  </si>
  <si>
    <t>Omkar Malhotra</t>
  </si>
  <si>
    <t>EMP-10253</t>
  </si>
  <si>
    <t>EMP-10240</t>
  </si>
  <si>
    <t>EMP-10455</t>
  </si>
  <si>
    <t>EMP-10857</t>
  </si>
  <si>
    <t>EMP-11073</t>
  </si>
  <si>
    <t>EMP-10434</t>
  </si>
  <si>
    <t>Reyansh Mehta</t>
  </si>
  <si>
    <t>EMP-11180</t>
  </si>
  <si>
    <t>Mrunal Chatterjee</t>
  </si>
  <si>
    <t>EMP-10178</t>
  </si>
  <si>
    <t>Vihaan Gokhale</t>
  </si>
  <si>
    <t>EMP-10992</t>
  </si>
  <si>
    <t>Ananya Kulkarni</t>
  </si>
  <si>
    <t>EMP-10410</t>
  </si>
  <si>
    <t>EMP-10598</t>
  </si>
  <si>
    <t>Arjun Patil</t>
  </si>
  <si>
    <t>EMP-11045</t>
  </si>
  <si>
    <t>EMP-10973</t>
  </si>
  <si>
    <t>Pallavi Mehta</t>
  </si>
  <si>
    <t>EMP-10960</t>
  </si>
  <si>
    <t>EMP-11003</t>
  </si>
  <si>
    <t>EMP-10655</t>
  </si>
  <si>
    <t>Ayaan Kapoor</t>
  </si>
  <si>
    <t>EMP-10852</t>
  </si>
  <si>
    <t>EMP-10803</t>
  </si>
  <si>
    <t>EMP-10227</t>
  </si>
  <si>
    <t>Vikram Malhotra</t>
  </si>
  <si>
    <t>EMP-10419</t>
  </si>
  <si>
    <t>EMP-10218</t>
  </si>
  <si>
    <t>Omkar Patil</t>
  </si>
  <si>
    <t>EMP-11245</t>
  </si>
  <si>
    <t>EMP-10431</t>
  </si>
  <si>
    <t>Ishaan Shah</t>
  </si>
  <si>
    <t>EMP-10567</t>
  </si>
  <si>
    <t>EMP-10575</t>
  </si>
  <si>
    <t>EMP-10114</t>
  </si>
  <si>
    <t>EMP-11285</t>
  </si>
  <si>
    <t>EMP-11369</t>
  </si>
  <si>
    <t>EMP-10611</t>
  </si>
  <si>
    <t>EMP-10916</t>
  </si>
  <si>
    <t>Shruti Menon</t>
  </si>
  <si>
    <t>EMP-10616</t>
  </si>
  <si>
    <t>EMP-10112</t>
  </si>
  <si>
    <t>EMP-11237</t>
  </si>
  <si>
    <t>Nikhil Deshmukh</t>
  </si>
  <si>
    <t>EMP-10792</t>
  </si>
  <si>
    <t>Mrunal Reddy</t>
  </si>
  <si>
    <t>EMP-10923</t>
  </si>
  <si>
    <t>Vivaan Rao</t>
  </si>
  <si>
    <t>EMP-10452</t>
  </si>
  <si>
    <t>Navya Menon</t>
  </si>
  <si>
    <t>EMP-10878</t>
  </si>
  <si>
    <t>Yash Gokhale</t>
  </si>
  <si>
    <t>EMP-11131</t>
  </si>
  <si>
    <t>Riya Kulkarni</t>
  </si>
  <si>
    <t>EMP-11149</t>
  </si>
  <si>
    <t>EMP-11186</t>
  </si>
  <si>
    <t>Pranav Menon</t>
  </si>
  <si>
    <t>EMP-10731</t>
  </si>
  <si>
    <t>Karan Bhatt</t>
  </si>
  <si>
    <t>EMP-10103</t>
  </si>
  <si>
    <t>Ira Verma</t>
  </si>
  <si>
    <t>EMP-10262</t>
  </si>
  <si>
    <t>EMP-11393</t>
  </si>
  <si>
    <t>Pari Bhatt</t>
  </si>
  <si>
    <t>EMP-10369</t>
  </si>
  <si>
    <t>Gaurav Rao</t>
  </si>
  <si>
    <t>EMP-11038</t>
  </si>
  <si>
    <t>EMP-11128</t>
  </si>
  <si>
    <t>EMP-11069</t>
  </si>
  <si>
    <t>Arjun Iyer</t>
  </si>
  <si>
    <t>EMP-10652</t>
  </si>
  <si>
    <t>Sai Malhotra</t>
  </si>
  <si>
    <t>EMP-10081</t>
  </si>
  <si>
    <t>EMP-10427</t>
  </si>
  <si>
    <t>EMP-11344</t>
  </si>
  <si>
    <t>EMP-10396</t>
  </si>
  <si>
    <t>Sneha Joshi</t>
  </si>
  <si>
    <t>EMP-10079</t>
  </si>
  <si>
    <t>Sneha Deshmukh</t>
  </si>
  <si>
    <t>EMP-10765</t>
  </si>
  <si>
    <t>EMP-10548</t>
  </si>
  <si>
    <t>Tejas Deshmukh</t>
  </si>
  <si>
    <t>EMP-10646</t>
  </si>
  <si>
    <t>Saanvi Patil</t>
  </si>
  <si>
    <t>EMP-11215</t>
  </si>
  <si>
    <t>EMP-10458</t>
  </si>
  <si>
    <t>EMP-10027</t>
  </si>
  <si>
    <t>EMP-11189</t>
  </si>
  <si>
    <t>EMP-10352</t>
  </si>
  <si>
    <t>Ira Chitnis</t>
  </si>
  <si>
    <t>EMP-10488</t>
  </si>
  <si>
    <t>EMP-10753</t>
  </si>
  <si>
    <t>Neha Deshmukh</t>
  </si>
  <si>
    <t>EMP-11230</t>
  </si>
  <si>
    <t>EMP-11072</t>
  </si>
  <si>
    <t>Krishna Gokhale</t>
  </si>
  <si>
    <t>EMP-11412</t>
  </si>
  <si>
    <t>Rohan Menon</t>
  </si>
  <si>
    <t>EMP-10866</t>
  </si>
  <si>
    <t>EMP-10029</t>
  </si>
  <si>
    <t>Kiara Verma</t>
  </si>
  <si>
    <t>EMP-11046</t>
  </si>
  <si>
    <t>EMP-10830</t>
  </si>
  <si>
    <t>EMP-10273</t>
  </si>
  <si>
    <t>EMP-10891</t>
  </si>
  <si>
    <t>EMP-10984</t>
  </si>
  <si>
    <t>Krishna Sharma</t>
  </si>
  <si>
    <t>EMP-11141</t>
  </si>
  <si>
    <t>Tanvi Verma</t>
  </si>
  <si>
    <t>EMP-10146</t>
  </si>
  <si>
    <t>EMP-10650</t>
  </si>
  <si>
    <t>Ishaan Kulkarni</t>
  </si>
  <si>
    <t>EMP-10593</t>
  </si>
  <si>
    <t>EMP-11273</t>
  </si>
  <si>
    <t>EMP-10562</t>
  </si>
  <si>
    <t>EMP-10988</t>
  </si>
  <si>
    <t>EMP-10183</t>
  </si>
  <si>
    <t>EMP-10301</t>
  </si>
  <si>
    <t>EMP-11291</t>
  </si>
  <si>
    <t>EMP-10212</t>
  </si>
  <si>
    <t>EMP-10537</t>
  </si>
  <si>
    <t>EMP-11241</t>
  </si>
  <si>
    <t>EMP-10332</t>
  </si>
  <si>
    <t>Kiara Sengupta</t>
  </si>
  <si>
    <t>EMP-10084</t>
  </si>
  <si>
    <t>EMP-10665</t>
  </si>
  <si>
    <t>EMP-11310</t>
  </si>
  <si>
    <t>EMP-10181</t>
  </si>
  <si>
    <t>Meera Patil</t>
  </si>
  <si>
    <t>EMP-10062</t>
  </si>
  <si>
    <t>EMP-10853</t>
  </si>
  <si>
    <t>Riya Reddy</t>
  </si>
  <si>
    <t>EMP-10565</t>
  </si>
  <si>
    <t>EMP-10348</t>
  </si>
  <si>
    <t>EMP-11362</t>
  </si>
  <si>
    <t>EMP-11300</t>
  </si>
  <si>
    <t>Yash Deshmukh</t>
  </si>
  <si>
    <t>EMP-10994</t>
  </si>
  <si>
    <t>EMP-10197</t>
  </si>
  <si>
    <t>Arjun Sengupta</t>
  </si>
  <si>
    <t>EMP-10873</t>
  </si>
  <si>
    <t>EMP-10776</t>
  </si>
  <si>
    <t>EMP-10448</t>
  </si>
  <si>
    <t>EMP-10226</t>
  </si>
  <si>
    <t>EMP-10921</t>
  </si>
  <si>
    <t>Ira Mehta</t>
  </si>
  <si>
    <t>EMP-10539</t>
  </si>
  <si>
    <t>EMP-10155</t>
  </si>
  <si>
    <t>EMP-11175</t>
  </si>
  <si>
    <t>EMP-11105</t>
  </si>
  <si>
    <t>Vivaan Sharma</t>
  </si>
  <si>
    <t>EMP-10070</t>
  </si>
  <si>
    <t>EMP-10405</t>
  </si>
  <si>
    <t>Pallavi Deshmukh</t>
  </si>
  <si>
    <t>EMP-11390</t>
  </si>
  <si>
    <t>EMP-10371</t>
  </si>
  <si>
    <t>EMP-10677</t>
  </si>
  <si>
    <t>EMP-10483</t>
  </si>
  <si>
    <t>EMP-10199</t>
  </si>
  <si>
    <t>EMP-10275</t>
  </si>
  <si>
    <t>EMP-10513</t>
  </si>
  <si>
    <t>EMP-11194</t>
  </si>
  <si>
    <t>Vihaan Sengupta</t>
  </si>
  <si>
    <t>EMP-10053</t>
  </si>
  <si>
    <t>EMP-10771</t>
  </si>
  <si>
    <t>Vikram Chatterjee</t>
  </si>
  <si>
    <t>EMP-11434</t>
  </si>
  <si>
    <t>EMP-10550</t>
  </si>
  <si>
    <t>EMP-11030</t>
  </si>
  <si>
    <t>Arjun Gokhale</t>
  </si>
  <si>
    <t>EMP-11343</t>
  </si>
  <si>
    <t>EMP-10097</t>
  </si>
  <si>
    <t>EMP-10208</t>
  </si>
  <si>
    <t>EMP-11017</t>
  </si>
  <si>
    <t>EMP-10450</t>
  </si>
  <si>
    <t>EMP-10034</t>
  </si>
  <si>
    <t>EMP-10606</t>
  </si>
  <si>
    <t>EMP-10784</t>
  </si>
  <si>
    <t>EMP-11143</t>
  </si>
  <si>
    <t>Ishaan Malhotra</t>
  </si>
  <si>
    <t>EMP-10412</t>
  </si>
  <si>
    <t>EMP-10947</t>
  </si>
  <si>
    <t>EMP-10214</t>
  </si>
  <si>
    <t>Sai Gokhale</t>
  </si>
  <si>
    <t>EMP-10759</t>
  </si>
  <si>
    <t>EMP-10305</t>
  </si>
  <si>
    <t>EMP-10460</t>
  </si>
  <si>
    <t>EMP-10760</t>
  </si>
  <si>
    <t>EMP-11337</t>
  </si>
  <si>
    <t>EMP-10545</t>
  </si>
  <si>
    <t>Reyansh Sengupta</t>
  </si>
  <si>
    <t>EMP-10764</t>
  </si>
  <si>
    <t>EMP-10168</t>
  </si>
  <si>
    <t>EMP-10026</t>
  </si>
  <si>
    <t>EMP-10527</t>
  </si>
  <si>
    <t>EMP-10975</t>
  </si>
  <si>
    <t>EMP-10596</t>
  </si>
  <si>
    <t>Vikram Gokhale</t>
  </si>
  <si>
    <t>EMP-10669</t>
  </si>
  <si>
    <t>Krishna Rao</t>
  </si>
  <si>
    <t>EMP-11050</t>
  </si>
  <si>
    <t>EMP-10693</t>
  </si>
  <si>
    <t>EMP-10023</t>
  </si>
  <si>
    <t>Aadhya Deshmukh</t>
  </si>
  <si>
    <t>EMP-11169</t>
  </si>
  <si>
    <t>EMP-11167</t>
  </si>
  <si>
    <t>EMP-10358</t>
  </si>
  <si>
    <t>EMP-10838</t>
  </si>
  <si>
    <t>Riya Menon</t>
  </si>
  <si>
    <t>EMP-11257</t>
  </si>
  <si>
    <t>EMP-10045</t>
  </si>
  <si>
    <t>Sneha Kapoor</t>
  </si>
  <si>
    <t>EMP-11445</t>
  </si>
  <si>
    <t>Ayaan Chitnis</t>
  </si>
  <si>
    <t>EMP-10963</t>
  </si>
  <si>
    <t>EMP-10840</t>
  </si>
  <si>
    <t>EMP-10254</t>
  </si>
  <si>
    <t>Aadhya Bhatt</t>
  </si>
  <si>
    <t>EMP-11108</t>
  </si>
  <si>
    <t>EMP-10657</t>
  </si>
  <si>
    <t>EMP-10163</t>
  </si>
  <si>
    <t>EMP-10137</t>
  </si>
  <si>
    <t>Siddharth Joshi</t>
  </si>
  <si>
    <t>EMP-10723</t>
  </si>
  <si>
    <t>EMP-11360</t>
  </si>
  <si>
    <t>Tanvi Sengupta</t>
  </si>
  <si>
    <t>EMP-10945</t>
  </si>
  <si>
    <t>EMP-11255</t>
  </si>
  <si>
    <t>EMP-10435</t>
  </si>
  <si>
    <t>Nikhil Chatterjee</t>
  </si>
  <si>
    <t>EMP-11266</t>
  </si>
  <si>
    <t>EMP-10571</t>
  </si>
  <si>
    <t>EMP-10134</t>
  </si>
  <si>
    <t>EMP-10248</t>
  </si>
  <si>
    <t>EMP-10407</t>
  </si>
  <si>
    <t>EMP-10381</t>
  </si>
  <si>
    <t>Sai Bhatt</t>
  </si>
  <si>
    <t>EMP-10524</t>
  </si>
  <si>
    <t>Kavya Kapoor</t>
  </si>
  <si>
    <t>EMP-10964</t>
  </si>
  <si>
    <t>EMP-10069</t>
  </si>
  <si>
    <t>EMP-11446</t>
  </si>
  <si>
    <t>EMP-10919</t>
  </si>
  <si>
    <t>EMP-10368</t>
  </si>
  <si>
    <t>EMP-11209</t>
  </si>
  <si>
    <t>EMP-10392</t>
  </si>
  <si>
    <t>EMP-10642</t>
  </si>
  <si>
    <t>EMP-10232</t>
  </si>
  <si>
    <t>Pranav Rao</t>
  </si>
  <si>
    <t>EMP-10423</t>
  </si>
  <si>
    <t>EMP-10828</t>
  </si>
  <si>
    <t>EMP-10041</t>
  </si>
  <si>
    <t>EMP-11429</t>
  </si>
  <si>
    <t>Navya Gokhale</t>
  </si>
  <si>
    <t>EMP-10883</t>
  </si>
  <si>
    <t>EMP-10439</t>
  </si>
  <si>
    <t>EMP-10101</t>
  </si>
  <si>
    <t>EMP-10366</t>
  </si>
  <si>
    <t>EMP-11099</t>
  </si>
  <si>
    <t>Navya Malhotra</t>
  </si>
  <si>
    <t>EMP-10974</t>
  </si>
  <si>
    <t>EMP-11096</t>
  </si>
  <si>
    <t>Pari Menon</t>
  </si>
  <si>
    <t>EMP-10140</t>
  </si>
  <si>
    <t>EMP-10194</t>
  </si>
  <si>
    <t>Tejas Sengupta</t>
  </si>
  <si>
    <t>EMP-11019</t>
  </si>
  <si>
    <t>Sneha Sengupta</t>
  </si>
  <si>
    <t>EMP-10952</t>
  </si>
  <si>
    <t>Pari Verma</t>
  </si>
  <si>
    <t>EMP-10568</t>
  </si>
  <si>
    <t>Ananya Malhotra</t>
  </si>
  <si>
    <t>EMP-10835</t>
  </si>
  <si>
    <t>EMP-11195</t>
  </si>
  <si>
    <t>Kiara Gokhale</t>
  </si>
  <si>
    <t>EMP-11201</t>
  </si>
  <si>
    <t>EMP-10465</t>
  </si>
  <si>
    <t>EMP-10573</t>
  </si>
  <si>
    <t>Pooja Nair</t>
  </si>
  <si>
    <t>EMP-10556</t>
  </si>
  <si>
    <t>EMP-10480</t>
  </si>
  <si>
    <t>EMP-11187</t>
  </si>
  <si>
    <t>EMP-10228</t>
  </si>
  <si>
    <t>EMP-11320</t>
  </si>
  <si>
    <t>EMP-10184</t>
  </si>
  <si>
    <t>EMP-10688</t>
  </si>
  <si>
    <t>EMP-11303</t>
  </si>
  <si>
    <t>EMP-10949</t>
  </si>
  <si>
    <t>EMP-11088</t>
  </si>
  <si>
    <t>EMP-11394</t>
  </si>
  <si>
    <t>EMP-11355</t>
  </si>
  <si>
    <t>EMP-11226</t>
  </si>
  <si>
    <t>EMP-11170</t>
  </si>
  <si>
    <t>EMP-11367</t>
  </si>
  <si>
    <t>Diya Sharma</t>
  </si>
  <si>
    <t>EMP-10272</t>
  </si>
  <si>
    <t>Krishna Chitnis</t>
  </si>
  <si>
    <t>EMP-11354</t>
  </si>
  <si>
    <t>EMP-10040</t>
  </si>
  <si>
    <t>EMP-10843</t>
  </si>
  <si>
    <t>EMP-10722</t>
  </si>
  <si>
    <t>Myra Chitnis</t>
  </si>
  <si>
    <t>EMP-10080</t>
  </si>
  <si>
    <t>EMP-11235</t>
  </si>
  <si>
    <t>EMP-10454</t>
  </si>
  <si>
    <t>Vikram Sengupta</t>
  </si>
  <si>
    <t>EMP-10158</t>
  </si>
  <si>
    <t>EMP-10847</t>
  </si>
  <si>
    <t>EMP-11223</t>
  </si>
  <si>
    <t>EMP-10969</t>
  </si>
  <si>
    <t>EMP-11018</t>
  </si>
  <si>
    <t>Pallavi Gokhale</t>
  </si>
  <si>
    <t>EMP-11409</t>
  </si>
  <si>
    <t>EMP-10846</t>
  </si>
  <si>
    <t>EMP-10829</t>
  </si>
  <si>
    <t>EMP-10689</t>
  </si>
  <si>
    <t>EMP-10603</t>
  </si>
  <si>
    <t>EMP-10794</t>
  </si>
  <si>
    <t>EMP-11249</t>
  </si>
  <si>
    <t>EMP-10036</t>
  </si>
  <si>
    <t>EMP-10342</t>
  </si>
  <si>
    <t>EMP-10095</t>
  </si>
  <si>
    <t>Mrunal Kulkarni</t>
  </si>
  <si>
    <t>EMP-11052</t>
  </si>
  <si>
    <t>EMP-10996</t>
  </si>
  <si>
    <t>EMP-10391</t>
  </si>
  <si>
    <t>EMP-11216</t>
  </si>
  <si>
    <t>Diya Rao</t>
  </si>
  <si>
    <t>EMP-11251</t>
  </si>
  <si>
    <t>EMP-10257</t>
  </si>
  <si>
    <t>EMP-10615</t>
  </si>
  <si>
    <t>EMP-10867</t>
  </si>
  <si>
    <t>Nikhil Shah</t>
  </si>
  <si>
    <t>EMP-10173</t>
  </si>
  <si>
    <t>EMP-11178</t>
  </si>
  <si>
    <t>EMP-10610</t>
  </si>
  <si>
    <t>Riya Deshmukh</t>
  </si>
  <si>
    <t>EMP-10449</t>
  </si>
  <si>
    <t>EMP-11284</t>
  </si>
  <si>
    <t>EMP-10438</t>
  </si>
  <si>
    <t>Reyansh Nair</t>
  </si>
  <si>
    <t>EMP-10538</t>
  </si>
  <si>
    <t>EMP-10291</t>
  </si>
  <si>
    <t>EMP-10645</t>
  </si>
  <si>
    <t>EMP-10882</t>
  </si>
  <si>
    <t>EMP-10098</t>
  </si>
  <si>
    <t>EMP-11208</t>
  </si>
  <si>
    <t>EMP-10662</t>
  </si>
  <si>
    <t>Pooja Joshi</t>
  </si>
  <si>
    <t>EMP-11233</t>
  </si>
  <si>
    <t>EMP-10244</t>
  </si>
  <si>
    <t>Pranav Sengupta</t>
  </si>
  <si>
    <t>EMP-11007</t>
  </si>
  <si>
    <t>EMP-10357</t>
  </si>
  <si>
    <t>EMP-10993</t>
  </si>
  <si>
    <t>Rohan Sharma</t>
  </si>
  <si>
    <t>EMP-10535</t>
  </si>
  <si>
    <t>EMP-10386</t>
  </si>
  <si>
    <t>EMP-10229</t>
  </si>
  <si>
    <t>EMP-10872</t>
  </si>
  <si>
    <t>Nikhil Mehta</t>
  </si>
  <si>
    <t>EMP-10584</t>
  </si>
  <si>
    <t>EMP-10175</t>
  </si>
  <si>
    <t>MKT-L5</t>
  </si>
  <si>
    <t>VP of Marketing</t>
  </si>
  <si>
    <t>EMP-10239</t>
  </si>
  <si>
    <t>Pranav Deshmukh</t>
  </si>
  <si>
    <t>EMP-10468</t>
  </si>
  <si>
    <t>Gaurav Verma</t>
  </si>
  <si>
    <t>EMP-10630</t>
  </si>
  <si>
    <t>EMP-10072</t>
  </si>
  <si>
    <t>EMP-10745</t>
  </si>
  <si>
    <t>EMP-10547</t>
  </si>
  <si>
    <t>EMP-10478</t>
  </si>
  <si>
    <t>Mrunal Menon</t>
  </si>
  <si>
    <t>EMP-10559</t>
  </si>
  <si>
    <t>Aarav Kapoor</t>
  </si>
  <si>
    <t>EMP-10346</t>
  </si>
  <si>
    <t>EMP-10990</t>
  </si>
  <si>
    <t>EMP-10467</t>
  </si>
  <si>
    <t>Vikram Iyer</t>
  </si>
  <si>
    <t>EMP-11365</t>
  </si>
  <si>
    <t>EMP-11376</t>
  </si>
  <si>
    <t>EMP-11280</t>
  </si>
  <si>
    <t>Sai Deshmukh</t>
  </si>
  <si>
    <t>EMP-10591</t>
  </si>
  <si>
    <t>Kiara Bhatt</t>
  </si>
  <si>
    <t>EMP-10613</t>
  </si>
  <si>
    <t>EMP-10375</t>
  </si>
  <si>
    <t>EMP-10009</t>
  </si>
  <si>
    <t>EMP-10518</t>
  </si>
  <si>
    <t>EMP-10198</t>
  </si>
  <si>
    <t>Pranav Kulkarni</t>
  </si>
  <si>
    <t>EMP-10903</t>
  </si>
  <si>
    <t>EMP-10507</t>
  </si>
  <si>
    <t>EMP-10977</t>
  </si>
  <si>
    <t>EMP-11357</t>
  </si>
  <si>
    <t>EMP-10424</t>
  </si>
  <si>
    <t>EMP-10686</t>
  </si>
  <si>
    <t>EMP-11405</t>
  </si>
  <si>
    <t>EMP-11015</t>
  </si>
  <si>
    <t>Aadhya Kulkarni</t>
  </si>
  <si>
    <t>EMP-10148</t>
  </si>
  <si>
    <t>EMP-10484</t>
  </si>
  <si>
    <t>EMP-10030</t>
  </si>
  <si>
    <t>EMP-11125</t>
  </si>
  <si>
    <t>EMP-10313</t>
  </si>
  <si>
    <t>EMP-10481</t>
  </si>
  <si>
    <t>EMP-10400</t>
  </si>
  <si>
    <t>EMP-10618</t>
  </si>
  <si>
    <t>Diya Iyer</t>
  </si>
  <si>
    <t>EMP-10167</t>
  </si>
  <si>
    <t>Tanvi Chitnis</t>
  </si>
  <si>
    <t>EMP-10683</t>
  </si>
  <si>
    <t>EMP-10282</t>
  </si>
  <si>
    <t>EMP-10130</t>
  </si>
  <si>
    <t>EMP-10105</t>
  </si>
  <si>
    <t>EMP-10100</t>
  </si>
  <si>
    <t>Ira Sengupta</t>
  </si>
  <si>
    <t>EMP-11414</t>
  </si>
  <si>
    <t>Myra Menon</t>
  </si>
  <si>
    <t>EMP-11272</t>
  </si>
  <si>
    <t>Rohan Deshmukh</t>
  </si>
  <si>
    <t>EMP-11213</t>
  </si>
  <si>
    <t>Tejas Bhatt</t>
  </si>
  <si>
    <t>EMP-10151</t>
  </si>
  <si>
    <t>EMP-10390</t>
  </si>
  <si>
    <t>EMP-10388</t>
  </si>
  <si>
    <t>EMP-10999</t>
  </si>
  <si>
    <t>EMP-10094</t>
  </si>
  <si>
    <t>Meera Malhotra</t>
  </si>
  <si>
    <t>EMP-10592</t>
  </si>
  <si>
    <t>EMP-11256</t>
  </si>
  <si>
    <t>EMP-10389</t>
  </si>
  <si>
    <t>Ishaan Joshi</t>
  </si>
  <si>
    <t>EMP-10607</t>
  </si>
  <si>
    <t>EMP-10174</t>
  </si>
  <si>
    <t>EMP-10035</t>
  </si>
  <si>
    <t>Rohan Patil</t>
  </si>
  <si>
    <t>EMP-10139</t>
  </si>
  <si>
    <t>EMP-10276</t>
  </si>
  <si>
    <t>Arjun Joshi</t>
  </si>
  <si>
    <t>EMP-10929</t>
  </si>
  <si>
    <t>EMP-11055</t>
  </si>
  <si>
    <t>EMP-11297</t>
  </si>
  <si>
    <t>EMP-11372</t>
  </si>
  <si>
    <t>EMP-10297</t>
  </si>
  <si>
    <t>Diya Joshi</t>
  </si>
  <si>
    <t>EMP-10514</t>
  </si>
  <si>
    <t>EMP-10347</t>
  </si>
  <si>
    <t>EMP-11000</t>
  </si>
  <si>
    <t>EMP-10497</t>
  </si>
  <si>
    <t>EMP-10785</t>
  </si>
  <si>
    <t>EMP-10741</t>
  </si>
  <si>
    <t>Gaurav Menon</t>
  </si>
  <si>
    <t>EMP-10487</t>
  </si>
  <si>
    <t>EMP-10056</t>
  </si>
  <si>
    <t>EMP-11220</t>
  </si>
  <si>
    <t>EMP-10659</t>
  </si>
  <si>
    <t>Saanvi Iyer</t>
  </si>
  <si>
    <t>EMP-10021</t>
  </si>
  <si>
    <t>EMP-10612</t>
  </si>
  <si>
    <t>Sai Kapoor</t>
  </si>
  <si>
    <t>EMP-10378</t>
  </si>
  <si>
    <t>EMP-10238</t>
  </si>
  <si>
    <t>EMP-10485</t>
  </si>
  <si>
    <t>EMP-10744</t>
  </si>
  <si>
    <t>EMP-10890</t>
  </si>
  <si>
    <t>EMP-11166</t>
  </si>
  <si>
    <t>Omkar Rao</t>
  </si>
  <si>
    <t>EMP-10343</t>
  </si>
  <si>
    <t>Shruti Bhatt</t>
  </si>
  <si>
    <t>EMP-10797</t>
  </si>
  <si>
    <t>EMP-11024</t>
  </si>
  <si>
    <t>Vivaan Reddy</t>
  </si>
  <si>
    <t>EMP-10050</t>
  </si>
  <si>
    <t>EMP-10359</t>
  </si>
  <si>
    <t>EMP-11358</t>
  </si>
  <si>
    <t>Siddharth Patil</t>
  </si>
  <si>
    <t>EMP-10413</t>
  </si>
  <si>
    <t>EMP-10719</t>
  </si>
  <si>
    <t>EMP-10735</t>
  </si>
  <si>
    <t>EMP-10336</t>
  </si>
  <si>
    <t>Meera Gokhale</t>
  </si>
  <si>
    <t>EMP-10049</t>
  </si>
  <si>
    <t>Myra Kulkarni</t>
  </si>
  <si>
    <t>EMP-11058</t>
  </si>
  <si>
    <t>EMP-10791</t>
  </si>
  <si>
    <t>EMP-10503</t>
  </si>
  <si>
    <t>EMP-11148</t>
  </si>
  <si>
    <t>EMP-10931</t>
  </si>
  <si>
    <t>EMP-10247</t>
  </si>
  <si>
    <t>EMP-10209</t>
  </si>
  <si>
    <t>EMP-11408</t>
  </si>
  <si>
    <t>EMP-11051</t>
  </si>
  <si>
    <t>EMP-10523</t>
  </si>
  <si>
    <t>EMP-11165</t>
  </si>
  <si>
    <t>EMP-11012</t>
  </si>
  <si>
    <t>Meera Menon</t>
  </si>
  <si>
    <t>EMP-10673</t>
  </si>
  <si>
    <t>EMP-10718</t>
  </si>
  <si>
    <t>Krishna Deshmukh</t>
  </si>
  <si>
    <t>EMP-10136</t>
  </si>
  <si>
    <t>Rohan Shah</t>
  </si>
  <si>
    <t>EMP-10725</t>
  </si>
  <si>
    <t>EMP-10267</t>
  </si>
  <si>
    <t>EMP-11188</t>
  </si>
  <si>
    <t>EMP-11281</t>
  </si>
  <si>
    <t>EMP-10451</t>
  </si>
  <si>
    <t>EMP-10868</t>
  </si>
  <si>
    <t>EMP-10314</t>
  </si>
  <si>
    <t>EMP-11014</t>
  </si>
  <si>
    <t>EMP-11173</t>
  </si>
  <si>
    <t>EMP-10902</t>
  </si>
  <si>
    <t>EMP-10333</t>
  </si>
  <si>
    <t>EMP-11103</t>
  </si>
  <si>
    <t>EMP-10373</t>
  </si>
  <si>
    <t>EMP-10129</t>
  </si>
  <si>
    <t>EMP-11311</t>
  </si>
  <si>
    <t>EMP-11076</t>
  </si>
  <si>
    <t>EMP-11411</t>
  </si>
  <si>
    <t>EMP-10546</t>
  </si>
  <si>
    <t>EMP-10831</t>
  </si>
  <si>
    <t>EMP-11323</t>
  </si>
  <si>
    <t>Swati Nair</t>
  </si>
  <si>
    <t>EMP-10321</t>
  </si>
  <si>
    <t>EMP-10638</t>
  </si>
  <si>
    <t>EMP-10493</t>
  </si>
  <si>
    <t>EMP-10065</t>
  </si>
  <si>
    <t>EMP-11109</t>
  </si>
  <si>
    <t>EMP-10318</t>
  </si>
  <si>
    <t>Riya Gokhale</t>
  </si>
  <si>
    <t>EMP-11016</t>
  </si>
  <si>
    <t>Sai Mehta</t>
  </si>
  <si>
    <t>EMP-11389</t>
  </si>
  <si>
    <t>EMP-10826</t>
  </si>
  <si>
    <t>EMP-10587</t>
  </si>
  <si>
    <t>EMP-10068</t>
  </si>
  <si>
    <t>EMP-10012</t>
  </si>
  <si>
    <t>EMP-10250</t>
  </si>
  <si>
    <t>EMP-10472</t>
  </si>
  <si>
    <t>EMP-10528</t>
  </si>
  <si>
    <t>EMP-10246</t>
  </si>
  <si>
    <t>EMP-10889</t>
  </si>
  <si>
    <t>EMP-10553</t>
  </si>
  <si>
    <t>EMP-11335</t>
  </si>
  <si>
    <t>Kavya Joshi</t>
  </si>
  <si>
    <t>EMP-10498</t>
  </si>
  <si>
    <t>Diya Mehta</t>
  </si>
  <si>
    <t>EMP-10132</t>
  </si>
  <si>
    <t>EMP-10302</t>
  </si>
  <si>
    <t>EMP-10160</t>
  </si>
  <si>
    <t>Rohan Mehta</t>
  </si>
  <si>
    <t>EMP-10634</t>
  </si>
  <si>
    <t>EMP-10176</t>
  </si>
  <si>
    <t>EMP-10260</t>
  </si>
  <si>
    <t>EMP-10675</t>
  </si>
  <si>
    <t>EMP-10461</t>
  </si>
  <si>
    <t>EMP-11442</t>
  </si>
  <si>
    <t>EMP-10781</t>
  </si>
  <si>
    <t>Mrunal Malhotra</t>
  </si>
  <si>
    <t>EMP-10766</t>
  </si>
  <si>
    <t>Sneha Malhotra</t>
  </si>
  <si>
    <t>EMP-11306</t>
  </si>
  <si>
    <t>EMP-10032</t>
  </si>
  <si>
    <t>EMP-11347</t>
  </si>
  <si>
    <t>EMP-10307</t>
  </si>
  <si>
    <t>EMP-11091</t>
  </si>
  <si>
    <t>EMP-10207</t>
  </si>
  <si>
    <t>EMP-10102</t>
  </si>
  <si>
    <t>EMP-10403</t>
  </si>
  <si>
    <t>EMP-10632</t>
  </si>
  <si>
    <t>EMP-10906</t>
  </si>
  <si>
    <t>Pooja Verma</t>
  </si>
  <si>
    <t>EMP-10583</t>
  </si>
  <si>
    <t>EMP-10841</t>
  </si>
  <si>
    <t>EMP-11199</t>
  </si>
  <si>
    <t>EMP-10149</t>
  </si>
  <si>
    <t>EMP-11207</t>
  </si>
  <si>
    <t>EMP-10395</t>
  </si>
  <si>
    <t>Myra Patil</t>
  </si>
  <si>
    <t>EMP-10109</t>
  </si>
  <si>
    <t>Aarav Bhatt</t>
  </si>
  <si>
    <t>EMP-10440</t>
  </si>
  <si>
    <t>EMP-10191</t>
  </si>
  <si>
    <t>EMP-11163</t>
  </si>
  <si>
    <t>EMP-10007</t>
  </si>
  <si>
    <t>EMP-11132</t>
  </si>
  <si>
    <t>EMP-11094</t>
  </si>
  <si>
    <t>EMP-11217</t>
  </si>
  <si>
    <t>EMP-10651</t>
  </si>
  <si>
    <t>Ishaan Sharma</t>
  </si>
  <si>
    <t>EMP-10628</t>
  </si>
  <si>
    <t>EMP-11200</t>
  </si>
  <si>
    <t>EMP-11407</t>
  </si>
  <si>
    <t>EMP-10486</t>
  </si>
  <si>
    <t>Pranav Chatterjee</t>
  </si>
  <si>
    <t>EMP-11435</t>
  </si>
  <si>
    <t>Krishna Verma</t>
  </si>
  <si>
    <t>EMP-10691</t>
  </si>
  <si>
    <t>EMP-10959</t>
  </si>
  <si>
    <t>EMP-10737</t>
  </si>
  <si>
    <t>EMP-10459</t>
  </si>
  <si>
    <t>EMP-10941</t>
  </si>
  <si>
    <t>Kavya Rao</t>
  </si>
  <si>
    <t>EMP-11420</t>
  </si>
  <si>
    <t>EMP-10309</t>
  </si>
  <si>
    <t>EMP-10406</t>
  </si>
  <si>
    <t>EMP-10304</t>
  </si>
  <si>
    <t>EMP-11153</t>
  </si>
  <si>
    <t>EMP-11304</t>
  </si>
  <si>
    <t>EMP-10600</t>
  </si>
  <si>
    <t>EMP-11322</t>
  </si>
  <si>
    <t>EMP-10790</t>
  </si>
  <si>
    <t>Aadhya Joshi</t>
  </si>
  <si>
    <t>EMP-11330</t>
  </si>
  <si>
    <t>EMP-10783</t>
  </si>
  <si>
    <t>EMP-10046</t>
  </si>
  <si>
    <t>Nikhil Kulkarni</t>
  </si>
  <si>
    <t>EMP-10364</t>
  </si>
  <si>
    <t>EMP-11037</t>
  </si>
  <si>
    <t>Nikhil Joshi</t>
  </si>
  <si>
    <t>EMP-10143</t>
  </si>
  <si>
    <t>EMP-10024</t>
  </si>
  <si>
    <t>EMP-11383</t>
  </si>
  <si>
    <t>EMP-10145</t>
  </si>
  <si>
    <t>EMP-11292</t>
  </si>
  <si>
    <t>EMP-11274</t>
  </si>
  <si>
    <t>EMP-11219</t>
  </si>
  <si>
    <t>EMP-11102</t>
  </si>
  <si>
    <t>EMP-10063</t>
  </si>
  <si>
    <t>EMP-10190</t>
  </si>
  <si>
    <t>EMP-11191</t>
  </si>
  <si>
    <t>EMP-10189</t>
  </si>
  <si>
    <t>EMP-10370</t>
  </si>
  <si>
    <t>EMP-10955</t>
  </si>
  <si>
    <t>EMP-10800</t>
  </si>
  <si>
    <t>Saanvi Sharma</t>
  </si>
  <si>
    <t>EMP-11048</t>
  </si>
  <si>
    <t>Sai Rao</t>
  </si>
  <si>
    <t>EMP-10421</t>
  </si>
  <si>
    <t>Yash Menon</t>
  </si>
  <si>
    <t>EMP-11183</t>
  </si>
  <si>
    <t>EMP-11077</t>
  </si>
  <si>
    <t>EMP-11116</t>
  </si>
  <si>
    <t>EMP-10966</t>
  </si>
  <si>
    <t>EMP-11398</t>
  </si>
  <si>
    <t>EMP-11021</t>
  </si>
  <si>
    <t>Vihaan Reddy</t>
  </si>
  <si>
    <t>EMP-10052</t>
  </si>
  <si>
    <t>Ayaan Rao</t>
  </si>
  <si>
    <t>EMP-10862</t>
  </si>
  <si>
    <t>EMP-11139</t>
  </si>
  <si>
    <t>EMP-11363</t>
  </si>
  <si>
    <t>EMP-11090</t>
  </si>
  <si>
    <t>EMP-11406</t>
  </si>
  <si>
    <t>EMP-10269</t>
  </si>
  <si>
    <t>EMP-10192</t>
  </si>
  <si>
    <t>EMP-10594</t>
  </si>
  <si>
    <t>EMP-11034</t>
  </si>
  <si>
    <t>EMP-10870</t>
  </si>
  <si>
    <t>EMP-10620</t>
  </si>
  <si>
    <t>EMP-10581</t>
  </si>
  <si>
    <t>EMP-11029</t>
  </si>
  <si>
    <t>EMP-11395</t>
  </si>
  <si>
    <t>EMP-11221</t>
  </si>
  <si>
    <t>EMP-11031</t>
  </si>
  <si>
    <t>EMP-10912</t>
  </si>
  <si>
    <t>Sneha Nair</t>
  </si>
  <si>
    <t>EMP-10802</t>
  </si>
  <si>
    <t>EMP-10152</t>
  </si>
  <si>
    <t>EMP-10394</t>
  </si>
  <si>
    <t>EMP-11198</t>
  </si>
  <si>
    <t>EMP-10844</t>
  </si>
  <si>
    <t>Arjun Deshmukh</t>
  </si>
  <si>
    <t>EMP-10601</t>
  </si>
  <si>
    <t>EMP-11356</t>
  </si>
  <si>
    <t>Yash Verma</t>
  </si>
  <si>
    <t>EMP-11327</t>
  </si>
  <si>
    <t>EMP-10511</t>
  </si>
  <si>
    <t>Ayaan Malhotra</t>
  </si>
  <si>
    <t>EMP-10965</t>
  </si>
  <si>
    <t>EMP-10334</t>
  </si>
  <si>
    <t>EMP-11231</t>
  </si>
  <si>
    <t>EMP-10740</t>
  </si>
  <si>
    <t>EMP-10205</t>
  </si>
  <si>
    <t>EMP-10499</t>
  </si>
  <si>
    <t>Rohan Sengupta</t>
  </si>
  <si>
    <t>EMP-10905</t>
  </si>
  <si>
    <t>EMP-10252</t>
  </si>
  <si>
    <t>EMP-11428</t>
  </si>
  <si>
    <t>EMP-10928</t>
  </si>
  <si>
    <t>Vivaan Iyer</t>
  </si>
  <si>
    <t>EMP-11161</t>
  </si>
  <si>
    <t>EMP-10447</t>
  </si>
  <si>
    <t>EMP-10018</t>
  </si>
  <si>
    <t>EMP-10067</t>
  </si>
  <si>
    <t>EMP-10713</t>
  </si>
  <si>
    <t>EMP-10888</t>
  </si>
  <si>
    <t>EMP-10578</t>
  </si>
  <si>
    <t>Tanvi Reddy</t>
  </si>
  <si>
    <t>EMP-10554</t>
  </si>
  <si>
    <t>EMP-11184</t>
  </si>
  <si>
    <t>EMP-10824</t>
  </si>
  <si>
    <t>EMP-10327</t>
  </si>
  <si>
    <t>Swati Mehta</t>
  </si>
  <si>
    <t>EMP-10589</t>
  </si>
  <si>
    <t>EMP-11384</t>
  </si>
  <si>
    <t>EMP-10544</t>
  </si>
  <si>
    <t>EMP-10172</t>
  </si>
  <si>
    <t>EMP-10874</t>
  </si>
  <si>
    <t>Pooja Kapoor</t>
  </si>
  <si>
    <t>EMP-10204</t>
  </si>
  <si>
    <t>EMP-10742</t>
  </si>
  <si>
    <t>EMP-10832</t>
  </si>
  <si>
    <t>EMP-10512</t>
  </si>
  <si>
    <t>Myra Deshmukh</t>
  </si>
  <si>
    <t>EMP-10924</t>
  </si>
  <si>
    <t>EMP-11054</t>
  </si>
  <si>
    <t>Siddharth Iyer</t>
  </si>
  <si>
    <t>EMP-10636</t>
  </si>
  <si>
    <t>EMP-10293</t>
  </si>
  <si>
    <t>EMP-10266</t>
  </si>
  <si>
    <t>EMP-10215</t>
  </si>
  <si>
    <t>EMP-11375</t>
  </si>
  <si>
    <t>EMP-10131</t>
  </si>
  <si>
    <t>EMP-10265</t>
  </si>
  <si>
    <t>EMP-10572</t>
  </si>
  <si>
    <t>Pari Kulkarni</t>
  </si>
  <si>
    <t>EMP-10970</t>
  </si>
  <si>
    <t>EMP-10678</t>
  </si>
  <si>
    <t>EMP-11074</t>
  </si>
  <si>
    <t>EMP-11299</t>
  </si>
  <si>
    <t>EMP-10093</t>
  </si>
  <si>
    <t>EMP-11342</t>
  </si>
  <si>
    <t>EMP-10516</t>
  </si>
  <si>
    <t>EMP-10219</t>
  </si>
  <si>
    <t>EMP-10494</t>
  </si>
  <si>
    <t>EMP-11417</t>
  </si>
  <si>
    <t>EMP-10813</t>
  </si>
  <si>
    <t>EMP-11258</t>
  </si>
  <si>
    <t>EMP-10833</t>
  </si>
  <si>
    <t>Shruti Patil</t>
  </si>
  <si>
    <t>EMP-10698</t>
  </si>
  <si>
    <t>EMP-11368</t>
  </si>
  <si>
    <t>EMP-11121</t>
  </si>
  <si>
    <t>EMP-10861</t>
  </si>
  <si>
    <t>EMP-10904</t>
  </si>
  <si>
    <t>EMP-10696</t>
  </si>
  <si>
    <t>EMP-10880</t>
  </si>
  <si>
    <t>Tanvi Menon</t>
  </si>
  <si>
    <t>EMP-10729</t>
  </si>
  <si>
    <t>Tejas Joshi</t>
  </si>
  <si>
    <t>EMP-11415</t>
  </si>
  <si>
    <t>EMP-10331</t>
  </si>
  <si>
    <t>EMP-10104</t>
  </si>
  <si>
    <t>EMP-10501</t>
  </si>
  <si>
    <t>Riya Bhatt</t>
  </si>
  <si>
    <t>EMP-10446</t>
  </si>
  <si>
    <t>EMP-10047</t>
  </si>
  <si>
    <t>EMP-10479</t>
  </si>
  <si>
    <t>EMP-10060</t>
  </si>
  <si>
    <t>EMP-10702</t>
  </si>
  <si>
    <t>EMP-10706</t>
  </si>
  <si>
    <t>EMP-10015</t>
  </si>
  <si>
    <t>EMP-10330</t>
  </si>
  <si>
    <t>EMP-10135</t>
  </si>
  <si>
    <t>Myra Mehta</t>
  </si>
  <si>
    <t>EMP-10384</t>
  </si>
  <si>
    <t>Aarav Gokhale</t>
  </si>
  <si>
    <t>EMP-10295</t>
  </si>
  <si>
    <t>EMP-11212</t>
  </si>
  <si>
    <t>EMP-10763</t>
  </si>
  <si>
    <t>EMP-10854</t>
  </si>
  <si>
    <t>EMP-10061</t>
  </si>
  <si>
    <t>EMP-10629</t>
  </si>
  <si>
    <t>EMP-10530</t>
  </si>
  <si>
    <t>EMP-10058</t>
  </si>
  <si>
    <t>EMP-10411</t>
  </si>
  <si>
    <t>Mrunal Chitnis</t>
  </si>
  <si>
    <t>EMP-10858</t>
  </si>
  <si>
    <t>EMP-10517</t>
  </si>
  <si>
    <t>EMP-10761</t>
  </si>
  <si>
    <t>EMP-11066</t>
  </si>
  <si>
    <t>EMP-11005</t>
  </si>
  <si>
    <t>Shruti Malhotra</t>
  </si>
  <si>
    <t>EMP-11447</t>
  </si>
  <si>
    <t>EMP-10325</t>
  </si>
  <si>
    <t>EMP-10946</t>
  </si>
  <si>
    <t>Shruti Mehta</t>
  </si>
  <si>
    <t>EMP-10361</t>
  </si>
  <si>
    <t>EMP-10879</t>
  </si>
  <si>
    <t>EMP-10088</t>
  </si>
  <si>
    <t>EMP-10809</t>
  </si>
  <si>
    <t>EMP-10138</t>
  </si>
  <si>
    <t>EMP-10320</t>
  </si>
  <si>
    <t>EMP-10806</t>
  </si>
  <si>
    <t>Swati Patil</t>
  </si>
  <si>
    <t>EMP-10106</t>
  </si>
  <si>
    <t>Kavya Sengupta</t>
  </si>
  <si>
    <t>EMP-10899</t>
  </si>
  <si>
    <t>Swati Gokhale</t>
  </si>
  <si>
    <t>EMP-11301</t>
  </si>
  <si>
    <t>EMP-11210</t>
  </si>
  <si>
    <t>EMP-10243</t>
  </si>
  <si>
    <t>EMP-10848</t>
  </si>
  <si>
    <t>EMP-10821</t>
  </si>
  <si>
    <t>Karan Gokhale</t>
  </si>
  <si>
    <t>EMP-11008</t>
  </si>
  <si>
    <t>EMP-10566</t>
  </si>
  <si>
    <t>EMP-10121</t>
  </si>
  <si>
    <t>EMP-11218</t>
  </si>
  <si>
    <t>EMP-10685</t>
  </si>
  <si>
    <t>EMP-10958</t>
  </si>
  <si>
    <t>MASTER REFERENCE &amp; LOOKUP TABLES (VLOOKUP, INDEX/MATCH, XLOOKUP, &amp; Cleaning Mapping)</t>
  </si>
  <si>
    <t>Manager Directory (Demonstrating VLOOKUP + PROPER/TRIM)</t>
  </si>
  <si>
    <t>Dashboard Filter Lists &amp; Parameters</t>
  </si>
  <si>
    <t>Standard_Department_Name</t>
  </si>
  <si>
    <t>Dept_Head</t>
  </si>
  <si>
    <t>Cost_Center</t>
  </si>
  <si>
    <t>Approved_HC_Target_2025</t>
  </si>
  <si>
    <t>Annual_Dept_Budget_INR</t>
  </si>
  <si>
    <t>Target_Attrition_Ceiling</t>
  </si>
  <si>
    <t>Manager_Name_Raw</t>
  </si>
  <si>
    <t>Standard_Manager_Name</t>
  </si>
  <si>
    <t>Base_Location</t>
  </si>
  <si>
    <t>Department_Filter_List</t>
  </si>
  <si>
    <t>Year_Filter_List</t>
  </si>
  <si>
    <t>Vikramjit Sen</t>
  </si>
  <si>
    <t>CC-101</t>
  </si>
  <si>
    <t xml:space="preserve">  aarav deshmukh </t>
  </si>
  <si>
    <t>Meenakshi Iyer</t>
  </si>
  <si>
    <t>CC-202</t>
  </si>
  <si>
    <t xml:space="preserve">NEHA KULKARNI  </t>
  </si>
  <si>
    <t>Rajeshwar Patil</t>
  </si>
  <si>
    <t>CC-303</t>
  </si>
  <si>
    <t xml:space="preserve"> rohan verma</t>
  </si>
  <si>
    <t>Rohan Verma</t>
  </si>
  <si>
    <t>Suhasini Kulkarni</t>
  </si>
  <si>
    <t>CC-404</t>
  </si>
  <si>
    <t>Siddharth   Nair</t>
  </si>
  <si>
    <t>Nandini Deshmukh</t>
  </si>
  <si>
    <t>CC-505</t>
  </si>
  <si>
    <t xml:space="preserve">vikramaditya joshi </t>
  </si>
  <si>
    <t>Vikramaditya Joshi</t>
  </si>
  <si>
    <t>Kabir Malhotra</t>
  </si>
  <si>
    <t>CC-606</t>
  </si>
  <si>
    <t xml:space="preserve">  PRIYA SHARMA</t>
  </si>
  <si>
    <t>Priya Sharma</t>
  </si>
  <si>
    <t xml:space="preserve">karan malhotra  </t>
  </si>
  <si>
    <t>Karan Malhotra</t>
  </si>
  <si>
    <t>Job Level &amp; Salary Band Reference Table</t>
  </si>
  <si>
    <t xml:space="preserve">  ananya iyer</t>
  </si>
  <si>
    <t>Level_Title_Category</t>
  </si>
  <si>
    <t>Salary_Band_Label</t>
  </si>
  <si>
    <t>Band_Min_INR</t>
  </si>
  <si>
    <t>Band_Max_INR</t>
  </si>
  <si>
    <t>Standard_Training_Target_Hrs</t>
  </si>
  <si>
    <t xml:space="preserve">DEEPAK PATIL </t>
  </si>
  <si>
    <t>Deepak Patil</t>
  </si>
  <si>
    <t>Associate / Analyst</t>
  </si>
  <si>
    <t>Band A (Entry)</t>
  </si>
  <si>
    <t xml:space="preserve"> meera krishnan </t>
  </si>
  <si>
    <t>Meera Krishnan</t>
  </si>
  <si>
    <t>Reporting_Cutoff_Date</t>
  </si>
  <si>
    <t>Specialist / Sr. Analyst</t>
  </si>
  <si>
    <t>Band B (Mid)</t>
  </si>
  <si>
    <t xml:space="preserve">rajeshwari rao  </t>
  </si>
  <si>
    <t>Rajeshwari Rao</t>
  </si>
  <si>
    <t>Lead / Manager</t>
  </si>
  <si>
    <t>Band C (Senior)</t>
  </si>
  <si>
    <t xml:space="preserve">  aditya gokhale</t>
  </si>
  <si>
    <t>Director / Principal</t>
  </si>
  <si>
    <t>Band D (Leadership)</t>
  </si>
  <si>
    <t xml:space="preserve">KAVITA MENON </t>
  </si>
  <si>
    <t>Kavita Menon</t>
  </si>
  <si>
    <t>VP / Executive</t>
  </si>
  <si>
    <t>Band E (Executive)</t>
  </si>
  <si>
    <t xml:space="preserve">  nikhil chatterjee </t>
  </si>
  <si>
    <t xml:space="preserve">tanvi chitnis  </t>
  </si>
  <si>
    <t>Recruitment Channel Cost &amp; SLA Reference</t>
  </si>
  <si>
    <t xml:space="preserve"> ARJUN SENGUPTA </t>
  </si>
  <si>
    <t>Target_Time_To_Fill_Days</t>
  </si>
  <si>
    <t>Duplicate_Record_Check</t>
  </si>
  <si>
    <t xml:space="preserve"> Ayaan   deshmukh </t>
  </si>
  <si>
    <t>2021-05-08</t>
  </si>
  <si>
    <t>2021-01-01</t>
  </si>
  <si>
    <t>2023-04-15</t>
  </si>
  <si>
    <t>2025-05-08</t>
  </si>
  <si>
    <t>2019-03-07</t>
  </si>
  <si>
    <t>2019-10-04</t>
  </si>
  <si>
    <t>2022-12-15</t>
  </si>
  <si>
    <t>2021-10-07</t>
  </si>
  <si>
    <t>2025-02-13</t>
  </si>
  <si>
    <t>2022-11-09</t>
  </si>
  <si>
    <t>2025-12-16</t>
  </si>
  <si>
    <t>enterprise sales</t>
  </si>
  <si>
    <t>2024-07-09</t>
  </si>
  <si>
    <t>2020-01-26</t>
  </si>
  <si>
    <t>2022-11-16</t>
  </si>
  <si>
    <t>2023-04-26</t>
  </si>
  <si>
    <t>2024-12-19</t>
  </si>
  <si>
    <t>2019-02-25</t>
  </si>
  <si>
    <t>2021-07-13</t>
  </si>
  <si>
    <t>2021-09-14</t>
  </si>
  <si>
    <t xml:space="preserve"> Ayaan   bhatt </t>
  </si>
  <si>
    <t>2025-11-11</t>
  </si>
  <si>
    <t>2022-09-04</t>
  </si>
  <si>
    <t>2021-06-25</t>
  </si>
  <si>
    <t xml:space="preserve">AARAV SHAH   </t>
  </si>
  <si>
    <t>2025-08-01</t>
  </si>
  <si>
    <t>2019-04-19</t>
  </si>
  <si>
    <t>2022-03-22</t>
  </si>
  <si>
    <t>2024-09-25</t>
  </si>
  <si>
    <t>2021-08-04</t>
  </si>
  <si>
    <t>2024-12-31</t>
  </si>
  <si>
    <t>2023-12-21</t>
  </si>
  <si>
    <t>2024-10-14</t>
  </si>
  <si>
    <t>Engineering &amp; Prod</t>
  </si>
  <si>
    <t>Bangalore</t>
  </si>
  <si>
    <t>2025-04-18</t>
  </si>
  <si>
    <t>Y</t>
  </si>
  <si>
    <t>2021-07-07</t>
  </si>
  <si>
    <t>2021-09-07</t>
  </si>
  <si>
    <t>2023-12-11</t>
  </si>
  <si>
    <t>2024-06-11</t>
  </si>
  <si>
    <t>2023-08-08</t>
  </si>
  <si>
    <t>2021-11-18</t>
  </si>
  <si>
    <t>2023-08-16</t>
  </si>
  <si>
    <t>2024-04-06</t>
  </si>
  <si>
    <t xml:space="preserve">  Growth Marketing </t>
  </si>
  <si>
    <t>2024-07-23</t>
  </si>
  <si>
    <t>2021-05-07</t>
  </si>
  <si>
    <t>2021-10-11</t>
  </si>
  <si>
    <t>2025-01-17</t>
  </si>
  <si>
    <t xml:space="preserve">  kiara malhotra </t>
  </si>
  <si>
    <t>2022-10-08</t>
  </si>
  <si>
    <t>2025-10-22</t>
  </si>
  <si>
    <t>Marketing - Growth</t>
  </si>
  <si>
    <t>2023-11-23</t>
  </si>
  <si>
    <t>2025-04-14</t>
  </si>
  <si>
    <t>2024-08-20</t>
  </si>
  <si>
    <t>2025-02-06</t>
  </si>
  <si>
    <t>2024-04-12</t>
  </si>
  <si>
    <t>2022-11-27</t>
  </si>
  <si>
    <t>2024-06-30</t>
  </si>
  <si>
    <t>2019-09-05</t>
  </si>
  <si>
    <t>2021-08-09</t>
  </si>
  <si>
    <t>2023-04-07</t>
  </si>
  <si>
    <t>2024-03-21</t>
  </si>
  <si>
    <t>2024-02-03</t>
  </si>
  <si>
    <t>2024-09-14</t>
  </si>
  <si>
    <t>2021-07-05</t>
  </si>
  <si>
    <t>2021-11-08</t>
  </si>
  <si>
    <t>2022-04-28</t>
  </si>
  <si>
    <t>2022-09-01</t>
  </si>
  <si>
    <t xml:space="preserve"> Sneha   kapoor </t>
  </si>
  <si>
    <t>2023-12-26</t>
  </si>
  <si>
    <t>2025-04-07</t>
  </si>
  <si>
    <t>2025-11-07</t>
  </si>
  <si>
    <t>2025-12-22</t>
  </si>
  <si>
    <t>2021-01-04</t>
  </si>
  <si>
    <t>2024-10-07</t>
  </si>
  <si>
    <t>2025-08-18</t>
  </si>
  <si>
    <t>HR / People &amp; Talent</t>
  </si>
  <si>
    <t>2020-02-22</t>
  </si>
  <si>
    <t xml:space="preserve">  ayaan rao </t>
  </si>
  <si>
    <t>2025-05-22</t>
  </si>
  <si>
    <t xml:space="preserve"> Krishna   iyer </t>
  </si>
  <si>
    <t>2023-11-13</t>
  </si>
  <si>
    <t>N</t>
  </si>
  <si>
    <t>2020-01-10</t>
  </si>
  <si>
    <t>2025-05-07</t>
  </si>
  <si>
    <t>2020-04-17</t>
  </si>
  <si>
    <t>2024-09-22</t>
  </si>
  <si>
    <t>2022-04-05</t>
  </si>
  <si>
    <t>2025-11-19</t>
  </si>
  <si>
    <t>2020-12-01</t>
  </si>
  <si>
    <t>Customer Ops</t>
  </si>
  <si>
    <t>YES</t>
  </si>
  <si>
    <t>2025-11-17</t>
  </si>
  <si>
    <t xml:space="preserve"> Karan   shah </t>
  </si>
  <si>
    <t>2023-09-14</t>
  </si>
  <si>
    <t>2025-04-27</t>
  </si>
  <si>
    <t xml:space="preserve"> Kiara   menon </t>
  </si>
  <si>
    <t>2020-02-23</t>
  </si>
  <si>
    <t>2021-10-21</t>
  </si>
  <si>
    <t>2024-12-05</t>
  </si>
  <si>
    <t>2022-01-07</t>
  </si>
  <si>
    <t xml:space="preserve">  pune</t>
  </si>
  <si>
    <t>2024-12-18</t>
  </si>
  <si>
    <t>2024-01-13</t>
  </si>
  <si>
    <t>2023-10-18</t>
  </si>
  <si>
    <t>2023-03-28</t>
  </si>
  <si>
    <t>2024-06-25</t>
  </si>
  <si>
    <t>2022-08-01</t>
  </si>
  <si>
    <t>2022-01-08</t>
  </si>
  <si>
    <t>2022-04-11</t>
  </si>
  <si>
    <t>2021-12-09</t>
  </si>
  <si>
    <t>2020-02-19</t>
  </si>
  <si>
    <t>2022-02-19</t>
  </si>
  <si>
    <t>2025-08-11</t>
  </si>
  <si>
    <t>2021-06-18</t>
  </si>
  <si>
    <t>2023-08-04</t>
  </si>
  <si>
    <t xml:space="preserve">  bengaluru </t>
  </si>
  <si>
    <t>2024-03-24</t>
  </si>
  <si>
    <t>2023-07-27</t>
  </si>
  <si>
    <t>2023-04-25</t>
  </si>
  <si>
    <t>2021-03-16</t>
  </si>
  <si>
    <t>2025-03-31</t>
  </si>
  <si>
    <t>2023-09-07</t>
  </si>
  <si>
    <t>2020-12-16</t>
  </si>
  <si>
    <t>2021-05-24</t>
  </si>
  <si>
    <t>2020-08-18</t>
  </si>
  <si>
    <t>2021-05-10</t>
  </si>
  <si>
    <t>2022-03-15</t>
  </si>
  <si>
    <t>2025-11-23</t>
  </si>
  <si>
    <t>2023-05-08</t>
  </si>
  <si>
    <t>2021-01-18</t>
  </si>
  <si>
    <t xml:space="preserve"> Shruti   joshi </t>
  </si>
  <si>
    <t>2022-10-10</t>
  </si>
  <si>
    <t>2023-07-16</t>
  </si>
  <si>
    <t>2021-08-03</t>
  </si>
  <si>
    <t>2023-05-27</t>
  </si>
  <si>
    <t>2025-09-25</t>
  </si>
  <si>
    <t xml:space="preserve"> Meera   malhotra </t>
  </si>
  <si>
    <t>2024-08-10</t>
  </si>
  <si>
    <t>2024-04-21</t>
  </si>
  <si>
    <t>2024-07-03</t>
  </si>
  <si>
    <t xml:space="preserve">  ananya deshmukh </t>
  </si>
  <si>
    <t>2022-08-23</t>
  </si>
  <si>
    <t>2023-11-19</t>
  </si>
  <si>
    <t>2024-05-27</t>
  </si>
  <si>
    <t>2022-08-04</t>
  </si>
  <si>
    <t xml:space="preserve">  Hyderabad</t>
  </si>
  <si>
    <t>2024-08-03</t>
  </si>
  <si>
    <t>2024-02-08</t>
  </si>
  <si>
    <t>2025-01-25</t>
  </si>
  <si>
    <t>NO</t>
  </si>
  <si>
    <t xml:space="preserve">IRA VERMA   </t>
  </si>
  <si>
    <t>2023-07-21</t>
  </si>
  <si>
    <t>2025-11-04</t>
  </si>
  <si>
    <t>2025-11-28</t>
  </si>
  <si>
    <t>2022-11-15</t>
  </si>
  <si>
    <t>2022-02-01</t>
  </si>
  <si>
    <t>2025-02-08</t>
  </si>
  <si>
    <t>2020-12-10</t>
  </si>
  <si>
    <t>2023-07-11</t>
  </si>
  <si>
    <t>2023-06-28</t>
  </si>
  <si>
    <t xml:space="preserve"> Aadhya   kapoor </t>
  </si>
  <si>
    <t>2019-06-24</t>
  </si>
  <si>
    <t>2023-03-17</t>
  </si>
  <si>
    <t>2023-08-06</t>
  </si>
  <si>
    <t>2022-12-05</t>
  </si>
  <si>
    <t>2021-11-03</t>
  </si>
  <si>
    <t>2021-12-25</t>
  </si>
  <si>
    <t xml:space="preserve">customer ops </t>
  </si>
  <si>
    <t>2022-12-03</t>
  </si>
  <si>
    <t>2025-12-10</t>
  </si>
  <si>
    <t>2020-07-05</t>
  </si>
  <si>
    <t>2019-02-20</t>
  </si>
  <si>
    <t>2020-11-07</t>
  </si>
  <si>
    <t>2019-05-15</t>
  </si>
  <si>
    <t>2023-02-15</t>
  </si>
  <si>
    <t>2025-03-02</t>
  </si>
  <si>
    <t>BENGALURU</t>
  </si>
  <si>
    <t>2020-04-13</t>
  </si>
  <si>
    <t>2020-10-16</t>
  </si>
  <si>
    <t>2022-07-09</t>
  </si>
  <si>
    <t>2021-05-25</t>
  </si>
  <si>
    <t>2024-11-25</t>
  </si>
  <si>
    <t>Sales - Enterprise</t>
  </si>
  <si>
    <t>2024-08-02</t>
  </si>
  <si>
    <t>2025-04-06</t>
  </si>
  <si>
    <t xml:space="preserve">  engineering &amp; product </t>
  </si>
  <si>
    <t>2025-09-12</t>
  </si>
  <si>
    <t>2024-12-28</t>
  </si>
  <si>
    <t>2021-12-22</t>
  </si>
  <si>
    <t xml:space="preserve">no </t>
  </si>
  <si>
    <t>2024-01-09</t>
  </si>
  <si>
    <t>2025-11-12</t>
  </si>
  <si>
    <t>2025-12-30</t>
  </si>
  <si>
    <t>2024-11-03</t>
  </si>
  <si>
    <t>2024-01-02</t>
  </si>
  <si>
    <t>2024-06-28</t>
  </si>
  <si>
    <t xml:space="preserve">yes </t>
  </si>
  <si>
    <t>2025-11-24</t>
  </si>
  <si>
    <t>2025-05-09</t>
  </si>
  <si>
    <t xml:space="preserve">KARAN NAIR   </t>
  </si>
  <si>
    <t>2024-02-22</t>
  </si>
  <si>
    <t>2021-04-04</t>
  </si>
  <si>
    <t>2022-03-10</t>
  </si>
  <si>
    <t>2025-04-11</t>
  </si>
  <si>
    <t>2021-09-09</t>
  </si>
  <si>
    <t xml:space="preserve"> Krishna   deshmukh </t>
  </si>
  <si>
    <t>2025-04-19</t>
  </si>
  <si>
    <t>2025-10-10</t>
  </si>
  <si>
    <t>Eng &amp; Product</t>
  </si>
  <si>
    <t>2023-08-25</t>
  </si>
  <si>
    <t>2020-12-26</t>
  </si>
  <si>
    <t>2021-04-08</t>
  </si>
  <si>
    <t>2024-07-22</t>
  </si>
  <si>
    <t>2025-02-05</t>
  </si>
  <si>
    <t>2021-08-17</t>
  </si>
  <si>
    <t>2024-08-08</t>
  </si>
  <si>
    <t>2025-06-22</t>
  </si>
  <si>
    <t>2021-02-03</t>
  </si>
  <si>
    <t>2021-04-09</t>
  </si>
  <si>
    <t>2021-11-04</t>
  </si>
  <si>
    <t>2023-10-10</t>
  </si>
  <si>
    <t>2024-07-05</t>
  </si>
  <si>
    <t>2022-02-25</t>
  </si>
  <si>
    <t>2019-10-22</t>
  </si>
  <si>
    <t>2023-05-19</t>
  </si>
  <si>
    <t>2024-03-28</t>
  </si>
  <si>
    <t>2024-06-07</t>
  </si>
  <si>
    <t>2021-07-14</t>
  </si>
  <si>
    <t>2025-01-05</t>
  </si>
  <si>
    <t>2022-07-16</t>
  </si>
  <si>
    <t>2024-07-31</t>
  </si>
  <si>
    <t>2022-11-22</t>
  </si>
  <si>
    <t>2024-01-01</t>
  </si>
  <si>
    <t>2023-02-01</t>
  </si>
  <si>
    <t>2024-06-26</t>
  </si>
  <si>
    <t>2021-02-13</t>
  </si>
  <si>
    <t>2022-12-26</t>
  </si>
  <si>
    <t>2020-12-21</t>
  </si>
  <si>
    <t>2021-12-07</t>
  </si>
  <si>
    <t>2024-07-28</t>
  </si>
  <si>
    <t>2025-07-16</t>
  </si>
  <si>
    <t>2022-06-24</t>
  </si>
  <si>
    <t>2022-12-07</t>
  </si>
  <si>
    <t xml:space="preserve">  tejas sharma </t>
  </si>
  <si>
    <t>2021-02-06</t>
  </si>
  <si>
    <t>2019-11-19</t>
  </si>
  <si>
    <t>2023-07-15</t>
  </si>
  <si>
    <t xml:space="preserve">people &amp; talent  </t>
  </si>
  <si>
    <t>2025-08-15</t>
  </si>
  <si>
    <t>2024-05-15</t>
  </si>
  <si>
    <t>2024-08-19</t>
  </si>
  <si>
    <t xml:space="preserve"> Karan   mehta </t>
  </si>
  <si>
    <t>2024-06-20</t>
  </si>
  <si>
    <t>2025-01-16</t>
  </si>
  <si>
    <t>2025-01-08</t>
  </si>
  <si>
    <t>2022-06-10</t>
  </si>
  <si>
    <t>2023-06-04</t>
  </si>
  <si>
    <t>2021-02-19</t>
  </si>
  <si>
    <t>2022-05-18</t>
  </si>
  <si>
    <t xml:space="preserve">MEERA PATIL   </t>
  </si>
  <si>
    <t>2023-09-12</t>
  </si>
  <si>
    <t>2021-04-05</t>
  </si>
  <si>
    <t>2023-09-02</t>
  </si>
  <si>
    <t>2024-03-06</t>
  </si>
  <si>
    <t xml:space="preserve">ANANYA REDDY   </t>
  </si>
  <si>
    <t>2021-07-12</t>
  </si>
  <si>
    <t>2022-09-08</t>
  </si>
  <si>
    <t>2019-08-25</t>
  </si>
  <si>
    <t>2020-03-28</t>
  </si>
  <si>
    <t xml:space="preserve">  swati joshi </t>
  </si>
  <si>
    <t>2025-05-03</t>
  </si>
  <si>
    <t>2025-10-07</t>
  </si>
  <si>
    <t>2025-02-12</t>
  </si>
  <si>
    <t>2025-09-11</t>
  </si>
  <si>
    <t>2025-05-27</t>
  </si>
  <si>
    <t xml:space="preserve">PRANAV REDDY   </t>
  </si>
  <si>
    <t>2024-02-25</t>
  </si>
  <si>
    <t xml:space="preserve">  tanvi patil </t>
  </si>
  <si>
    <t>2022-08-20</t>
  </si>
  <si>
    <t>2020-01-20</t>
  </si>
  <si>
    <t>2024-03-16</t>
  </si>
  <si>
    <t>2023-09-26</t>
  </si>
  <si>
    <t>2024-07-12</t>
  </si>
  <si>
    <t>2023-10-24</t>
  </si>
  <si>
    <t>2022-12-16</t>
  </si>
  <si>
    <t xml:space="preserve"> Tanvi   kulkarni </t>
  </si>
  <si>
    <t>2022-04-02</t>
  </si>
  <si>
    <t>2021-09-16</t>
  </si>
  <si>
    <t>2021-11-14</t>
  </si>
  <si>
    <t>2022-06-14</t>
  </si>
  <si>
    <t xml:space="preserve">  nikhil gokhale </t>
  </si>
  <si>
    <t>2025-08-23</t>
  </si>
  <si>
    <t>2025-07-20</t>
  </si>
  <si>
    <t>2020-11-10</t>
  </si>
  <si>
    <t>2025-01-24</t>
  </si>
  <si>
    <t>2023-11-21</t>
  </si>
  <si>
    <t>2024-10-22</t>
  </si>
  <si>
    <t>2025-06-06</t>
  </si>
  <si>
    <t>2021-10-05</t>
  </si>
  <si>
    <t>2019-09-12</t>
  </si>
  <si>
    <t xml:space="preserve">SHRUTI SENGUPTA   </t>
  </si>
  <si>
    <t>2023-09-04</t>
  </si>
  <si>
    <t>2019-08-07</t>
  </si>
  <si>
    <t>2024-09-12</t>
  </si>
  <si>
    <t>2023-12-03</t>
  </si>
  <si>
    <t xml:space="preserve">  ananya verma </t>
  </si>
  <si>
    <t>2025-09-08</t>
  </si>
  <si>
    <t>2020-09-19</t>
  </si>
  <si>
    <t>2021-04-23</t>
  </si>
  <si>
    <t>2022-12-24</t>
  </si>
  <si>
    <t>2023-06-21</t>
  </si>
  <si>
    <t>2025-10-06</t>
  </si>
  <si>
    <t>2022-05-06</t>
  </si>
  <si>
    <t>2025-05-12</t>
  </si>
  <si>
    <t>2023-04-21</t>
  </si>
  <si>
    <t>2022-09-21</t>
  </si>
  <si>
    <t>2024-09-21</t>
  </si>
  <si>
    <t>2023-02-02</t>
  </si>
  <si>
    <t>2022-11-13</t>
  </si>
  <si>
    <t>2025-09-09</t>
  </si>
  <si>
    <t>2023-10-05</t>
  </si>
  <si>
    <t>2023-06-17</t>
  </si>
  <si>
    <t>2024-03-04</t>
  </si>
  <si>
    <t>2024-06-19</t>
  </si>
  <si>
    <t>2022-01-03</t>
  </si>
  <si>
    <t>2022-01-02</t>
  </si>
  <si>
    <t>2024-01-28</t>
  </si>
  <si>
    <t>2021-01-19</t>
  </si>
  <si>
    <t>2019-09-09</t>
  </si>
  <si>
    <t>2019-06-26</t>
  </si>
  <si>
    <t>2020-06-03</t>
  </si>
  <si>
    <t>2020-06-20</t>
  </si>
  <si>
    <t>2024-09-27</t>
  </si>
  <si>
    <t>2024-06-22</t>
  </si>
  <si>
    <t>2023-05-21</t>
  </si>
  <si>
    <t xml:space="preserve">VIHAAN MEHTA   </t>
  </si>
  <si>
    <t>2022-03-17</t>
  </si>
  <si>
    <t>2021-10-23</t>
  </si>
  <si>
    <t>2022-03-11</t>
  </si>
  <si>
    <t>2025-12-07</t>
  </si>
  <si>
    <t>2024-06-06</t>
  </si>
  <si>
    <t>2019-04-08</t>
  </si>
  <si>
    <t>2024-12-23</t>
  </si>
  <si>
    <t xml:space="preserve"> Ira   rao </t>
  </si>
  <si>
    <t>2024-01-10</t>
  </si>
  <si>
    <t xml:space="preserve"> Myra   chatterjee </t>
  </si>
  <si>
    <t>2023-04-27</t>
  </si>
  <si>
    <t>2022-02-14</t>
  </si>
  <si>
    <t xml:space="preserve">KRISHNA DESHMUKH   </t>
  </si>
  <si>
    <t>2025-07-21</t>
  </si>
  <si>
    <t>2023-12-28</t>
  </si>
  <si>
    <t>2024-08-04</t>
  </si>
  <si>
    <t xml:space="preserve">  aditya malhotra </t>
  </si>
  <si>
    <t xml:space="preserve">hyderabad </t>
  </si>
  <si>
    <t>2020-03-24</t>
  </si>
  <si>
    <t>2020-06-10</t>
  </si>
  <si>
    <t>2024-05-07</t>
  </si>
  <si>
    <t>2022-12-11</t>
  </si>
  <si>
    <t xml:space="preserve">Enterprise  Sales </t>
  </si>
  <si>
    <t>2022-07-27</t>
  </si>
  <si>
    <t>2022-11-10</t>
  </si>
  <si>
    <t>2025-01-09</t>
  </si>
  <si>
    <t>2020-05-21</t>
  </si>
  <si>
    <t>2023-07-22</t>
  </si>
  <si>
    <t>2019-06-20</t>
  </si>
  <si>
    <t>2022-07-23</t>
  </si>
  <si>
    <t>2025-09-15</t>
  </si>
  <si>
    <t>2025-09-07</t>
  </si>
  <si>
    <t xml:space="preserve">MEERA REDDY   </t>
  </si>
  <si>
    <t>2024-11-07</t>
  </si>
  <si>
    <t>2025-07-22</t>
  </si>
  <si>
    <t>2020-08-02</t>
  </si>
  <si>
    <t>2024-10-13</t>
  </si>
  <si>
    <t>2022-08-28</t>
  </si>
  <si>
    <t>2025-10-15</t>
  </si>
  <si>
    <t xml:space="preserve">KRISHNA CHITNIS   </t>
  </si>
  <si>
    <t>2024-03-18</t>
  </si>
  <si>
    <t>2023-08-22</t>
  </si>
  <si>
    <t>2019-06-05</t>
  </si>
  <si>
    <t>2023-10-25</t>
  </si>
  <si>
    <t>2023-04-18</t>
  </si>
  <si>
    <t>2024-03-19</t>
  </si>
  <si>
    <t>2020-10-20</t>
  </si>
  <si>
    <t>2022-07-10</t>
  </si>
  <si>
    <t>2023-01-12</t>
  </si>
  <si>
    <t>2023-03-10</t>
  </si>
  <si>
    <t>2022-05-07</t>
  </si>
  <si>
    <t>2020-12-27</t>
  </si>
  <si>
    <t>2023-05-01</t>
  </si>
  <si>
    <t>2024-01-20</t>
  </si>
  <si>
    <t>2023-03-12</t>
  </si>
  <si>
    <t>2021-06-14</t>
  </si>
  <si>
    <t xml:space="preserve"> Vivaan   menon </t>
  </si>
  <si>
    <t>2023-05-05</t>
  </si>
  <si>
    <t>2024-05-25</t>
  </si>
  <si>
    <t>2019-12-26</t>
  </si>
  <si>
    <t>2025-09-02</t>
  </si>
  <si>
    <t xml:space="preserve">  vihaan deshmukh </t>
  </si>
  <si>
    <t>2022-03-27</t>
  </si>
  <si>
    <t>2022-12-20</t>
  </si>
  <si>
    <t>2025-11-16</t>
  </si>
  <si>
    <t>2019-09-10</t>
  </si>
  <si>
    <t>2024-09-05</t>
  </si>
  <si>
    <t>2022-02-12</t>
  </si>
  <si>
    <t xml:space="preserve">  aadhya rao </t>
  </si>
  <si>
    <t>2022-02-21</t>
  </si>
  <si>
    <t>2022-10-07</t>
  </si>
  <si>
    <t xml:space="preserve">SWATI CHATTERJEE   </t>
  </si>
  <si>
    <t>2022-11-01</t>
  </si>
  <si>
    <t>2025-01-03</t>
  </si>
  <si>
    <t>2021-01-07</t>
  </si>
  <si>
    <t>2025-03-19</t>
  </si>
  <si>
    <t>2023-12-05</t>
  </si>
  <si>
    <t>2025-01-02</t>
  </si>
  <si>
    <t>2022-04-27</t>
  </si>
  <si>
    <t>2025-01-21</t>
  </si>
  <si>
    <t>2022-07-06</t>
  </si>
  <si>
    <t>2025-03-13</t>
  </si>
  <si>
    <t>2023-03-14</t>
  </si>
  <si>
    <t>2020-09-03</t>
  </si>
  <si>
    <t>2024-07-25</t>
  </si>
  <si>
    <t>2024-11-13</t>
  </si>
  <si>
    <t xml:space="preserve">ISHAAN PATIL   </t>
  </si>
  <si>
    <t>2022-12-17</t>
  </si>
  <si>
    <t>2024-10-30</t>
  </si>
  <si>
    <t>2024-12-07</t>
  </si>
  <si>
    <t>2022-12-21</t>
  </si>
  <si>
    <t>2023-08-14</t>
  </si>
  <si>
    <t>2025-11-25</t>
  </si>
  <si>
    <t>2024-12-03</t>
  </si>
  <si>
    <t xml:space="preserve">  nikhil patil </t>
  </si>
  <si>
    <t>2021-10-16</t>
  </si>
  <si>
    <t>2020-06-23</t>
  </si>
  <si>
    <t>2025-11-22</t>
  </si>
  <si>
    <t xml:space="preserve">  swati mehta </t>
  </si>
  <si>
    <t>2025-08-12</t>
  </si>
  <si>
    <t>2020-01-16</t>
  </si>
  <si>
    <t>2022-05-11</t>
  </si>
  <si>
    <t>2023-09-06</t>
  </si>
  <si>
    <t xml:space="preserve"> Kavya   verma </t>
  </si>
  <si>
    <t>2024-11-22</t>
  </si>
  <si>
    <t>2025-07-13</t>
  </si>
  <si>
    <t>2019-09-06</t>
  </si>
  <si>
    <t>2022-10-19</t>
  </si>
  <si>
    <t>2023-02-24</t>
  </si>
  <si>
    <t xml:space="preserve">  remote-india </t>
  </si>
  <si>
    <t>2022-07-20</t>
  </si>
  <si>
    <t>2023-08-18</t>
  </si>
  <si>
    <t>2022-05-05</t>
  </si>
  <si>
    <t xml:space="preserve">  vikram deshmukh </t>
  </si>
  <si>
    <t>2022-03-07</t>
  </si>
  <si>
    <t>2024-04-18</t>
  </si>
  <si>
    <t>2024-10-04</t>
  </si>
  <si>
    <t xml:space="preserve"> Yash   kulkarni </t>
  </si>
  <si>
    <t>2022-09-07</t>
  </si>
  <si>
    <t>2019-08-09</t>
  </si>
  <si>
    <t>2022-05-15</t>
  </si>
  <si>
    <t>2024-11-15</t>
  </si>
  <si>
    <t>2024-09-09</t>
  </si>
  <si>
    <t>2023-09-22</t>
  </si>
  <si>
    <t>2020-11-05</t>
  </si>
  <si>
    <t>2022-11-26</t>
  </si>
  <si>
    <t>2023-08-11</t>
  </si>
  <si>
    <t>2022-02-26</t>
  </si>
  <si>
    <t>2019-06-27</t>
  </si>
  <si>
    <t>2023-06-13</t>
  </si>
  <si>
    <t>2019-01-14</t>
  </si>
  <si>
    <t>2020-12-05</t>
  </si>
  <si>
    <t>2024-06-09</t>
  </si>
  <si>
    <t>2023-12-23</t>
  </si>
  <si>
    <t>2024-10-08</t>
  </si>
  <si>
    <t>2025-01-12</t>
  </si>
  <si>
    <t>2019-02-08</t>
  </si>
  <si>
    <t>2019-08-15</t>
  </si>
  <si>
    <t>2020-12-07</t>
  </si>
  <si>
    <t>2023-02-05</t>
  </si>
  <si>
    <t>2025-04-09</t>
  </si>
  <si>
    <t>2023-01-11</t>
  </si>
  <si>
    <t>2022-03-13</t>
  </si>
  <si>
    <t>2024-01-19</t>
  </si>
  <si>
    <t>2024-09-13</t>
  </si>
  <si>
    <t>2023-07-23</t>
  </si>
  <si>
    <t>2023-10-21</t>
  </si>
  <si>
    <t>2024-11-24</t>
  </si>
  <si>
    <t>2022-09-17</t>
  </si>
  <si>
    <t>2023-03-08</t>
  </si>
  <si>
    <t>2022-09-12</t>
  </si>
  <si>
    <t>2022-12-08</t>
  </si>
  <si>
    <t>2021-12-17</t>
  </si>
  <si>
    <t>2022-07-26</t>
  </si>
  <si>
    <t>2024-09-26</t>
  </si>
  <si>
    <t>MUMBAI</t>
  </si>
  <si>
    <t>2023-05-07</t>
  </si>
  <si>
    <t>2021-01-13</t>
  </si>
  <si>
    <t>2024-01-12</t>
  </si>
  <si>
    <t>2021-06-19</t>
  </si>
  <si>
    <t>2022-01-14</t>
  </si>
  <si>
    <t>2025-11-13</t>
  </si>
  <si>
    <t>2022-08-02</t>
  </si>
  <si>
    <t>2023-01-02</t>
  </si>
  <si>
    <t>2024-06-15</t>
  </si>
  <si>
    <t>2021-01-14</t>
  </si>
  <si>
    <t>2025-08-21</t>
  </si>
  <si>
    <t>2024-08-09</t>
  </si>
  <si>
    <t>2024-11-12</t>
  </si>
  <si>
    <t>2024-08-15</t>
  </si>
  <si>
    <t>2024-04-27</t>
  </si>
  <si>
    <t>2024-01-22</t>
  </si>
  <si>
    <t>2025-06-08</t>
  </si>
  <si>
    <t>2022-02-15</t>
  </si>
  <si>
    <t>2022-07-13</t>
  </si>
  <si>
    <t>2025-02-07</t>
  </si>
  <si>
    <t>2023-08-02</t>
  </si>
  <si>
    <t>2019-07-22</t>
  </si>
  <si>
    <t>2022-03-02</t>
  </si>
  <si>
    <t>2025-01-23</t>
  </si>
  <si>
    <t>2024-07-26</t>
  </si>
  <si>
    <t>2019-07-09</t>
  </si>
  <si>
    <t>2022-10-11</t>
  </si>
  <si>
    <t>2021-10-08</t>
  </si>
  <si>
    <t>2021-03-08</t>
  </si>
  <si>
    <t>2023-10-19</t>
  </si>
  <si>
    <t>2025-03-16</t>
  </si>
  <si>
    <t>2024-01-11</t>
  </si>
  <si>
    <t>2020-12-22</t>
  </si>
  <si>
    <t>2021-04-16</t>
  </si>
  <si>
    <t>2023-06-06</t>
  </si>
  <si>
    <t xml:space="preserve">NAVYA SHARMA   </t>
  </si>
  <si>
    <t xml:space="preserve">PUNE </t>
  </si>
  <si>
    <t>2023-12-01</t>
  </si>
  <si>
    <t>2024-10-11</t>
  </si>
  <si>
    <t>2019-03-11</t>
  </si>
  <si>
    <t>2022-10-30</t>
  </si>
  <si>
    <t>2022-08-24</t>
  </si>
  <si>
    <t>2019-08-26</t>
  </si>
  <si>
    <t>2022-01-10</t>
  </si>
  <si>
    <t>2022-08-25</t>
  </si>
  <si>
    <t>2023-06-20</t>
  </si>
  <si>
    <t>2023-03-02</t>
  </si>
  <si>
    <t>2025-05-10</t>
  </si>
  <si>
    <t>2022-06-01</t>
  </si>
  <si>
    <t>2024-02-01</t>
  </si>
  <si>
    <t>2024-07-16</t>
  </si>
  <si>
    <t>2024-11-27</t>
  </si>
  <si>
    <t>2023-03-15</t>
  </si>
  <si>
    <t>2024-11-21</t>
  </si>
  <si>
    <t>2019-02-22</t>
  </si>
  <si>
    <t>2022-08-10</t>
  </si>
  <si>
    <t>2020-10-22</t>
  </si>
  <si>
    <t>2023-06-24</t>
  </si>
  <si>
    <t>2022-05-17</t>
  </si>
  <si>
    <t>2022-07-04</t>
  </si>
  <si>
    <t>2023-03-06</t>
  </si>
  <si>
    <t>2023-05-28</t>
  </si>
  <si>
    <t>2024-01-06</t>
  </si>
  <si>
    <t>2022-06-23</t>
  </si>
  <si>
    <t>2023-05-10</t>
  </si>
  <si>
    <t>2024-05-24</t>
  </si>
  <si>
    <t>2024-02-07</t>
  </si>
  <si>
    <t>2025-08-28</t>
  </si>
  <si>
    <t>Pune-HQ</t>
  </si>
  <si>
    <t>2025-02-10</t>
  </si>
  <si>
    <t>2021-03-07</t>
  </si>
  <si>
    <t>2021-05-06</t>
  </si>
  <si>
    <t>2020-06-27</t>
  </si>
  <si>
    <t xml:space="preserve">  vivaan nair </t>
  </si>
  <si>
    <t>2021-08-20</t>
  </si>
  <si>
    <t>2021-12-03</t>
  </si>
  <si>
    <t>2023-03-26</t>
  </si>
  <si>
    <t>2025-11-06</t>
  </si>
  <si>
    <t>2025-07-28</t>
  </si>
  <si>
    <t>2023-10-04</t>
  </si>
  <si>
    <t>2024-05-22</t>
  </si>
  <si>
    <t>2024-09-04</t>
  </si>
  <si>
    <t xml:space="preserve">  vihaan shah </t>
  </si>
  <si>
    <t>2024-11-11</t>
  </si>
  <si>
    <t>2023-07-13</t>
  </si>
  <si>
    <t>2024-03-27</t>
  </si>
  <si>
    <t>2023-05-24</t>
  </si>
  <si>
    <t>2024-06-10</t>
  </si>
  <si>
    <t>2023-04-24</t>
  </si>
  <si>
    <t>2021-08-28</t>
  </si>
  <si>
    <t xml:space="preserve"> Pallavi   shah </t>
  </si>
  <si>
    <t>2023-08-07</t>
  </si>
  <si>
    <t>2025-03-05</t>
  </si>
  <si>
    <t>2023-12-06</t>
  </si>
  <si>
    <t>2025-01-15</t>
  </si>
  <si>
    <t>2023-03-20</t>
  </si>
  <si>
    <t>2019-01-18</t>
  </si>
  <si>
    <t>2019-11-20</t>
  </si>
  <si>
    <t xml:space="preserve">  pari deshmukh </t>
  </si>
  <si>
    <t>2021-11-24</t>
  </si>
  <si>
    <t>2024-03-03</t>
  </si>
  <si>
    <t>2020-07-22</t>
  </si>
  <si>
    <t>2024-07-01</t>
  </si>
  <si>
    <t>2025-06-07</t>
  </si>
  <si>
    <t>2024-06-23</t>
  </si>
  <si>
    <t>2021-01-20</t>
  </si>
  <si>
    <t>2022-07-15</t>
  </si>
  <si>
    <t>2022-11-21</t>
  </si>
  <si>
    <t>2023-10-07</t>
  </si>
  <si>
    <t>2024-12-20</t>
  </si>
  <si>
    <t>2025-05-06</t>
  </si>
  <si>
    <t>2023-01-01</t>
  </si>
  <si>
    <t>2021-09-03</t>
  </si>
  <si>
    <t>2022-03-08</t>
  </si>
  <si>
    <t>2022-02-27</t>
  </si>
  <si>
    <t>2024-01-08</t>
  </si>
  <si>
    <t>2021-09-17</t>
  </si>
  <si>
    <t>2024-06-27</t>
  </si>
  <si>
    <t xml:space="preserve">  tanvi menon </t>
  </si>
  <si>
    <t>2025-11-10</t>
  </si>
  <si>
    <t xml:space="preserve">AYAAN SHARMA   </t>
  </si>
  <si>
    <t>2023-02-14</t>
  </si>
  <si>
    <t>2024-10-02</t>
  </si>
  <si>
    <t xml:space="preserve">PRANAV CHATTERJEE   </t>
  </si>
  <si>
    <t>2025-02-25</t>
  </si>
  <si>
    <t>2025-08-20</t>
  </si>
  <si>
    <t>2020-09-07</t>
  </si>
  <si>
    <t>2024-12-04</t>
  </si>
  <si>
    <t>2022-06-04</t>
  </si>
  <si>
    <t>2022-08-22</t>
  </si>
  <si>
    <t>2024-12-27</t>
  </si>
  <si>
    <t>Finance &amp; Strat</t>
  </si>
  <si>
    <t>2020-03-05</t>
  </si>
  <si>
    <t>2025-11-05</t>
  </si>
  <si>
    <t>2022-03-23</t>
  </si>
  <si>
    <t>2024-02-21</t>
  </si>
  <si>
    <t xml:space="preserve">AYAAN CHITNIS   </t>
  </si>
  <si>
    <t>2024-10-19</t>
  </si>
  <si>
    <t>2022-01-17</t>
  </si>
  <si>
    <t>2022-07-07</t>
  </si>
  <si>
    <t>2024-05-09</t>
  </si>
  <si>
    <t xml:space="preserve">NAVYA KULKARNI   </t>
  </si>
  <si>
    <t>2024-07-14</t>
  </si>
  <si>
    <t>2022-12-09</t>
  </si>
  <si>
    <t>2022-12-23</t>
  </si>
  <si>
    <t>2022-04-10</t>
  </si>
  <si>
    <t>2025-07-09</t>
  </si>
  <si>
    <t>2023-10-27</t>
  </si>
  <si>
    <t>2024-09-08</t>
  </si>
  <si>
    <t>2022-09-13</t>
  </si>
  <si>
    <t>2023-04-20</t>
  </si>
  <si>
    <t>2025-09-27</t>
  </si>
  <si>
    <t>2025-11-20</t>
  </si>
  <si>
    <t xml:space="preserve">ROHAN MALHOTRA   </t>
  </si>
  <si>
    <t>2022-10-25</t>
  </si>
  <si>
    <t>2022-01-21</t>
  </si>
  <si>
    <t>2021-09-27</t>
  </si>
  <si>
    <t>2019-08-23</t>
  </si>
  <si>
    <t>2024-10-27</t>
  </si>
  <si>
    <t>2022-12-28</t>
  </si>
  <si>
    <t>2024-10-15</t>
  </si>
  <si>
    <t>2022-08-13</t>
  </si>
  <si>
    <t>2023-12-13</t>
  </si>
  <si>
    <t>2024-12-21</t>
  </si>
  <si>
    <t>2025-11-18</t>
  </si>
  <si>
    <t>2025-10-18</t>
  </si>
  <si>
    <t>2022-10-16</t>
  </si>
  <si>
    <t>2023-03-22</t>
  </si>
  <si>
    <t>2022-08-11</t>
  </si>
  <si>
    <t xml:space="preserve"> Omkar   mehta </t>
  </si>
  <si>
    <t>2024-06-14</t>
  </si>
  <si>
    <t xml:space="preserve">  neha menon </t>
  </si>
  <si>
    <t>2020-03-22</t>
  </si>
  <si>
    <t>2025-03-14</t>
  </si>
  <si>
    <t>2020-06-13</t>
  </si>
  <si>
    <t>2019-08-06</t>
  </si>
  <si>
    <t>2020-01-08</t>
  </si>
  <si>
    <t>2020-05-27</t>
  </si>
  <si>
    <t>HYDERABAD</t>
  </si>
  <si>
    <t>2023-12-09</t>
  </si>
  <si>
    <t>2022-06-20</t>
  </si>
  <si>
    <t>2023-11-16</t>
  </si>
  <si>
    <t>2022-01-05</t>
  </si>
  <si>
    <t>2023-01-06</t>
  </si>
  <si>
    <t>2024-12-24</t>
  </si>
  <si>
    <t>2025-08-06</t>
  </si>
  <si>
    <t>2019-11-17</t>
  </si>
  <si>
    <t>2020-10-03</t>
  </si>
  <si>
    <t xml:space="preserve">  aadhya malhotra </t>
  </si>
  <si>
    <t>2023-03-16</t>
  </si>
  <si>
    <t xml:space="preserve">  yash sengupta </t>
  </si>
  <si>
    <t>2022-02-16</t>
  </si>
  <si>
    <t>2025-09-01</t>
  </si>
  <si>
    <t>2020-12-19</t>
  </si>
  <si>
    <t>2021-03-06</t>
  </si>
  <si>
    <t>2021-07-09</t>
  </si>
  <si>
    <t>2023-09-01</t>
  </si>
  <si>
    <t>2020-10-09</t>
  </si>
  <si>
    <t>2024-01-03</t>
  </si>
  <si>
    <t>2023-09-18</t>
  </si>
  <si>
    <t>2025-12-08</t>
  </si>
  <si>
    <t>2023-06-26</t>
  </si>
  <si>
    <t>2024-02-27</t>
  </si>
  <si>
    <t>2021-06-03</t>
  </si>
  <si>
    <t>2022-09-10</t>
  </si>
  <si>
    <t>2024-01-07</t>
  </si>
  <si>
    <t>2025-09-17</t>
  </si>
  <si>
    <t>2023-04-17</t>
  </si>
  <si>
    <t>2023-06-27</t>
  </si>
  <si>
    <t>2021-07-17</t>
  </si>
  <si>
    <t>2022-05-23</t>
  </si>
  <si>
    <t>2025-08-04</t>
  </si>
  <si>
    <t xml:space="preserve">  aadhya nair </t>
  </si>
  <si>
    <t>2021-07-22</t>
  </si>
  <si>
    <t>2022-04-24</t>
  </si>
  <si>
    <t xml:space="preserve"> Vikram   sharma </t>
  </si>
  <si>
    <t>2025-02-03</t>
  </si>
  <si>
    <t>2021-03-25</t>
  </si>
  <si>
    <t>2021-08-22</t>
  </si>
  <si>
    <t>2021-09-02</t>
  </si>
  <si>
    <t>2024-12-17</t>
  </si>
  <si>
    <t>2025-11-14</t>
  </si>
  <si>
    <t>2020-10-28</t>
  </si>
  <si>
    <t>2025-08-14</t>
  </si>
  <si>
    <t>2023-03-19</t>
  </si>
  <si>
    <t>2023-09-08</t>
  </si>
  <si>
    <t>2024-07-07</t>
  </si>
  <si>
    <t>2024-11-14</t>
  </si>
  <si>
    <t>2024-12-06</t>
  </si>
  <si>
    <t>2023-08-27</t>
  </si>
  <si>
    <t>2025-06-01</t>
  </si>
  <si>
    <t>2022-10-21</t>
  </si>
  <si>
    <t xml:space="preserve"> Vikram   gokhale </t>
  </si>
  <si>
    <t>2023-12-15</t>
  </si>
  <si>
    <t>2023-06-08</t>
  </si>
  <si>
    <t>2021-08-25</t>
  </si>
  <si>
    <t>2025-03-28</t>
  </si>
  <si>
    <t xml:space="preserve"> Sai   iyer </t>
  </si>
  <si>
    <t>2025-07-04</t>
  </si>
  <si>
    <t>2021-09-25</t>
  </si>
  <si>
    <t>2024-04-08</t>
  </si>
  <si>
    <t>2022-01-22</t>
  </si>
  <si>
    <t>WFH-India</t>
  </si>
  <si>
    <t>2020-09-15</t>
  </si>
  <si>
    <t>2023-11-24</t>
  </si>
  <si>
    <t>2024-08-18</t>
  </si>
  <si>
    <t>2022-05-01</t>
  </si>
  <si>
    <t>2024-05-20</t>
  </si>
  <si>
    <t>2023-07-08</t>
  </si>
  <si>
    <t>2023-12-24</t>
  </si>
  <si>
    <t>2023-03-27</t>
  </si>
  <si>
    <t>2023-07-10</t>
  </si>
  <si>
    <t>2024-07-27</t>
  </si>
  <si>
    <t>2022-12-02</t>
  </si>
  <si>
    <t>2024-03-12</t>
  </si>
  <si>
    <t>2022-08-21</t>
  </si>
  <si>
    <t>2022-10-26</t>
  </si>
  <si>
    <t>2021-11-20</t>
  </si>
  <si>
    <t>2021-09-21</t>
  </si>
  <si>
    <t>2021-01-23</t>
  </si>
  <si>
    <t>2021-10-09</t>
  </si>
  <si>
    <t>2022-04-19</t>
  </si>
  <si>
    <t>2025-02-17</t>
  </si>
  <si>
    <t>2024-06-24</t>
  </si>
  <si>
    <t>2021-09-05</t>
  </si>
  <si>
    <t>2025-01-27</t>
  </si>
  <si>
    <t>2025-06-09</t>
  </si>
  <si>
    <t>2025-01-07</t>
  </si>
  <si>
    <t>2021-09-24</t>
  </si>
  <si>
    <t>2022-02-24</t>
  </si>
  <si>
    <t>2025-06-15</t>
  </si>
  <si>
    <t xml:space="preserve">  diya bhatt </t>
  </si>
  <si>
    <t>2022-03-18</t>
  </si>
  <si>
    <t>2024-10-20</t>
  </si>
  <si>
    <t xml:space="preserve">  rohan bhatt </t>
  </si>
  <si>
    <t>2020-06-14</t>
  </si>
  <si>
    <t>2022-07-25</t>
  </si>
  <si>
    <t>2024-01-24</t>
  </si>
  <si>
    <t xml:space="preserve"> Aarav   rao </t>
  </si>
  <si>
    <t>2023-04-28</t>
  </si>
  <si>
    <t>2024-05-26</t>
  </si>
  <si>
    <t>2020-05-02</t>
  </si>
  <si>
    <t>2020-11-24</t>
  </si>
  <si>
    <t>2021-02-28</t>
  </si>
  <si>
    <t>2021-05-17</t>
  </si>
  <si>
    <t>2024-04-17</t>
  </si>
  <si>
    <t>2025-02-16</t>
  </si>
  <si>
    <t>2023-07-25</t>
  </si>
  <si>
    <t>2022-11-19</t>
  </si>
  <si>
    <t>2019-05-25</t>
  </si>
  <si>
    <t>2023-06-12</t>
  </si>
  <si>
    <t>2021-10-27</t>
  </si>
  <si>
    <t>2022-03-30</t>
  </si>
  <si>
    <t>2024-07-06</t>
  </si>
  <si>
    <t>2021-12-26</t>
  </si>
  <si>
    <t>2024-05-28</t>
  </si>
  <si>
    <t>2021-09-10</t>
  </si>
  <si>
    <t>2022-04-13</t>
  </si>
  <si>
    <t>2023-09-09</t>
  </si>
  <si>
    <t>2023-04-05</t>
  </si>
  <si>
    <t>2024-10-29</t>
  </si>
  <si>
    <t>2022-04-21</t>
  </si>
  <si>
    <t>2023-12-17</t>
  </si>
  <si>
    <t>2022-06-03</t>
  </si>
  <si>
    <t>2022-09-20</t>
  </si>
  <si>
    <t>2020-02-05</t>
  </si>
  <si>
    <t>2024-11-01</t>
  </si>
  <si>
    <t>2023-05-03</t>
  </si>
  <si>
    <t>2021-03-15</t>
  </si>
  <si>
    <t>2022-09-11</t>
  </si>
  <si>
    <t>2025-09-21</t>
  </si>
  <si>
    <t>2020-08-13</t>
  </si>
  <si>
    <t>2022-10-02</t>
  </si>
  <si>
    <t>2022-03-25</t>
  </si>
  <si>
    <t>2024-08-01</t>
  </si>
  <si>
    <t>2020-05-11</t>
  </si>
  <si>
    <t>2025-12-15</t>
  </si>
  <si>
    <t>2024-07-18</t>
  </si>
  <si>
    <t>2019-03-06</t>
  </si>
  <si>
    <t>2024-04-15</t>
  </si>
  <si>
    <t>2024-03-07</t>
  </si>
  <si>
    <t>2024-04-07</t>
  </si>
  <si>
    <t>2022-04-18</t>
  </si>
  <si>
    <t>2019-06-03</t>
  </si>
  <si>
    <t>2025-12-12</t>
  </si>
  <si>
    <t>2023-12-19</t>
  </si>
  <si>
    <t xml:space="preserve">  rohan chitnis </t>
  </si>
  <si>
    <t>2019-05-11</t>
  </si>
  <si>
    <t>2025-10-24</t>
  </si>
  <si>
    <t>2021-10-28</t>
  </si>
  <si>
    <t>2025-10-16</t>
  </si>
  <si>
    <t>2022-12-10</t>
  </si>
  <si>
    <t>2023-09-17</t>
  </si>
  <si>
    <t>2020-07-02</t>
  </si>
  <si>
    <t>2019-05-09</t>
  </si>
  <si>
    <t>2022-06-27</t>
  </si>
  <si>
    <t>2023-03-21</t>
  </si>
  <si>
    <t xml:space="preserve"> Vivaan   iyer </t>
  </si>
  <si>
    <t>2021-06-13</t>
  </si>
  <si>
    <t>2023-06-10</t>
  </si>
  <si>
    <t>2023-01-15</t>
  </si>
  <si>
    <t>2023-03-13</t>
  </si>
  <si>
    <t>2025-08-02</t>
  </si>
  <si>
    <t>2021-11-07</t>
  </si>
  <si>
    <t>2022-03-09</t>
  </si>
  <si>
    <t>2022-02-10</t>
  </si>
  <si>
    <t>2024-11-02</t>
  </si>
  <si>
    <t>2024-10-12</t>
  </si>
  <si>
    <t>2021-11-21</t>
  </si>
  <si>
    <t>2022-11-06</t>
  </si>
  <si>
    <t>2024-03-23</t>
  </si>
  <si>
    <t xml:space="preserve">ANANYA RAO   </t>
  </si>
  <si>
    <t>2019-10-19</t>
  </si>
  <si>
    <t>2024-03-20</t>
  </si>
  <si>
    <t>2022-09-23</t>
  </si>
  <si>
    <t>2025-07-25</t>
  </si>
  <si>
    <t xml:space="preserve"> Ayaan   mehta </t>
  </si>
  <si>
    <t>2023-02-09</t>
  </si>
  <si>
    <t>2025-10-25</t>
  </si>
  <si>
    <t>2023-07-20</t>
  </si>
  <si>
    <t>2021-11-10</t>
  </si>
  <si>
    <t>2020-10-17</t>
  </si>
  <si>
    <t>2021-03-14</t>
  </si>
  <si>
    <t>2021-11-06</t>
  </si>
  <si>
    <t xml:space="preserve">  tejas kapoor </t>
  </si>
  <si>
    <t>2019-03-15</t>
  </si>
  <si>
    <t>2024-09-19</t>
  </si>
  <si>
    <t>2021-02-17</t>
  </si>
  <si>
    <t>2019-01-21</t>
  </si>
  <si>
    <t>2019-06-21</t>
  </si>
  <si>
    <t>2021-03-17</t>
  </si>
  <si>
    <t>2022-03-19</t>
  </si>
  <si>
    <t>2021-01-11</t>
  </si>
  <si>
    <t>2019-07-08</t>
  </si>
  <si>
    <t>2023-06-30</t>
  </si>
  <si>
    <t>2019-01-06</t>
  </si>
  <si>
    <t>2021-11-23</t>
  </si>
  <si>
    <t>2023-08-13</t>
  </si>
  <si>
    <t>2022-11-12</t>
  </si>
  <si>
    <t>2021-05-26</t>
  </si>
  <si>
    <t>2025-09-16</t>
  </si>
  <si>
    <t>2020-01-14</t>
  </si>
  <si>
    <t>2020-07-12</t>
  </si>
  <si>
    <t>2023-12-04</t>
  </si>
  <si>
    <t>2022-06-02</t>
  </si>
  <si>
    <t>2022-10-17</t>
  </si>
  <si>
    <t>2023-08-05</t>
  </si>
  <si>
    <t>2023-11-25</t>
  </si>
  <si>
    <t>2023-01-13</t>
  </si>
  <si>
    <t>2021-06-22</t>
  </si>
  <si>
    <t>2020-02-27</t>
  </si>
  <si>
    <t>2023-11-15</t>
  </si>
  <si>
    <t xml:space="preserve"> Pallavi   nair </t>
  </si>
  <si>
    <t>2020-07-03</t>
  </si>
  <si>
    <t>2023-03-31</t>
  </si>
  <si>
    <t>2023-10-03</t>
  </si>
  <si>
    <t xml:space="preserve"> Mrunal   nair </t>
  </si>
  <si>
    <t>2021-04-14</t>
  </si>
  <si>
    <t>2021-11-19</t>
  </si>
  <si>
    <t>2023-03-11</t>
  </si>
  <si>
    <t>2025-11-08</t>
  </si>
  <si>
    <t>2021-06-17</t>
  </si>
  <si>
    <t>2023-11-27</t>
  </si>
  <si>
    <t>2024-03-01</t>
  </si>
  <si>
    <t>2024-09-17</t>
  </si>
  <si>
    <t xml:space="preserve"> Ira   kulkarni </t>
  </si>
  <si>
    <t>2022-11-02</t>
  </si>
  <si>
    <t>2021-12-02</t>
  </si>
  <si>
    <t>2022-02-08</t>
  </si>
  <si>
    <t>2025-04-04</t>
  </si>
  <si>
    <t>2024-10-16</t>
  </si>
  <si>
    <t>2023-07-12</t>
  </si>
  <si>
    <t>2024-04-10</t>
  </si>
  <si>
    <t>2021-02-14</t>
  </si>
  <si>
    <t>2021-05-01</t>
  </si>
  <si>
    <t>2024-10-05</t>
  </si>
  <si>
    <t>2020-12-25</t>
  </si>
  <si>
    <t>2020-04-03</t>
  </si>
  <si>
    <t>2021-10-24</t>
  </si>
  <si>
    <t>2025-06-21</t>
  </si>
  <si>
    <t>2025-02-01</t>
  </si>
  <si>
    <t>2022-02-20</t>
  </si>
  <si>
    <t>2022-06-15</t>
  </si>
  <si>
    <t>2025-11-27</t>
  </si>
  <si>
    <t>2023-08-24</t>
  </si>
  <si>
    <t>2019-06-15</t>
  </si>
  <si>
    <t>2025-07-15</t>
  </si>
  <si>
    <t>2022-10-24</t>
  </si>
  <si>
    <t>2025-10-11</t>
  </si>
  <si>
    <t>2021-08-10</t>
  </si>
  <si>
    <t>2022-12-27</t>
  </si>
  <si>
    <t>2019-01-05</t>
  </si>
  <si>
    <t>2025-02-14</t>
  </si>
  <si>
    <t>2019-05-12</t>
  </si>
  <si>
    <t>2019-12-09</t>
  </si>
  <si>
    <t>2021-09-06</t>
  </si>
  <si>
    <t>2022-08-09</t>
  </si>
  <si>
    <t>2020-01-24</t>
  </si>
  <si>
    <t>2021-10-22</t>
  </si>
  <si>
    <t>2022-08-12</t>
  </si>
  <si>
    <t>2025-11-09</t>
  </si>
  <si>
    <t>2022-07-12</t>
  </si>
  <si>
    <t>2025-10-12</t>
  </si>
  <si>
    <t>2024-12-14</t>
  </si>
  <si>
    <t>2022-09-24</t>
  </si>
  <si>
    <t>2023-04-10</t>
  </si>
  <si>
    <t>2024-03-02</t>
  </si>
  <si>
    <t>Bombay/Mumbai</t>
  </si>
  <si>
    <t>2023-05-17</t>
  </si>
  <si>
    <t>2025-08-17</t>
  </si>
  <si>
    <t>2020-09-11</t>
  </si>
  <si>
    <t>2021-08-14</t>
  </si>
  <si>
    <t>2022-01-09</t>
  </si>
  <si>
    <t>2023-12-27</t>
  </si>
  <si>
    <t>2025-02-04</t>
  </si>
  <si>
    <t>2025-07-02</t>
  </si>
  <si>
    <t>2022-02-09</t>
  </si>
  <si>
    <t>2025-02-24</t>
  </si>
  <si>
    <t>2024-08-16</t>
  </si>
  <si>
    <t>2022-09-28</t>
  </si>
  <si>
    <t>2023-02-17</t>
  </si>
  <si>
    <t>2023-06-16</t>
  </si>
  <si>
    <t>2024-06-18</t>
  </si>
  <si>
    <t>2023-04-11</t>
  </si>
  <si>
    <t>2023-05-25</t>
  </si>
  <si>
    <t>2025-10-20</t>
  </si>
  <si>
    <t>2020-01-02</t>
  </si>
  <si>
    <t>2021-03-10</t>
  </si>
  <si>
    <t>2024-12-30</t>
  </si>
  <si>
    <t>2024-05-11</t>
  </si>
  <si>
    <t>2020-11-08</t>
  </si>
  <si>
    <t>2022-10-04</t>
  </si>
  <si>
    <t>2023-04-12</t>
  </si>
  <si>
    <t>2024-08-07</t>
  </si>
  <si>
    <t>2022-12-22</t>
  </si>
  <si>
    <t>2024-02-05</t>
  </si>
  <si>
    <t>2021-07-21</t>
  </si>
  <si>
    <t>2022-11-18</t>
  </si>
  <si>
    <t>2022-02-11</t>
  </si>
  <si>
    <t>2025-08-03</t>
  </si>
  <si>
    <t>2025-06-17</t>
  </si>
  <si>
    <t>2020-12-12</t>
  </si>
  <si>
    <t>2020-11-26</t>
  </si>
  <si>
    <t>2021-07-10</t>
  </si>
  <si>
    <t>2021-08-13</t>
  </si>
  <si>
    <t>2021-04-10</t>
  </si>
  <si>
    <t>2022-05-28</t>
  </si>
  <si>
    <t>2023-02-27</t>
  </si>
  <si>
    <t>2025-04-23</t>
  </si>
  <si>
    <t>2025-12-01</t>
  </si>
  <si>
    <t>2023-05-02</t>
  </si>
  <si>
    <t>2019-07-26</t>
  </si>
  <si>
    <t>2024-11-19</t>
  </si>
  <si>
    <t>2024-07-13</t>
  </si>
  <si>
    <t>2025-10-21</t>
  </si>
  <si>
    <t>2022-07-05</t>
  </si>
  <si>
    <t>2020-03-14</t>
  </si>
  <si>
    <t>2021-04-12</t>
  </si>
  <si>
    <t>2021-07-23</t>
  </si>
  <si>
    <t>2021-12-16</t>
  </si>
  <si>
    <t>2025-06-20</t>
  </si>
  <si>
    <t>2021-09-20</t>
  </si>
  <si>
    <t>2022-10-06</t>
  </si>
  <si>
    <t>2021-06-23</t>
  </si>
  <si>
    <t>2021-10-01</t>
  </si>
  <si>
    <t>2023-01-07</t>
  </si>
  <si>
    <t>2023-10-08</t>
  </si>
  <si>
    <t>2024-01-15</t>
  </si>
  <si>
    <t>2019-02-12</t>
  </si>
  <si>
    <t>2019-12-04</t>
  </si>
  <si>
    <t>2023-02-08</t>
  </si>
  <si>
    <t>2025-08-27</t>
  </si>
  <si>
    <t>2021-06-02</t>
  </si>
  <si>
    <t>2022-01-26</t>
  </si>
  <si>
    <t>2023-01-04</t>
  </si>
  <si>
    <t>2024-08-26</t>
  </si>
  <si>
    <t>2021-03-05</t>
  </si>
  <si>
    <t>2024-06-21</t>
  </si>
  <si>
    <t>2020-01-17</t>
  </si>
  <si>
    <t>2022-12-29</t>
  </si>
  <si>
    <t>2020-09-01</t>
  </si>
  <si>
    <t>2021-04-25</t>
  </si>
  <si>
    <t>2022-06-28</t>
  </si>
  <si>
    <t>2022-05-20</t>
  </si>
  <si>
    <t>2022-11-08</t>
  </si>
  <si>
    <t>2021-08-05</t>
  </si>
  <si>
    <t>2020-08-19</t>
  </si>
  <si>
    <t>2024-01-04</t>
  </si>
  <si>
    <t>2023-12-02</t>
  </si>
  <si>
    <t>2024-03-10</t>
  </si>
  <si>
    <t>2022-10-28</t>
  </si>
  <si>
    <t>2023-06-19</t>
  </si>
  <si>
    <t xml:space="preserve">  siddharth chitnis </t>
  </si>
  <si>
    <t>2023-10-23</t>
  </si>
  <si>
    <t>2024-02-26</t>
  </si>
  <si>
    <t>2020-01-12</t>
  </si>
  <si>
    <t>2025-10-14</t>
  </si>
  <si>
    <t>2021-07-04</t>
  </si>
  <si>
    <t>2022-01-29</t>
  </si>
  <si>
    <t>2025-05-05</t>
  </si>
  <si>
    <t>2020-08-27</t>
  </si>
  <si>
    <t>2023-01-17</t>
  </si>
  <si>
    <t>2025-03-04</t>
  </si>
  <si>
    <t>2019-08-28</t>
  </si>
  <si>
    <t>2025-05-17</t>
  </si>
  <si>
    <t>2019-12-12</t>
  </si>
  <si>
    <t>2023-01-18</t>
  </si>
  <si>
    <t>2024-04-03</t>
  </si>
  <si>
    <t>2025-09-19</t>
  </si>
  <si>
    <t>2021-02-15</t>
  </si>
  <si>
    <t>2025-10-01</t>
  </si>
  <si>
    <t>2024-02-11</t>
  </si>
  <si>
    <t>2023-12-14</t>
  </si>
  <si>
    <t>2025-05-24</t>
  </si>
  <si>
    <t>2022-06-22</t>
  </si>
  <si>
    <t>2024-07-15</t>
  </si>
  <si>
    <t>2019-12-07</t>
  </si>
  <si>
    <t>2021-05-16</t>
  </si>
  <si>
    <t>2023-02-12</t>
  </si>
  <si>
    <t>2020-03-27</t>
  </si>
  <si>
    <t>2021-08-19</t>
  </si>
  <si>
    <t>2022-07-30</t>
  </si>
  <si>
    <t>2020-07-08</t>
  </si>
  <si>
    <t>2023-02-10</t>
  </si>
  <si>
    <t>2021-12-01</t>
  </si>
  <si>
    <t>2022-09-03</t>
  </si>
  <si>
    <t>2023-07-26</t>
  </si>
  <si>
    <t>2022-05-24</t>
  </si>
  <si>
    <t>2020-03-10</t>
  </si>
  <si>
    <t>2025-05-15</t>
  </si>
  <si>
    <t>2023-09-25</t>
  </si>
  <si>
    <t>2023-02-16</t>
  </si>
  <si>
    <t>2024-04-25</t>
  </si>
  <si>
    <t>2022-09-26</t>
  </si>
  <si>
    <t>2024-09-10</t>
  </si>
  <si>
    <t>2019-11-11</t>
  </si>
  <si>
    <t>2023-06-11</t>
  </si>
  <si>
    <t>2019-01-01</t>
  </si>
  <si>
    <t>2025-11-21</t>
  </si>
  <si>
    <t>2021-07-27</t>
  </si>
  <si>
    <t xml:space="preserve">AARAV JOSHI   </t>
  </si>
  <si>
    <t>2025-01-11</t>
  </si>
  <si>
    <t>2022-04-22</t>
  </si>
  <si>
    <t xml:space="preserve">DIYA PATIL   </t>
  </si>
  <si>
    <t>2023-01-14</t>
  </si>
  <si>
    <t>2025-07-27</t>
  </si>
  <si>
    <t>2024-11-17</t>
  </si>
  <si>
    <t>2024-12-08</t>
  </si>
  <si>
    <t>2024-04-04</t>
  </si>
  <si>
    <t xml:space="preserve">SAI KULKARNI   </t>
  </si>
  <si>
    <t>2022-07-11</t>
  </si>
  <si>
    <t>2025-05-20</t>
  </si>
  <si>
    <t>2019-07-13</t>
  </si>
  <si>
    <t>2020-07-20</t>
  </si>
  <si>
    <t>2022-03-21</t>
  </si>
  <si>
    <t>2023-05-15</t>
  </si>
  <si>
    <t>2020-09-25</t>
  </si>
  <si>
    <t>2022-09-19</t>
  </si>
  <si>
    <t>2020-01-21</t>
  </si>
  <si>
    <t xml:space="preserve"> Kiara   chatterjee </t>
  </si>
  <si>
    <t>2021-12-13</t>
  </si>
  <si>
    <t>2021-04-06</t>
  </si>
  <si>
    <t>2021-07-20</t>
  </si>
  <si>
    <t>2025-04-10</t>
  </si>
  <si>
    <t xml:space="preserve">ANANYA SENGUPTA   </t>
  </si>
  <si>
    <t>2022-12-12</t>
  </si>
  <si>
    <t xml:space="preserve">ADITYA SHAH   </t>
  </si>
  <si>
    <t>2019-11-25</t>
  </si>
  <si>
    <t>2021-08-16</t>
  </si>
  <si>
    <t>2023-06-09</t>
  </si>
  <si>
    <t>2023-08-17</t>
  </si>
  <si>
    <t xml:space="preserve">SIDDHARTH CHITNIS   </t>
  </si>
  <si>
    <t>2021-06-09</t>
  </si>
  <si>
    <t>2023-07-24</t>
  </si>
  <si>
    <t>2023-12-18</t>
  </si>
  <si>
    <t>2024-10-25</t>
  </si>
  <si>
    <t>2024-04-24</t>
  </si>
  <si>
    <t>2022-06-26</t>
  </si>
  <si>
    <t>2022-06-19</t>
  </si>
  <si>
    <t>2021-12-20</t>
  </si>
  <si>
    <t>2022-11-17</t>
  </si>
  <si>
    <t xml:space="preserve">ANANYA GOKHALE   </t>
  </si>
  <si>
    <t>2021-07-06</t>
  </si>
  <si>
    <t>2021-03-28</t>
  </si>
  <si>
    <t>2022-08-19</t>
  </si>
  <si>
    <t xml:space="preserve">  siddharth nair </t>
  </si>
  <si>
    <t>2024-08-30</t>
  </si>
  <si>
    <t xml:space="preserve"> Arjun   iyer </t>
  </si>
  <si>
    <t>2023-04-13</t>
  </si>
  <si>
    <t>2023-08-15</t>
  </si>
  <si>
    <t>2025-09-24</t>
  </si>
  <si>
    <t>2022-06-06</t>
  </si>
  <si>
    <t xml:space="preserve">  saanvi reddy </t>
  </si>
  <si>
    <t>2024-11-26</t>
  </si>
  <si>
    <t>2021-04-07</t>
  </si>
  <si>
    <t>2020-11-03</t>
  </si>
  <si>
    <t>2021-12-05</t>
  </si>
  <si>
    <t xml:space="preserve">YASH MALHOTRA   </t>
  </si>
  <si>
    <t>2021-02-08</t>
  </si>
  <si>
    <t>2021-08-23</t>
  </si>
  <si>
    <t>2022-08-08</t>
  </si>
  <si>
    <t>2019-03-09</t>
  </si>
  <si>
    <t>2020-04-01</t>
  </si>
  <si>
    <t>2019-10-15</t>
  </si>
  <si>
    <t>2020-05-04</t>
  </si>
  <si>
    <t>2025-05-25</t>
  </si>
  <si>
    <t>2025-01-22</t>
  </si>
  <si>
    <t>2023-03-03</t>
  </si>
  <si>
    <t>2020-10-08</t>
  </si>
  <si>
    <t>2024-02-12</t>
  </si>
  <si>
    <t>2021-03-27</t>
  </si>
  <si>
    <t>2022-10-18</t>
  </si>
  <si>
    <t>2025-06-12</t>
  </si>
  <si>
    <t xml:space="preserve">KAVYA CHITNIS   </t>
  </si>
  <si>
    <t>2025-04-25</t>
  </si>
  <si>
    <t>2024-11-23</t>
  </si>
  <si>
    <t>2019-08-02</t>
  </si>
  <si>
    <t>2023-10-15</t>
  </si>
  <si>
    <t>2023-02-03</t>
  </si>
  <si>
    <t>2023-03-07</t>
  </si>
  <si>
    <t>2020-02-26</t>
  </si>
  <si>
    <t>2019-01-19</t>
  </si>
  <si>
    <t>2023-01-22</t>
  </si>
  <si>
    <t>2025-05-16</t>
  </si>
  <si>
    <t>2022-04-12</t>
  </si>
  <si>
    <t>2019-08-20</t>
  </si>
  <si>
    <t>2023-01-21</t>
  </si>
  <si>
    <t>2020-12-04</t>
  </si>
  <si>
    <t>2019-08-04</t>
  </si>
  <si>
    <t>2023-04-09</t>
  </si>
  <si>
    <t>2023-07-14</t>
  </si>
  <si>
    <t>2021-11-15</t>
  </si>
  <si>
    <t xml:space="preserve">DIYA CHATTERJEE   </t>
  </si>
  <si>
    <t>2022-05-27</t>
  </si>
  <si>
    <t>2022-07-22</t>
  </si>
  <si>
    <t>2025-05-23</t>
  </si>
  <si>
    <t>2023-08-23</t>
  </si>
  <si>
    <t>2020-02-17</t>
  </si>
  <si>
    <t xml:space="preserve">  karan chitnis </t>
  </si>
  <si>
    <t>2021-02-04</t>
  </si>
  <si>
    <t xml:space="preserve">GAURAV NAIR   </t>
  </si>
  <si>
    <t>2023-02-23</t>
  </si>
  <si>
    <t>2022-09-16</t>
  </si>
  <si>
    <t>2019-03-28</t>
  </si>
  <si>
    <t xml:space="preserve"> Krishna   mehta </t>
  </si>
  <si>
    <t>2022-12-04</t>
  </si>
  <si>
    <t>2021-10-12</t>
  </si>
  <si>
    <t xml:space="preserve">NIKHIL VERMA   </t>
  </si>
  <si>
    <t>2020-02-13</t>
  </si>
  <si>
    <t>2023-12-22</t>
  </si>
  <si>
    <t>2022-10-23</t>
  </si>
  <si>
    <t>2024-03-15</t>
  </si>
  <si>
    <t>2023-02-06</t>
  </si>
  <si>
    <t>2019-01-20</t>
  </si>
  <si>
    <t>2019-03-12</t>
  </si>
  <si>
    <t>2024-05-16</t>
  </si>
  <si>
    <t>2023-06-01</t>
  </si>
  <si>
    <t>2022-03-14</t>
  </si>
  <si>
    <t>2023-07-30</t>
  </si>
  <si>
    <t>2025-12-14</t>
  </si>
  <si>
    <t>2019-05-02</t>
  </si>
  <si>
    <t>2019-09-15</t>
  </si>
  <si>
    <t>2024-11-08</t>
  </si>
  <si>
    <t>2023-08-10</t>
  </si>
  <si>
    <t>2025-10-04</t>
  </si>
  <si>
    <t>2023-01-29</t>
  </si>
  <si>
    <t>2025-04-28</t>
  </si>
  <si>
    <t>2019-07-17</t>
  </si>
  <si>
    <t>2020-04-22</t>
  </si>
  <si>
    <t xml:space="preserve">VIHAAN SENGUPTA   </t>
  </si>
  <si>
    <t>2023-11-02</t>
  </si>
  <si>
    <t>2024-07-08</t>
  </si>
  <si>
    <t xml:space="preserve">SNEHA RAO   </t>
  </si>
  <si>
    <t>2023-02-22</t>
  </si>
  <si>
    <t>2025-06-24</t>
  </si>
  <si>
    <t>2025-02-18</t>
  </si>
  <si>
    <t>2022-02-07</t>
  </si>
  <si>
    <t>2020-04-06</t>
  </si>
  <si>
    <t xml:space="preserve">ISHAAN MENON   </t>
  </si>
  <si>
    <t>2024-01-21</t>
  </si>
  <si>
    <t>2025-12-05</t>
  </si>
  <si>
    <t>2019-04-24</t>
  </si>
  <si>
    <t>2024-05-06</t>
  </si>
  <si>
    <t>2024-09-24</t>
  </si>
  <si>
    <t>2025-08-13</t>
  </si>
  <si>
    <t>2025-06-16</t>
  </si>
  <si>
    <t>2022-01-04</t>
  </si>
  <si>
    <t>2024-04-01</t>
  </si>
  <si>
    <t>2022-11-23</t>
  </si>
  <si>
    <t>2022-05-12</t>
  </si>
  <si>
    <t>2024-03-14</t>
  </si>
  <si>
    <t>2020-06-04</t>
  </si>
  <si>
    <t>2020-08-17</t>
  </si>
  <si>
    <t>2020-10-14</t>
  </si>
  <si>
    <t>2021-11-30</t>
  </si>
  <si>
    <t>2025-07-14</t>
  </si>
  <si>
    <t>2024-06-01</t>
  </si>
  <si>
    <t>2021-01-12</t>
  </si>
  <si>
    <t>2022-01-24</t>
  </si>
  <si>
    <t xml:space="preserve">PRANAV SHAH   </t>
  </si>
  <si>
    <t>2023-01-05</t>
  </si>
  <si>
    <t>2020-03-16</t>
  </si>
  <si>
    <t>2022-05-19</t>
  </si>
  <si>
    <t>2021-09-13</t>
  </si>
  <si>
    <t>2019-12-15</t>
  </si>
  <si>
    <t>2023-03-18</t>
  </si>
  <si>
    <t>2023-11-05</t>
  </si>
  <si>
    <t>2023-01-08</t>
  </si>
  <si>
    <t xml:space="preserve"> Navya   malhotra </t>
  </si>
  <si>
    <t>2024-04-11</t>
  </si>
  <si>
    <t>2022-04-07</t>
  </si>
  <si>
    <t xml:space="preserve"> Omkar   chatterjee </t>
  </si>
  <si>
    <t xml:space="preserve">  Customer Operations</t>
  </si>
  <si>
    <t>2024-01-05</t>
  </si>
  <si>
    <t>2024-08-11</t>
  </si>
  <si>
    <t>2023-12-25</t>
  </si>
  <si>
    <t>2022-06-17</t>
  </si>
  <si>
    <t>2020-05-22</t>
  </si>
  <si>
    <t>2024-06-03</t>
  </si>
  <si>
    <t>2021-07-24</t>
  </si>
  <si>
    <t>2023-07-04</t>
  </si>
  <si>
    <t>2020-10-25</t>
  </si>
  <si>
    <t>2022-02-05</t>
  </si>
  <si>
    <t>2019-03-27</t>
  </si>
  <si>
    <t>2022-01-18</t>
  </si>
  <si>
    <t>2024-08-05</t>
  </si>
  <si>
    <t>2025-04-24</t>
  </si>
  <si>
    <t>2020-04-12</t>
  </si>
  <si>
    <t xml:space="preserve">  navya kapoor </t>
  </si>
  <si>
    <t>2024-07-04</t>
  </si>
  <si>
    <t>2024-11-10</t>
  </si>
  <si>
    <t>2021-04-28</t>
  </si>
  <si>
    <t>2023-07-02</t>
  </si>
  <si>
    <t xml:space="preserve"> Pari   shah </t>
  </si>
  <si>
    <t>2021-01-26</t>
  </si>
  <si>
    <t>2020-11-19</t>
  </si>
  <si>
    <t>2022-06-07</t>
  </si>
  <si>
    <t>2023-05-26</t>
  </si>
  <si>
    <t>2023-09-03</t>
  </si>
  <si>
    <t>2025-04-21</t>
  </si>
  <si>
    <t>2021-11-02</t>
  </si>
  <si>
    <t>2021-02-11</t>
  </si>
  <si>
    <t xml:space="preserve">YASH DESHMUKH   </t>
  </si>
  <si>
    <t>2024-04-14</t>
  </si>
  <si>
    <t>2025-12-02</t>
  </si>
  <si>
    <t>2025-03-26</t>
  </si>
  <si>
    <t xml:space="preserve"> Arjun   reddy </t>
  </si>
  <si>
    <t>2019-04-22</t>
  </si>
  <si>
    <t>2019-06-01</t>
  </si>
  <si>
    <t>2021-10-26</t>
  </si>
  <si>
    <t>2020-01-09</t>
  </si>
  <si>
    <t>2020-05-01</t>
  </si>
  <si>
    <t>2022-07-02</t>
  </si>
  <si>
    <t>2022-12-31</t>
  </si>
  <si>
    <t>2021-12-10</t>
  </si>
  <si>
    <t>2023-10-22</t>
  </si>
  <si>
    <t>2021-01-08</t>
  </si>
  <si>
    <t>2021-09-23</t>
  </si>
  <si>
    <t xml:space="preserve">SAI IYER   </t>
  </si>
  <si>
    <t xml:space="preserve"> Vihaan   menon </t>
  </si>
  <si>
    <t>2021-02-02</t>
  </si>
  <si>
    <t>2025-10-02</t>
  </si>
  <si>
    <t>2024-03-05</t>
  </si>
  <si>
    <t xml:space="preserve"> Ishaan   mehta </t>
  </si>
  <si>
    <t>2025-09-23</t>
  </si>
  <si>
    <t>2025-04-03</t>
  </si>
  <si>
    <t xml:space="preserve"> Saanvi   reddy </t>
  </si>
  <si>
    <t>2023-04-16</t>
  </si>
  <si>
    <t>2021-07-15</t>
  </si>
  <si>
    <t>2025-07-06</t>
  </si>
  <si>
    <t xml:space="preserve">IRA DESHMUKH   </t>
  </si>
  <si>
    <t>2021-11-17</t>
  </si>
  <si>
    <t>2025-04-05</t>
  </si>
  <si>
    <t xml:space="preserve"> Karan   menon </t>
  </si>
  <si>
    <t>2020-02-02</t>
  </si>
  <si>
    <t>2019-03-20</t>
  </si>
  <si>
    <t>2019-05-08</t>
  </si>
  <si>
    <t>2023-12-08</t>
  </si>
  <si>
    <t>2024-09-01</t>
  </si>
  <si>
    <t>2025-01-14</t>
  </si>
  <si>
    <t xml:space="preserve">  karan chatterjee </t>
  </si>
  <si>
    <t>2020-09-09</t>
  </si>
  <si>
    <t>2023-11-17</t>
  </si>
  <si>
    <t>2023-08-01</t>
  </si>
  <si>
    <t>2021-05-22</t>
  </si>
  <si>
    <t>2025-01-19</t>
  </si>
  <si>
    <t>2023-06-25</t>
  </si>
  <si>
    <t>2021-08-12</t>
  </si>
  <si>
    <t>2021-11-05</t>
  </si>
  <si>
    <t>2025-08-08</t>
  </si>
  <si>
    <t xml:space="preserve">YASH VERMA   </t>
  </si>
  <si>
    <t>2025-12-27</t>
  </si>
  <si>
    <t>2024-10-10</t>
  </si>
  <si>
    <t>2022-01-25</t>
  </si>
  <si>
    <t>2023-09-24</t>
  </si>
  <si>
    <t>2022-10-09</t>
  </si>
  <si>
    <t>2024-07-02</t>
  </si>
  <si>
    <t>2024-03-17</t>
  </si>
  <si>
    <t>2023-07-05</t>
  </si>
  <si>
    <t>2021-01-21</t>
  </si>
  <si>
    <t>2020-12-15</t>
  </si>
  <si>
    <t>2023-11-20</t>
  </si>
  <si>
    <t>2024-09-03</t>
  </si>
  <si>
    <t xml:space="preserve">RIYA MALHOTRA   </t>
  </si>
  <si>
    <t>2024-09-30</t>
  </si>
  <si>
    <t>2020-04-25</t>
  </si>
  <si>
    <t xml:space="preserve">  ananya kapoor </t>
  </si>
  <si>
    <t>2023-02-19</t>
  </si>
  <si>
    <t>2023-06-05</t>
  </si>
  <si>
    <t>2020-10-18</t>
  </si>
  <si>
    <t xml:space="preserve"> Meera   chatterjee </t>
  </si>
  <si>
    <t>2022-02-04</t>
  </si>
  <si>
    <t>2023-05-13</t>
  </si>
  <si>
    <t>2023-06-14</t>
  </si>
  <si>
    <t xml:space="preserve">KRISHNA IYER   </t>
  </si>
  <si>
    <t>2024-12-11</t>
  </si>
  <si>
    <t>2023-10-20</t>
  </si>
  <si>
    <t>2025-01-28</t>
  </si>
  <si>
    <t>2019-09-16</t>
  </si>
  <si>
    <t>2020-07-06</t>
  </si>
  <si>
    <t>2020-08-10</t>
  </si>
  <si>
    <t>2020-11-11</t>
  </si>
  <si>
    <t>2025-02-27</t>
  </si>
  <si>
    <t>2025-06-14</t>
  </si>
  <si>
    <t>2025-11-01</t>
  </si>
  <si>
    <t>2023-01-28</t>
  </si>
  <si>
    <t>2025-05-18</t>
  </si>
  <si>
    <t>2022-01-12</t>
  </si>
  <si>
    <t>2021-08-27</t>
  </si>
  <si>
    <t>2021-10-13</t>
  </si>
  <si>
    <t>2025-05-26</t>
  </si>
  <si>
    <t>2025-12-11</t>
  </si>
  <si>
    <t>2024-10-24</t>
  </si>
  <si>
    <t>2024-04-05</t>
  </si>
  <si>
    <t>2020-09-10</t>
  </si>
  <si>
    <t>2024-06-29</t>
  </si>
  <si>
    <t>2019-10-03</t>
  </si>
  <si>
    <t>2020-02-07</t>
  </si>
  <si>
    <t>2025-11-02</t>
  </si>
  <si>
    <t>2025-10-08</t>
  </si>
  <si>
    <t xml:space="preserve">GAURAV PATIL   </t>
  </si>
  <si>
    <t>2020-04-11</t>
  </si>
  <si>
    <t xml:space="preserve"> Arjun   kapoor </t>
  </si>
  <si>
    <t>2023-03-01</t>
  </si>
  <si>
    <t>2023-10-13</t>
  </si>
  <si>
    <t>2025-03-12</t>
  </si>
  <si>
    <t>2019-04-26</t>
  </si>
  <si>
    <t>2022-12-14</t>
  </si>
  <si>
    <t>2021-04-15</t>
  </si>
  <si>
    <t xml:space="preserve"> Shruti   iyer </t>
  </si>
  <si>
    <t>2019-01-27</t>
  </si>
  <si>
    <t>2025-03-01</t>
  </si>
  <si>
    <t>2019-06-02</t>
  </si>
  <si>
    <t xml:space="preserve">  neha rao </t>
  </si>
  <si>
    <t>2020-07-11</t>
  </si>
  <si>
    <t>2021-07-31</t>
  </si>
  <si>
    <t>2022-05-09</t>
  </si>
  <si>
    <t>2020-04-18</t>
  </si>
  <si>
    <t>2022-05-03</t>
  </si>
  <si>
    <t>2024-09-18</t>
  </si>
  <si>
    <t>2024-01-14</t>
  </si>
  <si>
    <t>2019-08-05</t>
  </si>
  <si>
    <t>2020-07-30</t>
  </si>
  <si>
    <t>2022-07-03</t>
  </si>
  <si>
    <t>2022-10-13</t>
  </si>
  <si>
    <t>DATA DICTIONARY, SCHEMA DEFINITIONS &amp; INTENTIONAL RAW DATA ANOMALIES</t>
  </si>
  <si>
    <t>Column_Letter</t>
  </si>
  <si>
    <t>Field_Name</t>
  </si>
  <si>
    <t>Sheet_Location</t>
  </si>
  <si>
    <t>Data_Type</t>
  </si>
  <si>
    <t>Business_Definition_&amp;_Formula_Logic</t>
  </si>
  <si>
    <t>Raw_Data_Quality_Note</t>
  </si>
  <si>
    <t>A</t>
  </si>
  <si>
    <t>Raw &amp; Cleaned</t>
  </si>
  <si>
    <t>String (PK)</t>
  </si>
  <si>
    <t>Unique employee identifier (EMP-10001 to EMP-11450)</t>
  </si>
  <si>
    <t>35 duplicate rows appended in Raw_Data (1,485 raw -&gt; 1,450 unique)</t>
  </si>
  <si>
    <t>B</t>
  </si>
  <si>
    <t>String</t>
  </si>
  <si>
    <t>Fictional employee full name</t>
  </si>
  <si>
    <t>120 rows in Raw_Data have leading/trailing spaces &amp; mixed casing</t>
  </si>
  <si>
    <t>C</t>
  </si>
  <si>
    <t>String (FK)</t>
  </si>
  <si>
    <t>6 canonical department codes (DEP-ENG, DEP-SAL, DEP-OPS, etc.)</t>
  </si>
  <si>
    <t>Clean foreign key used for VLOOKUP canonical mapping</t>
  </si>
  <si>
    <t>D</t>
  </si>
  <si>
    <t>Standardized department name</t>
  </si>
  <si>
    <t>95 rows in Raw_Data contain non-standard synonyms ('Customer Ops', etc.)</t>
  </si>
  <si>
    <t>E</t>
  </si>
  <si>
    <t>Composite Dept+Level code (e.g., ENG-L1) for LEFT/RIGHT parsing</t>
  </si>
  <si>
    <t>Clean composite key</t>
  </si>
  <si>
    <t>F</t>
  </si>
  <si>
    <t>Job hierarchy tier (L1 Entry to L5 Executive)</t>
  </si>
  <si>
    <t>Clean foreign key used for INDEX/MATCH &amp; XLOOKUP</t>
  </si>
  <si>
    <t>G</t>
  </si>
  <si>
    <t>Role title mapped to Department and Job Level</t>
  </si>
  <si>
    <t>Clean</t>
  </si>
  <si>
    <t>H</t>
  </si>
  <si>
    <t>Delivery center (Bengaluru, Pune, Hyderabad, Mumbai, Remote-India)</t>
  </si>
  <si>
    <t>85 rows in Raw_Data use synonyms ('Bangalore', 'Bombay/Mumbai', etc.)</t>
  </si>
  <si>
    <t>I</t>
  </si>
  <si>
    <t>Work arrangement (Hybrid, On-Site, Remote)</t>
  </si>
  <si>
    <t>Standardized from Location lookup</t>
  </si>
  <si>
    <t>J</t>
  </si>
  <si>
    <t>Date</t>
  </si>
  <si>
    <t>Employee joining date (2019-01-01 to 2025-12-15)</t>
  </si>
  <si>
    <t>Logically verified &lt; Exit_Date and &lt;= 2025-12-31</t>
  </si>
  <si>
    <t>K</t>
  </si>
  <si>
    <t>Active (1,042), Voluntary Exit (265), or Involuntary Exit (143)</t>
  </si>
  <si>
    <t>L</t>
  </si>
  <si>
    <t>Date (Nullable)</t>
  </si>
  <si>
    <t>Termination date for exited staff; blank for Active staff</t>
  </si>
  <si>
    <t>All 408 exited records have Exit_Date &gt; Hire_Date</t>
  </si>
  <si>
    <t>M</t>
  </si>
  <si>
    <t>Primary exit driver (Compensation, Career Growth, Work-Life Balance, etc.)</t>
  </si>
  <si>
    <t>N/A - Active for current employees</t>
  </si>
  <si>
    <t>Hiring channel (LinkedIn, Referral, Campus, Career Portal, Agency)</t>
  </si>
  <si>
    <t>O</t>
  </si>
  <si>
    <t>Integer (INR)</t>
  </si>
  <si>
    <t>Annual gross compensation in INR</t>
  </si>
  <si>
    <t>Aligned with L1-L5 salary bands</t>
  </si>
  <si>
    <t>P</t>
  </si>
  <si>
    <t>Integer (1-5)</t>
  </si>
  <si>
    <t>Annual appraisal score (1=Low to 5=Exceptional)</t>
  </si>
  <si>
    <t>30 H2-2025 recent hires are unrated (blank); excluded via '&gt;0' in AVERAGEIFS</t>
  </si>
  <si>
    <t>Q</t>
  </si>
  <si>
    <t>String (Yes/No)</t>
  </si>
  <si>
    <t>Indicates regular overtime participation</t>
  </si>
  <si>
    <t>70 rows in Raw_Data use 'Y', 'yes ', 'N', 'NO'</t>
  </si>
  <si>
    <t>R</t>
  </si>
  <si>
    <t>Integer</t>
  </si>
  <si>
    <t>Annual L&amp;D training hours completed</t>
  </si>
  <si>
    <t>45 blank rows in Raw_Data imputed to 0 in Cleaned_Data</t>
  </si>
  <si>
    <t>S</t>
  </si>
  <si>
    <t>Reporting manager ID (MGR-101 to MGR-602)</t>
  </si>
  <si>
    <t>Maps to Manager_Directory on Employee_Lookups</t>
  </si>
  <si>
    <t>T:V</t>
  </si>
  <si>
    <t>Emp_Serial / Dept / Level</t>
  </si>
  <si>
    <t>Cleaned_Data</t>
  </si>
  <si>
    <t>Formulas</t>
  </si>
  <si>
    <t>("Text parsing examples: VALUE(MID(...)), LEFT(...), RIGHT(...)")</t>
  </si>
  <si>
    <t>Demonstrates text parsing functions</t>
  </si>
  <si>
    <t>W:Z</t>
  </si>
  <si>
    <t>Lookup Enrichments</t>
  </si>
  <si>
    <t>VLOOKUP (Manager &amp; Cost Center), INDEX/MATCH (Band), _xlfn.XLOOKUP (Midpoint)</t>
  </si>
  <si>
    <t>Demonstrates all 3 lookup methods + PROPER(TRIM())</t>
  </si>
  <si>
    <t>AA:AF</t>
  </si>
  <si>
    <t>Compa-Ratio, Tenure &amp; Risk</t>
  </si>
  <si>
    <t>Compa-Ratio, Hire/Exit Year, Tenure_Years, Tenure_Band_IF, Retention_Risk_Flag</t>
  </si>
  <si>
    <t>Demonstrates nested IF/AND/OR business rules</t>
  </si>
  <si>
    <t>METHODOLOGY, QA RECONCILIATION, POWER QUERY (M) SCRIPT &amp; DESKTOP EXCEL CHECKLIST</t>
  </si>
  <si>
    <t>Section</t>
  </si>
  <si>
    <t>Topic / Component</t>
  </si>
  <si>
    <t>Implementation Status &amp; Technical Details</t>
  </si>
  <si>
    <t>1. KPI Governance</t>
  </si>
  <si>
    <t>Annualized FY 2025 Attrition (10.38%)</t>
  </si>
  <si>
    <t>Formula: FY25 Exits (102) / FY25 Average Headcount (982.5), where Avg HC = (Start HC [923] + End HC [1,042]) / 2.</t>
  </si>
  <si>
    <t>Cumulative Cohort Attrition (28.14%)</t>
  </si>
  <si>
    <t>Formula: Total Historical Exits (408) / Total Unique Cohort Hired (1,450). Kept separate from annual turnover.</t>
  </si>
  <si>
    <t>2. Native Features</t>
  </si>
  <si>
    <t>Directly Implemented &amp; Verified</t>
  </si>
  <si>
    <t>All 13 formula columns in Cleaned_Data, 5 summary tables in KPI_Calculations, 3 matrices in Pivot_Analysis, DataValidation dropdowns, Conditional Formatting, and 4 native OpenPyXL charts.</t>
  </si>
  <si>
    <t>3. Desktop Excel Step</t>
  </si>
  <si>
    <t>Formula Recalculation &amp; XLOOKUP</t>
  </si>
  <si>
    <t>OpenPyXL writes formula strings without running Excel's calculation engine. Opening the file in MS Excel triggers instant recalculation. XLOOKUP is prefixed with '_xlfn.XLOOKUP' for Excel 2021/365 compatibility.</t>
  </si>
  <si>
    <t>4. Desktop Excel Step</t>
  </si>
  <si>
    <t>Optional Native PivotTable &amp; Slicers</t>
  </si>
  <si>
    <t>Cleaned_Data is formatted as native Excel Table 'tbl_Cleaned_HR'. To add a binary PivotTable/Slicer: Click inside tbl_Cleaned_HR -&gt; Insert -&gt; PivotTable -&gt; Insert Slicer (Department, Job_Level, Location).</t>
  </si>
  <si>
    <t>5. Power Query (M)</t>
  </si>
  <si>
    <t>Repeatable ETL Script (Copy-Paste Ready)</t>
  </si>
  <si>
    <t>let Source = Excel.CurrentWorkbook(){[Name="tbl_Raw"]}[Content], Dedup = Table.Distinct(Source, {"Employee_ID"}), CleanName = Table.TransformColumns(Dedup,{{"Full_Name", each Text.Proper(Text.Trim(_)), type text}}), ReplaceNull = Table.ReplaceValue(CleanName,null,0,Replacer.ReplaceValue,{"Training_Hours"}) in ReplaceNull</t>
  </si>
  <si>
    <t>6. VBA Automation</t>
  </si>
  <si>
    <t>Optional Reset Filters Macro (.bas)</t>
  </si>
  <si>
    <t>Sub ResetDashboardFilters()
  Sheets("Dashboard").Range("C4").Value = "All Departments"
  Sheets("Dashboard").Range("F4").Value = 2025
  Application.CalculateFull
End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</si>
</sst>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&quot; Yrs&quot;"/>
    <numFmt numFmtId="166" formatCode="#,##0.0"/>
    <numFmt numFmtId="167" formatCode="yyyy\-mm\-dd"/>
  </numFmts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  <charset val="1"/>
    </font>
    <font>
      <i/>
      <sz val="10"/>
      <color rgb="FFE2E8F0"/>
      <name val="Calibri"/>
      <family val="2"/>
      <charset val="1"/>
    </font>
    <font>
      <b/>
      <sz val="10"/>
      <color rgb="FF1E293B"/>
      <name val="Calibri"/>
      <family val="2"/>
      <charset val="1"/>
    </font>
    <font>
      <i/>
      <sz val="9"/>
      <color rgb="FF334155"/>
      <name val="Calibri"/>
      <family val="2"/>
      <charset val="1"/>
    </font>
    <font>
      <b/>
      <sz val="9"/>
      <color rgb="FF475569"/>
      <name val="Calibri"/>
      <family val="2"/>
      <charset val="1"/>
    </font>
    <font>
      <b/>
      <sz val="18"/>
      <color rgb="FF1B365D"/>
      <name val="Calibri"/>
      <family val="2"/>
      <charset val="1"/>
    </font>
    <font>
      <i/>
      <sz val="8"/>
      <color rgb="FF64748B"/>
      <name val="Calibri"/>
      <family val="2"/>
      <charset val="1"/>
    </font>
    <font>
      <b/>
      <sz val="11"/>
      <color rgb="FF1B365D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1E293B"/>
      <name val="Calibri"/>
      <family val="2"/>
      <charset val="1"/>
    </font>
    <font>
      <sz val="9"/>
      <color rgb="FF1E293B"/>
      <name val="Calibri"/>
      <family val="2"/>
      <charset val="1"/>
    </font>
    <font>
      <b/>
      <sz val="13"/>
      <color rgb="FF1B365D"/>
      <name val="Calibri"/>
      <family val="2"/>
      <charset val="1"/>
    </font>
    <font>
      <i/>
      <sz val="10"/>
      <color rgb="FF475569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FEF3C7"/>
        <bgColor rgb="FFFFE4E6"/>
      </patternFill>
    </fill>
    <fill>
      <patternFill patternType="solid">
        <fgColor rgb="FFE2E8F0"/>
        <bgColor rgb="FFD9D9D9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F766E"/>
        <bgColor rgb="FF008080"/>
      </patternFill>
    </fill>
    <fill>
      <patternFill patternType="solid">
        <fgColor rgb="FF7C2D12"/>
        <bgColor rgb="FF9F1239"/>
      </patternFill>
    </fill>
  </fills>
  <borders count="4">
    <border>
      <left/>
      <right/>
      <top/>
      <bottom/>
      <diagonal/>
    </border>
    <border>
      <left style="medium">
        <color rgb="FF2C5282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1B365D"/>
      </top>
      <bottom style="double">
        <color rgb="FF1B365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6" borderId="2" xfId="0" applyFont="1" applyFill="1" applyBorder="1"/>
    <xf numFmtId="3" fontId="10" fillId="6" borderId="2" xfId="0" applyNumberFormat="1" applyFont="1" applyFill="1" applyBorder="1"/>
    <xf numFmtId="164" fontId="10" fillId="6" borderId="2" xfId="0" applyNumberFormat="1" applyFont="1" applyFill="1" applyBorder="1"/>
    <xf numFmtId="0" fontId="10" fillId="5" borderId="2" xfId="0" applyFont="1" applyFill="1" applyBorder="1"/>
    <xf numFmtId="3" fontId="10" fillId="5" borderId="2" xfId="0" applyNumberFormat="1" applyFont="1" applyFill="1" applyBorder="1"/>
    <xf numFmtId="164" fontId="10" fillId="5" borderId="2" xfId="0" applyNumberFormat="1" applyFont="1" applyFill="1" applyBorder="1"/>
    <xf numFmtId="0" fontId="3" fillId="4" borderId="3" xfId="0" applyFont="1" applyFill="1" applyBorder="1"/>
    <xf numFmtId="3" fontId="3" fillId="4" borderId="3" xfId="0" applyNumberFormat="1" applyFont="1" applyFill="1" applyBorder="1"/>
    <xf numFmtId="164" fontId="3" fillId="4" borderId="3" xfId="0" applyNumberFormat="1" applyFont="1" applyFill="1" applyBorder="1"/>
    <xf numFmtId="0" fontId="12" fillId="0" borderId="0" xfId="0" applyFont="1"/>
    <xf numFmtId="0" fontId="13" fillId="0" borderId="0" xfId="0" applyFont="1"/>
    <xf numFmtId="0" fontId="9" fillId="2" borderId="0" xfId="0" applyFont="1" applyFill="1"/>
    <xf numFmtId="166" fontId="10" fillId="6" borderId="2" xfId="0" applyNumberFormat="1" applyFont="1" applyFill="1" applyBorder="1"/>
    <xf numFmtId="2" fontId="10" fillId="6" borderId="2" xfId="0" applyNumberFormat="1" applyFont="1" applyFill="1" applyBorder="1"/>
    <xf numFmtId="166" fontId="10" fillId="5" borderId="2" xfId="0" applyNumberFormat="1" applyFont="1" applyFill="1" applyBorder="1"/>
    <xf numFmtId="2" fontId="10" fillId="5" borderId="2" xfId="0" applyNumberFormat="1" applyFont="1" applyFill="1" applyBorder="1"/>
    <xf numFmtId="166" fontId="3" fillId="4" borderId="3" xfId="0" applyNumberFormat="1" applyFont="1" applyFill="1" applyBorder="1"/>
    <xf numFmtId="2" fontId="3" fillId="4" borderId="3" xfId="0" applyNumberFormat="1" applyFont="1" applyFill="1" applyBorder="1"/>
    <xf numFmtId="3" fontId="3" fillId="6" borderId="2" xfId="0" applyNumberFormat="1" applyFont="1" applyFill="1" applyBorder="1"/>
    <xf numFmtId="3" fontId="3" fillId="5" borderId="2" xfId="0" applyNumberFormat="1" applyFont="1" applyFill="1" applyBorder="1"/>
    <xf numFmtId="0" fontId="9" fillId="7" borderId="0" xfId="0" applyFont="1" applyFill="1"/>
    <xf numFmtId="167" fontId="0" fillId="0" borderId="0" xfId="0" applyNumberFormat="1"/>
    <xf numFmtId="3" fontId="0" fillId="0" borderId="0" xfId="0" applyNumberFormat="1"/>
    <xf numFmtId="2" fontId="0" fillId="0" borderId="0" xfId="0" applyNumberFormat="1"/>
    <xf numFmtId="0" fontId="10" fillId="0" borderId="2" xfId="0" applyFont="1" applyBorder="1"/>
    <xf numFmtId="167" fontId="3" fillId="0" borderId="2" xfId="0" applyNumberFormat="1" applyFont="1" applyBorder="1"/>
    <xf numFmtId="0" fontId="9" fillId="8" borderId="0" xfId="0" applyFont="1" applyFill="1"/>
    <xf numFmtId="0" fontId="9" fillId="2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3" fillId="4" borderId="0" xfId="0" applyFont="1" applyFill="1"/>
    <xf numFmtId="164" fontId="6" fillId="5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sz val="10"/>
        <color rgb="FF9F1239"/>
        <name val="Calibri"/>
        <charset val="1"/>
      </font>
      <fill>
        <patternFill>
          <bgColor rgb="FFFFE4E6"/>
        </patternFill>
      </fill>
    </dxf>
    <dxf>
      <font>
        <b/>
        <sz val="10"/>
        <color rgb="FF9F1239"/>
        <name val="Calibri"/>
        <charset val="1"/>
      </font>
      <fill>
        <patternFill>
          <bgColor rgb="FFFFE4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BE4B48"/>
      <rgbColor rgb="FFFEF3C7"/>
      <rgbColor rgb="FFE2E8F0"/>
      <rgbColor rgb="FF660066"/>
      <rgbColor rgb="FFFF8080"/>
      <rgbColor rgb="FF2C5282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E4E6"/>
      <rgbColor rgb="FF4A7EBB"/>
      <rgbColor rgb="FF33CCCC"/>
      <rgbColor rgb="FF99CC00"/>
      <rgbColor rgb="FFFFCC00"/>
      <rgbColor rgb="FFFF9900"/>
      <rgbColor rgb="FFFF6600"/>
      <rgbColor rgb="FF64748B"/>
      <rgbColor rgb="FF969696"/>
      <rgbColor rgb="FF1B365D"/>
      <rgbColor rgb="FF4F81BD"/>
      <rgbColor rgb="FF003300"/>
      <rgbColor rgb="FF475569"/>
      <rgbColor rgb="FF7C2D12"/>
      <rgbColor rgb="FFC0504D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Department Active Headcount vs. Approved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KPI_Calculations!$C$5</c:f>
              <c:strCache>
                <c:ptCount val="1"/>
                <c:pt idx="0">
                  <c:v>Approved_HC_Target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KPI_Calculations!$A$6:$A$11</c:f>
              <c:strCache>
                <c:ptCount val="6"/>
                <c:pt idx="0">
                  <c:v>Engineering &amp; Product</c:v>
                </c:pt>
                <c:pt idx="1">
                  <c:v>Enterprise Sales</c:v>
                </c:pt>
                <c:pt idx="2">
                  <c:v>Customer Operations</c:v>
                </c:pt>
                <c:pt idx="3">
                  <c:v>Growth Marketing</c:v>
                </c:pt>
                <c:pt idx="4">
                  <c:v>Finance &amp; Strategy</c:v>
                </c:pt>
                <c:pt idx="5">
                  <c:v>People &amp; Talent</c:v>
                </c:pt>
              </c:strCache>
            </c:strRef>
          </c:cat>
          <c:val>
            <c:numRef>
              <c:f>KPI_Calculations!$C$6:$C$11</c:f>
              <c:numCache>
                <c:formatCode>#,##0</c:formatCode>
                <c:ptCount val="6"/>
                <c:pt idx="0">
                  <c:v>380</c:v>
                </c:pt>
                <c:pt idx="1">
                  <c:v>215</c:v>
                </c:pt>
                <c:pt idx="2">
                  <c:v>180</c:v>
                </c:pt>
                <c:pt idx="3">
                  <c:v>125</c:v>
                </c:pt>
                <c:pt idx="4">
                  <c:v>100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1-4EF1-9362-FC009BEE9BD2}"/>
            </c:ext>
          </c:extLst>
        </c:ser>
        <c:ser>
          <c:idx val="1"/>
          <c:order val="1"/>
          <c:tx>
            <c:strRef>
              <c:f>KPI_Calculations!$D$5</c:f>
              <c:strCache>
                <c:ptCount val="1"/>
                <c:pt idx="0">
                  <c:v>Active_Headcount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KPI_Calculations!$A$6:$A$11</c:f>
              <c:strCache>
                <c:ptCount val="6"/>
                <c:pt idx="0">
                  <c:v>Engineering &amp; Product</c:v>
                </c:pt>
                <c:pt idx="1">
                  <c:v>Enterprise Sales</c:v>
                </c:pt>
                <c:pt idx="2">
                  <c:v>Customer Operations</c:v>
                </c:pt>
                <c:pt idx="3">
                  <c:v>Growth Marketing</c:v>
                </c:pt>
                <c:pt idx="4">
                  <c:v>Finance &amp; Strategy</c:v>
                </c:pt>
                <c:pt idx="5">
                  <c:v>People &amp; Talent</c:v>
                </c:pt>
              </c:strCache>
            </c:strRef>
          </c:cat>
          <c:val>
            <c:numRef>
              <c:f>KPI_Calculations!$D$6:$D$11</c:f>
              <c:numCache>
                <c:formatCode>#,##0</c:formatCode>
                <c:ptCount val="6"/>
                <c:pt idx="0">
                  <c:v>366</c:v>
                </c:pt>
                <c:pt idx="1">
                  <c:v>201</c:v>
                </c:pt>
                <c:pt idx="2">
                  <c:v>168</c:v>
                </c:pt>
                <c:pt idx="3">
                  <c:v>119</c:v>
                </c:pt>
                <c:pt idx="4">
                  <c:v>96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1-4EF1-9362-FC009BEE9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38567"/>
        <c:axId val="76688431"/>
      </c:barChart>
      <c:catAx>
        <c:axId val="321385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688431"/>
        <c:crosses val="autoZero"/>
        <c:auto val="1"/>
        <c:lblAlgn val="ctr"/>
        <c:lblOffset val="100"/>
        <c:noMultiLvlLbl val="0"/>
      </c:catAx>
      <c:valAx>
        <c:axId val="76688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1385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Historical Hiring Velocity vs. Total Exits (2019–2025)</a:t>
            </a:r>
          </a:p>
        </c:rich>
      </c:tx>
      <c:layout>
        <c:manualLayout>
          <c:xMode val="edge"/>
          <c:yMode val="edge"/>
          <c:x val="0.10491931446355332"/>
          <c:y val="1.389140060320034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KPI_Calculations!$C$16</c:f>
              <c:strCache>
                <c:ptCount val="1"/>
                <c:pt idx="0">
                  <c:v>New_Hires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KPI_Calculations!$A$17:$A$23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KPI_Calculations!$C$17:$C$23</c:f>
              <c:numCache>
                <c:formatCode>#,##0</c:formatCode>
                <c:ptCount val="7"/>
                <c:pt idx="0">
                  <c:v>87</c:v>
                </c:pt>
                <c:pt idx="1">
                  <c:v>116</c:v>
                </c:pt>
                <c:pt idx="2">
                  <c:v>197</c:v>
                </c:pt>
                <c:pt idx="3">
                  <c:v>299</c:v>
                </c:pt>
                <c:pt idx="4">
                  <c:v>268</c:v>
                </c:pt>
                <c:pt idx="5">
                  <c:v>262</c:v>
                </c:pt>
                <c:pt idx="6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2E-4FAB-A4CA-ED7AF7AD423A}"/>
            </c:ext>
          </c:extLst>
        </c:ser>
        <c:ser>
          <c:idx val="1"/>
          <c:order val="1"/>
          <c:tx>
            <c:strRef>
              <c:f>KPI_Calculations!$D$16</c:f>
              <c:strCache>
                <c:ptCount val="1"/>
                <c:pt idx="0">
                  <c:v>Total_Exits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KPI_Calculations!$A$17:$A$23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KPI_Calculations!$D$17:$D$23</c:f>
              <c:numCache>
                <c:formatCode>#,##0</c:formatCode>
                <c:ptCount val="7"/>
                <c:pt idx="0">
                  <c:v>9</c:v>
                </c:pt>
                <c:pt idx="1">
                  <c:v>22</c:v>
                </c:pt>
                <c:pt idx="2">
                  <c:v>37</c:v>
                </c:pt>
                <c:pt idx="3">
                  <c:v>72</c:v>
                </c:pt>
                <c:pt idx="4">
                  <c:v>82</c:v>
                </c:pt>
                <c:pt idx="5">
                  <c:v>84</c:v>
                </c:pt>
                <c:pt idx="6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2E-4FAB-A4CA-ED7AF7AD4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651883"/>
        <c:axId val="17321626"/>
      </c:lineChart>
      <c:catAx>
        <c:axId val="1265188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7321626"/>
        <c:crosses val="autoZero"/>
        <c:auto val="1"/>
        <c:lblAlgn val="ctr"/>
        <c:lblOffset val="100"/>
        <c:noMultiLvlLbl val="0"/>
      </c:catAx>
      <c:valAx>
        <c:axId val="17321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Headcount Flow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26518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Cumulative Attrition Rate (%) by Job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KPI_Calculations!$F$27</c:f>
              <c:strCache>
                <c:ptCount val="1"/>
                <c:pt idx="0">
                  <c:v>Cohort_Attrition_%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KPI_Calculations!$A$28:$A$32</c:f>
              <c:strCache>
                <c:ptCount val="5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</c:strCache>
            </c:strRef>
          </c:cat>
          <c:val>
            <c:numRef>
              <c:f>KPI_Calculations!$F$28:$F$32</c:f>
              <c:numCache>
                <c:formatCode>0.0%</c:formatCode>
                <c:ptCount val="5"/>
                <c:pt idx="0">
                  <c:v>0.34923339011925042</c:v>
                </c:pt>
                <c:pt idx="1">
                  <c:v>0.24701195219123506</c:v>
                </c:pt>
                <c:pt idx="2">
                  <c:v>0.25120772946859904</c:v>
                </c:pt>
                <c:pt idx="3">
                  <c:v>0.15887850467289719</c:v>
                </c:pt>
                <c:pt idx="4">
                  <c:v>0.21276595744680851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9-4F04-8892-AE6927A28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263459"/>
        <c:axId val="22018257"/>
      </c:barChart>
      <c:catAx>
        <c:axId val="6526345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018257"/>
        <c:crosses val="autoZero"/>
        <c:auto val="1"/>
        <c:lblAlgn val="ctr"/>
        <c:lblOffset val="100"/>
        <c:noMultiLvlLbl val="0"/>
      </c:catAx>
      <c:valAx>
        <c:axId val="220182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2634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Recruitment Channels: Total Hires vs. Active Retained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KPI_Calculations!$B$36</c:f>
              <c:strCache>
                <c:ptCount val="1"/>
                <c:pt idx="0">
                  <c:v>Total_Hires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KPI_Calculations!$A$37:$A$41</c:f>
              <c:strCache>
                <c:ptCount val="5"/>
                <c:pt idx="0">
                  <c:v>Campus Recruitment</c:v>
                </c:pt>
                <c:pt idx="1">
                  <c:v>Company Career Portal</c:v>
                </c:pt>
                <c:pt idx="2">
                  <c:v>Employee Referral</c:v>
                </c:pt>
                <c:pt idx="3">
                  <c:v>External Agency</c:v>
                </c:pt>
                <c:pt idx="4">
                  <c:v>LinkedIn Sourcing</c:v>
                </c:pt>
              </c:strCache>
            </c:strRef>
          </c:cat>
          <c:val>
            <c:numRef>
              <c:f>KPI_Calculations!$B$37:$B$41</c:f>
              <c:numCache>
                <c:formatCode>#,##0</c:formatCode>
                <c:ptCount val="5"/>
                <c:pt idx="0">
                  <c:v>243</c:v>
                </c:pt>
                <c:pt idx="1">
                  <c:v>240</c:v>
                </c:pt>
                <c:pt idx="2">
                  <c:v>310</c:v>
                </c:pt>
                <c:pt idx="3">
                  <c:v>198</c:v>
                </c:pt>
                <c:pt idx="4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4-49B4-AC7B-4554006046C0}"/>
            </c:ext>
          </c:extLst>
        </c:ser>
        <c:ser>
          <c:idx val="1"/>
          <c:order val="1"/>
          <c:tx>
            <c:strRef>
              <c:f>KPI_Calculations!$D$36</c:f>
              <c:strCache>
                <c:ptCount val="1"/>
                <c:pt idx="0">
                  <c:v>Active_Retained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KPI_Calculations!$A$37:$A$41</c:f>
              <c:strCache>
                <c:ptCount val="5"/>
                <c:pt idx="0">
                  <c:v>Campus Recruitment</c:v>
                </c:pt>
                <c:pt idx="1">
                  <c:v>Company Career Portal</c:v>
                </c:pt>
                <c:pt idx="2">
                  <c:v>Employee Referral</c:v>
                </c:pt>
                <c:pt idx="3">
                  <c:v>External Agency</c:v>
                </c:pt>
                <c:pt idx="4">
                  <c:v>LinkedIn Sourcing</c:v>
                </c:pt>
              </c:strCache>
            </c:strRef>
          </c:cat>
          <c:val>
            <c:numRef>
              <c:f>KPI_Calculations!$D$37:$D$41</c:f>
              <c:numCache>
                <c:formatCode>#,##0</c:formatCode>
                <c:ptCount val="5"/>
                <c:pt idx="0">
                  <c:v>181</c:v>
                </c:pt>
                <c:pt idx="1">
                  <c:v>177</c:v>
                </c:pt>
                <c:pt idx="2">
                  <c:v>248</c:v>
                </c:pt>
                <c:pt idx="3">
                  <c:v>118</c:v>
                </c:pt>
                <c:pt idx="4">
                  <c:v>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84-49B4-AC7B-455400604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15775"/>
        <c:axId val="65389423"/>
      </c:barChart>
      <c:catAx>
        <c:axId val="234157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5389423"/>
        <c:crosses val="autoZero"/>
        <c:auto val="1"/>
        <c:lblAlgn val="ctr"/>
        <c:lblOffset val="100"/>
        <c:noMultiLvlLbl val="0"/>
      </c:catAx>
      <c:valAx>
        <c:axId val="65389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4157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19</xdr:row>
      <xdr:rowOff>19050</xdr:rowOff>
    </xdr:from>
    <xdr:to>
      <xdr:col>6</xdr:col>
      <xdr:colOff>666749</xdr:colOff>
      <xdr:row>34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857250</xdr:colOff>
      <xdr:row>19</xdr:row>
      <xdr:rowOff>28573</xdr:rowOff>
    </xdr:from>
    <xdr:to>
      <xdr:col>12</xdr:col>
      <xdr:colOff>1251062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-1</xdr:colOff>
      <xdr:row>35</xdr:row>
      <xdr:rowOff>0</xdr:rowOff>
    </xdr:from>
    <xdr:to>
      <xdr:col>6</xdr:col>
      <xdr:colOff>647698</xdr:colOff>
      <xdr:row>49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847723</xdr:colOff>
      <xdr:row>34</xdr:row>
      <xdr:rowOff>171451</xdr:rowOff>
    </xdr:from>
    <xdr:to>
      <xdr:col>12</xdr:col>
      <xdr:colOff>1251060</xdr:colOff>
      <xdr:row>49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leaned_HR" displayName="tbl_Cleaned_HR" ref="A1:AF1451" totalsRowShown="0">
  <autoFilter ref="A1:AF1451" xr:uid="{00000000-0009-0000-0100-000001000000}"/>
  <tableColumns count="32">
    <tableColumn id="1" xr3:uid="{00000000-0010-0000-0000-000001000000}" name="Employee_ID"/>
    <tableColumn id="2" xr3:uid="{00000000-0010-0000-0000-000002000000}" name="Full_Name"/>
    <tableColumn id="3" xr3:uid="{00000000-0010-0000-0000-000003000000}" name="Dept_Code"/>
    <tableColumn id="4" xr3:uid="{00000000-0010-0000-0000-000004000000}" name="Department"/>
    <tableColumn id="5" xr3:uid="{00000000-0010-0000-0000-000005000000}" name="Job_Level_Code"/>
    <tableColumn id="6" xr3:uid="{00000000-0010-0000-0000-000006000000}" name="Job_Level"/>
    <tableColumn id="7" xr3:uid="{00000000-0010-0000-0000-000007000000}" name="Job_Title"/>
    <tableColumn id="8" xr3:uid="{00000000-0010-0000-0000-000008000000}" name="Location"/>
    <tableColumn id="9" xr3:uid="{00000000-0010-0000-0000-000009000000}" name="Work_Mode"/>
    <tableColumn id="10" xr3:uid="{00000000-0010-0000-0000-00000A000000}" name="Hire_Date"/>
    <tableColumn id="11" xr3:uid="{00000000-0010-0000-0000-00000B000000}" name="Employment_Status"/>
    <tableColumn id="12" xr3:uid="{00000000-0010-0000-0000-00000C000000}" name="Exit_Date"/>
    <tableColumn id="13" xr3:uid="{00000000-0010-0000-0000-00000D000000}" name="Exit_Reason"/>
    <tableColumn id="14" xr3:uid="{00000000-0010-0000-0000-00000E000000}" name="Recruitment_Source"/>
    <tableColumn id="15" xr3:uid="{00000000-0010-0000-0000-00000F000000}" name="Annual_Salary_INR"/>
    <tableColumn id="16" xr3:uid="{00000000-0010-0000-0000-000010000000}" name="Performance_Rating"/>
    <tableColumn id="17" xr3:uid="{00000000-0010-0000-0000-000011000000}" name="Overtime_Flag"/>
    <tableColumn id="18" xr3:uid="{00000000-0010-0000-0000-000012000000}" name="Training_Hours"/>
    <tableColumn id="19" xr3:uid="{00000000-0010-0000-0000-000013000000}" name="Manager_ID"/>
    <tableColumn id="20" xr3:uid="{00000000-0010-0000-0000-000014000000}" name="Emp_Serial_MID"/>
    <tableColumn id="21" xr3:uid="{00000000-0010-0000-0000-000015000000}" name="Dept_Abbr_LEFT"/>
    <tableColumn id="22" xr3:uid="{00000000-0010-0000-0000-000016000000}" name="Level_Check_RIGHT"/>
    <tableColumn id="23" xr3:uid="{00000000-0010-0000-0000-000017000000}" name="Manager_Name_VLOOKUP"/>
    <tableColumn id="24" xr3:uid="{00000000-0010-0000-0000-000018000000}" name="Cost_Center_VLOOKUP"/>
    <tableColumn id="25" xr3:uid="{00000000-0010-0000-0000-000019000000}" name="Salary_Band_INDEX_MATCH"/>
    <tableColumn id="26" xr3:uid="{00000000-0010-0000-0000-00001A000000}" name="Band_Midpoint_XLOOKUP"/>
    <tableColumn id="27" xr3:uid="{00000000-0010-0000-0000-00001B000000}" name="Compa_Ratio"/>
    <tableColumn id="28" xr3:uid="{00000000-0010-0000-0000-00001C000000}" name="Hire_Year"/>
    <tableColumn id="29" xr3:uid="{00000000-0010-0000-0000-00001D000000}" name="Exit_Year"/>
    <tableColumn id="30" xr3:uid="{00000000-0010-0000-0000-00001E000000}" name="Tenure_Years"/>
    <tableColumn id="31" xr3:uid="{00000000-0010-0000-0000-00001F000000}" name="Tenure_Band_IF"/>
    <tableColumn id="32" xr3:uid="{00000000-0010-0000-0000-000020000000}" name="Retention_Risk_Fla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8"/>
  <sheetViews>
    <sheetView showGridLines="0" topLeftCell="B3" zoomScale="80" zoomScaleNormal="80" zoomScalePageLayoutView="52" workbookViewId="0">
      <selection activeCell="V7" sqref="V7"/>
    </sheetView>
  </sheetViews>
  <sheetFormatPr defaultColWidth="8.6640625" defaultRowHeight="14.25" customHeight="1" x14ac:dyDescent="0.45"/>
  <cols>
    <col min="1" max="1" width="3" customWidth="1"/>
    <col min="2" max="2" width="24" customWidth="1"/>
    <col min="3" max="4" width="14" customWidth="1"/>
    <col min="5" max="6" width="16" customWidth="1"/>
    <col min="7" max="7" width="14" customWidth="1"/>
    <col min="8" max="8" width="15" customWidth="1"/>
    <col min="9" max="9" width="4" customWidth="1"/>
    <col min="10" max="13" width="18" customWidth="1"/>
  </cols>
  <sheetData>
    <row r="1" spans="2:13" ht="30" customHeight="1" x14ac:dyDescent="0.45"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2:13" ht="19.5" customHeight="1" x14ac:dyDescent="0.45">
      <c r="B2" s="42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2:13" ht="7.5" customHeight="1" x14ac:dyDescent="0.45"/>
    <row r="4" spans="2:13" ht="24" customHeight="1" x14ac:dyDescent="0.45">
      <c r="B4" s="1" t="s">
        <v>2</v>
      </c>
      <c r="C4" s="2" t="s">
        <v>3</v>
      </c>
      <c r="E4" s="1" t="s">
        <v>4</v>
      </c>
      <c r="F4" s="2">
        <v>2025</v>
      </c>
      <c r="H4" s="43" t="s">
        <v>5</v>
      </c>
      <c r="I4" s="43"/>
      <c r="J4" s="43"/>
      <c r="K4" s="43"/>
      <c r="L4" s="43"/>
      <c r="M4" s="43"/>
    </row>
    <row r="5" spans="2:13" ht="7.5" customHeight="1" x14ac:dyDescent="0.45"/>
    <row r="6" spans="2:13" ht="18" customHeight="1" x14ac:dyDescent="0.45">
      <c r="B6" s="44" t="s">
        <v>6</v>
      </c>
      <c r="C6" s="44"/>
      <c r="D6" s="44" t="s">
        <v>7</v>
      </c>
      <c r="E6" s="44"/>
      <c r="F6" s="44" t="s">
        <v>8</v>
      </c>
      <c r="G6" s="44"/>
      <c r="H6" s="44" t="s">
        <v>9</v>
      </c>
      <c r="I6" s="44"/>
      <c r="J6" s="44" t="s">
        <v>10</v>
      </c>
      <c r="K6" s="44"/>
      <c r="L6" s="44" t="s">
        <v>11</v>
      </c>
      <c r="M6" s="44"/>
    </row>
    <row r="7" spans="2:13" ht="27.75" customHeight="1" x14ac:dyDescent="0.45">
      <c r="B7" s="39">
        <f>IF($C$4="All Departments",KPI_Calculations!D12,INDEX(KPI_Calculations!D6:D11,MATCH($C$4,KPI_Calculations!A6:A11,0)))</f>
        <v>1042</v>
      </c>
      <c r="C7" s="39"/>
      <c r="D7" s="39">
        <f>IF($C$4="All Departments",COUNTIF(Cleaned_Data!$AB$2:$AB$1451,$F$4),COUNTIFS(Cleaned_Data!$D$2:$D$1451,$C$4,Cleaned_Data!$AB$2:$AB$1451,$F$4))</f>
        <v>221</v>
      </c>
      <c r="E7" s="39"/>
      <c r="F7" s="39">
        <f>IF($C$4="All Departments",COUNTIF(Cleaned_Data!$AC$2:$AC$1451,$F$4),COUNTIFS(Cleaned_Data!$D$2:$D$1451,$C$4,Cleaned_Data!$AC$2:$AC$1451,$F$4))</f>
        <v>102</v>
      </c>
      <c r="G7" s="39"/>
      <c r="H7" s="37">
        <f>IF($C$4="All Departments",KPI_Calculations!N12,INDEX(KPI_Calculations!N6:N11,MATCH($C$4,KPI_Calculations!A6:A11,0)))</f>
        <v>0.10381679389312977</v>
      </c>
      <c r="I7" s="37"/>
      <c r="J7" s="40">
        <f>IF($C$4="All Departments",KPI_Calculations!O12,INDEX(KPI_Calculations!O6:O11,MATCH($C$4,KPI_Calculations!A6:A11,0)))</f>
        <v>2.6975047984644913</v>
      </c>
      <c r="K7" s="40"/>
      <c r="L7" s="37">
        <f>IF($C$4="All Departments",KPI_Calculations!R12,INDEX(KPI_Calculations!R6:R11,MATCH($C$4,KPI_Calculations!A6:A11,0)))</f>
        <v>0.36468330134357008</v>
      </c>
      <c r="M7" s="37"/>
    </row>
    <row r="8" spans="2:13" ht="15.75" customHeight="1" x14ac:dyDescent="0.45">
      <c r="B8" s="38" t="str">
        <f>"Target: "&amp;TEXT(IF($C$4="All Departments",KPI_Calculations!C12,INDEX(KPI_Calculations!C6:C11,MATCH($C$4,KPI_Calculations!A6:A11,0))),"#,##0")&amp;" | Variance: "&amp;TEXT(IF($C$4="All Departments",KPI_Calculations!E12,INDEX(KPI_Calculations!E6:E11,MATCH($C$4,KPI_Calculations!A6:A11,0))),"+0;-0;0")</f>
        <v>Target: 1,095 | Variance: -53</v>
      </c>
      <c r="C8" s="38"/>
      <c r="D8" s="38" t="str">
        <f>"Total Cohort Hired (19-25): "&amp;TEXT(IF($C$4="All Departments",KPI_Calculations!F12,INDEX(KPI_Calculations!F6:F11,MATCH($C$4,KPI_Calculations!A6:A11,0))),"#,##0")</f>
        <v>Total Cohort Hired (19-25): 1,450</v>
      </c>
      <c r="E8" s="38"/>
      <c r="F8" s="38" t="str">
        <f>"Cumulative Exits (19-25): "&amp;TEXT(IF($C$4="All Departments",KPI_Calculations!G12,INDEX(KPI_Calculations!G6:G11,MATCH($C$4,KPI_Calculations!A6:A11,0))),"#,##0")</f>
        <v>Cumulative Exits (19-25): 408</v>
      </c>
      <c r="G8" s="38"/>
      <c r="H8" s="38" t="str">
        <f>"Cohort Attrition: "&amp;TEXT(IF($C$4="All Departments",KPI_Calculations!I12,INDEX(KPI_Calculations!I6:I11,MATCH($C$4,KPI_Calculations!A6:A11,0))),"0.0%")</f>
        <v>Cohort Attrition: 28.1%</v>
      </c>
      <c r="I8" s="38"/>
      <c r="J8" s="38" t="str">
        <f>"Avg Perf Rating: "&amp;TEXT(IF($C$4="All Departments",KPI_Calculations!Q12,INDEX(KPI_Calculations!Q6:Q11,MATCH($C$4,KPI_Calculations!A6:A11,0))),"0.00")&amp;" / 5.0"</f>
        <v>Avg Perf Rating: 3.19 / 5.0</v>
      </c>
      <c r="K8" s="38"/>
      <c r="L8" s="38" t="str">
        <f>"High Retention Risk Active: "&amp;TEXT(IF($C$4="All Departments",Pivot_Analysis!B33,INDEX(Pivot_Analysis!B27:B32,MATCH($C$4,Pivot_Analysis!A27:A32,0))),"#,##0")</f>
        <v>High Retention Risk Active: 203</v>
      </c>
      <c r="M8" s="38"/>
    </row>
    <row r="9" spans="2:13" ht="9.75" customHeight="1" x14ac:dyDescent="0.45"/>
    <row r="10" spans="2:13" x14ac:dyDescent="0.45">
      <c r="B10" s="3" t="s">
        <v>12</v>
      </c>
      <c r="J10" s="3" t="s">
        <v>13</v>
      </c>
    </row>
    <row r="11" spans="2:13" x14ac:dyDescent="0.45"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J11" s="36" t="s">
        <v>21</v>
      </c>
      <c r="K11" s="36"/>
      <c r="L11" s="36"/>
      <c r="M11" s="36"/>
    </row>
    <row r="12" spans="2:13" ht="25.5" customHeight="1" x14ac:dyDescent="0.45">
      <c r="B12" s="5" t="str">
        <f>KPI_Calculations!A6</f>
        <v>Engineering &amp; Product</v>
      </c>
      <c r="C12" s="6">
        <f>KPI_Calculations!D6</f>
        <v>366</v>
      </c>
      <c r="D12" s="6">
        <f>KPI_Calculations!E6</f>
        <v>-14</v>
      </c>
      <c r="E12" s="7">
        <f>KPI_Calculations!N6</f>
        <v>8.3333333333333329E-2</v>
      </c>
      <c r="F12" s="7">
        <f>KPI_Calculations!I6</f>
        <v>0.2129032258064516</v>
      </c>
      <c r="G12" s="7">
        <f>KPI_Calculations!R6</f>
        <v>0.27049180327868855</v>
      </c>
      <c r="H12" s="6">
        <f>Pivot_Analysis!B27</f>
        <v>54</v>
      </c>
      <c r="J12" s="35" t="s">
        <v>22</v>
      </c>
      <c r="K12" s="35"/>
      <c r="L12" s="35"/>
      <c r="M12" s="35"/>
    </row>
    <row r="13" spans="2:13" x14ac:dyDescent="0.45">
      <c r="B13" s="8" t="str">
        <f>KPI_Calculations!A7</f>
        <v>Enterprise Sales</v>
      </c>
      <c r="C13" s="9">
        <f>KPI_Calculations!D7</f>
        <v>201</v>
      </c>
      <c r="D13" s="9">
        <f>KPI_Calculations!E7</f>
        <v>-14</v>
      </c>
      <c r="E13" s="10">
        <f>KPI_Calculations!N7</f>
        <v>0.1514360313315927</v>
      </c>
      <c r="F13" s="10">
        <f>KPI_Calculations!I7</f>
        <v>0.33222591362126247</v>
      </c>
      <c r="G13" s="10">
        <f>KPI_Calculations!R7</f>
        <v>0.52238805970149249</v>
      </c>
      <c r="H13" s="9">
        <f>Pivot_Analysis!B28</f>
        <v>53</v>
      </c>
      <c r="J13" s="36" t="s">
        <v>23</v>
      </c>
      <c r="K13" s="36"/>
      <c r="L13" s="36"/>
      <c r="M13" s="36"/>
    </row>
    <row r="14" spans="2:13" ht="25.5" customHeight="1" x14ac:dyDescent="0.45">
      <c r="B14" s="5" t="str">
        <f>KPI_Calculations!A8</f>
        <v>Customer Operations</v>
      </c>
      <c r="C14" s="6">
        <f>KPI_Calculations!D8</f>
        <v>168</v>
      </c>
      <c r="D14" s="6">
        <f>KPI_Calculations!E8</f>
        <v>-12</v>
      </c>
      <c r="E14" s="7">
        <f>KPI_Calculations!N8</f>
        <v>0.11538461538461539</v>
      </c>
      <c r="F14" s="7">
        <f>KPI_Calculations!I8</f>
        <v>0.3707865168539326</v>
      </c>
      <c r="G14" s="7">
        <f>KPI_Calculations!R8</f>
        <v>0.51190476190476186</v>
      </c>
      <c r="H14" s="6">
        <f>Pivot_Analysis!B29</f>
        <v>44</v>
      </c>
      <c r="J14" s="35" t="s">
        <v>24</v>
      </c>
      <c r="K14" s="35"/>
      <c r="L14" s="35"/>
      <c r="M14" s="35"/>
    </row>
    <row r="15" spans="2:13" x14ac:dyDescent="0.45">
      <c r="B15" s="8" t="str">
        <f>KPI_Calculations!A9</f>
        <v>Growth Marketing</v>
      </c>
      <c r="C15" s="9">
        <f>KPI_Calculations!D9</f>
        <v>119</v>
      </c>
      <c r="D15" s="9">
        <f>KPI_Calculations!E9</f>
        <v>-6</v>
      </c>
      <c r="E15" s="10">
        <f>KPI_Calculations!N9</f>
        <v>0.14414414414414414</v>
      </c>
      <c r="F15" s="10">
        <f>KPI_Calculations!I9</f>
        <v>0.31609195402298851</v>
      </c>
      <c r="G15" s="10">
        <f>KPI_Calculations!R9</f>
        <v>0.31092436974789917</v>
      </c>
      <c r="H15" s="9">
        <f>Pivot_Analysis!B30</f>
        <v>20</v>
      </c>
      <c r="J15" s="36" t="s">
        <v>25</v>
      </c>
      <c r="K15" s="36"/>
      <c r="L15" s="36"/>
      <c r="M15" s="36"/>
    </row>
    <row r="16" spans="2:13" ht="25.5" customHeight="1" x14ac:dyDescent="0.45">
      <c r="B16" s="5" t="str">
        <f>KPI_Calculations!A10</f>
        <v>Finance &amp; Strategy</v>
      </c>
      <c r="C16" s="6">
        <f>KPI_Calculations!D10</f>
        <v>96</v>
      </c>
      <c r="D16" s="6">
        <f>KPI_Calculations!E10</f>
        <v>-4</v>
      </c>
      <c r="E16" s="7">
        <f>KPI_Calculations!N10</f>
        <v>5.5248618784530384E-2</v>
      </c>
      <c r="F16" s="7">
        <f>KPI_Calculations!I10</f>
        <v>0.24409448818897639</v>
      </c>
      <c r="G16" s="7">
        <f>KPI_Calculations!R10</f>
        <v>0.29166666666666669</v>
      </c>
      <c r="H16" s="6">
        <f>Pivot_Analysis!B31</f>
        <v>17</v>
      </c>
      <c r="J16" s="35" t="s">
        <v>26</v>
      </c>
      <c r="K16" s="35"/>
      <c r="L16" s="35"/>
      <c r="M16" s="35"/>
    </row>
    <row r="17" spans="2:13" x14ac:dyDescent="0.45">
      <c r="B17" s="8" t="str">
        <f>KPI_Calculations!A11</f>
        <v>People &amp; Talent</v>
      </c>
      <c r="C17" s="9">
        <f>KPI_Calculations!D11</f>
        <v>92</v>
      </c>
      <c r="D17" s="9">
        <f>KPI_Calculations!E11</f>
        <v>-3</v>
      </c>
      <c r="E17" s="10">
        <f>KPI_Calculations!N11</f>
        <v>5.8479532163742687E-2</v>
      </c>
      <c r="F17" s="10">
        <f>KPI_Calculations!I11</f>
        <v>0.20689655172413793</v>
      </c>
      <c r="G17" s="10">
        <f>KPI_Calculations!R11</f>
        <v>0.27173913043478259</v>
      </c>
      <c r="H17" s="9">
        <f>Pivot_Analysis!B32</f>
        <v>15</v>
      </c>
      <c r="J17" s="36" t="s">
        <v>27</v>
      </c>
      <c r="K17" s="36"/>
      <c r="L17" s="36"/>
      <c r="M17" s="36"/>
    </row>
    <row r="18" spans="2:13" ht="25.5" customHeight="1" x14ac:dyDescent="0.45">
      <c r="B18" s="11" t="s">
        <v>28</v>
      </c>
      <c r="C18" s="12">
        <f>KPI_Calculations!D12</f>
        <v>1042</v>
      </c>
      <c r="D18" s="12">
        <f>KPI_Calculations!E12</f>
        <v>-53</v>
      </c>
      <c r="E18" s="13">
        <f>KPI_Calculations!N12</f>
        <v>0.10381679389312977</v>
      </c>
      <c r="F18" s="13">
        <f>KPI_Calculations!I12</f>
        <v>0.2813793103448276</v>
      </c>
      <c r="G18" s="13">
        <f>KPI_Calculations!R12</f>
        <v>0.36468330134357008</v>
      </c>
      <c r="H18" s="12">
        <f>Pivot_Analysis!B33</f>
        <v>203</v>
      </c>
      <c r="J18" s="35" t="s">
        <v>29</v>
      </c>
      <c r="K18" s="35"/>
      <c r="L18" s="35"/>
      <c r="M18" s="35"/>
    </row>
  </sheetData>
  <mergeCells count="29">
    <mergeCell ref="B1:M1"/>
    <mergeCell ref="B2:M2"/>
    <mergeCell ref="H4:M4"/>
    <mergeCell ref="B6:C6"/>
    <mergeCell ref="D6:E6"/>
    <mergeCell ref="F6:G6"/>
    <mergeCell ref="H6:I6"/>
    <mergeCell ref="J6:K6"/>
    <mergeCell ref="L6:M6"/>
    <mergeCell ref="L7:M7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J16:M16"/>
    <mergeCell ref="J17:M17"/>
    <mergeCell ref="J18:M18"/>
    <mergeCell ref="J11:M11"/>
    <mergeCell ref="J12:M12"/>
    <mergeCell ref="J13:M13"/>
    <mergeCell ref="J14:M14"/>
    <mergeCell ref="J15:M15"/>
  </mergeCells>
  <conditionalFormatting sqref="E12:E17">
    <cfRule type="cellIs" dxfId="1" priority="2" operator="greaterThan">
      <formula>0.13</formula>
    </cfRule>
  </conditionalFormatting>
  <conditionalFormatting sqref="G12:G17">
    <cfRule type="cellIs" dxfId="0" priority="3" operator="greaterThan">
      <formula>0.45</formula>
    </cfRule>
  </conditionalFormatting>
  <dataValidations count="2">
    <dataValidation type="list" errorTitle="Invalid department" error="Choose a department from the dropdown list." promptTitle="Department filter" prompt="Choose All Departments or one department." sqref="C4" xr:uid="{00000000-0002-0000-0000-000000000000}">
      <formula1>DepartmentFilterList</formula1>
      <formula2>0</formula2>
    </dataValidation>
    <dataValidation type="list" errorTitle="Invalid reporting year" error="Choose a year from the dropdown list." promptTitle="Reporting year" prompt="Choose a year from 2019 through 2025." sqref="F4" xr:uid="{00000000-0002-0000-0000-000001000000}">
      <formula1>ReportingYearList</formula1>
      <formula2>0</formula2>
    </dataValidation>
  </dataValidations>
  <printOptions horizontalCentered="1"/>
  <pageMargins left="0.25" right="0.25" top="0.35" bottom="0.35" header="0.511811023622047" footer="0.511811023622047"/>
  <pageSetup paperSize="8" scale="9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2"/>
  <sheetViews>
    <sheetView tabSelected="1" topLeftCell="A15" zoomScale="60" zoomScaleNormal="60" workbookViewId="0">
      <selection activeCell="X7" sqref="X7"/>
    </sheetView>
  </sheetViews>
  <sheetFormatPr defaultColWidth="8.6640625" defaultRowHeight="14.25" customHeight="1" x14ac:dyDescent="0.45"/>
  <cols>
    <col min="1" max="1" width="28" customWidth="1"/>
    <col min="2" max="18" width="20" customWidth="1"/>
  </cols>
  <sheetData>
    <row r="1" spans="1:18" ht="16.5" customHeight="1" x14ac:dyDescent="0.5">
      <c r="A1" s="14" t="s">
        <v>30</v>
      </c>
    </row>
    <row r="2" spans="1:18" x14ac:dyDescent="0.45">
      <c r="A2" s="15" t="s">
        <v>31</v>
      </c>
    </row>
    <row r="4" spans="1:18" x14ac:dyDescent="0.45">
      <c r="A4" s="3" t="s">
        <v>32</v>
      </c>
    </row>
    <row r="5" spans="1:18" ht="27.75" customHeight="1" x14ac:dyDescent="0.45">
      <c r="A5" s="16" t="s">
        <v>14</v>
      </c>
      <c r="B5" s="16" t="s">
        <v>33</v>
      </c>
      <c r="C5" s="16" t="s">
        <v>34</v>
      </c>
      <c r="D5" s="16" t="s">
        <v>35</v>
      </c>
      <c r="E5" s="16" t="s">
        <v>36</v>
      </c>
      <c r="F5" s="16" t="s">
        <v>37</v>
      </c>
      <c r="G5" s="16" t="s">
        <v>38</v>
      </c>
      <c r="H5" s="16" t="s">
        <v>39</v>
      </c>
      <c r="I5" s="16" t="s">
        <v>40</v>
      </c>
      <c r="J5" s="16" t="s">
        <v>41</v>
      </c>
      <c r="K5" s="16" t="s">
        <v>42</v>
      </c>
      <c r="L5" s="16" t="s">
        <v>43</v>
      </c>
      <c r="M5" s="16" t="s">
        <v>44</v>
      </c>
      <c r="N5" s="16" t="s">
        <v>45</v>
      </c>
      <c r="O5" s="16" t="s">
        <v>46</v>
      </c>
      <c r="P5" s="16" t="s">
        <v>47</v>
      </c>
      <c r="Q5" s="16" t="s">
        <v>48</v>
      </c>
      <c r="R5" s="16" t="s">
        <v>49</v>
      </c>
    </row>
    <row r="6" spans="1:18" x14ac:dyDescent="0.45">
      <c r="A6" s="5" t="s">
        <v>50</v>
      </c>
      <c r="B6" s="5" t="s">
        <v>51</v>
      </c>
      <c r="C6" s="6">
        <f>VLOOKUP(B6,Employee_Lookups!$A$4:$G$9,5,FALSE())</f>
        <v>380</v>
      </c>
      <c r="D6" s="6">
        <f>COUNTIFS(Cleaned_Data!$D$2:$D$1451,A6,Cleaned_Data!$K$2:$K$1451,"Active")</f>
        <v>366</v>
      </c>
      <c r="E6" s="6">
        <f t="shared" ref="E6:E12" si="0">D6-C6</f>
        <v>-14</v>
      </c>
      <c r="F6" s="6">
        <f>COUNTIF(Cleaned_Data!$D$2:$D$1451,A6)</f>
        <v>465</v>
      </c>
      <c r="G6" s="6">
        <f>COUNTIFS(Cleaned_Data!$D$2:$D$1451,A6,Cleaned_Data!$K$2:$K$1451,"&lt;&gt;Active")</f>
        <v>99</v>
      </c>
      <c r="H6" s="6">
        <f>COUNTIFS(Cleaned_Data!$D$2:$D$1451,A6,Cleaned_Data!$K$2:$K$1451,"Voluntary Exit")</f>
        <v>63</v>
      </c>
      <c r="I6" s="7">
        <f t="shared" ref="I6:I12" si="1">IFERROR(G6/F6,0)</f>
        <v>0.2129032258064516</v>
      </c>
      <c r="J6" s="6">
        <f>COUNTIFS(Cleaned_Data!$D$2:$D$1451,A6,Cleaned_Data!$AB$2:$AB$1451,"&lt;=2024")-COUNTIFS(Cleaned_Data!$D$2:$D$1451,A6,Cleaned_Data!$AB$2:$AB$1451,"&lt;=2024",Cleaned_Data!$AC$2:$AC$1451,"&lt;=2024",Cleaned_Data!$AC$2:$AC$1451,"&gt;0")</f>
        <v>330</v>
      </c>
      <c r="K6" s="6">
        <f>COUNTIFS(Cleaned_Data!$D$2:$D$1451,A6,Cleaned_Data!$AB$2:$AB$1451,2025)</f>
        <v>65</v>
      </c>
      <c r="L6" s="6">
        <f>COUNTIFS(Cleaned_Data!$D$2:$D$1451,A6,Cleaned_Data!$AC$2:$AC$1451,2025)</f>
        <v>29</v>
      </c>
      <c r="M6" s="17">
        <f t="shared" ref="M6:M12" si="2">(J6+D6)/2</f>
        <v>348</v>
      </c>
      <c r="N6" s="7">
        <f t="shared" ref="N6:N12" si="3">IFERROR(L6/M6,0)</f>
        <v>8.3333333333333329E-2</v>
      </c>
      <c r="O6" s="18">
        <f>AVERAGEIFS(Cleaned_Data!$AD$2:$AD$1451,Cleaned_Data!$D$2:$D$1451,A6,Cleaned_Data!$K$2:$K$1451,"Active")</f>
        <v>2.7999453551912561</v>
      </c>
      <c r="P6" s="6">
        <f>AVERAGEIFS(Cleaned_Data!$O$2:$O$1451,Cleaned_Data!$D$2:$D$1451,A6,Cleaned_Data!$K$2:$K$1451,"Active")</f>
        <v>1297612.0218579236</v>
      </c>
      <c r="Q6" s="18">
        <f>AVERAGEIFS(Cleaned_Data!$P$2:$P$1451,Cleaned_Data!$D$2:$D$1451,A6,Cleaned_Data!$P$2:$P$1451,"&gt;0")</f>
        <v>3.2171052631578947</v>
      </c>
      <c r="R6" s="7">
        <f>IFERROR(COUNTIFS(Cleaned_Data!$D$2:$D$1451,A6,Cleaned_Data!$K$2:$K$1451,"Active",Cleaned_Data!$Q$2:$Q$1451,"Yes")/D6,0)</f>
        <v>0.27049180327868855</v>
      </c>
    </row>
    <row r="7" spans="1:18" x14ac:dyDescent="0.45">
      <c r="A7" s="8" t="s">
        <v>52</v>
      </c>
      <c r="B7" s="8" t="s">
        <v>53</v>
      </c>
      <c r="C7" s="9">
        <f>VLOOKUP(B7,Employee_Lookups!$A$4:$G$9,5,FALSE())</f>
        <v>215</v>
      </c>
      <c r="D7" s="9">
        <f>COUNTIFS(Cleaned_Data!$D$2:$D$1451,A7,Cleaned_Data!$K$2:$K$1451,"Active")</f>
        <v>201</v>
      </c>
      <c r="E7" s="9">
        <f t="shared" si="0"/>
        <v>-14</v>
      </c>
      <c r="F7" s="9">
        <f>COUNTIF(Cleaned_Data!$D$2:$D$1451,A7)</f>
        <v>301</v>
      </c>
      <c r="G7" s="9">
        <f>COUNTIFS(Cleaned_Data!$D$2:$D$1451,A7,Cleaned_Data!$K$2:$K$1451,"&lt;&gt;Active")</f>
        <v>100</v>
      </c>
      <c r="H7" s="9">
        <f>COUNTIFS(Cleaned_Data!$D$2:$D$1451,A7,Cleaned_Data!$K$2:$K$1451,"Voluntary Exit")</f>
        <v>67</v>
      </c>
      <c r="I7" s="10">
        <f t="shared" si="1"/>
        <v>0.33222591362126247</v>
      </c>
      <c r="J7" s="9">
        <f>COUNTIFS(Cleaned_Data!$D$2:$D$1451,A7,Cleaned_Data!$AB$2:$AB$1451,"&lt;=2024")-COUNTIFS(Cleaned_Data!$D$2:$D$1451,A7,Cleaned_Data!$AB$2:$AB$1451,"&lt;=2024",Cleaned_Data!$AC$2:$AC$1451,"&lt;=2024",Cleaned_Data!$AC$2:$AC$1451,"&gt;0")</f>
        <v>182</v>
      </c>
      <c r="K7" s="9">
        <f>COUNTIFS(Cleaned_Data!$D$2:$D$1451,A7,Cleaned_Data!$AB$2:$AB$1451,2025)</f>
        <v>48</v>
      </c>
      <c r="L7" s="9">
        <f>COUNTIFS(Cleaned_Data!$D$2:$D$1451,A7,Cleaned_Data!$AC$2:$AC$1451,2025)</f>
        <v>29</v>
      </c>
      <c r="M7" s="19">
        <f t="shared" si="2"/>
        <v>191.5</v>
      </c>
      <c r="N7" s="10">
        <f t="shared" si="3"/>
        <v>0.1514360313315927</v>
      </c>
      <c r="O7" s="20">
        <f>AVERAGEIFS(Cleaned_Data!$AD$2:$AD$1451,Cleaned_Data!$D$2:$D$1451,A7,Cleaned_Data!$K$2:$K$1451,"Active")</f>
        <v>2.4998507462686566</v>
      </c>
      <c r="P7" s="9">
        <f>AVERAGEIFS(Cleaned_Data!$O$2:$O$1451,Cleaned_Data!$D$2:$D$1451,A7,Cleaned_Data!$K$2:$K$1451,"Active")</f>
        <v>1294432.8358208956</v>
      </c>
      <c r="Q7" s="20">
        <f>AVERAGEIFS(Cleaned_Data!$P$2:$P$1451,Cleaned_Data!$D$2:$D$1451,A7,Cleaned_Data!$P$2:$P$1451,"&gt;0")</f>
        <v>3.1190476190476191</v>
      </c>
      <c r="R7" s="10">
        <f>IFERROR(COUNTIFS(Cleaned_Data!$D$2:$D$1451,A7,Cleaned_Data!$K$2:$K$1451,"Active",Cleaned_Data!$Q$2:$Q$1451,"Yes")/D7,0)</f>
        <v>0.52238805970149249</v>
      </c>
    </row>
    <row r="8" spans="1:18" x14ac:dyDescent="0.45">
      <c r="A8" s="5" t="s">
        <v>54</v>
      </c>
      <c r="B8" s="5" t="s">
        <v>55</v>
      </c>
      <c r="C8" s="6">
        <f>VLOOKUP(B8,Employee_Lookups!$A$4:$G$9,5,FALSE())</f>
        <v>180</v>
      </c>
      <c r="D8" s="6">
        <f>COUNTIFS(Cleaned_Data!$D$2:$D$1451,A8,Cleaned_Data!$K$2:$K$1451,"Active")</f>
        <v>168</v>
      </c>
      <c r="E8" s="6">
        <f t="shared" si="0"/>
        <v>-12</v>
      </c>
      <c r="F8" s="6">
        <f>COUNTIF(Cleaned_Data!$D$2:$D$1451,A8)</f>
        <v>267</v>
      </c>
      <c r="G8" s="6">
        <f>COUNTIFS(Cleaned_Data!$D$2:$D$1451,A8,Cleaned_Data!$K$2:$K$1451,"&lt;&gt;Active")</f>
        <v>99</v>
      </c>
      <c r="H8" s="6">
        <f>COUNTIFS(Cleaned_Data!$D$2:$D$1451,A8,Cleaned_Data!$K$2:$K$1451,"Voluntary Exit")</f>
        <v>61</v>
      </c>
      <c r="I8" s="7">
        <f t="shared" si="1"/>
        <v>0.3707865168539326</v>
      </c>
      <c r="J8" s="6">
        <f>COUNTIFS(Cleaned_Data!$D$2:$D$1451,A8,Cleaned_Data!$AB$2:$AB$1451,"&lt;=2024")-COUNTIFS(Cleaned_Data!$D$2:$D$1451,A8,Cleaned_Data!$AB$2:$AB$1451,"&lt;=2024",Cleaned_Data!$AC$2:$AC$1451,"&lt;=2024",Cleaned_Data!$AC$2:$AC$1451,"&gt;0")</f>
        <v>144</v>
      </c>
      <c r="K8" s="6">
        <f>COUNTIFS(Cleaned_Data!$D$2:$D$1451,A8,Cleaned_Data!$AB$2:$AB$1451,2025)</f>
        <v>42</v>
      </c>
      <c r="L8" s="6">
        <f>COUNTIFS(Cleaned_Data!$D$2:$D$1451,A8,Cleaned_Data!$AC$2:$AC$1451,2025)</f>
        <v>18</v>
      </c>
      <c r="M8" s="17">
        <f t="shared" si="2"/>
        <v>156</v>
      </c>
      <c r="N8" s="7">
        <f t="shared" si="3"/>
        <v>0.11538461538461539</v>
      </c>
      <c r="O8" s="18">
        <f>AVERAGEIFS(Cleaned_Data!$AD$2:$AD$1451,Cleaned_Data!$D$2:$D$1451,A8,Cleaned_Data!$K$2:$K$1451,"Active")</f>
        <v>2.5744642857142859</v>
      </c>
      <c r="P8" s="6">
        <f>AVERAGEIFS(Cleaned_Data!$O$2:$O$1451,Cleaned_Data!$D$2:$D$1451,A8,Cleaned_Data!$K$2:$K$1451,"Active")</f>
        <v>1383113.0952380951</v>
      </c>
      <c r="Q8" s="18">
        <f>AVERAGEIFS(Cleaned_Data!$P$2:$P$1451,Cleaned_Data!$D$2:$D$1451,A8,Cleaned_Data!$P$2:$P$1451,"&gt;0")</f>
        <v>3.1030534351145036</v>
      </c>
      <c r="R8" s="7">
        <f>IFERROR(COUNTIFS(Cleaned_Data!$D$2:$D$1451,A8,Cleaned_Data!$K$2:$K$1451,"Active",Cleaned_Data!$Q$2:$Q$1451,"Yes")/D8,0)</f>
        <v>0.51190476190476186</v>
      </c>
    </row>
    <row r="9" spans="1:18" x14ac:dyDescent="0.45">
      <c r="A9" s="8" t="s">
        <v>56</v>
      </c>
      <c r="B9" s="8" t="s">
        <v>57</v>
      </c>
      <c r="C9" s="9">
        <f>VLOOKUP(B9,Employee_Lookups!$A$4:$G$9,5,FALSE())</f>
        <v>125</v>
      </c>
      <c r="D9" s="9">
        <f>COUNTIFS(Cleaned_Data!$D$2:$D$1451,A9,Cleaned_Data!$K$2:$K$1451,"Active")</f>
        <v>119</v>
      </c>
      <c r="E9" s="9">
        <f t="shared" si="0"/>
        <v>-6</v>
      </c>
      <c r="F9" s="9">
        <f>COUNTIF(Cleaned_Data!$D$2:$D$1451,A9)</f>
        <v>174</v>
      </c>
      <c r="G9" s="9">
        <f>COUNTIFS(Cleaned_Data!$D$2:$D$1451,A9,Cleaned_Data!$K$2:$K$1451,"&lt;&gt;Active")</f>
        <v>55</v>
      </c>
      <c r="H9" s="9">
        <f>COUNTIFS(Cleaned_Data!$D$2:$D$1451,A9,Cleaned_Data!$K$2:$K$1451,"Voluntary Exit")</f>
        <v>37</v>
      </c>
      <c r="I9" s="10">
        <f t="shared" si="1"/>
        <v>0.31609195402298851</v>
      </c>
      <c r="J9" s="9">
        <f>COUNTIFS(Cleaned_Data!$D$2:$D$1451,A9,Cleaned_Data!$AB$2:$AB$1451,"&lt;=2024")-COUNTIFS(Cleaned_Data!$D$2:$D$1451,A9,Cleaned_Data!$AB$2:$AB$1451,"&lt;=2024",Cleaned_Data!$AC$2:$AC$1451,"&lt;=2024",Cleaned_Data!$AC$2:$AC$1451,"&gt;0")</f>
        <v>103</v>
      </c>
      <c r="K9" s="9">
        <f>COUNTIFS(Cleaned_Data!$D$2:$D$1451,A9,Cleaned_Data!$AB$2:$AB$1451,2025)</f>
        <v>32</v>
      </c>
      <c r="L9" s="9">
        <f>COUNTIFS(Cleaned_Data!$D$2:$D$1451,A9,Cleaned_Data!$AC$2:$AC$1451,2025)</f>
        <v>16</v>
      </c>
      <c r="M9" s="19">
        <f t="shared" si="2"/>
        <v>111</v>
      </c>
      <c r="N9" s="10">
        <f t="shared" si="3"/>
        <v>0.14414414414414414</v>
      </c>
      <c r="O9" s="20">
        <f>AVERAGEIFS(Cleaned_Data!$AD$2:$AD$1451,Cleaned_Data!$D$2:$D$1451,A9,Cleaned_Data!$K$2:$K$1451,"Active")</f>
        <v>2.343865546218487</v>
      </c>
      <c r="P9" s="9">
        <f>AVERAGEIFS(Cleaned_Data!$O$2:$O$1451,Cleaned_Data!$D$2:$D$1451,A9,Cleaned_Data!$K$2:$K$1451,"Active")</f>
        <v>1261159.6638655462</v>
      </c>
      <c r="Q9" s="20">
        <f>AVERAGEIFS(Cleaned_Data!$P$2:$P$1451,Cleaned_Data!$D$2:$D$1451,A9,Cleaned_Data!$P$2:$P$1451,"&gt;0")</f>
        <v>3.2559523809523809</v>
      </c>
      <c r="R9" s="10">
        <f>IFERROR(COUNTIFS(Cleaned_Data!$D$2:$D$1451,A9,Cleaned_Data!$K$2:$K$1451,"Active",Cleaned_Data!$Q$2:$Q$1451,"Yes")/D9,0)</f>
        <v>0.31092436974789917</v>
      </c>
    </row>
    <row r="10" spans="1:18" x14ac:dyDescent="0.45">
      <c r="A10" s="5" t="s">
        <v>58</v>
      </c>
      <c r="B10" s="5" t="s">
        <v>59</v>
      </c>
      <c r="C10" s="6">
        <f>VLOOKUP(B10,Employee_Lookups!$A$4:$G$9,5,FALSE())</f>
        <v>100</v>
      </c>
      <c r="D10" s="6">
        <f>COUNTIFS(Cleaned_Data!$D$2:$D$1451,A10,Cleaned_Data!$K$2:$K$1451,"Active")</f>
        <v>96</v>
      </c>
      <c r="E10" s="6">
        <f t="shared" si="0"/>
        <v>-4</v>
      </c>
      <c r="F10" s="6">
        <f>COUNTIF(Cleaned_Data!$D$2:$D$1451,A10)</f>
        <v>127</v>
      </c>
      <c r="G10" s="6">
        <f>COUNTIFS(Cleaned_Data!$D$2:$D$1451,A10,Cleaned_Data!$K$2:$K$1451,"&lt;&gt;Active")</f>
        <v>31</v>
      </c>
      <c r="H10" s="6">
        <f>COUNTIFS(Cleaned_Data!$D$2:$D$1451,A10,Cleaned_Data!$K$2:$K$1451,"Voluntary Exit")</f>
        <v>21</v>
      </c>
      <c r="I10" s="7">
        <f t="shared" si="1"/>
        <v>0.24409448818897639</v>
      </c>
      <c r="J10" s="6">
        <f>COUNTIFS(Cleaned_Data!$D$2:$D$1451,A10,Cleaned_Data!$AB$2:$AB$1451,"&lt;=2024")-COUNTIFS(Cleaned_Data!$D$2:$D$1451,A10,Cleaned_Data!$AB$2:$AB$1451,"&lt;=2024",Cleaned_Data!$AC$2:$AC$1451,"&lt;=2024",Cleaned_Data!$AC$2:$AC$1451,"&gt;0")</f>
        <v>85</v>
      </c>
      <c r="K10" s="6">
        <f>COUNTIFS(Cleaned_Data!$D$2:$D$1451,A10,Cleaned_Data!$AB$2:$AB$1451,2025)</f>
        <v>16</v>
      </c>
      <c r="L10" s="6">
        <f>COUNTIFS(Cleaned_Data!$D$2:$D$1451,A10,Cleaned_Data!$AC$2:$AC$1451,2025)</f>
        <v>5</v>
      </c>
      <c r="M10" s="17">
        <f t="shared" si="2"/>
        <v>90.5</v>
      </c>
      <c r="N10" s="7">
        <f t="shared" si="3"/>
        <v>5.5248618784530384E-2</v>
      </c>
      <c r="O10" s="18">
        <f>AVERAGEIFS(Cleaned_Data!$AD$2:$AD$1451,Cleaned_Data!$D$2:$D$1451,A10,Cleaned_Data!$K$2:$K$1451,"Active")</f>
        <v>3.2403124999999995</v>
      </c>
      <c r="P10" s="6">
        <f>AVERAGEIFS(Cleaned_Data!$O$2:$O$1451,Cleaned_Data!$D$2:$D$1451,A10,Cleaned_Data!$K$2:$K$1451,"Active")</f>
        <v>1176114.5833333333</v>
      </c>
      <c r="Q10" s="18">
        <f>AVERAGEIFS(Cleaned_Data!$P$2:$P$1451,Cleaned_Data!$D$2:$D$1451,A10,Cleaned_Data!$P$2:$P$1451,"&gt;0")</f>
        <v>3.2777777777777777</v>
      </c>
      <c r="R10" s="7">
        <f>IFERROR(COUNTIFS(Cleaned_Data!$D$2:$D$1451,A10,Cleaned_Data!$K$2:$K$1451,"Active",Cleaned_Data!$Q$2:$Q$1451,"Yes")/D10,0)</f>
        <v>0.29166666666666669</v>
      </c>
    </row>
    <row r="11" spans="1:18" x14ac:dyDescent="0.45">
      <c r="A11" s="8" t="s">
        <v>60</v>
      </c>
      <c r="B11" s="8" t="s">
        <v>61</v>
      </c>
      <c r="C11" s="9">
        <f>VLOOKUP(B11,Employee_Lookups!$A$4:$G$9,5,FALSE())</f>
        <v>95</v>
      </c>
      <c r="D11" s="9">
        <f>COUNTIFS(Cleaned_Data!$D$2:$D$1451,A11,Cleaned_Data!$K$2:$K$1451,"Active")</f>
        <v>92</v>
      </c>
      <c r="E11" s="9">
        <f t="shared" si="0"/>
        <v>-3</v>
      </c>
      <c r="F11" s="9">
        <f>COUNTIF(Cleaned_Data!$D$2:$D$1451,A11)</f>
        <v>116</v>
      </c>
      <c r="G11" s="9">
        <f>COUNTIFS(Cleaned_Data!$D$2:$D$1451,A11,Cleaned_Data!$K$2:$K$1451,"&lt;&gt;Active")</f>
        <v>24</v>
      </c>
      <c r="H11" s="9">
        <f>COUNTIFS(Cleaned_Data!$D$2:$D$1451,A11,Cleaned_Data!$K$2:$K$1451,"Voluntary Exit")</f>
        <v>16</v>
      </c>
      <c r="I11" s="10">
        <f t="shared" si="1"/>
        <v>0.20689655172413793</v>
      </c>
      <c r="J11" s="9">
        <f>COUNTIFS(Cleaned_Data!$D$2:$D$1451,A11,Cleaned_Data!$AB$2:$AB$1451,"&lt;=2024")-COUNTIFS(Cleaned_Data!$D$2:$D$1451,A11,Cleaned_Data!$AB$2:$AB$1451,"&lt;=2024",Cleaned_Data!$AC$2:$AC$1451,"&lt;=2024",Cleaned_Data!$AC$2:$AC$1451,"&gt;0")</f>
        <v>79</v>
      </c>
      <c r="K11" s="9">
        <f>COUNTIFS(Cleaned_Data!$D$2:$D$1451,A11,Cleaned_Data!$AB$2:$AB$1451,2025)</f>
        <v>18</v>
      </c>
      <c r="L11" s="9">
        <f>COUNTIFS(Cleaned_Data!$D$2:$D$1451,A11,Cleaned_Data!$AC$2:$AC$1451,2025)</f>
        <v>5</v>
      </c>
      <c r="M11" s="19">
        <f t="shared" si="2"/>
        <v>85.5</v>
      </c>
      <c r="N11" s="10">
        <f t="shared" si="3"/>
        <v>5.8479532163742687E-2</v>
      </c>
      <c r="O11" s="20">
        <f>AVERAGEIFS(Cleaned_Data!$AD$2:$AD$1451,Cleaned_Data!$D$2:$D$1451,A11,Cleaned_Data!$K$2:$K$1451,"Active")</f>
        <v>2.8375000000000026</v>
      </c>
      <c r="P11" s="9">
        <f>AVERAGEIFS(Cleaned_Data!$O$2:$O$1451,Cleaned_Data!$D$2:$D$1451,A11,Cleaned_Data!$K$2:$K$1451,"Active")</f>
        <v>1453184.7826086956</v>
      </c>
      <c r="Q11" s="20">
        <f>AVERAGEIFS(Cleaned_Data!$P$2:$P$1451,Cleaned_Data!$D$2:$D$1451,A11,Cleaned_Data!$P$2:$P$1451,"&gt;0")</f>
        <v>3.2280701754385963</v>
      </c>
      <c r="R11" s="10">
        <f>IFERROR(COUNTIFS(Cleaned_Data!$D$2:$D$1451,A11,Cleaned_Data!$K$2:$K$1451,"Active",Cleaned_Data!$Q$2:$Q$1451,"Yes")/D11,0)</f>
        <v>0.27173913043478259</v>
      </c>
    </row>
    <row r="12" spans="1:18" x14ac:dyDescent="0.45">
      <c r="A12" s="11" t="s">
        <v>62</v>
      </c>
      <c r="B12" s="11" t="s">
        <v>63</v>
      </c>
      <c r="C12" s="12">
        <f>SUM(C6:C11)</f>
        <v>1095</v>
      </c>
      <c r="D12" s="12">
        <f>SUM(D6:D11)</f>
        <v>1042</v>
      </c>
      <c r="E12" s="12">
        <f t="shared" si="0"/>
        <v>-53</v>
      </c>
      <c r="F12" s="12">
        <f>SUM(F6:F11)</f>
        <v>1450</v>
      </c>
      <c r="G12" s="12">
        <f>SUM(G6:G11)</f>
        <v>408</v>
      </c>
      <c r="H12" s="12">
        <f>SUM(H6:H11)</f>
        <v>265</v>
      </c>
      <c r="I12" s="13">
        <f t="shared" si="1"/>
        <v>0.2813793103448276</v>
      </c>
      <c r="J12" s="12">
        <f>SUM(J6:J11)</f>
        <v>923</v>
      </c>
      <c r="K12" s="12">
        <f>SUM(K6:K11)</f>
        <v>221</v>
      </c>
      <c r="L12" s="12">
        <f>SUM(L6:L11)</f>
        <v>102</v>
      </c>
      <c r="M12" s="21">
        <f t="shared" si="2"/>
        <v>982.5</v>
      </c>
      <c r="N12" s="13">
        <f t="shared" si="3"/>
        <v>0.10381679389312977</v>
      </c>
      <c r="O12" s="22">
        <f>SUMPRODUCT(D6:D11,O6:O11)/D12</f>
        <v>2.6975047984644913</v>
      </c>
      <c r="P12" s="12">
        <f>SUMPRODUCT(D6:D11,P6:P11)/D12</f>
        <v>1309163.1477927063</v>
      </c>
      <c r="Q12" s="22">
        <f>AVERAGEIF(Cleaned_Data!$P$2:$P$1451,"&gt;0")</f>
        <v>3.186619718309859</v>
      </c>
      <c r="R12" s="13">
        <f>SUMPRODUCT(D6:D11,R6:R11)/D12</f>
        <v>0.36468330134357008</v>
      </c>
    </row>
    <row r="15" spans="1:18" x14ac:dyDescent="0.45">
      <c r="A15" s="3" t="s">
        <v>64</v>
      </c>
    </row>
    <row r="16" spans="1:18" x14ac:dyDescent="0.45">
      <c r="A16" s="16" t="s">
        <v>65</v>
      </c>
      <c r="B16" s="16" t="s">
        <v>66</v>
      </c>
      <c r="C16" s="16" t="s">
        <v>67</v>
      </c>
      <c r="D16" s="16" t="s">
        <v>68</v>
      </c>
      <c r="E16" s="16" t="s">
        <v>69</v>
      </c>
      <c r="F16" s="16" t="s">
        <v>70</v>
      </c>
      <c r="G16" s="16" t="s">
        <v>71</v>
      </c>
      <c r="H16" s="16" t="s">
        <v>72</v>
      </c>
    </row>
    <row r="17" spans="1:10" x14ac:dyDescent="0.45">
      <c r="A17" s="8">
        <v>2019</v>
      </c>
      <c r="B17" s="9">
        <v>0</v>
      </c>
      <c r="C17" s="9">
        <f>COUNTIF(Cleaned_Data!$AB$2:$AB$1451,A17)</f>
        <v>87</v>
      </c>
      <c r="D17" s="9">
        <f>COUNTIF(Cleaned_Data!$AC$2:$AC$1451,A17)</f>
        <v>9</v>
      </c>
      <c r="E17" s="9">
        <f t="shared" ref="E17:E23" si="4">C17-D17</f>
        <v>78</v>
      </c>
      <c r="F17" s="9">
        <f t="shared" ref="F17:F23" si="5">B17+E17</f>
        <v>78</v>
      </c>
      <c r="G17" s="19">
        <f t="shared" ref="G17:G23" si="6">(B17+F17)/2</f>
        <v>39</v>
      </c>
      <c r="H17" s="10">
        <f t="shared" ref="H17:H23" si="7">IFERROR(D17/G17,0)</f>
        <v>0.23076923076923078</v>
      </c>
    </row>
    <row r="18" spans="1:10" x14ac:dyDescent="0.45">
      <c r="A18" s="5">
        <v>2020</v>
      </c>
      <c r="B18" s="6">
        <f t="shared" ref="B18:B23" si="8">F17</f>
        <v>78</v>
      </c>
      <c r="C18" s="6">
        <f>COUNTIF(Cleaned_Data!$AB$2:$AB$1451,A18)</f>
        <v>116</v>
      </c>
      <c r="D18" s="6">
        <f>COUNTIF(Cleaned_Data!$AC$2:$AC$1451,A18)</f>
        <v>22</v>
      </c>
      <c r="E18" s="6">
        <f t="shared" si="4"/>
        <v>94</v>
      </c>
      <c r="F18" s="6">
        <f t="shared" si="5"/>
        <v>172</v>
      </c>
      <c r="G18" s="17">
        <f t="shared" si="6"/>
        <v>125</v>
      </c>
      <c r="H18" s="7">
        <f t="shared" si="7"/>
        <v>0.17599999999999999</v>
      </c>
    </row>
    <row r="19" spans="1:10" x14ac:dyDescent="0.45">
      <c r="A19" s="8">
        <v>2021</v>
      </c>
      <c r="B19" s="9">
        <f t="shared" si="8"/>
        <v>172</v>
      </c>
      <c r="C19" s="9">
        <f>COUNTIF(Cleaned_Data!$AB$2:$AB$1451,A19)</f>
        <v>197</v>
      </c>
      <c r="D19" s="9">
        <f>COUNTIF(Cleaned_Data!$AC$2:$AC$1451,A19)</f>
        <v>37</v>
      </c>
      <c r="E19" s="9">
        <f t="shared" si="4"/>
        <v>160</v>
      </c>
      <c r="F19" s="9">
        <f t="shared" si="5"/>
        <v>332</v>
      </c>
      <c r="G19" s="19">
        <f t="shared" si="6"/>
        <v>252</v>
      </c>
      <c r="H19" s="10">
        <f t="shared" si="7"/>
        <v>0.14682539682539683</v>
      </c>
    </row>
    <row r="20" spans="1:10" x14ac:dyDescent="0.45">
      <c r="A20" s="5">
        <v>2022</v>
      </c>
      <c r="B20" s="6">
        <f t="shared" si="8"/>
        <v>332</v>
      </c>
      <c r="C20" s="6">
        <f>COUNTIF(Cleaned_Data!$AB$2:$AB$1451,A20)</f>
        <v>299</v>
      </c>
      <c r="D20" s="6">
        <f>COUNTIF(Cleaned_Data!$AC$2:$AC$1451,A20)</f>
        <v>72</v>
      </c>
      <c r="E20" s="6">
        <f t="shared" si="4"/>
        <v>227</v>
      </c>
      <c r="F20" s="6">
        <f t="shared" si="5"/>
        <v>559</v>
      </c>
      <c r="G20" s="17">
        <f t="shared" si="6"/>
        <v>445.5</v>
      </c>
      <c r="H20" s="7">
        <f t="shared" si="7"/>
        <v>0.16161616161616163</v>
      </c>
    </row>
    <row r="21" spans="1:10" x14ac:dyDescent="0.45">
      <c r="A21" s="8">
        <v>2023</v>
      </c>
      <c r="B21" s="9">
        <f t="shared" si="8"/>
        <v>559</v>
      </c>
      <c r="C21" s="9">
        <f>COUNTIF(Cleaned_Data!$AB$2:$AB$1451,A21)</f>
        <v>268</v>
      </c>
      <c r="D21" s="9">
        <f>COUNTIF(Cleaned_Data!$AC$2:$AC$1451,A21)</f>
        <v>82</v>
      </c>
      <c r="E21" s="9">
        <f t="shared" si="4"/>
        <v>186</v>
      </c>
      <c r="F21" s="9">
        <f t="shared" si="5"/>
        <v>745</v>
      </c>
      <c r="G21" s="19">
        <f t="shared" si="6"/>
        <v>652</v>
      </c>
      <c r="H21" s="10">
        <f t="shared" si="7"/>
        <v>0.12576687116564417</v>
      </c>
    </row>
    <row r="22" spans="1:10" x14ac:dyDescent="0.45">
      <c r="A22" s="5">
        <v>2024</v>
      </c>
      <c r="B22" s="6">
        <f t="shared" si="8"/>
        <v>745</v>
      </c>
      <c r="C22" s="6">
        <f>COUNTIF(Cleaned_Data!$AB$2:$AB$1451,A22)</f>
        <v>262</v>
      </c>
      <c r="D22" s="6">
        <f>COUNTIF(Cleaned_Data!$AC$2:$AC$1451,A22)</f>
        <v>84</v>
      </c>
      <c r="E22" s="6">
        <f t="shared" si="4"/>
        <v>178</v>
      </c>
      <c r="F22" s="6">
        <f t="shared" si="5"/>
        <v>923</v>
      </c>
      <c r="G22" s="17">
        <f t="shared" si="6"/>
        <v>834</v>
      </c>
      <c r="H22" s="7">
        <f t="shared" si="7"/>
        <v>0.10071942446043165</v>
      </c>
    </row>
    <row r="23" spans="1:10" x14ac:dyDescent="0.45">
      <c r="A23" s="8">
        <v>2025</v>
      </c>
      <c r="B23" s="9">
        <f t="shared" si="8"/>
        <v>923</v>
      </c>
      <c r="C23" s="9">
        <f>COUNTIF(Cleaned_Data!$AB$2:$AB$1451,A23)</f>
        <v>221</v>
      </c>
      <c r="D23" s="9">
        <f>COUNTIF(Cleaned_Data!$AC$2:$AC$1451,A23)</f>
        <v>102</v>
      </c>
      <c r="E23" s="9">
        <f t="shared" si="4"/>
        <v>119</v>
      </c>
      <c r="F23" s="9">
        <f t="shared" si="5"/>
        <v>1042</v>
      </c>
      <c r="G23" s="19">
        <f t="shared" si="6"/>
        <v>982.5</v>
      </c>
      <c r="H23" s="10">
        <f t="shared" si="7"/>
        <v>0.10381679389312977</v>
      </c>
    </row>
    <row r="26" spans="1:10" x14ac:dyDescent="0.45">
      <c r="A26" s="3" t="s">
        <v>73</v>
      </c>
    </row>
    <row r="27" spans="1:10" x14ac:dyDescent="0.45">
      <c r="A27" s="16" t="s">
        <v>74</v>
      </c>
      <c r="B27" s="16" t="s">
        <v>75</v>
      </c>
      <c r="C27" s="16" t="s">
        <v>76</v>
      </c>
      <c r="D27" s="16" t="s">
        <v>35</v>
      </c>
      <c r="E27" s="16" t="s">
        <v>77</v>
      </c>
      <c r="F27" s="16" t="s">
        <v>78</v>
      </c>
      <c r="G27" s="16" t="s">
        <v>47</v>
      </c>
      <c r="H27" s="16" t="s">
        <v>79</v>
      </c>
      <c r="I27" s="16" t="s">
        <v>80</v>
      </c>
      <c r="J27" s="16" t="s">
        <v>49</v>
      </c>
    </row>
    <row r="28" spans="1:10" x14ac:dyDescent="0.45">
      <c r="A28" s="5" t="s">
        <v>81</v>
      </c>
      <c r="B28" s="5" t="str">
        <f>INDEX(Employee_Lookups!$B$13:$B$17,MATCH(A28,Employee_Lookups!$A$13:$A$17,0))</f>
        <v>Associate / Analyst</v>
      </c>
      <c r="C28" s="5" t="str">
        <f>INDEX(Employee_Lookups!$C$13:$C$17,MATCH(A28,Employee_Lookups!$A$13:$A$17,0))</f>
        <v>Band A (Entry)</v>
      </c>
      <c r="D28" s="6">
        <f>COUNTIFS(Cleaned_Data!$F$2:$F$1451,A28,Cleaned_Data!$K$2:$K$1451,"Active")</f>
        <v>382</v>
      </c>
      <c r="E28" s="6">
        <f>COUNTIFS(Cleaned_Data!$F$2:$F$1451,A28,Cleaned_Data!$K$2:$K$1451,"&lt;&gt;Active")</f>
        <v>205</v>
      </c>
      <c r="F28" s="7">
        <f>IFERROR(E28/(D28+E28),0)</f>
        <v>0.34923339011925042</v>
      </c>
      <c r="G28" s="6">
        <f>AVERAGEIFS(Cleaned_Data!$O$2:$O$1451,Cleaned_Data!$F$2:$F$1451,A28,Cleaned_Data!$K$2:$K$1451,"Active")</f>
        <v>701335.0785340314</v>
      </c>
      <c r="H28" s="6">
        <f>VLOOKUP(A28,Employee_Lookups!$A$13:$G$17,5,FALSE())</f>
        <v>700000</v>
      </c>
      <c r="I28" s="18">
        <f>IFERROR(G28/H28,0)</f>
        <v>1.0019072550486163</v>
      </c>
      <c r="J28" s="7">
        <f>IFERROR(COUNTIFS(Cleaned_Data!$F$2:$F$1451,A28,Cleaned_Data!$K$2:$K$1451,"Active",Cleaned_Data!$Q$2:$Q$1451,"Yes")/D28,0)</f>
        <v>0.36387434554973824</v>
      </c>
    </row>
    <row r="29" spans="1:10" x14ac:dyDescent="0.45">
      <c r="A29" s="8" t="s">
        <v>82</v>
      </c>
      <c r="B29" s="8" t="str">
        <f>INDEX(Employee_Lookups!$B$13:$B$17,MATCH(A29,Employee_Lookups!$A$13:$A$17,0))</f>
        <v>Specialist / Sr. Analyst</v>
      </c>
      <c r="C29" s="8" t="str">
        <f>INDEX(Employee_Lookups!$C$13:$C$17,MATCH(A29,Employee_Lookups!$A$13:$A$17,0))</f>
        <v>Band B (Mid)</v>
      </c>
      <c r="D29" s="9">
        <f>COUNTIFS(Cleaned_Data!$F$2:$F$1451,A29,Cleaned_Data!$K$2:$K$1451,"Active")</f>
        <v>378</v>
      </c>
      <c r="E29" s="9">
        <f>COUNTIFS(Cleaned_Data!$F$2:$F$1451,A29,Cleaned_Data!$K$2:$K$1451,"&lt;&gt;Active")</f>
        <v>124</v>
      </c>
      <c r="F29" s="10">
        <f>IFERROR(E29/(D29+E29),0)</f>
        <v>0.24701195219123506</v>
      </c>
      <c r="G29" s="9">
        <f>AVERAGEIFS(Cleaned_Data!$O$2:$O$1451,Cleaned_Data!$F$2:$F$1451,A29,Cleaned_Data!$K$2:$K$1451,"Active")</f>
        <v>1111518.5185185184</v>
      </c>
      <c r="H29" s="9">
        <f>VLOOKUP(A29,Employee_Lookups!$A$13:$G$17,5,FALSE())</f>
        <v>1100000</v>
      </c>
      <c r="I29" s="20">
        <f>IFERROR(G29/H29,0)</f>
        <v>1.0104713804713803</v>
      </c>
      <c r="J29" s="10">
        <f>IFERROR(COUNTIFS(Cleaned_Data!$F$2:$F$1451,A29,Cleaned_Data!$K$2:$K$1451,"Active",Cleaned_Data!$Q$2:$Q$1451,"Yes")/D29,0)</f>
        <v>0.38095238095238093</v>
      </c>
    </row>
    <row r="30" spans="1:10" x14ac:dyDescent="0.45">
      <c r="A30" s="5" t="s">
        <v>83</v>
      </c>
      <c r="B30" s="5" t="str">
        <f>INDEX(Employee_Lookups!$B$13:$B$17,MATCH(A30,Employee_Lookups!$A$13:$A$17,0))</f>
        <v>Lead / Manager</v>
      </c>
      <c r="C30" s="5" t="str">
        <f>INDEX(Employee_Lookups!$C$13:$C$17,MATCH(A30,Employee_Lookups!$A$13:$A$17,0))</f>
        <v>Band C (Senior)</v>
      </c>
      <c r="D30" s="6">
        <f>COUNTIFS(Cleaned_Data!$F$2:$F$1451,A30,Cleaned_Data!$K$2:$K$1451,"Active")</f>
        <v>155</v>
      </c>
      <c r="E30" s="6">
        <f>COUNTIFS(Cleaned_Data!$F$2:$F$1451,A30,Cleaned_Data!$K$2:$K$1451,"&lt;&gt;Active")</f>
        <v>52</v>
      </c>
      <c r="F30" s="7">
        <f>IFERROR(E30/(D30+E30),0)</f>
        <v>0.25120772946859904</v>
      </c>
      <c r="G30" s="6">
        <f>AVERAGEIFS(Cleaned_Data!$O$2:$O$1451,Cleaned_Data!$F$2:$F$1451,A30,Cleaned_Data!$K$2:$K$1451,"Active")</f>
        <v>1729412.9032258065</v>
      </c>
      <c r="H30" s="6">
        <f>VLOOKUP(A30,Employee_Lookups!$A$13:$G$17,5,FALSE())</f>
        <v>1725000</v>
      </c>
      <c r="I30" s="18">
        <f>IFERROR(G30/H30,0)</f>
        <v>1.0025582047685835</v>
      </c>
      <c r="J30" s="7">
        <f>IFERROR(COUNTIFS(Cleaned_Data!$F$2:$F$1451,A30,Cleaned_Data!$K$2:$K$1451,"Active",Cleaned_Data!$Q$2:$Q$1451,"Yes")/D30,0)</f>
        <v>0.3935483870967742</v>
      </c>
    </row>
    <row r="31" spans="1:10" x14ac:dyDescent="0.45">
      <c r="A31" s="8" t="s">
        <v>84</v>
      </c>
      <c r="B31" s="8" t="str">
        <f>INDEX(Employee_Lookups!$B$13:$B$17,MATCH(A31,Employee_Lookups!$A$13:$A$17,0))</f>
        <v>Director / Principal</v>
      </c>
      <c r="C31" s="8" t="str">
        <f>INDEX(Employee_Lookups!$C$13:$C$17,MATCH(A31,Employee_Lookups!$A$13:$A$17,0))</f>
        <v>Band D (Leadership)</v>
      </c>
      <c r="D31" s="9">
        <f>COUNTIFS(Cleaned_Data!$F$2:$F$1451,A31,Cleaned_Data!$K$2:$K$1451,"Active")</f>
        <v>90</v>
      </c>
      <c r="E31" s="9">
        <f>COUNTIFS(Cleaned_Data!$F$2:$F$1451,A31,Cleaned_Data!$K$2:$K$1451,"&lt;&gt;Active")</f>
        <v>17</v>
      </c>
      <c r="F31" s="10">
        <f>IFERROR(E31/(D31+E31),0)</f>
        <v>0.15887850467289719</v>
      </c>
      <c r="G31" s="9">
        <f>AVERAGEIFS(Cleaned_Data!$O$2:$O$1451,Cleaned_Data!$F$2:$F$1451,A31,Cleaned_Data!$K$2:$K$1451,"Active")</f>
        <v>2793100</v>
      </c>
      <c r="H31" s="9">
        <f>VLOOKUP(A31,Employee_Lookups!$A$13:$G$17,5,FALSE())</f>
        <v>2750000</v>
      </c>
      <c r="I31" s="20">
        <f>IFERROR(G31/H31,0)</f>
        <v>1.0156727272727273</v>
      </c>
      <c r="J31" s="10">
        <f>IFERROR(COUNTIFS(Cleaned_Data!$F$2:$F$1451,A31,Cleaned_Data!$K$2:$K$1451,"Active",Cleaned_Data!$Q$2:$Q$1451,"Yes")/D31,0)</f>
        <v>0.28888888888888886</v>
      </c>
    </row>
    <row r="32" spans="1:10" x14ac:dyDescent="0.45">
      <c r="A32" s="5" t="s">
        <v>85</v>
      </c>
      <c r="B32" s="5" t="str">
        <f>INDEX(Employee_Lookups!$B$13:$B$17,MATCH(A32,Employee_Lookups!$A$13:$A$17,0))</f>
        <v>VP / Executive</v>
      </c>
      <c r="C32" s="5" t="str">
        <f>INDEX(Employee_Lookups!$C$13:$C$17,MATCH(A32,Employee_Lookups!$A$13:$A$17,0))</f>
        <v>Band E (Executive)</v>
      </c>
      <c r="D32" s="6">
        <f>COUNTIFS(Cleaned_Data!$F$2:$F$1451,A32,Cleaned_Data!$K$2:$K$1451,"Active")</f>
        <v>37</v>
      </c>
      <c r="E32" s="6">
        <f>COUNTIFS(Cleaned_Data!$F$2:$F$1451,A32,Cleaned_Data!$K$2:$K$1451,"&lt;&gt;Active")</f>
        <v>10</v>
      </c>
      <c r="F32" s="7">
        <f>IFERROR(E32/(D32+E32),0)</f>
        <v>0.21276595744680851</v>
      </c>
      <c r="G32" s="6">
        <f>AVERAGEIFS(Cleaned_Data!$O$2:$O$1451,Cleaned_Data!$F$2:$F$1451,A32,Cleaned_Data!$K$2:$K$1451,"Active")</f>
        <v>4233675.6756756753</v>
      </c>
      <c r="H32" s="6">
        <f>VLOOKUP(A32,Employee_Lookups!$A$13:$G$17,5,FALSE())</f>
        <v>4300000</v>
      </c>
      <c r="I32" s="18">
        <f>IFERROR(G32/H32,0)</f>
        <v>0.98457573852922686</v>
      </c>
      <c r="J32" s="7">
        <f>IFERROR(COUNTIFS(Cleaned_Data!$F$2:$F$1451,A32,Cleaned_Data!$K$2:$K$1451,"Active",Cleaned_Data!$Q$2:$Q$1451,"Yes")/D32,0)</f>
        <v>0.27027027027027029</v>
      </c>
    </row>
    <row r="35" spans="1:10" x14ac:dyDescent="0.45">
      <c r="A35" s="3" t="s">
        <v>86</v>
      </c>
    </row>
    <row r="36" spans="1:10" x14ac:dyDescent="0.45">
      <c r="A36" s="16" t="s">
        <v>87</v>
      </c>
      <c r="B36" s="16" t="s">
        <v>88</v>
      </c>
      <c r="C36" s="16" t="s">
        <v>89</v>
      </c>
      <c r="D36" s="16" t="s">
        <v>90</v>
      </c>
      <c r="E36" s="16" t="s">
        <v>68</v>
      </c>
      <c r="F36" s="16" t="s">
        <v>91</v>
      </c>
      <c r="G36" s="16" t="s">
        <v>92</v>
      </c>
      <c r="H36" s="16" t="s">
        <v>93</v>
      </c>
      <c r="I36" s="16" t="s">
        <v>48</v>
      </c>
      <c r="J36" s="16" t="s">
        <v>94</v>
      </c>
    </row>
    <row r="37" spans="1:10" x14ac:dyDescent="0.45">
      <c r="A37" s="8" t="s">
        <v>95</v>
      </c>
      <c r="B37" s="9">
        <f>COUNTIF(Cleaned_Data!$N$2:$N$1451,A37)</f>
        <v>243</v>
      </c>
      <c r="C37" s="10">
        <f>B37/$B$42</f>
        <v>0.16758620689655174</v>
      </c>
      <c r="D37" s="9">
        <f>COUNTIFS(Cleaned_Data!$N$2:$N$1451,A37,Cleaned_Data!$K$2:$K$1451,"Active")</f>
        <v>181</v>
      </c>
      <c r="E37" s="9">
        <f>COUNTIFS(Cleaned_Data!$N$2:$N$1451,A37,Cleaned_Data!$K$2:$K$1451,"&lt;&gt;Active")</f>
        <v>62</v>
      </c>
      <c r="F37" s="9">
        <f>COUNTIFS(Cleaned_Data!$N$2:$N$1451,A37,Cleaned_Data!$K$2:$K$1451,"&lt;&gt;Active",Cleaned_Data!$AD$2:$AD$1451,"&lt;1")</f>
        <v>32</v>
      </c>
      <c r="G37" s="10">
        <f t="shared" ref="G37:G42" si="9">IFERROR(E37/B37,0)</f>
        <v>0.2551440329218107</v>
      </c>
      <c r="H37" s="10">
        <f t="shared" ref="H37:H42" si="10">IFERROR(F37/B37,0)</f>
        <v>0.13168724279835392</v>
      </c>
      <c r="I37" s="20">
        <f>AVERAGEIFS(Cleaned_Data!$P$2:$P$1451,Cleaned_Data!$N$2:$N$1451,A37,Cleaned_Data!$P$2:$P$1451,"&gt;0")</f>
        <v>3.134453781512605</v>
      </c>
      <c r="J37" s="9">
        <f>VLOOKUP(A37,Employee_Lookups!$A$21:$C$25,2,FALSE())</f>
        <v>35000</v>
      </c>
    </row>
    <row r="38" spans="1:10" x14ac:dyDescent="0.45">
      <c r="A38" s="5" t="s">
        <v>96</v>
      </c>
      <c r="B38" s="6">
        <f>COUNTIF(Cleaned_Data!$N$2:$N$1451,A38)</f>
        <v>240</v>
      </c>
      <c r="C38" s="7">
        <f>B38/$B$42</f>
        <v>0.16551724137931034</v>
      </c>
      <c r="D38" s="6">
        <f>COUNTIFS(Cleaned_Data!$N$2:$N$1451,A38,Cleaned_Data!$K$2:$K$1451,"Active")</f>
        <v>177</v>
      </c>
      <c r="E38" s="6">
        <f>COUNTIFS(Cleaned_Data!$N$2:$N$1451,A38,Cleaned_Data!$K$2:$K$1451,"&lt;&gt;Active")</f>
        <v>63</v>
      </c>
      <c r="F38" s="6">
        <f>COUNTIFS(Cleaned_Data!$N$2:$N$1451,A38,Cleaned_Data!$K$2:$K$1451,"&lt;&gt;Active",Cleaned_Data!$AD$2:$AD$1451,"&lt;1")</f>
        <v>45</v>
      </c>
      <c r="G38" s="7">
        <f t="shared" si="9"/>
        <v>0.26250000000000001</v>
      </c>
      <c r="H38" s="7">
        <f t="shared" si="10"/>
        <v>0.1875</v>
      </c>
      <c r="I38" s="18">
        <f>AVERAGEIFS(Cleaned_Data!$P$2:$P$1451,Cleaned_Data!$N$2:$N$1451,A38,Cleaned_Data!$P$2:$P$1451,"&gt;0")</f>
        <v>3.2863247863247862</v>
      </c>
      <c r="J38" s="6">
        <f>VLOOKUP(A38,Employee_Lookups!$A$21:$C$25,2,FALSE())</f>
        <v>22000</v>
      </c>
    </row>
    <row r="39" spans="1:10" x14ac:dyDescent="0.45">
      <c r="A39" s="8" t="s">
        <v>97</v>
      </c>
      <c r="B39" s="9">
        <f>COUNTIF(Cleaned_Data!$N$2:$N$1451,A39)</f>
        <v>310</v>
      </c>
      <c r="C39" s="10">
        <f>B39/$B$42</f>
        <v>0.21379310344827587</v>
      </c>
      <c r="D39" s="9">
        <f>COUNTIFS(Cleaned_Data!$N$2:$N$1451,A39,Cleaned_Data!$K$2:$K$1451,"Active")</f>
        <v>248</v>
      </c>
      <c r="E39" s="9">
        <f>COUNTIFS(Cleaned_Data!$N$2:$N$1451,A39,Cleaned_Data!$K$2:$K$1451,"&lt;&gt;Active")</f>
        <v>62</v>
      </c>
      <c r="F39" s="9">
        <f>COUNTIFS(Cleaned_Data!$N$2:$N$1451,A39,Cleaned_Data!$K$2:$K$1451,"&lt;&gt;Active",Cleaned_Data!$AD$2:$AD$1451,"&lt;1")</f>
        <v>46</v>
      </c>
      <c r="G39" s="10">
        <f t="shared" si="9"/>
        <v>0.2</v>
      </c>
      <c r="H39" s="10">
        <f t="shared" si="10"/>
        <v>0.14838709677419354</v>
      </c>
      <c r="I39" s="20">
        <f>AVERAGEIFS(Cleaned_Data!$P$2:$P$1451,Cleaned_Data!$N$2:$N$1451,A39,Cleaned_Data!$P$2:$P$1451,"&gt;0")</f>
        <v>3.1901639344262294</v>
      </c>
      <c r="J39" s="9">
        <f>VLOOKUP(A39,Employee_Lookups!$A$21:$C$25,2,FALSE())</f>
        <v>42000</v>
      </c>
    </row>
    <row r="40" spans="1:10" x14ac:dyDescent="0.45">
      <c r="A40" s="5" t="s">
        <v>98</v>
      </c>
      <c r="B40" s="6">
        <f>COUNTIF(Cleaned_Data!$N$2:$N$1451,A40)</f>
        <v>198</v>
      </c>
      <c r="C40" s="7">
        <f>B40/$B$42</f>
        <v>0.13655172413793104</v>
      </c>
      <c r="D40" s="6">
        <f>COUNTIFS(Cleaned_Data!$N$2:$N$1451,A40,Cleaned_Data!$K$2:$K$1451,"Active")</f>
        <v>118</v>
      </c>
      <c r="E40" s="6">
        <f>COUNTIFS(Cleaned_Data!$N$2:$N$1451,A40,Cleaned_Data!$K$2:$K$1451,"&lt;&gt;Active")</f>
        <v>80</v>
      </c>
      <c r="F40" s="6">
        <f>COUNTIFS(Cleaned_Data!$N$2:$N$1451,A40,Cleaned_Data!$K$2:$K$1451,"&lt;&gt;Active",Cleaned_Data!$AD$2:$AD$1451,"&lt;1")</f>
        <v>43</v>
      </c>
      <c r="G40" s="7">
        <f t="shared" si="9"/>
        <v>0.40404040404040403</v>
      </c>
      <c r="H40" s="7">
        <f t="shared" si="10"/>
        <v>0.21717171717171718</v>
      </c>
      <c r="I40" s="18">
        <f>AVERAGEIFS(Cleaned_Data!$P$2:$P$1451,Cleaned_Data!$N$2:$N$1451,A40,Cleaned_Data!$P$2:$P$1451,"&gt;0")</f>
        <v>3.1435897435897435</v>
      </c>
      <c r="J40" s="6">
        <f>VLOOKUP(A40,Employee_Lookups!$A$21:$C$25,2,FALSE())</f>
        <v>145000</v>
      </c>
    </row>
    <row r="41" spans="1:10" x14ac:dyDescent="0.45">
      <c r="A41" s="8" t="s">
        <v>99</v>
      </c>
      <c r="B41" s="9">
        <f>COUNTIF(Cleaned_Data!$N$2:$N$1451,A41)</f>
        <v>459</v>
      </c>
      <c r="C41" s="10">
        <f>B41/$B$42</f>
        <v>0.31655172413793103</v>
      </c>
      <c r="D41" s="9">
        <f>COUNTIFS(Cleaned_Data!$N$2:$N$1451,A41,Cleaned_Data!$K$2:$K$1451,"Active")</f>
        <v>318</v>
      </c>
      <c r="E41" s="9">
        <f>COUNTIFS(Cleaned_Data!$N$2:$N$1451,A41,Cleaned_Data!$K$2:$K$1451,"&lt;&gt;Active")</f>
        <v>141</v>
      </c>
      <c r="F41" s="9">
        <f>COUNTIFS(Cleaned_Data!$N$2:$N$1451,A41,Cleaned_Data!$K$2:$K$1451,"&lt;&gt;Active",Cleaned_Data!$AD$2:$AD$1451,"&lt;1")</f>
        <v>95</v>
      </c>
      <c r="G41" s="10">
        <f t="shared" si="9"/>
        <v>0.30718954248366015</v>
      </c>
      <c r="H41" s="10">
        <f t="shared" si="10"/>
        <v>0.20697167755991286</v>
      </c>
      <c r="I41" s="20">
        <f>AVERAGEIFS(Cleaned_Data!$P$2:$P$1451,Cleaned_Data!$N$2:$N$1451,A41,Cleaned_Data!$P$2:$P$1451,"&gt;0")</f>
        <v>3.1785714285714284</v>
      </c>
      <c r="J41" s="9">
        <f>VLOOKUP(A41,Employee_Lookups!$A$21:$C$25,2,FALSE())</f>
        <v>68000</v>
      </c>
    </row>
    <row r="42" spans="1:10" x14ac:dyDescent="0.45">
      <c r="A42" s="11" t="s">
        <v>100</v>
      </c>
      <c r="B42" s="12">
        <f>SUM(B37:B41)</f>
        <v>1450</v>
      </c>
      <c r="C42" s="13">
        <f>SUM(C37:C41)</f>
        <v>1</v>
      </c>
      <c r="D42" s="12">
        <f>SUM(D37:D41)</f>
        <v>1042</v>
      </c>
      <c r="E42" s="12">
        <f>SUM(E37:E41)</f>
        <v>408</v>
      </c>
      <c r="F42" s="12">
        <f>SUM(F37:F41)</f>
        <v>261</v>
      </c>
      <c r="G42" s="13">
        <f t="shared" si="9"/>
        <v>0.2813793103448276</v>
      </c>
      <c r="H42" s="13">
        <f t="shared" si="10"/>
        <v>0.18</v>
      </c>
      <c r="I42" s="22">
        <f>SUMPRODUCT(B37:B41,I37:I41)/B42</f>
        <v>3.1867145463742745</v>
      </c>
      <c r="J42" s="12">
        <f>SUMPRODUCT(B37:B41,J37:J41)/B42</f>
        <v>59811.724137931036</v>
      </c>
    </row>
    <row r="45" spans="1:10" x14ac:dyDescent="0.45">
      <c r="A45" s="3" t="s">
        <v>101</v>
      </c>
    </row>
    <row r="46" spans="1:10" x14ac:dyDescent="0.45">
      <c r="A46" s="16" t="s">
        <v>102</v>
      </c>
      <c r="B46" s="16" t="s">
        <v>103</v>
      </c>
      <c r="C46" s="16" t="s">
        <v>35</v>
      </c>
      <c r="D46" s="16" t="s">
        <v>104</v>
      </c>
      <c r="E46" s="16" t="s">
        <v>68</v>
      </c>
      <c r="F46" s="16" t="s">
        <v>78</v>
      </c>
      <c r="G46" s="16" t="s">
        <v>105</v>
      </c>
    </row>
    <row r="47" spans="1:10" x14ac:dyDescent="0.45">
      <c r="A47" s="8" t="s">
        <v>106</v>
      </c>
      <c r="B47" s="8" t="s">
        <v>107</v>
      </c>
      <c r="C47" s="9">
        <f>COUNTIFS(Cleaned_Data!$H$2:$H$1451,A47,Cleaned_Data!$K$2:$K$1451,"Active")</f>
        <v>426</v>
      </c>
      <c r="D47" s="10">
        <f>C47/$C$52</f>
        <v>0.40882917466410751</v>
      </c>
      <c r="E47" s="9">
        <f>COUNTIFS(Cleaned_Data!$H$2:$H$1451,A47,Cleaned_Data!$K$2:$K$1451,"&lt;&gt;Active")</f>
        <v>177</v>
      </c>
      <c r="F47" s="10">
        <f t="shared" ref="F47:F52" si="11">IFERROR(E47/(C47+E47),0)</f>
        <v>0.29353233830845771</v>
      </c>
      <c r="G47" s="9">
        <f>SUMIFS(Cleaned_Data!$O$2:$O$1451,Cleaned_Data!$H$2:$H$1451,A47,Cleaned_Data!$K$2:$K$1451,"Active")</f>
        <v>565018000</v>
      </c>
    </row>
    <row r="48" spans="1:10" x14ac:dyDescent="0.45">
      <c r="A48" s="5" t="s">
        <v>108</v>
      </c>
      <c r="B48" s="5" t="s">
        <v>107</v>
      </c>
      <c r="C48" s="6">
        <f>COUNTIFS(Cleaned_Data!$H$2:$H$1451,A48,Cleaned_Data!$K$2:$K$1451,"Active")</f>
        <v>261</v>
      </c>
      <c r="D48" s="7">
        <f>C48/$C$52</f>
        <v>0.25047984644913629</v>
      </c>
      <c r="E48" s="6">
        <f>COUNTIFS(Cleaned_Data!$H$2:$H$1451,A48,Cleaned_Data!$K$2:$K$1451,"&lt;&gt;Active")</f>
        <v>120</v>
      </c>
      <c r="F48" s="7">
        <f t="shared" si="11"/>
        <v>0.31496062992125984</v>
      </c>
      <c r="G48" s="6">
        <f>SUMIFS(Cleaned_Data!$O$2:$O$1451,Cleaned_Data!$H$2:$H$1451,A48,Cleaned_Data!$K$2:$K$1451,"Active")</f>
        <v>343335000</v>
      </c>
    </row>
    <row r="49" spans="1:7" x14ac:dyDescent="0.45">
      <c r="A49" s="8" t="s">
        <v>109</v>
      </c>
      <c r="B49" s="8" t="s">
        <v>110</v>
      </c>
      <c r="C49" s="9">
        <f>COUNTIFS(Cleaned_Data!$H$2:$H$1451,A49,Cleaned_Data!$K$2:$K$1451,"Active")</f>
        <v>195</v>
      </c>
      <c r="D49" s="10">
        <f>C49/$C$52</f>
        <v>0.1871401151631478</v>
      </c>
      <c r="E49" s="9">
        <f>COUNTIFS(Cleaned_Data!$H$2:$H$1451,A49,Cleaned_Data!$K$2:$K$1451,"&lt;&gt;Active")</f>
        <v>68</v>
      </c>
      <c r="F49" s="10">
        <f t="shared" si="11"/>
        <v>0.2585551330798479</v>
      </c>
      <c r="G49" s="9">
        <f>SUMIFS(Cleaned_Data!$O$2:$O$1451,Cleaned_Data!$H$2:$H$1451,A49,Cleaned_Data!$K$2:$K$1451,"Active")</f>
        <v>257750000</v>
      </c>
    </row>
    <row r="50" spans="1:7" x14ac:dyDescent="0.45">
      <c r="A50" s="5" t="s">
        <v>111</v>
      </c>
      <c r="B50" s="5" t="s">
        <v>110</v>
      </c>
      <c r="C50" s="6">
        <f>COUNTIFS(Cleaned_Data!$H$2:$H$1451,A50,Cleaned_Data!$K$2:$K$1451,"Active")</f>
        <v>100</v>
      </c>
      <c r="D50" s="7">
        <f>C50/$C$52</f>
        <v>9.5969289827255277E-2</v>
      </c>
      <c r="E50" s="6">
        <f>COUNTIFS(Cleaned_Data!$H$2:$H$1451,A50,Cleaned_Data!$K$2:$K$1451,"&lt;&gt;Active")</f>
        <v>33</v>
      </c>
      <c r="F50" s="7">
        <f t="shared" si="11"/>
        <v>0.24812030075187969</v>
      </c>
      <c r="G50" s="6">
        <f>SUMIFS(Cleaned_Data!$O$2:$O$1451,Cleaned_Data!$H$2:$H$1451,A50,Cleaned_Data!$K$2:$K$1451,"Active")</f>
        <v>120446000</v>
      </c>
    </row>
    <row r="51" spans="1:7" x14ac:dyDescent="0.45">
      <c r="A51" s="8" t="s">
        <v>112</v>
      </c>
      <c r="B51" s="8" t="s">
        <v>113</v>
      </c>
      <c r="C51" s="9">
        <f>COUNTIFS(Cleaned_Data!$H$2:$H$1451,A51,Cleaned_Data!$K$2:$K$1451,"Active")</f>
        <v>60</v>
      </c>
      <c r="D51" s="10">
        <f>C51/$C$52</f>
        <v>5.7581573896353169E-2</v>
      </c>
      <c r="E51" s="9">
        <f>COUNTIFS(Cleaned_Data!$H$2:$H$1451,A51,Cleaned_Data!$K$2:$K$1451,"&lt;&gt;Active")</f>
        <v>10</v>
      </c>
      <c r="F51" s="10">
        <f t="shared" si="11"/>
        <v>0.14285714285714285</v>
      </c>
      <c r="G51" s="9">
        <f>SUMIFS(Cleaned_Data!$O$2:$O$1451,Cleaned_Data!$H$2:$H$1451,A51,Cleaned_Data!$K$2:$K$1451,"Active")</f>
        <v>77599000</v>
      </c>
    </row>
    <row r="52" spans="1:7" x14ac:dyDescent="0.45">
      <c r="A52" s="11" t="s">
        <v>114</v>
      </c>
      <c r="B52" s="11" t="s">
        <v>115</v>
      </c>
      <c r="C52" s="12">
        <f>SUM(C47:C51)</f>
        <v>1042</v>
      </c>
      <c r="D52" s="13">
        <f>SUM(D47:D51)</f>
        <v>1</v>
      </c>
      <c r="E52" s="12">
        <f>SUM(E47:E51)</f>
        <v>408</v>
      </c>
      <c r="F52" s="13">
        <f t="shared" si="11"/>
        <v>0.2813793103448276</v>
      </c>
      <c r="G52" s="12">
        <f>SUM(G47:G51)</f>
        <v>1364148000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="45" zoomScaleNormal="45" workbookViewId="0"/>
  </sheetViews>
  <sheetFormatPr defaultColWidth="8.6640625" defaultRowHeight="14.25" customHeight="1" x14ac:dyDescent="0.45"/>
  <cols>
    <col min="1" max="1" width="28" customWidth="1"/>
    <col min="2" max="8" width="25" customWidth="1"/>
  </cols>
  <sheetData>
    <row r="1" spans="1:7" ht="16.5" customHeight="1" x14ac:dyDescent="0.5">
      <c r="A1" s="14" t="s">
        <v>116</v>
      </c>
    </row>
    <row r="2" spans="1:7" x14ac:dyDescent="0.45">
      <c r="A2" s="15" t="s">
        <v>117</v>
      </c>
    </row>
    <row r="4" spans="1:7" x14ac:dyDescent="0.45">
      <c r="A4" s="3" t="s">
        <v>118</v>
      </c>
    </row>
    <row r="5" spans="1:7" x14ac:dyDescent="0.45">
      <c r="A5" s="16" t="s">
        <v>14</v>
      </c>
      <c r="B5" s="16" t="s">
        <v>81</v>
      </c>
      <c r="C5" s="16" t="s">
        <v>82</v>
      </c>
      <c r="D5" s="16" t="s">
        <v>83</v>
      </c>
      <c r="E5" s="16" t="s">
        <v>84</v>
      </c>
      <c r="F5" s="16" t="s">
        <v>85</v>
      </c>
      <c r="G5" s="16" t="s">
        <v>119</v>
      </c>
    </row>
    <row r="6" spans="1:7" x14ac:dyDescent="0.45">
      <c r="A6" s="5" t="s">
        <v>50</v>
      </c>
      <c r="B6" s="6">
        <f>COUNTIFS(Cleaned_Data!$D$2:$D$1451,$A6,Cleaned_Data!$F$2:$F$1451,B$5,Cleaned_Data!$K$2:$K$1451,"Active")</f>
        <v>141</v>
      </c>
      <c r="C6" s="6">
        <f>COUNTIFS(Cleaned_Data!$D$2:$D$1451,$A6,Cleaned_Data!$F$2:$F$1451,C$5,Cleaned_Data!$K$2:$K$1451,"Active")</f>
        <v>131</v>
      </c>
      <c r="D6" s="6">
        <f>COUNTIFS(Cleaned_Data!$D$2:$D$1451,$A6,Cleaned_Data!$F$2:$F$1451,D$5,Cleaned_Data!$K$2:$K$1451,"Active")</f>
        <v>51</v>
      </c>
      <c r="E6" s="6">
        <f>COUNTIFS(Cleaned_Data!$D$2:$D$1451,$A6,Cleaned_Data!$F$2:$F$1451,E$5,Cleaned_Data!$K$2:$K$1451,"Active")</f>
        <v>28</v>
      </c>
      <c r="F6" s="6">
        <f>COUNTIFS(Cleaned_Data!$D$2:$D$1451,$A6,Cleaned_Data!$F$2:$F$1451,F$5,Cleaned_Data!$K$2:$K$1451,"Active")</f>
        <v>15</v>
      </c>
      <c r="G6" s="23">
        <f t="shared" ref="G6:G11" si="0">SUM(B6:F6)</f>
        <v>366</v>
      </c>
    </row>
    <row r="7" spans="1:7" x14ac:dyDescent="0.45">
      <c r="A7" s="8" t="s">
        <v>52</v>
      </c>
      <c r="B7" s="9">
        <f>COUNTIFS(Cleaned_Data!$D$2:$D$1451,$A7,Cleaned_Data!$F$2:$F$1451,B$5,Cleaned_Data!$K$2:$K$1451,"Active")</f>
        <v>75</v>
      </c>
      <c r="C7" s="9">
        <f>COUNTIFS(Cleaned_Data!$D$2:$D$1451,$A7,Cleaned_Data!$F$2:$F$1451,C$5,Cleaned_Data!$K$2:$K$1451,"Active")</f>
        <v>72</v>
      </c>
      <c r="D7" s="9">
        <f>COUNTIFS(Cleaned_Data!$D$2:$D$1451,$A7,Cleaned_Data!$F$2:$F$1451,D$5,Cleaned_Data!$K$2:$K$1451,"Active")</f>
        <v>31</v>
      </c>
      <c r="E7" s="9">
        <f>COUNTIFS(Cleaned_Data!$D$2:$D$1451,$A7,Cleaned_Data!$F$2:$F$1451,E$5,Cleaned_Data!$K$2:$K$1451,"Active")</f>
        <v>16</v>
      </c>
      <c r="F7" s="9">
        <f>COUNTIFS(Cleaned_Data!$D$2:$D$1451,$A7,Cleaned_Data!$F$2:$F$1451,F$5,Cleaned_Data!$K$2:$K$1451,"Active")</f>
        <v>7</v>
      </c>
      <c r="G7" s="24">
        <f t="shared" si="0"/>
        <v>201</v>
      </c>
    </row>
    <row r="8" spans="1:7" x14ac:dyDescent="0.45">
      <c r="A8" s="5" t="s">
        <v>54</v>
      </c>
      <c r="B8" s="6">
        <f>COUNTIFS(Cleaned_Data!$D$2:$D$1451,$A8,Cleaned_Data!$F$2:$F$1451,B$5,Cleaned_Data!$K$2:$K$1451,"Active")</f>
        <v>48</v>
      </c>
      <c r="C8" s="6">
        <f>COUNTIFS(Cleaned_Data!$D$2:$D$1451,$A8,Cleaned_Data!$F$2:$F$1451,C$5,Cleaned_Data!$K$2:$K$1451,"Active")</f>
        <v>67</v>
      </c>
      <c r="D8" s="6">
        <f>COUNTIFS(Cleaned_Data!$D$2:$D$1451,$A8,Cleaned_Data!$F$2:$F$1451,D$5,Cleaned_Data!$K$2:$K$1451,"Active")</f>
        <v>32</v>
      </c>
      <c r="E8" s="6">
        <f>COUNTIFS(Cleaned_Data!$D$2:$D$1451,$A8,Cleaned_Data!$F$2:$F$1451,E$5,Cleaned_Data!$K$2:$K$1451,"Active")</f>
        <v>15</v>
      </c>
      <c r="F8" s="6">
        <f>COUNTIFS(Cleaned_Data!$D$2:$D$1451,$A8,Cleaned_Data!$F$2:$F$1451,F$5,Cleaned_Data!$K$2:$K$1451,"Active")</f>
        <v>6</v>
      </c>
      <c r="G8" s="23">
        <f t="shared" si="0"/>
        <v>168</v>
      </c>
    </row>
    <row r="9" spans="1:7" x14ac:dyDescent="0.45">
      <c r="A9" s="8" t="s">
        <v>56</v>
      </c>
      <c r="B9" s="9">
        <f>COUNTIFS(Cleaned_Data!$D$2:$D$1451,$A9,Cleaned_Data!$F$2:$F$1451,B$5,Cleaned_Data!$K$2:$K$1451,"Active")</f>
        <v>47</v>
      </c>
      <c r="C9" s="9">
        <f>COUNTIFS(Cleaned_Data!$D$2:$D$1451,$A9,Cleaned_Data!$F$2:$F$1451,C$5,Cleaned_Data!$K$2:$K$1451,"Active")</f>
        <v>39</v>
      </c>
      <c r="D9" s="9">
        <f>COUNTIFS(Cleaned_Data!$D$2:$D$1451,$A9,Cleaned_Data!$F$2:$F$1451,D$5,Cleaned_Data!$K$2:$K$1451,"Active")</f>
        <v>19</v>
      </c>
      <c r="E9" s="9">
        <f>COUNTIFS(Cleaned_Data!$D$2:$D$1451,$A9,Cleaned_Data!$F$2:$F$1451,E$5,Cleaned_Data!$K$2:$K$1451,"Active")</f>
        <v>13</v>
      </c>
      <c r="F9" s="9">
        <f>COUNTIFS(Cleaned_Data!$D$2:$D$1451,$A9,Cleaned_Data!$F$2:$F$1451,F$5,Cleaned_Data!$K$2:$K$1451,"Active")</f>
        <v>1</v>
      </c>
      <c r="G9" s="24">
        <f t="shared" si="0"/>
        <v>119</v>
      </c>
    </row>
    <row r="10" spans="1:7" x14ac:dyDescent="0.45">
      <c r="A10" s="5" t="s">
        <v>58</v>
      </c>
      <c r="B10" s="6">
        <f>COUNTIFS(Cleaned_Data!$D$2:$D$1451,$A10,Cleaned_Data!$F$2:$F$1451,B$5,Cleaned_Data!$K$2:$K$1451,"Active")</f>
        <v>41</v>
      </c>
      <c r="C10" s="6">
        <f>COUNTIFS(Cleaned_Data!$D$2:$D$1451,$A10,Cleaned_Data!$F$2:$F$1451,C$5,Cleaned_Data!$K$2:$K$1451,"Active")</f>
        <v>33</v>
      </c>
      <c r="D10" s="6">
        <f>COUNTIFS(Cleaned_Data!$D$2:$D$1451,$A10,Cleaned_Data!$F$2:$F$1451,D$5,Cleaned_Data!$K$2:$K$1451,"Active")</f>
        <v>14</v>
      </c>
      <c r="E10" s="6">
        <f>COUNTIFS(Cleaned_Data!$D$2:$D$1451,$A10,Cleaned_Data!$F$2:$F$1451,E$5,Cleaned_Data!$K$2:$K$1451,"Active")</f>
        <v>6</v>
      </c>
      <c r="F10" s="6">
        <f>COUNTIFS(Cleaned_Data!$D$2:$D$1451,$A10,Cleaned_Data!$F$2:$F$1451,F$5,Cleaned_Data!$K$2:$K$1451,"Active")</f>
        <v>2</v>
      </c>
      <c r="G10" s="23">
        <f t="shared" si="0"/>
        <v>96</v>
      </c>
    </row>
    <row r="11" spans="1:7" x14ac:dyDescent="0.45">
      <c r="A11" s="8" t="s">
        <v>60</v>
      </c>
      <c r="B11" s="9">
        <f>COUNTIFS(Cleaned_Data!$D$2:$D$1451,$A11,Cleaned_Data!$F$2:$F$1451,B$5,Cleaned_Data!$K$2:$K$1451,"Active")</f>
        <v>30</v>
      </c>
      <c r="C11" s="9">
        <f>COUNTIFS(Cleaned_Data!$D$2:$D$1451,$A11,Cleaned_Data!$F$2:$F$1451,C$5,Cleaned_Data!$K$2:$K$1451,"Active")</f>
        <v>36</v>
      </c>
      <c r="D11" s="9">
        <f>COUNTIFS(Cleaned_Data!$D$2:$D$1451,$A11,Cleaned_Data!$F$2:$F$1451,D$5,Cleaned_Data!$K$2:$K$1451,"Active")</f>
        <v>8</v>
      </c>
      <c r="E11" s="9">
        <f>COUNTIFS(Cleaned_Data!$D$2:$D$1451,$A11,Cleaned_Data!$F$2:$F$1451,E$5,Cleaned_Data!$K$2:$K$1451,"Active")</f>
        <v>12</v>
      </c>
      <c r="F11" s="9">
        <f>COUNTIFS(Cleaned_Data!$D$2:$D$1451,$A11,Cleaned_Data!$F$2:$F$1451,F$5,Cleaned_Data!$K$2:$K$1451,"Active")</f>
        <v>6</v>
      </c>
      <c r="G11" s="24">
        <f t="shared" si="0"/>
        <v>92</v>
      </c>
    </row>
    <row r="12" spans="1:7" x14ac:dyDescent="0.45">
      <c r="A12" s="11" t="s">
        <v>120</v>
      </c>
      <c r="B12" s="12">
        <f t="shared" ref="B12:G12" si="1">SUM(B6:B11)</f>
        <v>382</v>
      </c>
      <c r="C12" s="12">
        <f t="shared" si="1"/>
        <v>378</v>
      </c>
      <c r="D12" s="12">
        <f t="shared" si="1"/>
        <v>155</v>
      </c>
      <c r="E12" s="12">
        <f t="shared" si="1"/>
        <v>90</v>
      </c>
      <c r="F12" s="12">
        <f t="shared" si="1"/>
        <v>37</v>
      </c>
      <c r="G12" s="12">
        <f t="shared" si="1"/>
        <v>1042</v>
      </c>
    </row>
    <row r="15" spans="1:7" x14ac:dyDescent="0.45">
      <c r="A15" s="3" t="s">
        <v>121</v>
      </c>
    </row>
    <row r="16" spans="1:7" x14ac:dyDescent="0.45">
      <c r="A16" s="16" t="s">
        <v>14</v>
      </c>
      <c r="B16" s="16" t="s">
        <v>122</v>
      </c>
      <c r="C16" s="16" t="s">
        <v>123</v>
      </c>
      <c r="D16" s="16" t="s">
        <v>124</v>
      </c>
      <c r="E16" s="16" t="s">
        <v>125</v>
      </c>
    </row>
    <row r="17" spans="1:5" x14ac:dyDescent="0.45">
      <c r="A17" s="8" t="s">
        <v>50</v>
      </c>
      <c r="B17" s="9">
        <f>COUNTIFS(Cleaned_Data!$D$2:$D$1451,$A17,Cleaned_Data!$Q$2:$Q$1451,"Yes",Cleaned_Data!$K$2:$K$1451,"&lt;&gt;Active")</f>
        <v>48</v>
      </c>
      <c r="C17" s="10">
        <f>IFERROR(B17/COUNTIFS(Cleaned_Data!$D$2:$D$1451,$A17,Cleaned_Data!$Q$2:$Q$1451,"Yes"),0)</f>
        <v>0.32653061224489793</v>
      </c>
      <c r="D17" s="9">
        <f>COUNTIFS(Cleaned_Data!$D$2:$D$1451,$A17,Cleaned_Data!$Q$2:$Q$1451,"No",Cleaned_Data!$K$2:$K$1451,"&lt;&gt;Active")</f>
        <v>51</v>
      </c>
      <c r="E17" s="10">
        <f>IFERROR(D17/COUNTIFS(Cleaned_Data!$D$2:$D$1451,$A17,Cleaned_Data!$Q$2:$Q$1451,"No"),0)</f>
        <v>0.16037735849056603</v>
      </c>
    </row>
    <row r="18" spans="1:5" x14ac:dyDescent="0.45">
      <c r="A18" s="5" t="s">
        <v>52</v>
      </c>
      <c r="B18" s="6">
        <f>COUNTIFS(Cleaned_Data!$D$2:$D$1451,$A18,Cleaned_Data!$Q$2:$Q$1451,"Yes",Cleaned_Data!$K$2:$K$1451,"&lt;&gt;Active")</f>
        <v>69</v>
      </c>
      <c r="C18" s="7">
        <f>IFERROR(B18/COUNTIFS(Cleaned_Data!$D$2:$D$1451,$A18,Cleaned_Data!$Q$2:$Q$1451,"Yes"),0)</f>
        <v>0.39655172413793105</v>
      </c>
      <c r="D18" s="6">
        <f>COUNTIFS(Cleaned_Data!$D$2:$D$1451,$A18,Cleaned_Data!$Q$2:$Q$1451,"No",Cleaned_Data!$K$2:$K$1451,"&lt;&gt;Active")</f>
        <v>31</v>
      </c>
      <c r="E18" s="7">
        <f>IFERROR(D18/COUNTIFS(Cleaned_Data!$D$2:$D$1451,$A18,Cleaned_Data!$Q$2:$Q$1451,"No"),0)</f>
        <v>0.24409448818897639</v>
      </c>
    </row>
    <row r="19" spans="1:5" x14ac:dyDescent="0.45">
      <c r="A19" s="8" t="s">
        <v>54</v>
      </c>
      <c r="B19" s="9">
        <f>COUNTIFS(Cleaned_Data!$D$2:$D$1451,$A19,Cleaned_Data!$Q$2:$Q$1451,"Yes",Cleaned_Data!$K$2:$K$1451,"&lt;&gt;Active")</f>
        <v>60</v>
      </c>
      <c r="C19" s="10">
        <f>IFERROR(B19/COUNTIFS(Cleaned_Data!$D$2:$D$1451,$A19,Cleaned_Data!$Q$2:$Q$1451,"Yes"),0)</f>
        <v>0.41095890410958902</v>
      </c>
      <c r="D19" s="9">
        <f>COUNTIFS(Cleaned_Data!$D$2:$D$1451,$A19,Cleaned_Data!$Q$2:$Q$1451,"No",Cleaned_Data!$K$2:$K$1451,"&lt;&gt;Active")</f>
        <v>39</v>
      </c>
      <c r="E19" s="10">
        <f>IFERROR(D19/COUNTIFS(Cleaned_Data!$D$2:$D$1451,$A19,Cleaned_Data!$Q$2:$Q$1451,"No"),0)</f>
        <v>0.32231404958677684</v>
      </c>
    </row>
    <row r="20" spans="1:5" x14ac:dyDescent="0.45">
      <c r="A20" s="5" t="s">
        <v>56</v>
      </c>
      <c r="B20" s="6">
        <f>COUNTIFS(Cleaned_Data!$D$2:$D$1451,$A20,Cleaned_Data!$Q$2:$Q$1451,"Yes",Cleaned_Data!$K$2:$K$1451,"&lt;&gt;Active")</f>
        <v>24</v>
      </c>
      <c r="C20" s="7">
        <f>IFERROR(B20/COUNTIFS(Cleaned_Data!$D$2:$D$1451,$A20,Cleaned_Data!$Q$2:$Q$1451,"Yes"),0)</f>
        <v>0.39344262295081966</v>
      </c>
      <c r="D20" s="6">
        <f>COUNTIFS(Cleaned_Data!$D$2:$D$1451,$A20,Cleaned_Data!$Q$2:$Q$1451,"No",Cleaned_Data!$K$2:$K$1451,"&lt;&gt;Active")</f>
        <v>31</v>
      </c>
      <c r="E20" s="7">
        <f>IFERROR(D20/COUNTIFS(Cleaned_Data!$D$2:$D$1451,$A20,Cleaned_Data!$Q$2:$Q$1451,"No"),0)</f>
        <v>0.27433628318584069</v>
      </c>
    </row>
    <row r="21" spans="1:5" x14ac:dyDescent="0.45">
      <c r="A21" s="8" t="s">
        <v>58</v>
      </c>
      <c r="B21" s="9">
        <f>COUNTIFS(Cleaned_Data!$D$2:$D$1451,$A21,Cleaned_Data!$Q$2:$Q$1451,"Yes",Cleaned_Data!$K$2:$K$1451,"&lt;&gt;Active")</f>
        <v>15</v>
      </c>
      <c r="C21" s="10">
        <f>IFERROR(B21/COUNTIFS(Cleaned_Data!$D$2:$D$1451,$A21,Cleaned_Data!$Q$2:$Q$1451,"Yes"),0)</f>
        <v>0.34883720930232559</v>
      </c>
      <c r="D21" s="9">
        <f>COUNTIFS(Cleaned_Data!$D$2:$D$1451,$A21,Cleaned_Data!$Q$2:$Q$1451,"No",Cleaned_Data!$K$2:$K$1451,"&lt;&gt;Active")</f>
        <v>16</v>
      </c>
      <c r="E21" s="10">
        <f>IFERROR(D21/COUNTIFS(Cleaned_Data!$D$2:$D$1451,$A21,Cleaned_Data!$Q$2:$Q$1451,"No"),0)</f>
        <v>0.19047619047619047</v>
      </c>
    </row>
    <row r="22" spans="1:5" x14ac:dyDescent="0.45">
      <c r="A22" s="5" t="s">
        <v>60</v>
      </c>
      <c r="B22" s="6">
        <f>COUNTIFS(Cleaned_Data!$D$2:$D$1451,$A22,Cleaned_Data!$Q$2:$Q$1451,"Yes",Cleaned_Data!$K$2:$K$1451,"&lt;&gt;Active")</f>
        <v>14</v>
      </c>
      <c r="C22" s="7">
        <f>IFERROR(B22/COUNTIFS(Cleaned_Data!$D$2:$D$1451,$A22,Cleaned_Data!$Q$2:$Q$1451,"Yes"),0)</f>
        <v>0.35897435897435898</v>
      </c>
      <c r="D22" s="6">
        <f>COUNTIFS(Cleaned_Data!$D$2:$D$1451,$A22,Cleaned_Data!$Q$2:$Q$1451,"No",Cleaned_Data!$K$2:$K$1451,"&lt;&gt;Active")</f>
        <v>10</v>
      </c>
      <c r="E22" s="7">
        <f>IFERROR(D22/COUNTIFS(Cleaned_Data!$D$2:$D$1451,$A22,Cleaned_Data!$Q$2:$Q$1451,"No"),0)</f>
        <v>0.12987012987012986</v>
      </c>
    </row>
    <row r="25" spans="1:5" x14ac:dyDescent="0.45">
      <c r="A25" s="3" t="s">
        <v>126</v>
      </c>
    </row>
    <row r="26" spans="1:5" x14ac:dyDescent="0.45">
      <c r="A26" s="16" t="s">
        <v>14</v>
      </c>
      <c r="B26" s="16" t="s">
        <v>127</v>
      </c>
      <c r="C26" s="16" t="s">
        <v>128</v>
      </c>
      <c r="D26" s="16" t="s">
        <v>129</v>
      </c>
      <c r="E26" s="16" t="s">
        <v>130</v>
      </c>
    </row>
    <row r="27" spans="1:5" x14ac:dyDescent="0.45">
      <c r="A27" s="8" t="s">
        <v>50</v>
      </c>
      <c r="B27" s="9">
        <f>COUNTIFS(Cleaned_Data!$D$2:$D$1451,$A27,Cleaned_Data!$AF$2:$AF$1451,"High Risk")</f>
        <v>54</v>
      </c>
      <c r="C27" s="9">
        <f>COUNTIFS(Cleaned_Data!$D$2:$D$1451,$A27,Cleaned_Data!$AF$2:$AF$1451,"Moderate Risk")</f>
        <v>102</v>
      </c>
      <c r="D27" s="9">
        <f>COUNTIFS(Cleaned_Data!$D$2:$D$1451,$A27,Cleaned_Data!$AF$2:$AF$1451,"Low Risk")</f>
        <v>210</v>
      </c>
      <c r="E27" s="10">
        <f t="shared" ref="E27:E33" si="2">IFERROR(B27/SUM(B27:D27),0)</f>
        <v>0.14754098360655737</v>
      </c>
    </row>
    <row r="28" spans="1:5" x14ac:dyDescent="0.45">
      <c r="A28" s="5" t="s">
        <v>52</v>
      </c>
      <c r="B28" s="6">
        <f>COUNTIFS(Cleaned_Data!$D$2:$D$1451,$A28,Cleaned_Data!$AF$2:$AF$1451,"High Risk")</f>
        <v>53</v>
      </c>
      <c r="C28" s="6">
        <f>COUNTIFS(Cleaned_Data!$D$2:$D$1451,$A28,Cleaned_Data!$AF$2:$AF$1451,"Moderate Risk")</f>
        <v>69</v>
      </c>
      <c r="D28" s="6">
        <f>COUNTIFS(Cleaned_Data!$D$2:$D$1451,$A28,Cleaned_Data!$AF$2:$AF$1451,"Low Risk")</f>
        <v>79</v>
      </c>
      <c r="E28" s="7">
        <f t="shared" si="2"/>
        <v>0.26368159203980102</v>
      </c>
    </row>
    <row r="29" spans="1:5" x14ac:dyDescent="0.45">
      <c r="A29" s="8" t="s">
        <v>54</v>
      </c>
      <c r="B29" s="9">
        <f>COUNTIFS(Cleaned_Data!$D$2:$D$1451,$A29,Cleaned_Data!$AF$2:$AF$1451,"High Risk")</f>
        <v>44</v>
      </c>
      <c r="C29" s="9">
        <f>COUNTIFS(Cleaned_Data!$D$2:$D$1451,$A29,Cleaned_Data!$AF$2:$AF$1451,"Moderate Risk")</f>
        <v>61</v>
      </c>
      <c r="D29" s="9">
        <f>COUNTIFS(Cleaned_Data!$D$2:$D$1451,$A29,Cleaned_Data!$AF$2:$AF$1451,"Low Risk")</f>
        <v>63</v>
      </c>
      <c r="E29" s="10">
        <f t="shared" si="2"/>
        <v>0.26190476190476192</v>
      </c>
    </row>
    <row r="30" spans="1:5" x14ac:dyDescent="0.45">
      <c r="A30" s="5" t="s">
        <v>56</v>
      </c>
      <c r="B30" s="6">
        <f>COUNTIFS(Cleaned_Data!$D$2:$D$1451,$A30,Cleaned_Data!$AF$2:$AF$1451,"High Risk")</f>
        <v>20</v>
      </c>
      <c r="C30" s="6">
        <f>COUNTIFS(Cleaned_Data!$D$2:$D$1451,$A30,Cleaned_Data!$AF$2:$AF$1451,"Moderate Risk")</f>
        <v>31</v>
      </c>
      <c r="D30" s="6">
        <f>COUNTIFS(Cleaned_Data!$D$2:$D$1451,$A30,Cleaned_Data!$AF$2:$AF$1451,"Low Risk")</f>
        <v>68</v>
      </c>
      <c r="E30" s="7">
        <f t="shared" si="2"/>
        <v>0.16806722689075632</v>
      </c>
    </row>
    <row r="31" spans="1:5" x14ac:dyDescent="0.45">
      <c r="A31" s="8" t="s">
        <v>58</v>
      </c>
      <c r="B31" s="9">
        <f>COUNTIFS(Cleaned_Data!$D$2:$D$1451,$A31,Cleaned_Data!$AF$2:$AF$1451,"High Risk")</f>
        <v>17</v>
      </c>
      <c r="C31" s="9">
        <f>COUNTIFS(Cleaned_Data!$D$2:$D$1451,$A31,Cleaned_Data!$AF$2:$AF$1451,"Moderate Risk")</f>
        <v>22</v>
      </c>
      <c r="D31" s="9">
        <f>COUNTIFS(Cleaned_Data!$D$2:$D$1451,$A31,Cleaned_Data!$AF$2:$AF$1451,"Low Risk")</f>
        <v>57</v>
      </c>
      <c r="E31" s="10">
        <f t="shared" si="2"/>
        <v>0.17708333333333334</v>
      </c>
    </row>
    <row r="32" spans="1:5" x14ac:dyDescent="0.45">
      <c r="A32" s="5" t="s">
        <v>60</v>
      </c>
      <c r="B32" s="6">
        <f>COUNTIFS(Cleaned_Data!$D$2:$D$1451,$A32,Cleaned_Data!$AF$2:$AF$1451,"High Risk")</f>
        <v>15</v>
      </c>
      <c r="C32" s="6">
        <f>COUNTIFS(Cleaned_Data!$D$2:$D$1451,$A32,Cleaned_Data!$AF$2:$AF$1451,"Moderate Risk")</f>
        <v>23</v>
      </c>
      <c r="D32" s="6">
        <f>COUNTIFS(Cleaned_Data!$D$2:$D$1451,$A32,Cleaned_Data!$AF$2:$AF$1451,"Low Risk")</f>
        <v>54</v>
      </c>
      <c r="E32" s="7">
        <f t="shared" si="2"/>
        <v>0.16304347826086957</v>
      </c>
    </row>
    <row r="33" spans="1:5" x14ac:dyDescent="0.45">
      <c r="A33" s="11" t="s">
        <v>131</v>
      </c>
      <c r="B33" s="12">
        <f>SUM(B27:B32)</f>
        <v>203</v>
      </c>
      <c r="C33" s="12">
        <f>SUM(C27:C32)</f>
        <v>308</v>
      </c>
      <c r="D33" s="12">
        <f>SUM(D27:D32)</f>
        <v>531</v>
      </c>
      <c r="E33" s="13">
        <f t="shared" si="2"/>
        <v>0.19481765834932821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451"/>
  <sheetViews>
    <sheetView zoomScale="90" zoomScaleNormal="90" workbookViewId="0">
      <pane xSplit="4" ySplit="1" topLeftCell="AP2" activePane="bottomRight" state="frozen"/>
      <selection pane="topRight" activeCell="J1" sqref="J1"/>
      <selection pane="bottomLeft" activeCell="A97" sqref="A97"/>
      <selection pane="bottomRight"/>
    </sheetView>
  </sheetViews>
  <sheetFormatPr defaultColWidth="8.6640625" defaultRowHeight="14.25" customHeight="1" x14ac:dyDescent="0.45"/>
  <cols>
    <col min="1" max="32" width="18" customWidth="1"/>
  </cols>
  <sheetData>
    <row r="1" spans="1:32" ht="27.75" customHeight="1" x14ac:dyDescent="0.45">
      <c r="A1" s="16" t="s">
        <v>132</v>
      </c>
      <c r="B1" s="16" t="s">
        <v>133</v>
      </c>
      <c r="C1" s="16" t="s">
        <v>33</v>
      </c>
      <c r="D1" s="16" t="s">
        <v>14</v>
      </c>
      <c r="E1" s="16" t="s">
        <v>134</v>
      </c>
      <c r="F1" s="16" t="s">
        <v>74</v>
      </c>
      <c r="G1" s="16" t="s">
        <v>135</v>
      </c>
      <c r="H1" s="16" t="s">
        <v>102</v>
      </c>
      <c r="I1" s="16" t="s">
        <v>103</v>
      </c>
      <c r="J1" s="16" t="s">
        <v>136</v>
      </c>
      <c r="K1" s="16" t="s">
        <v>137</v>
      </c>
      <c r="L1" s="16" t="s">
        <v>138</v>
      </c>
      <c r="M1" s="16" t="s">
        <v>139</v>
      </c>
      <c r="N1" s="16" t="s">
        <v>87</v>
      </c>
      <c r="O1" s="16" t="s">
        <v>140</v>
      </c>
      <c r="P1" s="16" t="s">
        <v>141</v>
      </c>
      <c r="Q1" s="16" t="s">
        <v>142</v>
      </c>
      <c r="R1" s="16" t="s">
        <v>143</v>
      </c>
      <c r="S1" s="16" t="s">
        <v>144</v>
      </c>
      <c r="T1" s="25" t="s">
        <v>145</v>
      </c>
      <c r="U1" s="25" t="s">
        <v>146</v>
      </c>
      <c r="V1" s="25" t="s">
        <v>147</v>
      </c>
      <c r="W1" s="25" t="s">
        <v>148</v>
      </c>
      <c r="X1" s="25" t="s">
        <v>149</v>
      </c>
      <c r="Y1" s="25" t="s">
        <v>150</v>
      </c>
      <c r="Z1" s="25" t="s">
        <v>151</v>
      </c>
      <c r="AA1" s="25" t="s">
        <v>152</v>
      </c>
      <c r="AB1" s="25" t="s">
        <v>153</v>
      </c>
      <c r="AC1" s="25" t="s">
        <v>154</v>
      </c>
      <c r="AD1" s="25" t="s">
        <v>155</v>
      </c>
      <c r="AE1" s="25" t="s">
        <v>156</v>
      </c>
      <c r="AF1" s="25" t="s">
        <v>157</v>
      </c>
    </row>
    <row r="2" spans="1:32" x14ac:dyDescent="0.45">
      <c r="A2" t="s">
        <v>158</v>
      </c>
      <c r="B2" t="s">
        <v>159</v>
      </c>
      <c r="C2" t="s">
        <v>57</v>
      </c>
      <c r="D2" t="s">
        <v>56</v>
      </c>
      <c r="E2" t="s">
        <v>160</v>
      </c>
      <c r="F2" t="s">
        <v>81</v>
      </c>
      <c r="G2" t="s">
        <v>161</v>
      </c>
      <c r="H2" t="s">
        <v>112</v>
      </c>
      <c r="I2" t="s">
        <v>113</v>
      </c>
      <c r="J2" s="26">
        <v>43466</v>
      </c>
      <c r="K2" t="s">
        <v>162</v>
      </c>
      <c r="L2" s="26"/>
      <c r="M2" t="s">
        <v>163</v>
      </c>
      <c r="N2" t="s">
        <v>97</v>
      </c>
      <c r="O2" s="27">
        <v>674000</v>
      </c>
      <c r="P2">
        <v>5</v>
      </c>
      <c r="Q2" t="s">
        <v>164</v>
      </c>
      <c r="R2">
        <v>31</v>
      </c>
      <c r="S2" t="s">
        <v>165</v>
      </c>
      <c r="T2">
        <f t="shared" ref="T2:T65" si="0">VALUE(MID(A2,5,5))</f>
        <v>11004</v>
      </c>
      <c r="U2" t="str">
        <f t="shared" ref="U2:U65" si="1">LEFT(E2,3)</f>
        <v>MKT</v>
      </c>
      <c r="V2" t="str">
        <f t="shared" ref="V2:V65" si="2">RIGHT(E2,2)</f>
        <v>L1</v>
      </c>
      <c r="W2" t="str">
        <f>PROPER(TRIM(VLOOKUP(S2,Employee_Lookups!$I$4:$M$19,2,FALSE())))</f>
        <v>Arjun Sengupta</v>
      </c>
      <c r="X2" t="str">
        <f>VLOOKUP(C2,Employee_Lookups!$A$4:$G$9,4,FALSE())</f>
        <v>CC-606</v>
      </c>
      <c r="Y2" t="str">
        <f>INDEX(Employee_Lookups!$C$13:$C$17,MATCH(F2,Employee_Lookups!$A$13:$A$17,0))</f>
        <v>Band A (Entry)</v>
      </c>
      <c r="Z2" s="27">
        <f>_xlfn.XLOOKUP(F2,Employee_Lookups!$A$13:$A$17,Employee_Lookups!$E$13:$E$17,0)</f>
        <v>700000</v>
      </c>
      <c r="AA2" s="28">
        <f>ROUND(O2/INDEX(Employee_Lookups!$E$13:$E$17,MATCH(F2,Employee_Lookups!$A$13:$A$17,0)),3)</f>
        <v>0.96299999999999997</v>
      </c>
      <c r="AB2">
        <f t="shared" ref="AB2:AB65" si="3">YEAR(J2)</f>
        <v>2019</v>
      </c>
      <c r="AC2" t="str">
        <f t="shared" ref="AC2:AC65" si="4">IF(ISBLANK(L2),"",YEAR(L2))</f>
        <v/>
      </c>
      <c r="AD2" s="28">
        <f>ROUND((IF(ISBLANK(L2),Employee_Lookups!$O$14,L2)-J2)/365.25,2)</f>
        <v>7</v>
      </c>
      <c r="AE2" t="str">
        <f t="shared" ref="AE2:AE65" si="5">IF(AD2&lt;1,"&lt; 1 Yr (New)",IF(AD2&lt;3,"1 - 3 Yrs",IF(AD2&lt;5,"3 - 5 Yrs","5+ Yrs")))</f>
        <v>5+ Yrs</v>
      </c>
      <c r="AF2" t="str">
        <f t="shared" ref="AF2:AF65" si="6">IF(K2&lt;&gt;"Active","Exited",IF(AND(Q2="Yes",OR(P2&gt;=4,AA2&lt;0.95)),"High Risk",IF(OR(Q2="Yes",AND(NOT(ISBLANK(P2)),P2&lt;=2)),"Moderate Risk","Low Risk")))</f>
        <v>Low Risk</v>
      </c>
    </row>
    <row r="3" spans="1:32" x14ac:dyDescent="0.45">
      <c r="A3" t="s">
        <v>166</v>
      </c>
      <c r="B3" t="s">
        <v>167</v>
      </c>
      <c r="C3" t="s">
        <v>55</v>
      </c>
      <c r="D3" t="s">
        <v>54</v>
      </c>
      <c r="E3" t="s">
        <v>168</v>
      </c>
      <c r="F3" t="s">
        <v>84</v>
      </c>
      <c r="G3" t="s">
        <v>169</v>
      </c>
      <c r="H3" t="s">
        <v>108</v>
      </c>
      <c r="I3" t="s">
        <v>107</v>
      </c>
      <c r="J3" s="26">
        <v>43470</v>
      </c>
      <c r="K3" t="s">
        <v>170</v>
      </c>
      <c r="L3" s="26">
        <v>45702</v>
      </c>
      <c r="M3" t="s">
        <v>171</v>
      </c>
      <c r="N3" t="s">
        <v>95</v>
      </c>
      <c r="O3" s="27">
        <v>2693000</v>
      </c>
      <c r="P3">
        <v>2</v>
      </c>
      <c r="Q3" t="s">
        <v>172</v>
      </c>
      <c r="R3">
        <v>32</v>
      </c>
      <c r="S3" t="s">
        <v>173</v>
      </c>
      <c r="T3">
        <f t="shared" si="0"/>
        <v>10815</v>
      </c>
      <c r="U3" t="str">
        <f t="shared" si="1"/>
        <v>OPS</v>
      </c>
      <c r="V3" t="str">
        <f t="shared" si="2"/>
        <v>L4</v>
      </c>
      <c r="W3" t="str">
        <f>PROPER(TRIM(VLOOKUP(S3,Employee_Lookups!$I$4:$M$19,2,FALSE())))</f>
        <v>Deepak Patil</v>
      </c>
      <c r="X3" t="str">
        <f>VLOOKUP(C3,Employee_Lookups!$A$4:$G$9,4,FALSE())</f>
        <v>CC-303</v>
      </c>
      <c r="Y3" t="str">
        <f>INDEX(Employee_Lookups!$C$13:$C$17,MATCH(F3,Employee_Lookups!$A$13:$A$17,0))</f>
        <v>Band D (Leadership)</v>
      </c>
      <c r="Z3" s="27">
        <f>_xlfn.XLOOKUP(F3,Employee_Lookups!$A$13:$A$17,Employee_Lookups!$E$13:$E$17,0)</f>
        <v>2750000</v>
      </c>
      <c r="AA3" s="28">
        <f>ROUND(O3/INDEX(Employee_Lookups!$E$13:$E$17,MATCH(F3,Employee_Lookups!$A$13:$A$17,0)),3)</f>
        <v>0.97899999999999998</v>
      </c>
      <c r="AB3">
        <f t="shared" si="3"/>
        <v>2019</v>
      </c>
      <c r="AC3">
        <f t="shared" si="4"/>
        <v>2025</v>
      </c>
      <c r="AD3" s="28">
        <f>ROUND((IF(ISBLANK(L3),Employee_Lookups!$O$14,L3)-J3)/365.25,2)</f>
        <v>6.11</v>
      </c>
      <c r="AE3" t="str">
        <f t="shared" si="5"/>
        <v>5+ Yrs</v>
      </c>
      <c r="AF3" t="str">
        <f t="shared" si="6"/>
        <v>Exited</v>
      </c>
    </row>
    <row r="4" spans="1:32" x14ac:dyDescent="0.45">
      <c r="A4" t="s">
        <v>174</v>
      </c>
      <c r="B4" t="s">
        <v>175</v>
      </c>
      <c r="C4" t="s">
        <v>51</v>
      </c>
      <c r="D4" t="s">
        <v>50</v>
      </c>
      <c r="E4" t="s">
        <v>176</v>
      </c>
      <c r="F4" t="s">
        <v>82</v>
      </c>
      <c r="G4" t="s">
        <v>177</v>
      </c>
      <c r="H4" t="s">
        <v>106</v>
      </c>
      <c r="I4" t="s">
        <v>107</v>
      </c>
      <c r="J4" s="26">
        <v>43471</v>
      </c>
      <c r="K4" t="s">
        <v>162</v>
      </c>
      <c r="L4" s="26"/>
      <c r="M4" t="s">
        <v>163</v>
      </c>
      <c r="N4" t="s">
        <v>96</v>
      </c>
      <c r="O4" s="27">
        <v>1088000</v>
      </c>
      <c r="P4">
        <v>3</v>
      </c>
      <c r="Q4" t="s">
        <v>164</v>
      </c>
      <c r="R4">
        <v>42</v>
      </c>
      <c r="S4" t="s">
        <v>178</v>
      </c>
      <c r="T4">
        <f t="shared" si="0"/>
        <v>10751</v>
      </c>
      <c r="U4" t="str">
        <f t="shared" si="1"/>
        <v>ENG</v>
      </c>
      <c r="V4" t="str">
        <f t="shared" si="2"/>
        <v>L2</v>
      </c>
      <c r="W4" t="str">
        <f>PROPER(TRIM(VLOOKUP(S4,Employee_Lookups!$I$4:$M$19,2,FALSE())))</f>
        <v>Aarav Deshmukh</v>
      </c>
      <c r="X4" t="str">
        <f>VLOOKUP(C4,Employee_Lookups!$A$4:$G$9,4,FALSE())</f>
        <v>CC-101</v>
      </c>
      <c r="Y4" t="str">
        <f>INDEX(Employee_Lookups!$C$13:$C$17,MATCH(F4,Employee_Lookups!$A$13:$A$17,0))</f>
        <v>Band B (Mid)</v>
      </c>
      <c r="Z4" s="27">
        <f>_xlfn.XLOOKUP(F4,Employee_Lookups!$A$13:$A$17,Employee_Lookups!$E$13:$E$17,0)</f>
        <v>1100000</v>
      </c>
      <c r="AA4" s="28">
        <f>ROUND(O4/INDEX(Employee_Lookups!$E$13:$E$17,MATCH(F4,Employee_Lookups!$A$13:$A$17,0)),3)</f>
        <v>0.98899999999999999</v>
      </c>
      <c r="AB4">
        <f t="shared" si="3"/>
        <v>2019</v>
      </c>
      <c r="AC4" t="str">
        <f t="shared" si="4"/>
        <v/>
      </c>
      <c r="AD4" s="28">
        <f>ROUND((IF(ISBLANK(L4),Employee_Lookups!$O$14,L4)-J4)/365.25,2)</f>
        <v>6.98</v>
      </c>
      <c r="AE4" t="str">
        <f t="shared" si="5"/>
        <v>5+ Yrs</v>
      </c>
      <c r="AF4" t="str">
        <f t="shared" si="6"/>
        <v>Low Risk</v>
      </c>
    </row>
    <row r="5" spans="1:32" x14ac:dyDescent="0.45">
      <c r="A5" t="s">
        <v>179</v>
      </c>
      <c r="B5" t="s">
        <v>180</v>
      </c>
      <c r="C5" t="s">
        <v>51</v>
      </c>
      <c r="D5" t="s">
        <v>50</v>
      </c>
      <c r="E5" t="s">
        <v>181</v>
      </c>
      <c r="F5" t="s">
        <v>81</v>
      </c>
      <c r="G5" t="s">
        <v>182</v>
      </c>
      <c r="H5" t="s">
        <v>109</v>
      </c>
      <c r="I5" t="s">
        <v>110</v>
      </c>
      <c r="J5" s="26">
        <v>43479</v>
      </c>
      <c r="K5" t="s">
        <v>162</v>
      </c>
      <c r="L5" s="26"/>
      <c r="M5" t="s">
        <v>163</v>
      </c>
      <c r="N5" t="s">
        <v>97</v>
      </c>
      <c r="O5" s="27">
        <v>586000</v>
      </c>
      <c r="P5">
        <v>5</v>
      </c>
      <c r="Q5" t="s">
        <v>164</v>
      </c>
      <c r="R5">
        <v>48</v>
      </c>
      <c r="S5" t="s">
        <v>178</v>
      </c>
      <c r="T5">
        <f t="shared" si="0"/>
        <v>10863</v>
      </c>
      <c r="U5" t="str">
        <f t="shared" si="1"/>
        <v>ENG</v>
      </c>
      <c r="V5" t="str">
        <f t="shared" si="2"/>
        <v>L1</v>
      </c>
      <c r="W5" t="str">
        <f>PROPER(TRIM(VLOOKUP(S5,Employee_Lookups!$I$4:$M$19,2,FALSE())))</f>
        <v>Aarav Deshmukh</v>
      </c>
      <c r="X5" t="str">
        <f>VLOOKUP(C5,Employee_Lookups!$A$4:$G$9,4,FALSE())</f>
        <v>CC-101</v>
      </c>
      <c r="Y5" t="str">
        <f>INDEX(Employee_Lookups!$C$13:$C$17,MATCH(F5,Employee_Lookups!$A$13:$A$17,0))</f>
        <v>Band A (Entry)</v>
      </c>
      <c r="Z5" s="27">
        <f>_xlfn.XLOOKUP(F5,Employee_Lookups!$A$13:$A$17,Employee_Lookups!$E$13:$E$17,0)</f>
        <v>700000</v>
      </c>
      <c r="AA5" s="28">
        <f>ROUND(O5/INDEX(Employee_Lookups!$E$13:$E$17,MATCH(F5,Employee_Lookups!$A$13:$A$17,0)),3)</f>
        <v>0.83699999999999997</v>
      </c>
      <c r="AB5">
        <f t="shared" si="3"/>
        <v>2019</v>
      </c>
      <c r="AC5" t="str">
        <f t="shared" si="4"/>
        <v/>
      </c>
      <c r="AD5" s="28">
        <f>ROUND((IF(ISBLANK(L5),Employee_Lookups!$O$14,L5)-J5)/365.25,2)</f>
        <v>6.96</v>
      </c>
      <c r="AE5" t="str">
        <f t="shared" si="5"/>
        <v>5+ Yrs</v>
      </c>
      <c r="AF5" t="str">
        <f t="shared" si="6"/>
        <v>Low Risk</v>
      </c>
    </row>
    <row r="6" spans="1:32" x14ac:dyDescent="0.45">
      <c r="A6" t="s">
        <v>183</v>
      </c>
      <c r="B6" t="s">
        <v>184</v>
      </c>
      <c r="C6" t="s">
        <v>53</v>
      </c>
      <c r="D6" t="s">
        <v>52</v>
      </c>
      <c r="E6" t="s">
        <v>185</v>
      </c>
      <c r="F6" t="s">
        <v>82</v>
      </c>
      <c r="G6" t="s">
        <v>186</v>
      </c>
      <c r="H6" t="s">
        <v>108</v>
      </c>
      <c r="I6" t="s">
        <v>107</v>
      </c>
      <c r="J6" s="26">
        <v>43479</v>
      </c>
      <c r="K6" t="s">
        <v>187</v>
      </c>
      <c r="L6" s="26">
        <v>44170</v>
      </c>
      <c r="M6" t="s">
        <v>188</v>
      </c>
      <c r="N6" t="s">
        <v>95</v>
      </c>
      <c r="O6" s="27">
        <v>1194000</v>
      </c>
      <c r="P6">
        <v>3</v>
      </c>
      <c r="Q6" t="s">
        <v>172</v>
      </c>
      <c r="R6">
        <v>24</v>
      </c>
      <c r="S6" t="s">
        <v>189</v>
      </c>
      <c r="T6">
        <f t="shared" si="0"/>
        <v>10356</v>
      </c>
      <c r="U6" t="str">
        <f t="shared" si="1"/>
        <v>SAL</v>
      </c>
      <c r="V6" t="str">
        <f t="shared" si="2"/>
        <v>L2</v>
      </c>
      <c r="W6" t="str">
        <f>PROPER(TRIM(VLOOKUP(S6,Employee_Lookups!$I$4:$M$19,2,FALSE())))</f>
        <v>Priya Sharma</v>
      </c>
      <c r="X6" t="str">
        <f>VLOOKUP(C6,Employee_Lookups!$A$4:$G$9,4,FALSE())</f>
        <v>CC-202</v>
      </c>
      <c r="Y6" t="str">
        <f>INDEX(Employee_Lookups!$C$13:$C$17,MATCH(F6,Employee_Lookups!$A$13:$A$17,0))</f>
        <v>Band B (Mid)</v>
      </c>
      <c r="Z6" s="27">
        <f>_xlfn.XLOOKUP(F6,Employee_Lookups!$A$13:$A$17,Employee_Lookups!$E$13:$E$17,0)</f>
        <v>1100000</v>
      </c>
      <c r="AA6" s="28">
        <f>ROUND(O6/INDEX(Employee_Lookups!$E$13:$E$17,MATCH(F6,Employee_Lookups!$A$13:$A$17,0)),3)</f>
        <v>1.085</v>
      </c>
      <c r="AB6">
        <f t="shared" si="3"/>
        <v>2019</v>
      </c>
      <c r="AC6">
        <f t="shared" si="4"/>
        <v>2020</v>
      </c>
      <c r="AD6" s="28">
        <f>ROUND((IF(ISBLANK(L6),Employee_Lookups!$O$14,L6)-J6)/365.25,2)</f>
        <v>1.89</v>
      </c>
      <c r="AE6" t="str">
        <f t="shared" si="5"/>
        <v>1 - 3 Yrs</v>
      </c>
      <c r="AF6" t="str">
        <f t="shared" si="6"/>
        <v>Exited</v>
      </c>
    </row>
    <row r="7" spans="1:32" x14ac:dyDescent="0.45">
      <c r="A7" t="s">
        <v>190</v>
      </c>
      <c r="B7" t="s">
        <v>191</v>
      </c>
      <c r="C7" t="s">
        <v>53</v>
      </c>
      <c r="D7" t="s">
        <v>52</v>
      </c>
      <c r="E7" t="s">
        <v>192</v>
      </c>
      <c r="F7" t="s">
        <v>83</v>
      </c>
      <c r="G7" t="s">
        <v>193</v>
      </c>
      <c r="H7" t="s">
        <v>106</v>
      </c>
      <c r="I7" t="s">
        <v>107</v>
      </c>
      <c r="J7" s="26">
        <v>43483</v>
      </c>
      <c r="K7" t="s">
        <v>187</v>
      </c>
      <c r="L7" s="26">
        <v>43789</v>
      </c>
      <c r="M7" t="s">
        <v>188</v>
      </c>
      <c r="N7" t="s">
        <v>99</v>
      </c>
      <c r="O7" s="27">
        <v>1630000</v>
      </c>
      <c r="P7">
        <v>5</v>
      </c>
      <c r="Q7" t="s">
        <v>172</v>
      </c>
      <c r="R7">
        <v>40</v>
      </c>
      <c r="S7" t="s">
        <v>194</v>
      </c>
      <c r="T7">
        <f t="shared" si="0"/>
        <v>10463</v>
      </c>
      <c r="U7" t="str">
        <f t="shared" si="1"/>
        <v>SAL</v>
      </c>
      <c r="V7" t="str">
        <f t="shared" si="2"/>
        <v>L3</v>
      </c>
      <c r="W7" t="str">
        <f>PROPER(TRIM(VLOOKUP(S7,Employee_Lookups!$I$4:$M$19,2,FALSE())))</f>
        <v>Vikramaditya Joshi</v>
      </c>
      <c r="X7" t="str">
        <f>VLOOKUP(C7,Employee_Lookups!$A$4:$G$9,4,FALSE())</f>
        <v>CC-202</v>
      </c>
      <c r="Y7" t="str">
        <f>INDEX(Employee_Lookups!$C$13:$C$17,MATCH(F7,Employee_Lookups!$A$13:$A$17,0))</f>
        <v>Band C (Senior)</v>
      </c>
      <c r="Z7" s="27">
        <f>_xlfn.XLOOKUP(F7,Employee_Lookups!$A$13:$A$17,Employee_Lookups!$E$13:$E$17,0)</f>
        <v>1725000</v>
      </c>
      <c r="AA7" s="28">
        <f>ROUND(O7/INDEX(Employee_Lookups!$E$13:$E$17,MATCH(F7,Employee_Lookups!$A$13:$A$17,0)),3)</f>
        <v>0.94499999999999995</v>
      </c>
      <c r="AB7">
        <f t="shared" si="3"/>
        <v>2019</v>
      </c>
      <c r="AC7">
        <f t="shared" si="4"/>
        <v>2019</v>
      </c>
      <c r="AD7" s="28">
        <f>ROUND((IF(ISBLANK(L7),Employee_Lookups!$O$14,L7)-J7)/365.25,2)</f>
        <v>0.84</v>
      </c>
      <c r="AE7" t="str">
        <f t="shared" si="5"/>
        <v>&lt; 1 Yr (New)</v>
      </c>
      <c r="AF7" t="str">
        <f t="shared" si="6"/>
        <v>Exited</v>
      </c>
    </row>
    <row r="8" spans="1:32" x14ac:dyDescent="0.45">
      <c r="A8" t="s">
        <v>195</v>
      </c>
      <c r="B8" t="s">
        <v>196</v>
      </c>
      <c r="C8" t="s">
        <v>51</v>
      </c>
      <c r="D8" t="s">
        <v>50</v>
      </c>
      <c r="E8" t="s">
        <v>181</v>
      </c>
      <c r="F8" t="s">
        <v>81</v>
      </c>
      <c r="G8" t="s">
        <v>182</v>
      </c>
      <c r="H8" t="s">
        <v>106</v>
      </c>
      <c r="I8" t="s">
        <v>107</v>
      </c>
      <c r="J8" s="26">
        <v>43484</v>
      </c>
      <c r="K8" t="s">
        <v>162</v>
      </c>
      <c r="L8" s="26"/>
      <c r="M8" t="s">
        <v>163</v>
      </c>
      <c r="N8" t="s">
        <v>95</v>
      </c>
      <c r="O8" s="27">
        <v>696000</v>
      </c>
      <c r="P8">
        <v>4</v>
      </c>
      <c r="Q8" t="s">
        <v>172</v>
      </c>
      <c r="R8">
        <v>31</v>
      </c>
      <c r="S8" t="s">
        <v>197</v>
      </c>
      <c r="T8">
        <f t="shared" si="0"/>
        <v>11114</v>
      </c>
      <c r="U8" t="str">
        <f t="shared" si="1"/>
        <v>ENG</v>
      </c>
      <c r="V8" t="str">
        <f t="shared" si="2"/>
        <v>L1</v>
      </c>
      <c r="W8" t="str">
        <f>PROPER(TRIM(VLOOKUP(S8,Employee_Lookups!$I$4:$M$19,2,FALSE())))</f>
        <v>Rohan Verma</v>
      </c>
      <c r="X8" t="str">
        <f>VLOOKUP(C8,Employee_Lookups!$A$4:$G$9,4,FALSE())</f>
        <v>CC-101</v>
      </c>
      <c r="Y8" t="str">
        <f>INDEX(Employee_Lookups!$C$13:$C$17,MATCH(F8,Employee_Lookups!$A$13:$A$17,0))</f>
        <v>Band A (Entry)</v>
      </c>
      <c r="Z8" s="27">
        <f>_xlfn.XLOOKUP(F8,Employee_Lookups!$A$13:$A$17,Employee_Lookups!$E$13:$E$17,0)</f>
        <v>700000</v>
      </c>
      <c r="AA8" s="28">
        <f>ROUND(O8/INDEX(Employee_Lookups!$E$13:$E$17,MATCH(F8,Employee_Lookups!$A$13:$A$17,0)),3)</f>
        <v>0.99399999999999999</v>
      </c>
      <c r="AB8">
        <f t="shared" si="3"/>
        <v>2019</v>
      </c>
      <c r="AC8" t="str">
        <f t="shared" si="4"/>
        <v/>
      </c>
      <c r="AD8" s="28">
        <f>ROUND((IF(ISBLANK(L8),Employee_Lookups!$O$14,L8)-J8)/365.25,2)</f>
        <v>6.95</v>
      </c>
      <c r="AE8" t="str">
        <f t="shared" si="5"/>
        <v>5+ Yrs</v>
      </c>
      <c r="AF8" t="str">
        <f t="shared" si="6"/>
        <v>High Risk</v>
      </c>
    </row>
    <row r="9" spans="1:32" x14ac:dyDescent="0.45">
      <c r="A9" t="s">
        <v>198</v>
      </c>
      <c r="B9" t="s">
        <v>199</v>
      </c>
      <c r="C9" t="s">
        <v>53</v>
      </c>
      <c r="D9" t="s">
        <v>52</v>
      </c>
      <c r="E9" t="s">
        <v>200</v>
      </c>
      <c r="F9" t="s">
        <v>84</v>
      </c>
      <c r="G9" t="s">
        <v>201</v>
      </c>
      <c r="H9" t="s">
        <v>106</v>
      </c>
      <c r="I9" t="s">
        <v>107</v>
      </c>
      <c r="J9" s="26">
        <v>43485</v>
      </c>
      <c r="K9" t="s">
        <v>170</v>
      </c>
      <c r="L9" s="26">
        <v>45713</v>
      </c>
      <c r="M9" t="s">
        <v>171</v>
      </c>
      <c r="N9" t="s">
        <v>95</v>
      </c>
      <c r="O9" s="27">
        <v>3181000</v>
      </c>
      <c r="P9">
        <v>5</v>
      </c>
      <c r="Q9" t="s">
        <v>172</v>
      </c>
      <c r="R9">
        <v>46</v>
      </c>
      <c r="S9" t="s">
        <v>189</v>
      </c>
      <c r="T9">
        <f t="shared" si="0"/>
        <v>11174</v>
      </c>
      <c r="U9" t="str">
        <f t="shared" si="1"/>
        <v>SAL</v>
      </c>
      <c r="V9" t="str">
        <f t="shared" si="2"/>
        <v>L4</v>
      </c>
      <c r="W9" t="str">
        <f>PROPER(TRIM(VLOOKUP(S9,Employee_Lookups!$I$4:$M$19,2,FALSE())))</f>
        <v>Priya Sharma</v>
      </c>
      <c r="X9" t="str">
        <f>VLOOKUP(C9,Employee_Lookups!$A$4:$G$9,4,FALSE())</f>
        <v>CC-202</v>
      </c>
      <c r="Y9" t="str">
        <f>INDEX(Employee_Lookups!$C$13:$C$17,MATCH(F9,Employee_Lookups!$A$13:$A$17,0))</f>
        <v>Band D (Leadership)</v>
      </c>
      <c r="Z9" s="27">
        <f>_xlfn.XLOOKUP(F9,Employee_Lookups!$A$13:$A$17,Employee_Lookups!$E$13:$E$17,0)</f>
        <v>2750000</v>
      </c>
      <c r="AA9" s="28">
        <f>ROUND(O9/INDEX(Employee_Lookups!$E$13:$E$17,MATCH(F9,Employee_Lookups!$A$13:$A$17,0)),3)</f>
        <v>1.157</v>
      </c>
      <c r="AB9">
        <f t="shared" si="3"/>
        <v>2019</v>
      </c>
      <c r="AC9">
        <f t="shared" si="4"/>
        <v>2025</v>
      </c>
      <c r="AD9" s="28">
        <f>ROUND((IF(ISBLANK(L9),Employee_Lookups!$O$14,L9)-J9)/365.25,2)</f>
        <v>6.1</v>
      </c>
      <c r="AE9" t="str">
        <f t="shared" si="5"/>
        <v>5+ Yrs</v>
      </c>
      <c r="AF9" t="str">
        <f t="shared" si="6"/>
        <v>Exited</v>
      </c>
    </row>
    <row r="10" spans="1:32" x14ac:dyDescent="0.45">
      <c r="A10" t="s">
        <v>202</v>
      </c>
      <c r="B10" t="s">
        <v>203</v>
      </c>
      <c r="C10" t="s">
        <v>51</v>
      </c>
      <c r="D10" t="s">
        <v>50</v>
      </c>
      <c r="E10" t="s">
        <v>181</v>
      </c>
      <c r="F10" t="s">
        <v>81</v>
      </c>
      <c r="G10" t="s">
        <v>182</v>
      </c>
      <c r="H10" t="s">
        <v>108</v>
      </c>
      <c r="I10" t="s">
        <v>107</v>
      </c>
      <c r="J10" s="26">
        <v>43486</v>
      </c>
      <c r="K10" t="s">
        <v>170</v>
      </c>
      <c r="L10" s="26">
        <v>43637</v>
      </c>
      <c r="M10" t="s">
        <v>171</v>
      </c>
      <c r="N10" t="s">
        <v>96</v>
      </c>
      <c r="O10" s="27">
        <v>601000</v>
      </c>
      <c r="P10">
        <v>2</v>
      </c>
      <c r="Q10" t="s">
        <v>164</v>
      </c>
      <c r="R10">
        <v>16</v>
      </c>
      <c r="S10" t="s">
        <v>197</v>
      </c>
      <c r="T10">
        <f t="shared" si="0"/>
        <v>10746</v>
      </c>
      <c r="U10" t="str">
        <f t="shared" si="1"/>
        <v>ENG</v>
      </c>
      <c r="V10" t="str">
        <f t="shared" si="2"/>
        <v>L1</v>
      </c>
      <c r="W10" t="str">
        <f>PROPER(TRIM(VLOOKUP(S10,Employee_Lookups!$I$4:$M$19,2,FALSE())))</f>
        <v>Rohan Verma</v>
      </c>
      <c r="X10" t="str">
        <f>VLOOKUP(C10,Employee_Lookups!$A$4:$G$9,4,FALSE())</f>
        <v>CC-101</v>
      </c>
      <c r="Y10" t="str">
        <f>INDEX(Employee_Lookups!$C$13:$C$17,MATCH(F10,Employee_Lookups!$A$13:$A$17,0))</f>
        <v>Band A (Entry)</v>
      </c>
      <c r="Z10" s="27">
        <f>_xlfn.XLOOKUP(F10,Employee_Lookups!$A$13:$A$17,Employee_Lookups!$E$13:$E$17,0)</f>
        <v>700000</v>
      </c>
      <c r="AA10" s="28">
        <f>ROUND(O10/INDEX(Employee_Lookups!$E$13:$E$17,MATCH(F10,Employee_Lookups!$A$13:$A$17,0)),3)</f>
        <v>0.85899999999999999</v>
      </c>
      <c r="AB10">
        <f t="shared" si="3"/>
        <v>2019</v>
      </c>
      <c r="AC10">
        <f t="shared" si="4"/>
        <v>2019</v>
      </c>
      <c r="AD10" s="28">
        <f>ROUND((IF(ISBLANK(L10),Employee_Lookups!$O$14,L10)-J10)/365.25,2)</f>
        <v>0.41</v>
      </c>
      <c r="AE10" t="str">
        <f t="shared" si="5"/>
        <v>&lt; 1 Yr (New)</v>
      </c>
      <c r="AF10" t="str">
        <f t="shared" si="6"/>
        <v>Exited</v>
      </c>
    </row>
    <row r="11" spans="1:32" x14ac:dyDescent="0.45">
      <c r="A11" t="s">
        <v>204</v>
      </c>
      <c r="B11" t="s">
        <v>205</v>
      </c>
      <c r="C11" t="s">
        <v>59</v>
      </c>
      <c r="D11" t="s">
        <v>58</v>
      </c>
      <c r="E11" t="s">
        <v>206</v>
      </c>
      <c r="F11" t="s">
        <v>81</v>
      </c>
      <c r="G11" t="s">
        <v>207</v>
      </c>
      <c r="H11" t="s">
        <v>106</v>
      </c>
      <c r="I11" t="s">
        <v>107</v>
      </c>
      <c r="J11" s="26">
        <v>43492</v>
      </c>
      <c r="K11" t="s">
        <v>162</v>
      </c>
      <c r="L11" s="26"/>
      <c r="M11" t="s">
        <v>163</v>
      </c>
      <c r="N11" t="s">
        <v>96</v>
      </c>
      <c r="O11" s="27">
        <v>757000</v>
      </c>
      <c r="P11">
        <v>5</v>
      </c>
      <c r="Q11" t="s">
        <v>164</v>
      </c>
      <c r="R11">
        <v>25</v>
      </c>
      <c r="S11" t="s">
        <v>208</v>
      </c>
      <c r="T11">
        <f t="shared" si="0"/>
        <v>11431</v>
      </c>
      <c r="U11" t="str">
        <f t="shared" si="1"/>
        <v>FIN</v>
      </c>
      <c r="V11" t="str">
        <f t="shared" si="2"/>
        <v>L1</v>
      </c>
      <c r="W11" t="str">
        <f>PROPER(TRIM(VLOOKUP(S11,Employee_Lookups!$I$4:$M$19,2,FALSE())))</f>
        <v>Rajeshwari Rao</v>
      </c>
      <c r="X11" t="str">
        <f>VLOOKUP(C11,Employee_Lookups!$A$4:$G$9,4,FALSE())</f>
        <v>CC-404</v>
      </c>
      <c r="Y11" t="str">
        <f>INDEX(Employee_Lookups!$C$13:$C$17,MATCH(F11,Employee_Lookups!$A$13:$A$17,0))</f>
        <v>Band A (Entry)</v>
      </c>
      <c r="Z11" s="27">
        <f>_xlfn.XLOOKUP(F11,Employee_Lookups!$A$13:$A$17,Employee_Lookups!$E$13:$E$17,0)</f>
        <v>700000</v>
      </c>
      <c r="AA11" s="28">
        <f>ROUND(O11/INDEX(Employee_Lookups!$E$13:$E$17,MATCH(F11,Employee_Lookups!$A$13:$A$17,0)),3)</f>
        <v>1.081</v>
      </c>
      <c r="AB11">
        <f t="shared" si="3"/>
        <v>2019</v>
      </c>
      <c r="AC11" t="str">
        <f t="shared" si="4"/>
        <v/>
      </c>
      <c r="AD11" s="28">
        <f>ROUND((IF(ISBLANK(L11),Employee_Lookups!$O$14,L11)-J11)/365.25,2)</f>
        <v>6.93</v>
      </c>
      <c r="AE11" t="str">
        <f t="shared" si="5"/>
        <v>5+ Yrs</v>
      </c>
      <c r="AF11" t="str">
        <f t="shared" si="6"/>
        <v>Low Risk</v>
      </c>
    </row>
    <row r="12" spans="1:32" x14ac:dyDescent="0.45">
      <c r="A12" t="s">
        <v>209</v>
      </c>
      <c r="B12" t="s">
        <v>210</v>
      </c>
      <c r="C12" t="s">
        <v>59</v>
      </c>
      <c r="D12" t="s">
        <v>58</v>
      </c>
      <c r="E12" t="s">
        <v>211</v>
      </c>
      <c r="F12" t="s">
        <v>82</v>
      </c>
      <c r="G12" t="s">
        <v>212</v>
      </c>
      <c r="H12" t="s">
        <v>106</v>
      </c>
      <c r="I12" t="s">
        <v>107</v>
      </c>
      <c r="J12" s="26">
        <v>43504</v>
      </c>
      <c r="K12" t="s">
        <v>187</v>
      </c>
      <c r="L12" s="26">
        <v>43692</v>
      </c>
      <c r="M12" t="s">
        <v>213</v>
      </c>
      <c r="N12" t="s">
        <v>99</v>
      </c>
      <c r="O12" s="27">
        <v>1215000</v>
      </c>
      <c r="P12">
        <v>3</v>
      </c>
      <c r="Q12" t="s">
        <v>164</v>
      </c>
      <c r="R12">
        <v>38</v>
      </c>
      <c r="S12" t="s">
        <v>214</v>
      </c>
      <c r="T12">
        <f t="shared" si="0"/>
        <v>10360</v>
      </c>
      <c r="U12" t="str">
        <f t="shared" si="1"/>
        <v>FIN</v>
      </c>
      <c r="V12" t="str">
        <f t="shared" si="2"/>
        <v>L2</v>
      </c>
      <c r="W12" t="str">
        <f>PROPER(TRIM(VLOOKUP(S12,Employee_Lookups!$I$4:$M$19,2,FALSE())))</f>
        <v>Aditya Gokhale</v>
      </c>
      <c r="X12" t="str">
        <f>VLOOKUP(C12,Employee_Lookups!$A$4:$G$9,4,FALSE())</f>
        <v>CC-404</v>
      </c>
      <c r="Y12" t="str">
        <f>INDEX(Employee_Lookups!$C$13:$C$17,MATCH(F12,Employee_Lookups!$A$13:$A$17,0))</f>
        <v>Band B (Mid)</v>
      </c>
      <c r="Z12" s="27">
        <f>_xlfn.XLOOKUP(F12,Employee_Lookups!$A$13:$A$17,Employee_Lookups!$E$13:$E$17,0)</f>
        <v>1100000</v>
      </c>
      <c r="AA12" s="28">
        <f>ROUND(O12/INDEX(Employee_Lookups!$E$13:$E$17,MATCH(F12,Employee_Lookups!$A$13:$A$17,0)),3)</f>
        <v>1.105</v>
      </c>
      <c r="AB12">
        <f t="shared" si="3"/>
        <v>2019</v>
      </c>
      <c r="AC12">
        <f t="shared" si="4"/>
        <v>2019</v>
      </c>
      <c r="AD12" s="28">
        <f>ROUND((IF(ISBLANK(L12),Employee_Lookups!$O$14,L12)-J12)/365.25,2)</f>
        <v>0.51</v>
      </c>
      <c r="AE12" t="str">
        <f t="shared" si="5"/>
        <v>&lt; 1 Yr (New)</v>
      </c>
      <c r="AF12" t="str">
        <f t="shared" si="6"/>
        <v>Exited</v>
      </c>
    </row>
    <row r="13" spans="1:32" x14ac:dyDescent="0.45">
      <c r="A13" t="s">
        <v>215</v>
      </c>
      <c r="B13" t="s">
        <v>216</v>
      </c>
      <c r="C13" t="s">
        <v>51</v>
      </c>
      <c r="D13" t="s">
        <v>50</v>
      </c>
      <c r="E13" t="s">
        <v>217</v>
      </c>
      <c r="F13" t="s">
        <v>83</v>
      </c>
      <c r="G13" t="s">
        <v>218</v>
      </c>
      <c r="H13" t="s">
        <v>108</v>
      </c>
      <c r="I13" t="s">
        <v>107</v>
      </c>
      <c r="J13" s="26">
        <v>43508</v>
      </c>
      <c r="K13" t="s">
        <v>170</v>
      </c>
      <c r="L13" s="26">
        <v>43803</v>
      </c>
      <c r="M13" t="s">
        <v>171</v>
      </c>
      <c r="N13" t="s">
        <v>99</v>
      </c>
      <c r="O13" s="27">
        <v>2001000</v>
      </c>
      <c r="P13">
        <v>4</v>
      </c>
      <c r="Q13" t="s">
        <v>172</v>
      </c>
      <c r="R13">
        <v>32</v>
      </c>
      <c r="S13" t="s">
        <v>219</v>
      </c>
      <c r="T13">
        <f t="shared" si="0"/>
        <v>10920</v>
      </c>
      <c r="U13" t="str">
        <f t="shared" si="1"/>
        <v>ENG</v>
      </c>
      <c r="V13" t="str">
        <f t="shared" si="2"/>
        <v>L3</v>
      </c>
      <c r="W13" t="str">
        <f>PROPER(TRIM(VLOOKUP(S13,Employee_Lookups!$I$4:$M$19,2,FALSE())))</f>
        <v>Neha Kulkarni</v>
      </c>
      <c r="X13" t="str">
        <f>VLOOKUP(C13,Employee_Lookups!$A$4:$G$9,4,FALSE())</f>
        <v>CC-101</v>
      </c>
      <c r="Y13" t="str">
        <f>INDEX(Employee_Lookups!$C$13:$C$17,MATCH(F13,Employee_Lookups!$A$13:$A$17,0))</f>
        <v>Band C (Senior)</v>
      </c>
      <c r="Z13" s="27">
        <f>_xlfn.XLOOKUP(F13,Employee_Lookups!$A$13:$A$17,Employee_Lookups!$E$13:$E$17,0)</f>
        <v>1725000</v>
      </c>
      <c r="AA13" s="28">
        <f>ROUND(O13/INDEX(Employee_Lookups!$E$13:$E$17,MATCH(F13,Employee_Lookups!$A$13:$A$17,0)),3)</f>
        <v>1.1599999999999999</v>
      </c>
      <c r="AB13">
        <f t="shared" si="3"/>
        <v>2019</v>
      </c>
      <c r="AC13">
        <f t="shared" si="4"/>
        <v>2019</v>
      </c>
      <c r="AD13" s="28">
        <f>ROUND((IF(ISBLANK(L13),Employee_Lookups!$O$14,L13)-J13)/365.25,2)</f>
        <v>0.81</v>
      </c>
      <c r="AE13" t="str">
        <f t="shared" si="5"/>
        <v>&lt; 1 Yr (New)</v>
      </c>
      <c r="AF13" t="str">
        <f t="shared" si="6"/>
        <v>Exited</v>
      </c>
    </row>
    <row r="14" spans="1:32" x14ac:dyDescent="0.45">
      <c r="A14" t="s">
        <v>220</v>
      </c>
      <c r="B14" t="s">
        <v>221</v>
      </c>
      <c r="C14" t="s">
        <v>57</v>
      </c>
      <c r="D14" t="s">
        <v>56</v>
      </c>
      <c r="E14" t="s">
        <v>222</v>
      </c>
      <c r="F14" t="s">
        <v>82</v>
      </c>
      <c r="G14" t="s">
        <v>223</v>
      </c>
      <c r="H14" t="s">
        <v>106</v>
      </c>
      <c r="I14" t="s">
        <v>107</v>
      </c>
      <c r="J14" s="26">
        <v>43516</v>
      </c>
      <c r="K14" t="s">
        <v>187</v>
      </c>
      <c r="L14" s="26">
        <v>44142</v>
      </c>
      <c r="M14" t="s">
        <v>213</v>
      </c>
      <c r="N14" t="s">
        <v>99</v>
      </c>
      <c r="O14" s="27">
        <v>1160000</v>
      </c>
      <c r="P14">
        <v>5</v>
      </c>
      <c r="Q14" t="s">
        <v>164</v>
      </c>
      <c r="R14">
        <v>38</v>
      </c>
      <c r="S14" t="s">
        <v>224</v>
      </c>
      <c r="T14">
        <f t="shared" si="0"/>
        <v>10123</v>
      </c>
      <c r="U14" t="str">
        <f t="shared" si="1"/>
        <v>MKT</v>
      </c>
      <c r="V14" t="str">
        <f t="shared" si="2"/>
        <v>L2</v>
      </c>
      <c r="W14" t="str">
        <f>PROPER(TRIM(VLOOKUP(S14,Employee_Lookups!$I$4:$M$19,2,FALSE())))</f>
        <v>Tanvi Chitnis</v>
      </c>
      <c r="X14" t="str">
        <f>VLOOKUP(C14,Employee_Lookups!$A$4:$G$9,4,FALSE())</f>
        <v>CC-606</v>
      </c>
      <c r="Y14" t="str">
        <f>INDEX(Employee_Lookups!$C$13:$C$17,MATCH(F14,Employee_Lookups!$A$13:$A$17,0))</f>
        <v>Band B (Mid)</v>
      </c>
      <c r="Z14" s="27">
        <f>_xlfn.XLOOKUP(F14,Employee_Lookups!$A$13:$A$17,Employee_Lookups!$E$13:$E$17,0)</f>
        <v>1100000</v>
      </c>
      <c r="AA14" s="28">
        <f>ROUND(O14/INDEX(Employee_Lookups!$E$13:$E$17,MATCH(F14,Employee_Lookups!$A$13:$A$17,0)),3)</f>
        <v>1.0549999999999999</v>
      </c>
      <c r="AB14">
        <f t="shared" si="3"/>
        <v>2019</v>
      </c>
      <c r="AC14">
        <f t="shared" si="4"/>
        <v>2020</v>
      </c>
      <c r="AD14" s="28">
        <f>ROUND((IF(ISBLANK(L14),Employee_Lookups!$O$14,L14)-J14)/365.25,2)</f>
        <v>1.71</v>
      </c>
      <c r="AE14" t="str">
        <f t="shared" si="5"/>
        <v>1 - 3 Yrs</v>
      </c>
      <c r="AF14" t="str">
        <f t="shared" si="6"/>
        <v>Exited</v>
      </c>
    </row>
    <row r="15" spans="1:32" x14ac:dyDescent="0.45">
      <c r="A15" t="s">
        <v>225</v>
      </c>
      <c r="B15" t="s">
        <v>226</v>
      </c>
      <c r="C15" t="s">
        <v>51</v>
      </c>
      <c r="D15" t="s">
        <v>50</v>
      </c>
      <c r="E15" t="s">
        <v>176</v>
      </c>
      <c r="F15" t="s">
        <v>82</v>
      </c>
      <c r="G15" t="s">
        <v>177</v>
      </c>
      <c r="H15" t="s">
        <v>108</v>
      </c>
      <c r="I15" t="s">
        <v>107</v>
      </c>
      <c r="J15" s="26">
        <v>43518</v>
      </c>
      <c r="K15" t="s">
        <v>162</v>
      </c>
      <c r="L15" s="26"/>
      <c r="M15" t="s">
        <v>163</v>
      </c>
      <c r="N15" t="s">
        <v>99</v>
      </c>
      <c r="O15" s="27">
        <v>1121000</v>
      </c>
      <c r="P15">
        <v>3</v>
      </c>
      <c r="Q15" t="s">
        <v>172</v>
      </c>
      <c r="R15">
        <v>20</v>
      </c>
      <c r="S15" t="s">
        <v>178</v>
      </c>
      <c r="T15">
        <f t="shared" si="0"/>
        <v>10426</v>
      </c>
      <c r="U15" t="str">
        <f t="shared" si="1"/>
        <v>ENG</v>
      </c>
      <c r="V15" t="str">
        <f t="shared" si="2"/>
        <v>L2</v>
      </c>
      <c r="W15" t="str">
        <f>PROPER(TRIM(VLOOKUP(S15,Employee_Lookups!$I$4:$M$19,2,FALSE())))</f>
        <v>Aarav Deshmukh</v>
      </c>
      <c r="X15" t="str">
        <f>VLOOKUP(C15,Employee_Lookups!$A$4:$G$9,4,FALSE())</f>
        <v>CC-101</v>
      </c>
      <c r="Y15" t="str">
        <f>INDEX(Employee_Lookups!$C$13:$C$17,MATCH(F15,Employee_Lookups!$A$13:$A$17,0))</f>
        <v>Band B (Mid)</v>
      </c>
      <c r="Z15" s="27">
        <f>_xlfn.XLOOKUP(F15,Employee_Lookups!$A$13:$A$17,Employee_Lookups!$E$13:$E$17,0)</f>
        <v>1100000</v>
      </c>
      <c r="AA15" s="28">
        <f>ROUND(O15/INDEX(Employee_Lookups!$E$13:$E$17,MATCH(F15,Employee_Lookups!$A$13:$A$17,0)),3)</f>
        <v>1.0189999999999999</v>
      </c>
      <c r="AB15">
        <f t="shared" si="3"/>
        <v>2019</v>
      </c>
      <c r="AC15" t="str">
        <f t="shared" si="4"/>
        <v/>
      </c>
      <c r="AD15" s="28">
        <f>ROUND((IF(ISBLANK(L15),Employee_Lookups!$O$14,L15)-J15)/365.25,2)</f>
        <v>6.86</v>
      </c>
      <c r="AE15" t="str">
        <f t="shared" si="5"/>
        <v>5+ Yrs</v>
      </c>
      <c r="AF15" t="str">
        <f t="shared" si="6"/>
        <v>Moderate Risk</v>
      </c>
    </row>
    <row r="16" spans="1:32" x14ac:dyDescent="0.45">
      <c r="A16" t="s">
        <v>227</v>
      </c>
      <c r="B16" t="s">
        <v>228</v>
      </c>
      <c r="C16" t="s">
        <v>55</v>
      </c>
      <c r="D16" t="s">
        <v>54</v>
      </c>
      <c r="E16" t="s">
        <v>229</v>
      </c>
      <c r="F16" t="s">
        <v>82</v>
      </c>
      <c r="G16" t="s">
        <v>230</v>
      </c>
      <c r="H16" t="s">
        <v>106</v>
      </c>
      <c r="I16" t="s">
        <v>107</v>
      </c>
      <c r="J16" s="26">
        <v>43521</v>
      </c>
      <c r="K16" t="s">
        <v>162</v>
      </c>
      <c r="L16" s="26"/>
      <c r="M16" t="s">
        <v>163</v>
      </c>
      <c r="N16" t="s">
        <v>97</v>
      </c>
      <c r="O16" s="27">
        <v>905000</v>
      </c>
      <c r="P16">
        <v>3</v>
      </c>
      <c r="Q16" t="s">
        <v>172</v>
      </c>
      <c r="R16">
        <v>37</v>
      </c>
      <c r="S16" t="s">
        <v>173</v>
      </c>
      <c r="T16">
        <f t="shared" si="0"/>
        <v>10013</v>
      </c>
      <c r="U16" t="str">
        <f t="shared" si="1"/>
        <v>OPS</v>
      </c>
      <c r="V16" t="str">
        <f t="shared" si="2"/>
        <v>L2</v>
      </c>
      <c r="W16" t="str">
        <f>PROPER(TRIM(VLOOKUP(S16,Employee_Lookups!$I$4:$M$19,2,FALSE())))</f>
        <v>Deepak Patil</v>
      </c>
      <c r="X16" t="str">
        <f>VLOOKUP(C16,Employee_Lookups!$A$4:$G$9,4,FALSE())</f>
        <v>CC-303</v>
      </c>
      <c r="Y16" t="str">
        <f>INDEX(Employee_Lookups!$C$13:$C$17,MATCH(F16,Employee_Lookups!$A$13:$A$17,0))</f>
        <v>Band B (Mid)</v>
      </c>
      <c r="Z16" s="27">
        <f>_xlfn.XLOOKUP(F16,Employee_Lookups!$A$13:$A$17,Employee_Lookups!$E$13:$E$17,0)</f>
        <v>1100000</v>
      </c>
      <c r="AA16" s="28">
        <f>ROUND(O16/INDEX(Employee_Lookups!$E$13:$E$17,MATCH(F16,Employee_Lookups!$A$13:$A$17,0)),3)</f>
        <v>0.82299999999999995</v>
      </c>
      <c r="AB16">
        <f t="shared" si="3"/>
        <v>2019</v>
      </c>
      <c r="AC16" t="str">
        <f t="shared" si="4"/>
        <v/>
      </c>
      <c r="AD16" s="28">
        <f>ROUND((IF(ISBLANK(L16),Employee_Lookups!$O$14,L16)-J16)/365.25,2)</f>
        <v>6.85</v>
      </c>
      <c r="AE16" t="str">
        <f t="shared" si="5"/>
        <v>5+ Yrs</v>
      </c>
      <c r="AF16" t="str">
        <f t="shared" si="6"/>
        <v>High Risk</v>
      </c>
    </row>
    <row r="17" spans="1:32" x14ac:dyDescent="0.45">
      <c r="A17" t="s">
        <v>231</v>
      </c>
      <c r="B17" t="s">
        <v>232</v>
      </c>
      <c r="C17" t="s">
        <v>57</v>
      </c>
      <c r="D17" t="s">
        <v>56</v>
      </c>
      <c r="E17" t="s">
        <v>160</v>
      </c>
      <c r="F17" t="s">
        <v>81</v>
      </c>
      <c r="G17" t="s">
        <v>161</v>
      </c>
      <c r="H17" t="s">
        <v>109</v>
      </c>
      <c r="I17" t="s">
        <v>110</v>
      </c>
      <c r="J17" s="26">
        <v>43530</v>
      </c>
      <c r="K17" t="s">
        <v>187</v>
      </c>
      <c r="L17" s="26">
        <v>45397</v>
      </c>
      <c r="M17" t="s">
        <v>188</v>
      </c>
      <c r="N17" t="s">
        <v>98</v>
      </c>
      <c r="O17" s="27">
        <v>565000</v>
      </c>
      <c r="P17">
        <v>3</v>
      </c>
      <c r="Q17" t="s">
        <v>164</v>
      </c>
      <c r="R17">
        <v>24</v>
      </c>
      <c r="S17" t="s">
        <v>224</v>
      </c>
      <c r="T17">
        <f t="shared" si="0"/>
        <v>10687</v>
      </c>
      <c r="U17" t="str">
        <f t="shared" si="1"/>
        <v>MKT</v>
      </c>
      <c r="V17" t="str">
        <f t="shared" si="2"/>
        <v>L1</v>
      </c>
      <c r="W17" t="str">
        <f>PROPER(TRIM(VLOOKUP(S17,Employee_Lookups!$I$4:$M$19,2,FALSE())))</f>
        <v>Tanvi Chitnis</v>
      </c>
      <c r="X17" t="str">
        <f>VLOOKUP(C17,Employee_Lookups!$A$4:$G$9,4,FALSE())</f>
        <v>CC-606</v>
      </c>
      <c r="Y17" t="str">
        <f>INDEX(Employee_Lookups!$C$13:$C$17,MATCH(F17,Employee_Lookups!$A$13:$A$17,0))</f>
        <v>Band A (Entry)</v>
      </c>
      <c r="Z17" s="27">
        <f>_xlfn.XLOOKUP(F17,Employee_Lookups!$A$13:$A$17,Employee_Lookups!$E$13:$E$17,0)</f>
        <v>700000</v>
      </c>
      <c r="AA17" s="28">
        <f>ROUND(O17/INDEX(Employee_Lookups!$E$13:$E$17,MATCH(F17,Employee_Lookups!$A$13:$A$17,0)),3)</f>
        <v>0.80700000000000005</v>
      </c>
      <c r="AB17">
        <f t="shared" si="3"/>
        <v>2019</v>
      </c>
      <c r="AC17">
        <f t="shared" si="4"/>
        <v>2024</v>
      </c>
      <c r="AD17" s="28">
        <f>ROUND((IF(ISBLANK(L17),Employee_Lookups!$O$14,L17)-J17)/365.25,2)</f>
        <v>5.1100000000000003</v>
      </c>
      <c r="AE17" t="str">
        <f t="shared" si="5"/>
        <v>5+ Yrs</v>
      </c>
      <c r="AF17" t="str">
        <f t="shared" si="6"/>
        <v>Exited</v>
      </c>
    </row>
    <row r="18" spans="1:32" x14ac:dyDescent="0.45">
      <c r="A18" t="s">
        <v>233</v>
      </c>
      <c r="B18" t="s">
        <v>234</v>
      </c>
      <c r="C18" t="s">
        <v>59</v>
      </c>
      <c r="D18" t="s">
        <v>58</v>
      </c>
      <c r="E18" t="s">
        <v>206</v>
      </c>
      <c r="F18" t="s">
        <v>81</v>
      </c>
      <c r="G18" t="s">
        <v>207</v>
      </c>
      <c r="H18" t="s">
        <v>108</v>
      </c>
      <c r="I18" t="s">
        <v>107</v>
      </c>
      <c r="J18" s="26">
        <v>43531</v>
      </c>
      <c r="K18" t="s">
        <v>187</v>
      </c>
      <c r="L18" s="26">
        <v>43742</v>
      </c>
      <c r="M18" t="s">
        <v>213</v>
      </c>
      <c r="N18" t="s">
        <v>95</v>
      </c>
      <c r="O18" s="27">
        <v>651000</v>
      </c>
      <c r="P18">
        <v>3</v>
      </c>
      <c r="Q18" t="s">
        <v>164</v>
      </c>
      <c r="R18">
        <v>19</v>
      </c>
      <c r="S18" t="s">
        <v>214</v>
      </c>
      <c r="T18">
        <f t="shared" si="0"/>
        <v>10004</v>
      </c>
      <c r="U18" t="str">
        <f t="shared" si="1"/>
        <v>FIN</v>
      </c>
      <c r="V18" t="str">
        <f t="shared" si="2"/>
        <v>L1</v>
      </c>
      <c r="W18" t="str">
        <f>PROPER(TRIM(VLOOKUP(S18,Employee_Lookups!$I$4:$M$19,2,FALSE())))</f>
        <v>Aditya Gokhale</v>
      </c>
      <c r="X18" t="str">
        <f>VLOOKUP(C18,Employee_Lookups!$A$4:$G$9,4,FALSE())</f>
        <v>CC-404</v>
      </c>
      <c r="Y18" t="str">
        <f>INDEX(Employee_Lookups!$C$13:$C$17,MATCH(F18,Employee_Lookups!$A$13:$A$17,0))</f>
        <v>Band A (Entry)</v>
      </c>
      <c r="Z18" s="27">
        <f>_xlfn.XLOOKUP(F18,Employee_Lookups!$A$13:$A$17,Employee_Lookups!$E$13:$E$17,0)</f>
        <v>700000</v>
      </c>
      <c r="AA18" s="28">
        <f>ROUND(O18/INDEX(Employee_Lookups!$E$13:$E$17,MATCH(F18,Employee_Lookups!$A$13:$A$17,0)),3)</f>
        <v>0.93</v>
      </c>
      <c r="AB18">
        <f t="shared" si="3"/>
        <v>2019</v>
      </c>
      <c r="AC18">
        <f t="shared" si="4"/>
        <v>2019</v>
      </c>
      <c r="AD18" s="28">
        <f>ROUND((IF(ISBLANK(L18),Employee_Lookups!$O$14,L18)-J18)/365.25,2)</f>
        <v>0.57999999999999996</v>
      </c>
      <c r="AE18" t="str">
        <f t="shared" si="5"/>
        <v>&lt; 1 Yr (New)</v>
      </c>
      <c r="AF18" t="str">
        <f t="shared" si="6"/>
        <v>Exited</v>
      </c>
    </row>
    <row r="19" spans="1:32" x14ac:dyDescent="0.45">
      <c r="A19" t="s">
        <v>235</v>
      </c>
      <c r="B19" t="s">
        <v>236</v>
      </c>
      <c r="C19" t="s">
        <v>53</v>
      </c>
      <c r="D19" t="s">
        <v>52</v>
      </c>
      <c r="E19" t="s">
        <v>185</v>
      </c>
      <c r="F19" t="s">
        <v>82</v>
      </c>
      <c r="G19" t="s">
        <v>186</v>
      </c>
      <c r="H19" t="s">
        <v>106</v>
      </c>
      <c r="I19" t="s">
        <v>107</v>
      </c>
      <c r="J19" s="26">
        <v>43533</v>
      </c>
      <c r="K19" t="s">
        <v>162</v>
      </c>
      <c r="L19" s="26"/>
      <c r="M19" t="s">
        <v>163</v>
      </c>
      <c r="N19" t="s">
        <v>97</v>
      </c>
      <c r="O19" s="27">
        <v>1150000</v>
      </c>
      <c r="P19">
        <v>3</v>
      </c>
      <c r="Q19" t="s">
        <v>164</v>
      </c>
      <c r="R19">
        <v>34</v>
      </c>
      <c r="S19" t="s">
        <v>237</v>
      </c>
      <c r="T19">
        <f t="shared" si="0"/>
        <v>11084</v>
      </c>
      <c r="U19" t="str">
        <f t="shared" si="1"/>
        <v>SAL</v>
      </c>
      <c r="V19" t="str">
        <f t="shared" si="2"/>
        <v>L2</v>
      </c>
      <c r="W19" t="str">
        <f>PROPER(TRIM(VLOOKUP(S19,Employee_Lookups!$I$4:$M$19,2,FALSE())))</f>
        <v>Karan Malhotra</v>
      </c>
      <c r="X19" t="str">
        <f>VLOOKUP(C19,Employee_Lookups!$A$4:$G$9,4,FALSE())</f>
        <v>CC-202</v>
      </c>
      <c r="Y19" t="str">
        <f>INDEX(Employee_Lookups!$C$13:$C$17,MATCH(F19,Employee_Lookups!$A$13:$A$17,0))</f>
        <v>Band B (Mid)</v>
      </c>
      <c r="Z19" s="27">
        <f>_xlfn.XLOOKUP(F19,Employee_Lookups!$A$13:$A$17,Employee_Lookups!$E$13:$E$17,0)</f>
        <v>1100000</v>
      </c>
      <c r="AA19" s="28">
        <f>ROUND(O19/INDEX(Employee_Lookups!$E$13:$E$17,MATCH(F19,Employee_Lookups!$A$13:$A$17,0)),3)</f>
        <v>1.0449999999999999</v>
      </c>
      <c r="AB19">
        <f t="shared" si="3"/>
        <v>2019</v>
      </c>
      <c r="AC19" t="str">
        <f t="shared" si="4"/>
        <v/>
      </c>
      <c r="AD19" s="28">
        <f>ROUND((IF(ISBLANK(L19),Employee_Lookups!$O$14,L19)-J19)/365.25,2)</f>
        <v>6.81</v>
      </c>
      <c r="AE19" t="str">
        <f t="shared" si="5"/>
        <v>5+ Yrs</v>
      </c>
      <c r="AF19" t="str">
        <f t="shared" si="6"/>
        <v>Low Risk</v>
      </c>
    </row>
    <row r="20" spans="1:32" x14ac:dyDescent="0.45">
      <c r="A20" t="s">
        <v>238</v>
      </c>
      <c r="B20" t="s">
        <v>239</v>
      </c>
      <c r="C20" t="s">
        <v>55</v>
      </c>
      <c r="D20" t="s">
        <v>54</v>
      </c>
      <c r="E20" t="s">
        <v>240</v>
      </c>
      <c r="F20" t="s">
        <v>83</v>
      </c>
      <c r="G20" t="s">
        <v>241</v>
      </c>
      <c r="H20" t="s">
        <v>109</v>
      </c>
      <c r="I20" t="s">
        <v>110</v>
      </c>
      <c r="J20" s="26">
        <v>43535</v>
      </c>
      <c r="K20" t="s">
        <v>162</v>
      </c>
      <c r="L20" s="26"/>
      <c r="M20" t="s">
        <v>163</v>
      </c>
      <c r="N20" t="s">
        <v>95</v>
      </c>
      <c r="O20" s="27">
        <v>1528000</v>
      </c>
      <c r="P20">
        <v>3</v>
      </c>
      <c r="Q20" t="s">
        <v>164</v>
      </c>
      <c r="R20">
        <v>38</v>
      </c>
      <c r="S20" t="s">
        <v>173</v>
      </c>
      <c r="T20">
        <f t="shared" si="0"/>
        <v>10414</v>
      </c>
      <c r="U20" t="str">
        <f t="shared" si="1"/>
        <v>OPS</v>
      </c>
      <c r="V20" t="str">
        <f t="shared" si="2"/>
        <v>L3</v>
      </c>
      <c r="W20" t="str">
        <f>PROPER(TRIM(VLOOKUP(S20,Employee_Lookups!$I$4:$M$19,2,FALSE())))</f>
        <v>Deepak Patil</v>
      </c>
      <c r="X20" t="str">
        <f>VLOOKUP(C20,Employee_Lookups!$A$4:$G$9,4,FALSE())</f>
        <v>CC-303</v>
      </c>
      <c r="Y20" t="str">
        <f>INDEX(Employee_Lookups!$C$13:$C$17,MATCH(F20,Employee_Lookups!$A$13:$A$17,0))</f>
        <v>Band C (Senior)</v>
      </c>
      <c r="Z20" s="27">
        <f>_xlfn.XLOOKUP(F20,Employee_Lookups!$A$13:$A$17,Employee_Lookups!$E$13:$E$17,0)</f>
        <v>1725000</v>
      </c>
      <c r="AA20" s="28">
        <f>ROUND(O20/INDEX(Employee_Lookups!$E$13:$E$17,MATCH(F20,Employee_Lookups!$A$13:$A$17,0)),3)</f>
        <v>0.88600000000000001</v>
      </c>
      <c r="AB20">
        <f t="shared" si="3"/>
        <v>2019</v>
      </c>
      <c r="AC20" t="str">
        <f t="shared" si="4"/>
        <v/>
      </c>
      <c r="AD20" s="28">
        <f>ROUND((IF(ISBLANK(L20),Employee_Lookups!$O$14,L20)-J20)/365.25,2)</f>
        <v>6.81</v>
      </c>
      <c r="AE20" t="str">
        <f t="shared" si="5"/>
        <v>5+ Yrs</v>
      </c>
      <c r="AF20" t="str">
        <f t="shared" si="6"/>
        <v>Low Risk</v>
      </c>
    </row>
    <row r="21" spans="1:32" x14ac:dyDescent="0.45">
      <c r="A21" t="s">
        <v>242</v>
      </c>
      <c r="B21" t="s">
        <v>243</v>
      </c>
      <c r="C21" t="s">
        <v>51</v>
      </c>
      <c r="D21" t="s">
        <v>50</v>
      </c>
      <c r="E21" t="s">
        <v>217</v>
      </c>
      <c r="F21" t="s">
        <v>83</v>
      </c>
      <c r="G21" t="s">
        <v>218</v>
      </c>
      <c r="H21" t="s">
        <v>112</v>
      </c>
      <c r="I21" t="s">
        <v>113</v>
      </c>
      <c r="J21" s="26">
        <v>43536</v>
      </c>
      <c r="K21" t="s">
        <v>162</v>
      </c>
      <c r="L21" s="26"/>
      <c r="M21" t="s">
        <v>163</v>
      </c>
      <c r="N21" t="s">
        <v>99</v>
      </c>
      <c r="O21" s="27">
        <v>1603000</v>
      </c>
      <c r="P21">
        <v>2</v>
      </c>
      <c r="Q21" t="s">
        <v>164</v>
      </c>
      <c r="R21">
        <v>31</v>
      </c>
      <c r="S21" t="s">
        <v>244</v>
      </c>
      <c r="T21">
        <f t="shared" si="0"/>
        <v>11177</v>
      </c>
      <c r="U21" t="str">
        <f t="shared" si="1"/>
        <v>ENG</v>
      </c>
      <c r="V21" t="str">
        <f t="shared" si="2"/>
        <v>L3</v>
      </c>
      <c r="W21" t="str">
        <f>PROPER(TRIM(VLOOKUP(S21,Employee_Lookups!$I$4:$M$19,2,FALSE())))</f>
        <v>Siddharth Nair</v>
      </c>
      <c r="X21" t="str">
        <f>VLOOKUP(C21,Employee_Lookups!$A$4:$G$9,4,FALSE())</f>
        <v>CC-101</v>
      </c>
      <c r="Y21" t="str">
        <f>INDEX(Employee_Lookups!$C$13:$C$17,MATCH(F21,Employee_Lookups!$A$13:$A$17,0))</f>
        <v>Band C (Senior)</v>
      </c>
      <c r="Z21" s="27">
        <f>_xlfn.XLOOKUP(F21,Employee_Lookups!$A$13:$A$17,Employee_Lookups!$E$13:$E$17,0)</f>
        <v>1725000</v>
      </c>
      <c r="AA21" s="28">
        <f>ROUND(O21/INDEX(Employee_Lookups!$E$13:$E$17,MATCH(F21,Employee_Lookups!$A$13:$A$17,0)),3)</f>
        <v>0.92900000000000005</v>
      </c>
      <c r="AB21">
        <f t="shared" si="3"/>
        <v>2019</v>
      </c>
      <c r="AC21" t="str">
        <f t="shared" si="4"/>
        <v/>
      </c>
      <c r="AD21" s="28">
        <f>ROUND((IF(ISBLANK(L21),Employee_Lookups!$O$14,L21)-J21)/365.25,2)</f>
        <v>6.81</v>
      </c>
      <c r="AE21" t="str">
        <f t="shared" si="5"/>
        <v>5+ Yrs</v>
      </c>
      <c r="AF21" t="str">
        <f t="shared" si="6"/>
        <v>Moderate Risk</v>
      </c>
    </row>
    <row r="22" spans="1:32" x14ac:dyDescent="0.45">
      <c r="A22" t="s">
        <v>245</v>
      </c>
      <c r="B22" t="s">
        <v>246</v>
      </c>
      <c r="C22" t="s">
        <v>53</v>
      </c>
      <c r="D22" t="s">
        <v>52</v>
      </c>
      <c r="E22" t="s">
        <v>192</v>
      </c>
      <c r="F22" t="s">
        <v>83</v>
      </c>
      <c r="G22" t="s">
        <v>193</v>
      </c>
      <c r="H22" t="s">
        <v>109</v>
      </c>
      <c r="I22" t="s">
        <v>110</v>
      </c>
      <c r="J22" s="26">
        <v>43539</v>
      </c>
      <c r="K22" t="s">
        <v>162</v>
      </c>
      <c r="L22" s="26"/>
      <c r="M22" t="s">
        <v>163</v>
      </c>
      <c r="N22" t="s">
        <v>99</v>
      </c>
      <c r="O22" s="27">
        <v>1764000</v>
      </c>
      <c r="P22">
        <v>3</v>
      </c>
      <c r="Q22" t="s">
        <v>164</v>
      </c>
      <c r="R22">
        <v>45</v>
      </c>
      <c r="S22" t="s">
        <v>237</v>
      </c>
      <c r="T22">
        <f t="shared" si="0"/>
        <v>10739</v>
      </c>
      <c r="U22" t="str">
        <f t="shared" si="1"/>
        <v>SAL</v>
      </c>
      <c r="V22" t="str">
        <f t="shared" si="2"/>
        <v>L3</v>
      </c>
      <c r="W22" t="str">
        <f>PROPER(TRIM(VLOOKUP(S22,Employee_Lookups!$I$4:$M$19,2,FALSE())))</f>
        <v>Karan Malhotra</v>
      </c>
      <c r="X22" t="str">
        <f>VLOOKUP(C22,Employee_Lookups!$A$4:$G$9,4,FALSE())</f>
        <v>CC-202</v>
      </c>
      <c r="Y22" t="str">
        <f>INDEX(Employee_Lookups!$C$13:$C$17,MATCH(F22,Employee_Lookups!$A$13:$A$17,0))</f>
        <v>Band C (Senior)</v>
      </c>
      <c r="Z22" s="27">
        <f>_xlfn.XLOOKUP(F22,Employee_Lookups!$A$13:$A$17,Employee_Lookups!$E$13:$E$17,0)</f>
        <v>1725000</v>
      </c>
      <c r="AA22" s="28">
        <f>ROUND(O22/INDEX(Employee_Lookups!$E$13:$E$17,MATCH(F22,Employee_Lookups!$A$13:$A$17,0)),3)</f>
        <v>1.0229999999999999</v>
      </c>
      <c r="AB22">
        <f t="shared" si="3"/>
        <v>2019</v>
      </c>
      <c r="AC22" t="str">
        <f t="shared" si="4"/>
        <v/>
      </c>
      <c r="AD22" s="28">
        <f>ROUND((IF(ISBLANK(L22),Employee_Lookups!$O$14,L22)-J22)/365.25,2)</f>
        <v>6.8</v>
      </c>
      <c r="AE22" t="str">
        <f t="shared" si="5"/>
        <v>5+ Yrs</v>
      </c>
      <c r="AF22" t="str">
        <f t="shared" si="6"/>
        <v>Low Risk</v>
      </c>
    </row>
    <row r="23" spans="1:32" x14ac:dyDescent="0.45">
      <c r="A23" t="s">
        <v>247</v>
      </c>
      <c r="B23" t="s">
        <v>248</v>
      </c>
      <c r="C23" t="s">
        <v>55</v>
      </c>
      <c r="D23" t="s">
        <v>54</v>
      </c>
      <c r="E23" t="s">
        <v>240</v>
      </c>
      <c r="F23" t="s">
        <v>83</v>
      </c>
      <c r="G23" t="s">
        <v>241</v>
      </c>
      <c r="H23" t="s">
        <v>108</v>
      </c>
      <c r="I23" t="s">
        <v>107</v>
      </c>
      <c r="J23" s="26">
        <v>43544</v>
      </c>
      <c r="K23" t="s">
        <v>162</v>
      </c>
      <c r="L23" s="26"/>
      <c r="M23" t="s">
        <v>163</v>
      </c>
      <c r="N23" t="s">
        <v>99</v>
      </c>
      <c r="O23" s="27">
        <v>1806000</v>
      </c>
      <c r="P23">
        <v>4</v>
      </c>
      <c r="Q23" t="s">
        <v>172</v>
      </c>
      <c r="R23">
        <v>0</v>
      </c>
      <c r="S23" t="s">
        <v>173</v>
      </c>
      <c r="T23">
        <f t="shared" si="0"/>
        <v>11332</v>
      </c>
      <c r="U23" t="str">
        <f t="shared" si="1"/>
        <v>OPS</v>
      </c>
      <c r="V23" t="str">
        <f t="shared" si="2"/>
        <v>L3</v>
      </c>
      <c r="W23" t="str">
        <f>PROPER(TRIM(VLOOKUP(S23,Employee_Lookups!$I$4:$M$19,2,FALSE())))</f>
        <v>Deepak Patil</v>
      </c>
      <c r="X23" t="str">
        <f>VLOOKUP(C23,Employee_Lookups!$A$4:$G$9,4,FALSE())</f>
        <v>CC-303</v>
      </c>
      <c r="Y23" t="str">
        <f>INDEX(Employee_Lookups!$C$13:$C$17,MATCH(F23,Employee_Lookups!$A$13:$A$17,0))</f>
        <v>Band C (Senior)</v>
      </c>
      <c r="Z23" s="27">
        <f>_xlfn.XLOOKUP(F23,Employee_Lookups!$A$13:$A$17,Employee_Lookups!$E$13:$E$17,0)</f>
        <v>1725000</v>
      </c>
      <c r="AA23" s="28">
        <f>ROUND(O23/INDEX(Employee_Lookups!$E$13:$E$17,MATCH(F23,Employee_Lookups!$A$13:$A$17,0)),3)</f>
        <v>1.0469999999999999</v>
      </c>
      <c r="AB23">
        <f t="shared" si="3"/>
        <v>2019</v>
      </c>
      <c r="AC23" t="str">
        <f t="shared" si="4"/>
        <v/>
      </c>
      <c r="AD23" s="28">
        <f>ROUND((IF(ISBLANK(L23),Employee_Lookups!$O$14,L23)-J23)/365.25,2)</f>
        <v>6.78</v>
      </c>
      <c r="AE23" t="str">
        <f t="shared" si="5"/>
        <v>5+ Yrs</v>
      </c>
      <c r="AF23" t="str">
        <f t="shared" si="6"/>
        <v>High Risk</v>
      </c>
    </row>
    <row r="24" spans="1:32" x14ac:dyDescent="0.45">
      <c r="A24" t="s">
        <v>249</v>
      </c>
      <c r="B24" t="s">
        <v>250</v>
      </c>
      <c r="C24" t="s">
        <v>61</v>
      </c>
      <c r="D24" t="s">
        <v>60</v>
      </c>
      <c r="E24" t="s">
        <v>251</v>
      </c>
      <c r="F24" t="s">
        <v>82</v>
      </c>
      <c r="G24" t="s">
        <v>252</v>
      </c>
      <c r="H24" t="s">
        <v>106</v>
      </c>
      <c r="I24" t="s">
        <v>107</v>
      </c>
      <c r="J24" s="26">
        <v>43551</v>
      </c>
      <c r="K24" t="s">
        <v>162</v>
      </c>
      <c r="L24" s="26"/>
      <c r="M24" t="s">
        <v>163</v>
      </c>
      <c r="N24" t="s">
        <v>97</v>
      </c>
      <c r="O24" s="27">
        <v>1297000</v>
      </c>
      <c r="P24">
        <v>3</v>
      </c>
      <c r="Q24" t="s">
        <v>172</v>
      </c>
      <c r="R24">
        <v>39</v>
      </c>
      <c r="S24" t="s">
        <v>253</v>
      </c>
      <c r="T24">
        <f t="shared" si="0"/>
        <v>11268</v>
      </c>
      <c r="U24" t="str">
        <f t="shared" si="1"/>
        <v>-HR</v>
      </c>
      <c r="V24" t="str">
        <f t="shared" si="2"/>
        <v>L2</v>
      </c>
      <c r="W24" t="str">
        <f>PROPER(TRIM(VLOOKUP(S24,Employee_Lookups!$I$4:$M$19,2,FALSE())))</f>
        <v>Nikhil Chatterjee</v>
      </c>
      <c r="X24" t="str">
        <f>VLOOKUP(C24,Employee_Lookups!$A$4:$G$9,4,FALSE())</f>
        <v>CC-505</v>
      </c>
      <c r="Y24" t="str">
        <f>INDEX(Employee_Lookups!$C$13:$C$17,MATCH(F24,Employee_Lookups!$A$13:$A$17,0))</f>
        <v>Band B (Mid)</v>
      </c>
      <c r="Z24" s="27">
        <f>_xlfn.XLOOKUP(F24,Employee_Lookups!$A$13:$A$17,Employee_Lookups!$E$13:$E$17,0)</f>
        <v>1100000</v>
      </c>
      <c r="AA24" s="28">
        <f>ROUND(O24/INDEX(Employee_Lookups!$E$13:$E$17,MATCH(F24,Employee_Lookups!$A$13:$A$17,0)),3)</f>
        <v>1.179</v>
      </c>
      <c r="AB24">
        <f t="shared" si="3"/>
        <v>2019</v>
      </c>
      <c r="AC24" t="str">
        <f t="shared" si="4"/>
        <v/>
      </c>
      <c r="AD24" s="28">
        <f>ROUND((IF(ISBLANK(L24),Employee_Lookups!$O$14,L24)-J24)/365.25,2)</f>
        <v>6.77</v>
      </c>
      <c r="AE24" t="str">
        <f t="shared" si="5"/>
        <v>5+ Yrs</v>
      </c>
      <c r="AF24" t="str">
        <f t="shared" si="6"/>
        <v>Moderate Risk</v>
      </c>
    </row>
    <row r="25" spans="1:32" x14ac:dyDescent="0.45">
      <c r="A25" t="s">
        <v>254</v>
      </c>
      <c r="B25" t="s">
        <v>255</v>
      </c>
      <c r="C25" t="s">
        <v>51</v>
      </c>
      <c r="D25" t="s">
        <v>50</v>
      </c>
      <c r="E25" t="s">
        <v>176</v>
      </c>
      <c r="F25" t="s">
        <v>82</v>
      </c>
      <c r="G25" t="s">
        <v>177</v>
      </c>
      <c r="H25" t="s">
        <v>109</v>
      </c>
      <c r="I25" t="s">
        <v>110</v>
      </c>
      <c r="J25" s="26">
        <v>43552</v>
      </c>
      <c r="K25" t="s">
        <v>162</v>
      </c>
      <c r="L25" s="26"/>
      <c r="M25" t="s">
        <v>163</v>
      </c>
      <c r="N25" t="s">
        <v>99</v>
      </c>
      <c r="O25" s="27">
        <v>940000</v>
      </c>
      <c r="P25">
        <v>4</v>
      </c>
      <c r="Q25" t="s">
        <v>164</v>
      </c>
      <c r="R25">
        <v>26</v>
      </c>
      <c r="S25" t="s">
        <v>178</v>
      </c>
      <c r="T25">
        <f t="shared" si="0"/>
        <v>11152</v>
      </c>
      <c r="U25" t="str">
        <f t="shared" si="1"/>
        <v>ENG</v>
      </c>
      <c r="V25" t="str">
        <f t="shared" si="2"/>
        <v>L2</v>
      </c>
      <c r="W25" t="str">
        <f>PROPER(TRIM(VLOOKUP(S25,Employee_Lookups!$I$4:$M$19,2,FALSE())))</f>
        <v>Aarav Deshmukh</v>
      </c>
      <c r="X25" t="str">
        <f>VLOOKUP(C25,Employee_Lookups!$A$4:$G$9,4,FALSE())</f>
        <v>CC-101</v>
      </c>
      <c r="Y25" t="str">
        <f>INDEX(Employee_Lookups!$C$13:$C$17,MATCH(F25,Employee_Lookups!$A$13:$A$17,0))</f>
        <v>Band B (Mid)</v>
      </c>
      <c r="Z25" s="27">
        <f>_xlfn.XLOOKUP(F25,Employee_Lookups!$A$13:$A$17,Employee_Lookups!$E$13:$E$17,0)</f>
        <v>1100000</v>
      </c>
      <c r="AA25" s="28">
        <f>ROUND(O25/INDEX(Employee_Lookups!$E$13:$E$17,MATCH(F25,Employee_Lookups!$A$13:$A$17,0)),3)</f>
        <v>0.85499999999999998</v>
      </c>
      <c r="AB25">
        <f t="shared" si="3"/>
        <v>2019</v>
      </c>
      <c r="AC25" t="str">
        <f t="shared" si="4"/>
        <v/>
      </c>
      <c r="AD25" s="28">
        <f>ROUND((IF(ISBLANK(L25),Employee_Lookups!$O$14,L25)-J25)/365.25,2)</f>
        <v>6.76</v>
      </c>
      <c r="AE25" t="str">
        <f t="shared" si="5"/>
        <v>5+ Yrs</v>
      </c>
      <c r="AF25" t="str">
        <f t="shared" si="6"/>
        <v>Low Risk</v>
      </c>
    </row>
    <row r="26" spans="1:32" x14ac:dyDescent="0.45">
      <c r="A26" t="s">
        <v>256</v>
      </c>
      <c r="B26" t="s">
        <v>257</v>
      </c>
      <c r="C26" t="s">
        <v>51</v>
      </c>
      <c r="D26" t="s">
        <v>50</v>
      </c>
      <c r="E26" t="s">
        <v>176</v>
      </c>
      <c r="F26" t="s">
        <v>82</v>
      </c>
      <c r="G26" t="s">
        <v>177</v>
      </c>
      <c r="H26" t="s">
        <v>112</v>
      </c>
      <c r="I26" t="s">
        <v>113</v>
      </c>
      <c r="J26" s="26">
        <v>43563</v>
      </c>
      <c r="K26" t="s">
        <v>162</v>
      </c>
      <c r="L26" s="26"/>
      <c r="M26" t="s">
        <v>163</v>
      </c>
      <c r="N26" t="s">
        <v>96</v>
      </c>
      <c r="O26" s="27">
        <v>999000</v>
      </c>
      <c r="P26">
        <v>2</v>
      </c>
      <c r="Q26" t="s">
        <v>172</v>
      </c>
      <c r="R26">
        <v>26</v>
      </c>
      <c r="S26" t="s">
        <v>244</v>
      </c>
      <c r="T26">
        <f t="shared" si="0"/>
        <v>10245</v>
      </c>
      <c r="U26" t="str">
        <f t="shared" si="1"/>
        <v>ENG</v>
      </c>
      <c r="V26" t="str">
        <f t="shared" si="2"/>
        <v>L2</v>
      </c>
      <c r="W26" t="str">
        <f>PROPER(TRIM(VLOOKUP(S26,Employee_Lookups!$I$4:$M$19,2,FALSE())))</f>
        <v>Siddharth Nair</v>
      </c>
      <c r="X26" t="str">
        <f>VLOOKUP(C26,Employee_Lookups!$A$4:$G$9,4,FALSE())</f>
        <v>CC-101</v>
      </c>
      <c r="Y26" t="str">
        <f>INDEX(Employee_Lookups!$C$13:$C$17,MATCH(F26,Employee_Lookups!$A$13:$A$17,0))</f>
        <v>Band B (Mid)</v>
      </c>
      <c r="Z26" s="27">
        <f>_xlfn.XLOOKUP(F26,Employee_Lookups!$A$13:$A$17,Employee_Lookups!$E$13:$E$17,0)</f>
        <v>1100000</v>
      </c>
      <c r="AA26" s="28">
        <f>ROUND(O26/INDEX(Employee_Lookups!$E$13:$E$17,MATCH(F26,Employee_Lookups!$A$13:$A$17,0)),3)</f>
        <v>0.90800000000000003</v>
      </c>
      <c r="AB26">
        <f t="shared" si="3"/>
        <v>2019</v>
      </c>
      <c r="AC26" t="str">
        <f t="shared" si="4"/>
        <v/>
      </c>
      <c r="AD26" s="28">
        <f>ROUND((IF(ISBLANK(L26),Employee_Lookups!$O$14,L26)-J26)/365.25,2)</f>
        <v>6.73</v>
      </c>
      <c r="AE26" t="str">
        <f t="shared" si="5"/>
        <v>5+ Yrs</v>
      </c>
      <c r="AF26" t="str">
        <f t="shared" si="6"/>
        <v>High Risk</v>
      </c>
    </row>
    <row r="27" spans="1:32" x14ac:dyDescent="0.45">
      <c r="A27" t="s">
        <v>258</v>
      </c>
      <c r="B27" t="s">
        <v>259</v>
      </c>
      <c r="C27" t="s">
        <v>51</v>
      </c>
      <c r="D27" t="s">
        <v>50</v>
      </c>
      <c r="E27" t="s">
        <v>176</v>
      </c>
      <c r="F27" t="s">
        <v>82</v>
      </c>
      <c r="G27" t="s">
        <v>177</v>
      </c>
      <c r="H27" t="s">
        <v>106</v>
      </c>
      <c r="I27" t="s">
        <v>107</v>
      </c>
      <c r="J27" s="26">
        <v>43574</v>
      </c>
      <c r="K27" t="s">
        <v>162</v>
      </c>
      <c r="L27" s="26"/>
      <c r="M27" t="s">
        <v>163</v>
      </c>
      <c r="N27" t="s">
        <v>99</v>
      </c>
      <c r="O27" s="27">
        <v>893000</v>
      </c>
      <c r="P27">
        <v>3</v>
      </c>
      <c r="Q27" t="s">
        <v>164</v>
      </c>
      <c r="R27">
        <v>28</v>
      </c>
      <c r="S27" t="s">
        <v>178</v>
      </c>
      <c r="T27">
        <f t="shared" si="0"/>
        <v>10019</v>
      </c>
      <c r="U27" t="str">
        <f t="shared" si="1"/>
        <v>ENG</v>
      </c>
      <c r="V27" t="str">
        <f t="shared" si="2"/>
        <v>L2</v>
      </c>
      <c r="W27" t="str">
        <f>PROPER(TRIM(VLOOKUP(S27,Employee_Lookups!$I$4:$M$19,2,FALSE())))</f>
        <v>Aarav Deshmukh</v>
      </c>
      <c r="X27" t="str">
        <f>VLOOKUP(C27,Employee_Lookups!$A$4:$G$9,4,FALSE())</f>
        <v>CC-101</v>
      </c>
      <c r="Y27" t="str">
        <f>INDEX(Employee_Lookups!$C$13:$C$17,MATCH(F27,Employee_Lookups!$A$13:$A$17,0))</f>
        <v>Band B (Mid)</v>
      </c>
      <c r="Z27" s="27">
        <f>_xlfn.XLOOKUP(F27,Employee_Lookups!$A$13:$A$17,Employee_Lookups!$E$13:$E$17,0)</f>
        <v>1100000</v>
      </c>
      <c r="AA27" s="28">
        <f>ROUND(O27/INDEX(Employee_Lookups!$E$13:$E$17,MATCH(F27,Employee_Lookups!$A$13:$A$17,0)),3)</f>
        <v>0.81200000000000006</v>
      </c>
      <c r="AB27">
        <f t="shared" si="3"/>
        <v>2019</v>
      </c>
      <c r="AC27" t="str">
        <f t="shared" si="4"/>
        <v/>
      </c>
      <c r="AD27" s="28">
        <f>ROUND((IF(ISBLANK(L27),Employee_Lookups!$O$14,L27)-J27)/365.25,2)</f>
        <v>6.7</v>
      </c>
      <c r="AE27" t="str">
        <f t="shared" si="5"/>
        <v>5+ Yrs</v>
      </c>
      <c r="AF27" t="str">
        <f t="shared" si="6"/>
        <v>Low Risk</v>
      </c>
    </row>
    <row r="28" spans="1:32" x14ac:dyDescent="0.45">
      <c r="A28" t="s">
        <v>260</v>
      </c>
      <c r="B28" t="s">
        <v>261</v>
      </c>
      <c r="C28" t="s">
        <v>55</v>
      </c>
      <c r="D28" t="s">
        <v>54</v>
      </c>
      <c r="E28" t="s">
        <v>168</v>
      </c>
      <c r="F28" t="s">
        <v>84</v>
      </c>
      <c r="G28" t="s">
        <v>169</v>
      </c>
      <c r="H28" t="s">
        <v>109</v>
      </c>
      <c r="I28" t="s">
        <v>110</v>
      </c>
      <c r="J28" s="26">
        <v>43577</v>
      </c>
      <c r="K28" t="s">
        <v>187</v>
      </c>
      <c r="L28" s="26">
        <v>43617</v>
      </c>
      <c r="M28" t="s">
        <v>213</v>
      </c>
      <c r="N28" t="s">
        <v>98</v>
      </c>
      <c r="O28" s="27">
        <v>2289000</v>
      </c>
      <c r="P28">
        <v>3</v>
      </c>
      <c r="Q28" t="s">
        <v>172</v>
      </c>
      <c r="R28">
        <v>33</v>
      </c>
      <c r="S28" t="s">
        <v>262</v>
      </c>
      <c r="T28">
        <f t="shared" si="0"/>
        <v>11308</v>
      </c>
      <c r="U28" t="str">
        <f t="shared" si="1"/>
        <v>OPS</v>
      </c>
      <c r="V28" t="str">
        <f t="shared" si="2"/>
        <v>L4</v>
      </c>
      <c r="W28" t="str">
        <f>PROPER(TRIM(VLOOKUP(S28,Employee_Lookups!$I$4:$M$19,2,FALSE())))</f>
        <v>Ananya Iyer</v>
      </c>
      <c r="X28" t="str">
        <f>VLOOKUP(C28,Employee_Lookups!$A$4:$G$9,4,FALSE())</f>
        <v>CC-303</v>
      </c>
      <c r="Y28" t="str">
        <f>INDEX(Employee_Lookups!$C$13:$C$17,MATCH(F28,Employee_Lookups!$A$13:$A$17,0))</f>
        <v>Band D (Leadership)</v>
      </c>
      <c r="Z28" s="27">
        <f>_xlfn.XLOOKUP(F28,Employee_Lookups!$A$13:$A$17,Employee_Lookups!$E$13:$E$17,0)</f>
        <v>2750000</v>
      </c>
      <c r="AA28" s="28">
        <f>ROUND(O28/INDEX(Employee_Lookups!$E$13:$E$17,MATCH(F28,Employee_Lookups!$A$13:$A$17,0)),3)</f>
        <v>0.83199999999999996</v>
      </c>
      <c r="AB28">
        <f t="shared" si="3"/>
        <v>2019</v>
      </c>
      <c r="AC28">
        <f t="shared" si="4"/>
        <v>2019</v>
      </c>
      <c r="AD28" s="28">
        <f>ROUND((IF(ISBLANK(L28),Employee_Lookups!$O$14,L28)-J28)/365.25,2)</f>
        <v>0.11</v>
      </c>
      <c r="AE28" t="str">
        <f t="shared" si="5"/>
        <v>&lt; 1 Yr (New)</v>
      </c>
      <c r="AF28" t="str">
        <f t="shared" si="6"/>
        <v>Exited</v>
      </c>
    </row>
    <row r="29" spans="1:32" x14ac:dyDescent="0.45">
      <c r="A29" t="s">
        <v>263</v>
      </c>
      <c r="B29" t="s">
        <v>264</v>
      </c>
      <c r="C29" t="s">
        <v>51</v>
      </c>
      <c r="D29" t="s">
        <v>50</v>
      </c>
      <c r="E29" t="s">
        <v>181</v>
      </c>
      <c r="F29" t="s">
        <v>81</v>
      </c>
      <c r="G29" t="s">
        <v>182</v>
      </c>
      <c r="H29" t="s">
        <v>106</v>
      </c>
      <c r="I29" t="s">
        <v>107</v>
      </c>
      <c r="J29" s="26">
        <v>43579</v>
      </c>
      <c r="K29" t="s">
        <v>162</v>
      </c>
      <c r="L29" s="26"/>
      <c r="M29" t="s">
        <v>163</v>
      </c>
      <c r="N29" t="s">
        <v>96</v>
      </c>
      <c r="O29" s="27">
        <v>661000</v>
      </c>
      <c r="P29">
        <v>2</v>
      </c>
      <c r="Q29" t="s">
        <v>164</v>
      </c>
      <c r="R29">
        <v>25</v>
      </c>
      <c r="S29" t="s">
        <v>244</v>
      </c>
      <c r="T29">
        <f t="shared" si="0"/>
        <v>11214</v>
      </c>
      <c r="U29" t="str">
        <f t="shared" si="1"/>
        <v>ENG</v>
      </c>
      <c r="V29" t="str">
        <f t="shared" si="2"/>
        <v>L1</v>
      </c>
      <c r="W29" t="str">
        <f>PROPER(TRIM(VLOOKUP(S29,Employee_Lookups!$I$4:$M$19,2,FALSE())))</f>
        <v>Siddharth Nair</v>
      </c>
      <c r="X29" t="str">
        <f>VLOOKUP(C29,Employee_Lookups!$A$4:$G$9,4,FALSE())</f>
        <v>CC-101</v>
      </c>
      <c r="Y29" t="str">
        <f>INDEX(Employee_Lookups!$C$13:$C$17,MATCH(F29,Employee_Lookups!$A$13:$A$17,0))</f>
        <v>Band A (Entry)</v>
      </c>
      <c r="Z29" s="27">
        <f>_xlfn.XLOOKUP(F29,Employee_Lookups!$A$13:$A$17,Employee_Lookups!$E$13:$E$17,0)</f>
        <v>700000</v>
      </c>
      <c r="AA29" s="28">
        <f>ROUND(O29/INDEX(Employee_Lookups!$E$13:$E$17,MATCH(F29,Employee_Lookups!$A$13:$A$17,0)),3)</f>
        <v>0.94399999999999995</v>
      </c>
      <c r="AB29">
        <f t="shared" si="3"/>
        <v>2019</v>
      </c>
      <c r="AC29" t="str">
        <f t="shared" si="4"/>
        <v/>
      </c>
      <c r="AD29" s="28">
        <f>ROUND((IF(ISBLANK(L29),Employee_Lookups!$O$14,L29)-J29)/365.25,2)</f>
        <v>6.69</v>
      </c>
      <c r="AE29" t="str">
        <f t="shared" si="5"/>
        <v>5+ Yrs</v>
      </c>
      <c r="AF29" t="str">
        <f t="shared" si="6"/>
        <v>Moderate Risk</v>
      </c>
    </row>
    <row r="30" spans="1:32" x14ac:dyDescent="0.45">
      <c r="A30" t="s">
        <v>265</v>
      </c>
      <c r="B30" t="s">
        <v>266</v>
      </c>
      <c r="C30" t="s">
        <v>51</v>
      </c>
      <c r="D30" t="s">
        <v>50</v>
      </c>
      <c r="E30" t="s">
        <v>217</v>
      </c>
      <c r="F30" t="s">
        <v>83</v>
      </c>
      <c r="G30" t="s">
        <v>218</v>
      </c>
      <c r="H30" t="s">
        <v>106</v>
      </c>
      <c r="I30" t="s">
        <v>107</v>
      </c>
      <c r="J30" s="26">
        <v>43581</v>
      </c>
      <c r="K30" t="s">
        <v>162</v>
      </c>
      <c r="L30" s="26"/>
      <c r="M30" t="s">
        <v>163</v>
      </c>
      <c r="N30" t="s">
        <v>98</v>
      </c>
      <c r="O30" s="27">
        <v>1621000</v>
      </c>
      <c r="P30">
        <v>3</v>
      </c>
      <c r="Q30" t="s">
        <v>164</v>
      </c>
      <c r="R30">
        <v>24</v>
      </c>
      <c r="S30" t="s">
        <v>197</v>
      </c>
      <c r="T30">
        <f t="shared" si="0"/>
        <v>11425</v>
      </c>
      <c r="U30" t="str">
        <f t="shared" si="1"/>
        <v>ENG</v>
      </c>
      <c r="V30" t="str">
        <f t="shared" si="2"/>
        <v>L3</v>
      </c>
      <c r="W30" t="str">
        <f>PROPER(TRIM(VLOOKUP(S30,Employee_Lookups!$I$4:$M$19,2,FALSE())))</f>
        <v>Rohan Verma</v>
      </c>
      <c r="X30" t="str">
        <f>VLOOKUP(C30,Employee_Lookups!$A$4:$G$9,4,FALSE())</f>
        <v>CC-101</v>
      </c>
      <c r="Y30" t="str">
        <f>INDEX(Employee_Lookups!$C$13:$C$17,MATCH(F30,Employee_Lookups!$A$13:$A$17,0))</f>
        <v>Band C (Senior)</v>
      </c>
      <c r="Z30" s="27">
        <f>_xlfn.XLOOKUP(F30,Employee_Lookups!$A$13:$A$17,Employee_Lookups!$E$13:$E$17,0)</f>
        <v>1725000</v>
      </c>
      <c r="AA30" s="28">
        <f>ROUND(O30/INDEX(Employee_Lookups!$E$13:$E$17,MATCH(F30,Employee_Lookups!$A$13:$A$17,0)),3)</f>
        <v>0.94</v>
      </c>
      <c r="AB30">
        <f t="shared" si="3"/>
        <v>2019</v>
      </c>
      <c r="AC30" t="str">
        <f t="shared" si="4"/>
        <v/>
      </c>
      <c r="AD30" s="28">
        <f>ROUND((IF(ISBLANK(L30),Employee_Lookups!$O$14,L30)-J30)/365.25,2)</f>
        <v>6.68</v>
      </c>
      <c r="AE30" t="str">
        <f t="shared" si="5"/>
        <v>5+ Yrs</v>
      </c>
      <c r="AF30" t="str">
        <f t="shared" si="6"/>
        <v>Low Risk</v>
      </c>
    </row>
    <row r="31" spans="1:32" x14ac:dyDescent="0.45">
      <c r="A31" t="s">
        <v>267</v>
      </c>
      <c r="B31" t="s">
        <v>268</v>
      </c>
      <c r="C31" t="s">
        <v>51</v>
      </c>
      <c r="D31" t="s">
        <v>50</v>
      </c>
      <c r="E31" t="s">
        <v>176</v>
      </c>
      <c r="F31" t="s">
        <v>82</v>
      </c>
      <c r="G31" t="s">
        <v>177</v>
      </c>
      <c r="H31" t="s">
        <v>106</v>
      </c>
      <c r="I31" t="s">
        <v>107</v>
      </c>
      <c r="J31" s="26">
        <v>43587</v>
      </c>
      <c r="K31" t="s">
        <v>187</v>
      </c>
      <c r="L31" s="26">
        <v>43723</v>
      </c>
      <c r="M31" t="s">
        <v>269</v>
      </c>
      <c r="N31" t="s">
        <v>96</v>
      </c>
      <c r="O31" s="27">
        <v>1061000</v>
      </c>
      <c r="P31">
        <v>3</v>
      </c>
      <c r="Q31" t="s">
        <v>172</v>
      </c>
      <c r="R31">
        <v>20</v>
      </c>
      <c r="S31" t="s">
        <v>219</v>
      </c>
      <c r="T31">
        <f t="shared" si="0"/>
        <v>11185</v>
      </c>
      <c r="U31" t="str">
        <f t="shared" si="1"/>
        <v>ENG</v>
      </c>
      <c r="V31" t="str">
        <f t="shared" si="2"/>
        <v>L2</v>
      </c>
      <c r="W31" t="str">
        <f>PROPER(TRIM(VLOOKUP(S31,Employee_Lookups!$I$4:$M$19,2,FALSE())))</f>
        <v>Neha Kulkarni</v>
      </c>
      <c r="X31" t="str">
        <f>VLOOKUP(C31,Employee_Lookups!$A$4:$G$9,4,FALSE())</f>
        <v>CC-101</v>
      </c>
      <c r="Y31" t="str">
        <f>INDEX(Employee_Lookups!$C$13:$C$17,MATCH(F31,Employee_Lookups!$A$13:$A$17,0))</f>
        <v>Band B (Mid)</v>
      </c>
      <c r="Z31" s="27">
        <f>_xlfn.XLOOKUP(F31,Employee_Lookups!$A$13:$A$17,Employee_Lookups!$E$13:$E$17,0)</f>
        <v>1100000</v>
      </c>
      <c r="AA31" s="28">
        <f>ROUND(O31/INDEX(Employee_Lookups!$E$13:$E$17,MATCH(F31,Employee_Lookups!$A$13:$A$17,0)),3)</f>
        <v>0.96499999999999997</v>
      </c>
      <c r="AB31">
        <f t="shared" si="3"/>
        <v>2019</v>
      </c>
      <c r="AC31">
        <f t="shared" si="4"/>
        <v>2019</v>
      </c>
      <c r="AD31" s="28">
        <f>ROUND((IF(ISBLANK(L31),Employee_Lookups!$O$14,L31)-J31)/365.25,2)</f>
        <v>0.37</v>
      </c>
      <c r="AE31" t="str">
        <f t="shared" si="5"/>
        <v>&lt; 1 Yr (New)</v>
      </c>
      <c r="AF31" t="str">
        <f t="shared" si="6"/>
        <v>Exited</v>
      </c>
    </row>
    <row r="32" spans="1:32" x14ac:dyDescent="0.45">
      <c r="A32" t="s">
        <v>270</v>
      </c>
      <c r="B32" t="s">
        <v>271</v>
      </c>
      <c r="C32" t="s">
        <v>59</v>
      </c>
      <c r="D32" t="s">
        <v>58</v>
      </c>
      <c r="E32" t="s">
        <v>211</v>
      </c>
      <c r="F32" t="s">
        <v>82</v>
      </c>
      <c r="G32" t="s">
        <v>212</v>
      </c>
      <c r="H32" t="s">
        <v>106</v>
      </c>
      <c r="I32" t="s">
        <v>107</v>
      </c>
      <c r="J32" s="26">
        <v>43593</v>
      </c>
      <c r="K32" t="s">
        <v>162</v>
      </c>
      <c r="L32" s="26"/>
      <c r="M32" t="s">
        <v>163</v>
      </c>
      <c r="N32" t="s">
        <v>99</v>
      </c>
      <c r="O32" s="27">
        <v>1200000</v>
      </c>
      <c r="P32">
        <v>3</v>
      </c>
      <c r="Q32" t="s">
        <v>164</v>
      </c>
      <c r="R32">
        <v>21</v>
      </c>
      <c r="S32" t="s">
        <v>208</v>
      </c>
      <c r="T32">
        <f t="shared" si="0"/>
        <v>11334</v>
      </c>
      <c r="U32" t="str">
        <f t="shared" si="1"/>
        <v>FIN</v>
      </c>
      <c r="V32" t="str">
        <f t="shared" si="2"/>
        <v>L2</v>
      </c>
      <c r="W32" t="str">
        <f>PROPER(TRIM(VLOOKUP(S32,Employee_Lookups!$I$4:$M$19,2,FALSE())))</f>
        <v>Rajeshwari Rao</v>
      </c>
      <c r="X32" t="str">
        <f>VLOOKUP(C32,Employee_Lookups!$A$4:$G$9,4,FALSE())</f>
        <v>CC-404</v>
      </c>
      <c r="Y32" t="str">
        <f>INDEX(Employee_Lookups!$C$13:$C$17,MATCH(F32,Employee_Lookups!$A$13:$A$17,0))</f>
        <v>Band B (Mid)</v>
      </c>
      <c r="Z32" s="27">
        <f>_xlfn.XLOOKUP(F32,Employee_Lookups!$A$13:$A$17,Employee_Lookups!$E$13:$E$17,0)</f>
        <v>1100000</v>
      </c>
      <c r="AA32" s="28">
        <f>ROUND(O32/INDEX(Employee_Lookups!$E$13:$E$17,MATCH(F32,Employee_Lookups!$A$13:$A$17,0)),3)</f>
        <v>1.091</v>
      </c>
      <c r="AB32">
        <f t="shared" si="3"/>
        <v>2019</v>
      </c>
      <c r="AC32" t="str">
        <f t="shared" si="4"/>
        <v/>
      </c>
      <c r="AD32" s="28">
        <f>ROUND((IF(ISBLANK(L32),Employee_Lookups!$O$14,L32)-J32)/365.25,2)</f>
        <v>6.65</v>
      </c>
      <c r="AE32" t="str">
        <f t="shared" si="5"/>
        <v>5+ Yrs</v>
      </c>
      <c r="AF32" t="str">
        <f t="shared" si="6"/>
        <v>Low Risk</v>
      </c>
    </row>
    <row r="33" spans="1:32" x14ac:dyDescent="0.45">
      <c r="A33" t="s">
        <v>272</v>
      </c>
      <c r="B33" t="s">
        <v>273</v>
      </c>
      <c r="C33" t="s">
        <v>55</v>
      </c>
      <c r="D33" t="s">
        <v>54</v>
      </c>
      <c r="E33" t="s">
        <v>229</v>
      </c>
      <c r="F33" t="s">
        <v>82</v>
      </c>
      <c r="G33" t="s">
        <v>230</v>
      </c>
      <c r="H33" t="s">
        <v>106</v>
      </c>
      <c r="I33" t="s">
        <v>107</v>
      </c>
      <c r="J33" s="26">
        <v>43594</v>
      </c>
      <c r="K33" t="s">
        <v>162</v>
      </c>
      <c r="L33" s="26"/>
      <c r="M33" t="s">
        <v>163</v>
      </c>
      <c r="N33" t="s">
        <v>98</v>
      </c>
      <c r="O33" s="27">
        <v>1004000</v>
      </c>
      <c r="P33">
        <v>4</v>
      </c>
      <c r="Q33" t="s">
        <v>164</v>
      </c>
      <c r="R33">
        <v>34</v>
      </c>
      <c r="S33" t="s">
        <v>274</v>
      </c>
      <c r="T33">
        <f t="shared" si="0"/>
        <v>10701</v>
      </c>
      <c r="U33" t="str">
        <f t="shared" si="1"/>
        <v>OPS</v>
      </c>
      <c r="V33" t="str">
        <f t="shared" si="2"/>
        <v>L2</v>
      </c>
      <c r="W33" t="str">
        <f>PROPER(TRIM(VLOOKUP(S33,Employee_Lookups!$I$4:$M$19,2,FALSE())))</f>
        <v>Meera Krishnan</v>
      </c>
      <c r="X33" t="str">
        <f>VLOOKUP(C33,Employee_Lookups!$A$4:$G$9,4,FALSE())</f>
        <v>CC-303</v>
      </c>
      <c r="Y33" t="str">
        <f>INDEX(Employee_Lookups!$C$13:$C$17,MATCH(F33,Employee_Lookups!$A$13:$A$17,0))</f>
        <v>Band B (Mid)</v>
      </c>
      <c r="Z33" s="27">
        <f>_xlfn.XLOOKUP(F33,Employee_Lookups!$A$13:$A$17,Employee_Lookups!$E$13:$E$17,0)</f>
        <v>1100000</v>
      </c>
      <c r="AA33" s="28">
        <f>ROUND(O33/INDEX(Employee_Lookups!$E$13:$E$17,MATCH(F33,Employee_Lookups!$A$13:$A$17,0)),3)</f>
        <v>0.91300000000000003</v>
      </c>
      <c r="AB33">
        <f t="shared" si="3"/>
        <v>2019</v>
      </c>
      <c r="AC33" t="str">
        <f t="shared" si="4"/>
        <v/>
      </c>
      <c r="AD33" s="28">
        <f>ROUND((IF(ISBLANK(L33),Employee_Lookups!$O$14,L33)-J33)/365.25,2)</f>
        <v>6.65</v>
      </c>
      <c r="AE33" t="str">
        <f t="shared" si="5"/>
        <v>5+ Yrs</v>
      </c>
      <c r="AF33" t="str">
        <f t="shared" si="6"/>
        <v>Low Risk</v>
      </c>
    </row>
    <row r="34" spans="1:32" x14ac:dyDescent="0.45">
      <c r="A34" t="s">
        <v>275</v>
      </c>
      <c r="B34" t="s">
        <v>276</v>
      </c>
      <c r="C34" t="s">
        <v>55</v>
      </c>
      <c r="D34" t="s">
        <v>54</v>
      </c>
      <c r="E34" t="s">
        <v>277</v>
      </c>
      <c r="F34" t="s">
        <v>81</v>
      </c>
      <c r="G34" t="s">
        <v>278</v>
      </c>
      <c r="H34" t="s">
        <v>111</v>
      </c>
      <c r="I34" t="s">
        <v>110</v>
      </c>
      <c r="J34" s="26">
        <v>43596</v>
      </c>
      <c r="K34" t="s">
        <v>162</v>
      </c>
      <c r="L34" s="26"/>
      <c r="M34" t="s">
        <v>163</v>
      </c>
      <c r="N34" t="s">
        <v>99</v>
      </c>
      <c r="O34" s="27">
        <v>707000</v>
      </c>
      <c r="P34">
        <v>3</v>
      </c>
      <c r="Q34" t="s">
        <v>172</v>
      </c>
      <c r="R34">
        <v>47</v>
      </c>
      <c r="S34" t="s">
        <v>274</v>
      </c>
      <c r="T34">
        <f t="shared" si="0"/>
        <v>10695</v>
      </c>
      <c r="U34" t="str">
        <f t="shared" si="1"/>
        <v>OPS</v>
      </c>
      <c r="V34" t="str">
        <f t="shared" si="2"/>
        <v>L1</v>
      </c>
      <c r="W34" t="str">
        <f>PROPER(TRIM(VLOOKUP(S34,Employee_Lookups!$I$4:$M$19,2,FALSE())))</f>
        <v>Meera Krishnan</v>
      </c>
      <c r="X34" t="str">
        <f>VLOOKUP(C34,Employee_Lookups!$A$4:$G$9,4,FALSE())</f>
        <v>CC-303</v>
      </c>
      <c r="Y34" t="str">
        <f>INDEX(Employee_Lookups!$C$13:$C$17,MATCH(F34,Employee_Lookups!$A$13:$A$17,0))</f>
        <v>Band A (Entry)</v>
      </c>
      <c r="Z34" s="27">
        <f>_xlfn.XLOOKUP(F34,Employee_Lookups!$A$13:$A$17,Employee_Lookups!$E$13:$E$17,0)</f>
        <v>700000</v>
      </c>
      <c r="AA34" s="28">
        <f>ROUND(O34/INDEX(Employee_Lookups!$E$13:$E$17,MATCH(F34,Employee_Lookups!$A$13:$A$17,0)),3)</f>
        <v>1.01</v>
      </c>
      <c r="AB34">
        <f t="shared" si="3"/>
        <v>2019</v>
      </c>
      <c r="AC34" t="str">
        <f t="shared" si="4"/>
        <v/>
      </c>
      <c r="AD34" s="28">
        <f>ROUND((IF(ISBLANK(L34),Employee_Lookups!$O$14,L34)-J34)/365.25,2)</f>
        <v>6.64</v>
      </c>
      <c r="AE34" t="str">
        <f t="shared" si="5"/>
        <v>5+ Yrs</v>
      </c>
      <c r="AF34" t="str">
        <f t="shared" si="6"/>
        <v>Moderate Risk</v>
      </c>
    </row>
    <row r="35" spans="1:32" x14ac:dyDescent="0.45">
      <c r="A35" t="s">
        <v>279</v>
      </c>
      <c r="B35" t="s">
        <v>232</v>
      </c>
      <c r="C35" t="s">
        <v>53</v>
      </c>
      <c r="D35" t="s">
        <v>52</v>
      </c>
      <c r="E35" t="s">
        <v>280</v>
      </c>
      <c r="F35" t="s">
        <v>85</v>
      </c>
      <c r="G35" t="s">
        <v>281</v>
      </c>
      <c r="H35" t="s">
        <v>106</v>
      </c>
      <c r="I35" t="s">
        <v>107</v>
      </c>
      <c r="J35" s="26">
        <v>43597</v>
      </c>
      <c r="K35" t="s">
        <v>187</v>
      </c>
      <c r="L35" s="26">
        <v>43808</v>
      </c>
      <c r="M35" t="s">
        <v>282</v>
      </c>
      <c r="N35" t="s">
        <v>97</v>
      </c>
      <c r="O35" s="27">
        <v>4412000</v>
      </c>
      <c r="P35">
        <v>3</v>
      </c>
      <c r="Q35" t="s">
        <v>172</v>
      </c>
      <c r="R35">
        <v>72</v>
      </c>
      <c r="S35" t="s">
        <v>189</v>
      </c>
      <c r="T35">
        <f t="shared" si="0"/>
        <v>10817</v>
      </c>
      <c r="U35" t="str">
        <f t="shared" si="1"/>
        <v>SAL</v>
      </c>
      <c r="V35" t="str">
        <f t="shared" si="2"/>
        <v>L5</v>
      </c>
      <c r="W35" t="str">
        <f>PROPER(TRIM(VLOOKUP(S35,Employee_Lookups!$I$4:$M$19,2,FALSE())))</f>
        <v>Priya Sharma</v>
      </c>
      <c r="X35" t="str">
        <f>VLOOKUP(C35,Employee_Lookups!$A$4:$G$9,4,FALSE())</f>
        <v>CC-202</v>
      </c>
      <c r="Y35" t="str">
        <f>INDEX(Employee_Lookups!$C$13:$C$17,MATCH(F35,Employee_Lookups!$A$13:$A$17,0))</f>
        <v>Band E (Executive)</v>
      </c>
      <c r="Z35" s="27">
        <f>_xlfn.XLOOKUP(F35,Employee_Lookups!$A$13:$A$17,Employee_Lookups!$E$13:$E$17,0)</f>
        <v>4300000</v>
      </c>
      <c r="AA35" s="28">
        <f>ROUND(O35/INDEX(Employee_Lookups!$E$13:$E$17,MATCH(F35,Employee_Lookups!$A$13:$A$17,0)),3)</f>
        <v>1.026</v>
      </c>
      <c r="AB35">
        <f t="shared" si="3"/>
        <v>2019</v>
      </c>
      <c r="AC35">
        <f t="shared" si="4"/>
        <v>2019</v>
      </c>
      <c r="AD35" s="28">
        <f>ROUND((IF(ISBLANK(L35),Employee_Lookups!$O$14,L35)-J35)/365.25,2)</f>
        <v>0.57999999999999996</v>
      </c>
      <c r="AE35" t="str">
        <f t="shared" si="5"/>
        <v>&lt; 1 Yr (New)</v>
      </c>
      <c r="AF35" t="str">
        <f t="shared" si="6"/>
        <v>Exited</v>
      </c>
    </row>
    <row r="36" spans="1:32" x14ac:dyDescent="0.45">
      <c r="A36" t="s">
        <v>283</v>
      </c>
      <c r="B36" t="s">
        <v>284</v>
      </c>
      <c r="C36" t="s">
        <v>55</v>
      </c>
      <c r="D36" t="s">
        <v>54</v>
      </c>
      <c r="E36" t="s">
        <v>229</v>
      </c>
      <c r="F36" t="s">
        <v>82</v>
      </c>
      <c r="G36" t="s">
        <v>230</v>
      </c>
      <c r="H36" t="s">
        <v>109</v>
      </c>
      <c r="I36" t="s">
        <v>110</v>
      </c>
      <c r="J36" s="26">
        <v>43600</v>
      </c>
      <c r="K36" t="s">
        <v>162</v>
      </c>
      <c r="L36" s="26"/>
      <c r="M36" t="s">
        <v>163</v>
      </c>
      <c r="N36" t="s">
        <v>97</v>
      </c>
      <c r="O36" s="27">
        <v>855000</v>
      </c>
      <c r="P36">
        <v>2</v>
      </c>
      <c r="Q36" t="s">
        <v>172</v>
      </c>
      <c r="R36">
        <v>10</v>
      </c>
      <c r="S36" t="s">
        <v>274</v>
      </c>
      <c r="T36">
        <f t="shared" si="0"/>
        <v>10124</v>
      </c>
      <c r="U36" t="str">
        <f t="shared" si="1"/>
        <v>OPS</v>
      </c>
      <c r="V36" t="str">
        <f t="shared" si="2"/>
        <v>L2</v>
      </c>
      <c r="W36" t="str">
        <f>PROPER(TRIM(VLOOKUP(S36,Employee_Lookups!$I$4:$M$19,2,FALSE())))</f>
        <v>Meera Krishnan</v>
      </c>
      <c r="X36" t="str">
        <f>VLOOKUP(C36,Employee_Lookups!$A$4:$G$9,4,FALSE())</f>
        <v>CC-303</v>
      </c>
      <c r="Y36" t="str">
        <f>INDEX(Employee_Lookups!$C$13:$C$17,MATCH(F36,Employee_Lookups!$A$13:$A$17,0))</f>
        <v>Band B (Mid)</v>
      </c>
      <c r="Z36" s="27">
        <f>_xlfn.XLOOKUP(F36,Employee_Lookups!$A$13:$A$17,Employee_Lookups!$E$13:$E$17,0)</f>
        <v>1100000</v>
      </c>
      <c r="AA36" s="28">
        <f>ROUND(O36/INDEX(Employee_Lookups!$E$13:$E$17,MATCH(F36,Employee_Lookups!$A$13:$A$17,0)),3)</f>
        <v>0.77700000000000002</v>
      </c>
      <c r="AB36">
        <f t="shared" si="3"/>
        <v>2019</v>
      </c>
      <c r="AC36" t="str">
        <f t="shared" si="4"/>
        <v/>
      </c>
      <c r="AD36" s="28">
        <f>ROUND((IF(ISBLANK(L36),Employee_Lookups!$O$14,L36)-J36)/365.25,2)</f>
        <v>6.63</v>
      </c>
      <c r="AE36" t="str">
        <f t="shared" si="5"/>
        <v>5+ Yrs</v>
      </c>
      <c r="AF36" t="str">
        <f t="shared" si="6"/>
        <v>High Risk</v>
      </c>
    </row>
    <row r="37" spans="1:32" x14ac:dyDescent="0.45">
      <c r="A37" t="s">
        <v>285</v>
      </c>
      <c r="B37" t="s">
        <v>286</v>
      </c>
      <c r="C37" t="s">
        <v>59</v>
      </c>
      <c r="D37" t="s">
        <v>58</v>
      </c>
      <c r="E37" t="s">
        <v>287</v>
      </c>
      <c r="F37" t="s">
        <v>83</v>
      </c>
      <c r="G37" t="s">
        <v>288</v>
      </c>
      <c r="H37" t="s">
        <v>109</v>
      </c>
      <c r="I37" t="s">
        <v>110</v>
      </c>
      <c r="J37" s="26">
        <v>43610</v>
      </c>
      <c r="K37" t="s">
        <v>162</v>
      </c>
      <c r="L37" s="26"/>
      <c r="M37" t="s">
        <v>163</v>
      </c>
      <c r="N37" t="s">
        <v>99</v>
      </c>
      <c r="O37" s="27">
        <v>1864000</v>
      </c>
      <c r="P37">
        <v>3</v>
      </c>
      <c r="Q37" t="s">
        <v>164</v>
      </c>
      <c r="R37">
        <v>42</v>
      </c>
      <c r="S37" t="s">
        <v>208</v>
      </c>
      <c r="T37">
        <f t="shared" si="0"/>
        <v>10654</v>
      </c>
      <c r="U37" t="str">
        <f t="shared" si="1"/>
        <v>FIN</v>
      </c>
      <c r="V37" t="str">
        <f t="shared" si="2"/>
        <v>L3</v>
      </c>
      <c r="W37" t="str">
        <f>PROPER(TRIM(VLOOKUP(S37,Employee_Lookups!$I$4:$M$19,2,FALSE())))</f>
        <v>Rajeshwari Rao</v>
      </c>
      <c r="X37" t="str">
        <f>VLOOKUP(C37,Employee_Lookups!$A$4:$G$9,4,FALSE())</f>
        <v>CC-404</v>
      </c>
      <c r="Y37" t="str">
        <f>INDEX(Employee_Lookups!$C$13:$C$17,MATCH(F37,Employee_Lookups!$A$13:$A$17,0))</f>
        <v>Band C (Senior)</v>
      </c>
      <c r="Z37" s="27">
        <f>_xlfn.XLOOKUP(F37,Employee_Lookups!$A$13:$A$17,Employee_Lookups!$E$13:$E$17,0)</f>
        <v>1725000</v>
      </c>
      <c r="AA37" s="28">
        <f>ROUND(O37/INDEX(Employee_Lookups!$E$13:$E$17,MATCH(F37,Employee_Lookups!$A$13:$A$17,0)),3)</f>
        <v>1.081</v>
      </c>
      <c r="AB37">
        <f t="shared" si="3"/>
        <v>2019</v>
      </c>
      <c r="AC37" t="str">
        <f t="shared" si="4"/>
        <v/>
      </c>
      <c r="AD37" s="28">
        <f>ROUND((IF(ISBLANK(L37),Employee_Lookups!$O$14,L37)-J37)/365.25,2)</f>
        <v>6.6</v>
      </c>
      <c r="AE37" t="str">
        <f t="shared" si="5"/>
        <v>5+ Yrs</v>
      </c>
      <c r="AF37" t="str">
        <f t="shared" si="6"/>
        <v>Low Risk</v>
      </c>
    </row>
    <row r="38" spans="1:32" x14ac:dyDescent="0.45">
      <c r="A38" t="s">
        <v>289</v>
      </c>
      <c r="B38" t="s">
        <v>290</v>
      </c>
      <c r="C38" t="s">
        <v>61</v>
      </c>
      <c r="D38" t="s">
        <v>60</v>
      </c>
      <c r="E38" t="s">
        <v>251</v>
      </c>
      <c r="F38" t="s">
        <v>82</v>
      </c>
      <c r="G38" t="s">
        <v>252</v>
      </c>
      <c r="H38" t="s">
        <v>111</v>
      </c>
      <c r="I38" t="s">
        <v>110</v>
      </c>
      <c r="J38" s="26">
        <v>43618</v>
      </c>
      <c r="K38" t="s">
        <v>162</v>
      </c>
      <c r="L38" s="26"/>
      <c r="M38" t="s">
        <v>163</v>
      </c>
      <c r="N38" t="s">
        <v>96</v>
      </c>
      <c r="O38" s="27">
        <v>1299000</v>
      </c>
      <c r="P38">
        <v>3</v>
      </c>
      <c r="Q38" t="s">
        <v>164</v>
      </c>
      <c r="R38">
        <v>53</v>
      </c>
      <c r="S38" t="s">
        <v>253</v>
      </c>
      <c r="T38">
        <f t="shared" si="0"/>
        <v>11437</v>
      </c>
      <c r="U38" t="str">
        <f t="shared" si="1"/>
        <v>-HR</v>
      </c>
      <c r="V38" t="str">
        <f t="shared" si="2"/>
        <v>L2</v>
      </c>
      <c r="W38" t="str">
        <f>PROPER(TRIM(VLOOKUP(S38,Employee_Lookups!$I$4:$M$19,2,FALSE())))</f>
        <v>Nikhil Chatterjee</v>
      </c>
      <c r="X38" t="str">
        <f>VLOOKUP(C38,Employee_Lookups!$A$4:$G$9,4,FALSE())</f>
        <v>CC-505</v>
      </c>
      <c r="Y38" t="str">
        <f>INDEX(Employee_Lookups!$C$13:$C$17,MATCH(F38,Employee_Lookups!$A$13:$A$17,0))</f>
        <v>Band B (Mid)</v>
      </c>
      <c r="Z38" s="27">
        <f>_xlfn.XLOOKUP(F38,Employee_Lookups!$A$13:$A$17,Employee_Lookups!$E$13:$E$17,0)</f>
        <v>1100000</v>
      </c>
      <c r="AA38" s="28">
        <f>ROUND(O38/INDEX(Employee_Lookups!$E$13:$E$17,MATCH(F38,Employee_Lookups!$A$13:$A$17,0)),3)</f>
        <v>1.181</v>
      </c>
      <c r="AB38">
        <f t="shared" si="3"/>
        <v>2019</v>
      </c>
      <c r="AC38" t="str">
        <f t="shared" si="4"/>
        <v/>
      </c>
      <c r="AD38" s="28">
        <f>ROUND((IF(ISBLANK(L38),Employee_Lookups!$O$14,L38)-J38)/365.25,2)</f>
        <v>6.58</v>
      </c>
      <c r="AE38" t="str">
        <f t="shared" si="5"/>
        <v>5+ Yrs</v>
      </c>
      <c r="AF38" t="str">
        <f t="shared" si="6"/>
        <v>Low Risk</v>
      </c>
    </row>
    <row r="39" spans="1:32" x14ac:dyDescent="0.45">
      <c r="A39" t="s">
        <v>291</v>
      </c>
      <c r="B39" t="s">
        <v>292</v>
      </c>
      <c r="C39" t="s">
        <v>53</v>
      </c>
      <c r="D39" t="s">
        <v>52</v>
      </c>
      <c r="E39" t="s">
        <v>185</v>
      </c>
      <c r="F39" t="s">
        <v>82</v>
      </c>
      <c r="G39" t="s">
        <v>186</v>
      </c>
      <c r="H39" t="s">
        <v>108</v>
      </c>
      <c r="I39" t="s">
        <v>107</v>
      </c>
      <c r="J39" s="26">
        <v>43619</v>
      </c>
      <c r="K39" t="s">
        <v>187</v>
      </c>
      <c r="L39" s="26">
        <v>46003</v>
      </c>
      <c r="M39" t="s">
        <v>269</v>
      </c>
      <c r="N39" t="s">
        <v>99</v>
      </c>
      <c r="O39" s="27">
        <v>1058000</v>
      </c>
      <c r="P39">
        <v>4</v>
      </c>
      <c r="Q39" t="s">
        <v>172</v>
      </c>
      <c r="R39">
        <v>48</v>
      </c>
      <c r="S39" t="s">
        <v>189</v>
      </c>
      <c r="T39">
        <f t="shared" si="0"/>
        <v>10692</v>
      </c>
      <c r="U39" t="str">
        <f t="shared" si="1"/>
        <v>SAL</v>
      </c>
      <c r="V39" t="str">
        <f t="shared" si="2"/>
        <v>L2</v>
      </c>
      <c r="W39" t="str">
        <f>PROPER(TRIM(VLOOKUP(S39,Employee_Lookups!$I$4:$M$19,2,FALSE())))</f>
        <v>Priya Sharma</v>
      </c>
      <c r="X39" t="str">
        <f>VLOOKUP(C39,Employee_Lookups!$A$4:$G$9,4,FALSE())</f>
        <v>CC-202</v>
      </c>
      <c r="Y39" t="str">
        <f>INDEX(Employee_Lookups!$C$13:$C$17,MATCH(F39,Employee_Lookups!$A$13:$A$17,0))</f>
        <v>Band B (Mid)</v>
      </c>
      <c r="Z39" s="27">
        <f>_xlfn.XLOOKUP(F39,Employee_Lookups!$A$13:$A$17,Employee_Lookups!$E$13:$E$17,0)</f>
        <v>1100000</v>
      </c>
      <c r="AA39" s="28">
        <f>ROUND(O39/INDEX(Employee_Lookups!$E$13:$E$17,MATCH(F39,Employee_Lookups!$A$13:$A$17,0)),3)</f>
        <v>0.96199999999999997</v>
      </c>
      <c r="AB39">
        <f t="shared" si="3"/>
        <v>2019</v>
      </c>
      <c r="AC39">
        <f t="shared" si="4"/>
        <v>2025</v>
      </c>
      <c r="AD39" s="28">
        <f>ROUND((IF(ISBLANK(L39),Employee_Lookups!$O$14,L39)-J39)/365.25,2)</f>
        <v>6.53</v>
      </c>
      <c r="AE39" t="str">
        <f t="shared" si="5"/>
        <v>5+ Yrs</v>
      </c>
      <c r="AF39" t="str">
        <f t="shared" si="6"/>
        <v>Exited</v>
      </c>
    </row>
    <row r="40" spans="1:32" x14ac:dyDescent="0.45">
      <c r="A40" t="s">
        <v>293</v>
      </c>
      <c r="B40" t="s">
        <v>294</v>
      </c>
      <c r="C40" t="s">
        <v>53</v>
      </c>
      <c r="D40" t="s">
        <v>52</v>
      </c>
      <c r="E40" t="s">
        <v>280</v>
      </c>
      <c r="F40" t="s">
        <v>85</v>
      </c>
      <c r="G40" t="s">
        <v>281</v>
      </c>
      <c r="H40" t="s">
        <v>109</v>
      </c>
      <c r="I40" t="s">
        <v>110</v>
      </c>
      <c r="J40" s="26">
        <v>43621</v>
      </c>
      <c r="K40" t="s">
        <v>162</v>
      </c>
      <c r="L40" s="26"/>
      <c r="M40" t="s">
        <v>163</v>
      </c>
      <c r="N40" t="s">
        <v>97</v>
      </c>
      <c r="O40" s="27">
        <v>5087000</v>
      </c>
      <c r="P40">
        <v>3</v>
      </c>
      <c r="Q40" t="s">
        <v>172</v>
      </c>
      <c r="R40">
        <v>42</v>
      </c>
      <c r="S40" t="s">
        <v>189</v>
      </c>
      <c r="T40">
        <f t="shared" si="0"/>
        <v>10274</v>
      </c>
      <c r="U40" t="str">
        <f t="shared" si="1"/>
        <v>SAL</v>
      </c>
      <c r="V40" t="str">
        <f t="shared" si="2"/>
        <v>L5</v>
      </c>
      <c r="W40" t="str">
        <f>PROPER(TRIM(VLOOKUP(S40,Employee_Lookups!$I$4:$M$19,2,FALSE())))</f>
        <v>Priya Sharma</v>
      </c>
      <c r="X40" t="str">
        <f>VLOOKUP(C40,Employee_Lookups!$A$4:$G$9,4,FALSE())</f>
        <v>CC-202</v>
      </c>
      <c r="Y40" t="str">
        <f>INDEX(Employee_Lookups!$C$13:$C$17,MATCH(F40,Employee_Lookups!$A$13:$A$17,0))</f>
        <v>Band E (Executive)</v>
      </c>
      <c r="Z40" s="27">
        <f>_xlfn.XLOOKUP(F40,Employee_Lookups!$A$13:$A$17,Employee_Lookups!$E$13:$E$17,0)</f>
        <v>4300000</v>
      </c>
      <c r="AA40" s="28">
        <f>ROUND(O40/INDEX(Employee_Lookups!$E$13:$E$17,MATCH(F40,Employee_Lookups!$A$13:$A$17,0)),3)</f>
        <v>1.1830000000000001</v>
      </c>
      <c r="AB40">
        <f t="shared" si="3"/>
        <v>2019</v>
      </c>
      <c r="AC40" t="str">
        <f t="shared" si="4"/>
        <v/>
      </c>
      <c r="AD40" s="28">
        <f>ROUND((IF(ISBLANK(L40),Employee_Lookups!$O$14,L40)-J40)/365.25,2)</f>
        <v>6.57</v>
      </c>
      <c r="AE40" t="str">
        <f t="shared" si="5"/>
        <v>5+ Yrs</v>
      </c>
      <c r="AF40" t="str">
        <f t="shared" si="6"/>
        <v>Moderate Risk</v>
      </c>
    </row>
    <row r="41" spans="1:32" x14ac:dyDescent="0.45">
      <c r="A41" t="s">
        <v>295</v>
      </c>
      <c r="B41" t="s">
        <v>296</v>
      </c>
      <c r="C41" t="s">
        <v>53</v>
      </c>
      <c r="D41" t="s">
        <v>52</v>
      </c>
      <c r="E41" t="s">
        <v>185</v>
      </c>
      <c r="F41" t="s">
        <v>82</v>
      </c>
      <c r="G41" t="s">
        <v>186</v>
      </c>
      <c r="H41" t="s">
        <v>106</v>
      </c>
      <c r="I41" t="s">
        <v>107</v>
      </c>
      <c r="J41" s="26">
        <v>43631</v>
      </c>
      <c r="K41" t="s">
        <v>187</v>
      </c>
      <c r="L41" s="26">
        <v>45853</v>
      </c>
      <c r="M41" t="s">
        <v>213</v>
      </c>
      <c r="N41" t="s">
        <v>98</v>
      </c>
      <c r="O41" s="27">
        <v>1113000</v>
      </c>
      <c r="P41">
        <v>4</v>
      </c>
      <c r="Q41" t="s">
        <v>172</v>
      </c>
      <c r="R41">
        <v>31</v>
      </c>
      <c r="S41" t="s">
        <v>189</v>
      </c>
      <c r="T41">
        <f t="shared" si="0"/>
        <v>10808</v>
      </c>
      <c r="U41" t="str">
        <f t="shared" si="1"/>
        <v>SAL</v>
      </c>
      <c r="V41" t="str">
        <f t="shared" si="2"/>
        <v>L2</v>
      </c>
      <c r="W41" t="str">
        <f>PROPER(TRIM(VLOOKUP(S41,Employee_Lookups!$I$4:$M$19,2,FALSE())))</f>
        <v>Priya Sharma</v>
      </c>
      <c r="X41" t="str">
        <f>VLOOKUP(C41,Employee_Lookups!$A$4:$G$9,4,FALSE())</f>
        <v>CC-202</v>
      </c>
      <c r="Y41" t="str">
        <f>INDEX(Employee_Lookups!$C$13:$C$17,MATCH(F41,Employee_Lookups!$A$13:$A$17,0))</f>
        <v>Band B (Mid)</v>
      </c>
      <c r="Z41" s="27">
        <f>_xlfn.XLOOKUP(F41,Employee_Lookups!$A$13:$A$17,Employee_Lookups!$E$13:$E$17,0)</f>
        <v>1100000</v>
      </c>
      <c r="AA41" s="28">
        <f>ROUND(O41/INDEX(Employee_Lookups!$E$13:$E$17,MATCH(F41,Employee_Lookups!$A$13:$A$17,0)),3)</f>
        <v>1.012</v>
      </c>
      <c r="AB41">
        <f t="shared" si="3"/>
        <v>2019</v>
      </c>
      <c r="AC41">
        <f t="shared" si="4"/>
        <v>2025</v>
      </c>
      <c r="AD41" s="28">
        <f>ROUND((IF(ISBLANK(L41),Employee_Lookups!$O$14,L41)-J41)/365.25,2)</f>
        <v>6.08</v>
      </c>
      <c r="AE41" t="str">
        <f t="shared" si="5"/>
        <v>5+ Yrs</v>
      </c>
      <c r="AF41" t="str">
        <f t="shared" si="6"/>
        <v>Exited</v>
      </c>
    </row>
    <row r="42" spans="1:32" x14ac:dyDescent="0.45">
      <c r="A42" t="s">
        <v>297</v>
      </c>
      <c r="B42" t="s">
        <v>298</v>
      </c>
      <c r="C42" t="s">
        <v>59</v>
      </c>
      <c r="D42" t="s">
        <v>58</v>
      </c>
      <c r="E42" t="s">
        <v>211</v>
      </c>
      <c r="F42" t="s">
        <v>82</v>
      </c>
      <c r="G42" t="s">
        <v>212</v>
      </c>
      <c r="H42" t="s">
        <v>112</v>
      </c>
      <c r="I42" t="s">
        <v>113</v>
      </c>
      <c r="J42" s="26">
        <v>43636</v>
      </c>
      <c r="K42" t="s">
        <v>162</v>
      </c>
      <c r="L42" s="26"/>
      <c r="M42" t="s">
        <v>163</v>
      </c>
      <c r="N42" t="s">
        <v>97</v>
      </c>
      <c r="O42" s="27">
        <v>1329000</v>
      </c>
      <c r="P42">
        <v>3</v>
      </c>
      <c r="Q42" t="s">
        <v>172</v>
      </c>
      <c r="R42">
        <v>25</v>
      </c>
      <c r="S42" t="s">
        <v>214</v>
      </c>
      <c r="T42">
        <f t="shared" si="0"/>
        <v>10263</v>
      </c>
      <c r="U42" t="str">
        <f t="shared" si="1"/>
        <v>FIN</v>
      </c>
      <c r="V42" t="str">
        <f t="shared" si="2"/>
        <v>L2</v>
      </c>
      <c r="W42" t="str">
        <f>PROPER(TRIM(VLOOKUP(S42,Employee_Lookups!$I$4:$M$19,2,FALSE())))</f>
        <v>Aditya Gokhale</v>
      </c>
      <c r="X42" t="str">
        <f>VLOOKUP(C42,Employee_Lookups!$A$4:$G$9,4,FALSE())</f>
        <v>CC-404</v>
      </c>
      <c r="Y42" t="str">
        <f>INDEX(Employee_Lookups!$C$13:$C$17,MATCH(F42,Employee_Lookups!$A$13:$A$17,0))</f>
        <v>Band B (Mid)</v>
      </c>
      <c r="Z42" s="27">
        <f>_xlfn.XLOOKUP(F42,Employee_Lookups!$A$13:$A$17,Employee_Lookups!$E$13:$E$17,0)</f>
        <v>1100000</v>
      </c>
      <c r="AA42" s="28">
        <f>ROUND(O42/INDEX(Employee_Lookups!$E$13:$E$17,MATCH(F42,Employee_Lookups!$A$13:$A$17,0)),3)</f>
        <v>1.208</v>
      </c>
      <c r="AB42">
        <f t="shared" si="3"/>
        <v>2019</v>
      </c>
      <c r="AC42" t="str">
        <f t="shared" si="4"/>
        <v/>
      </c>
      <c r="AD42" s="28">
        <f>ROUND((IF(ISBLANK(L42),Employee_Lookups!$O$14,L42)-J42)/365.25,2)</f>
        <v>6.53</v>
      </c>
      <c r="AE42" t="str">
        <f t="shared" si="5"/>
        <v>5+ Yrs</v>
      </c>
      <c r="AF42" t="str">
        <f t="shared" si="6"/>
        <v>Moderate Risk</v>
      </c>
    </row>
    <row r="43" spans="1:32" x14ac:dyDescent="0.45">
      <c r="A43" t="s">
        <v>299</v>
      </c>
      <c r="B43" t="s">
        <v>300</v>
      </c>
      <c r="C43" t="s">
        <v>51</v>
      </c>
      <c r="D43" t="s">
        <v>50</v>
      </c>
      <c r="E43" t="s">
        <v>181</v>
      </c>
      <c r="F43" t="s">
        <v>81</v>
      </c>
      <c r="G43" t="s">
        <v>182</v>
      </c>
      <c r="H43" t="s">
        <v>109</v>
      </c>
      <c r="I43" t="s">
        <v>110</v>
      </c>
      <c r="J43" s="26">
        <v>43640</v>
      </c>
      <c r="K43" t="s">
        <v>162</v>
      </c>
      <c r="L43" s="26"/>
      <c r="M43" t="s">
        <v>163</v>
      </c>
      <c r="N43" t="s">
        <v>95</v>
      </c>
      <c r="O43" s="27">
        <v>824000</v>
      </c>
      <c r="P43">
        <v>3</v>
      </c>
      <c r="Q43" t="s">
        <v>164</v>
      </c>
      <c r="R43">
        <v>44</v>
      </c>
      <c r="S43" t="s">
        <v>178</v>
      </c>
      <c r="T43">
        <f t="shared" si="0"/>
        <v>10115</v>
      </c>
      <c r="U43" t="str">
        <f t="shared" si="1"/>
        <v>ENG</v>
      </c>
      <c r="V43" t="str">
        <f t="shared" si="2"/>
        <v>L1</v>
      </c>
      <c r="W43" t="str">
        <f>PROPER(TRIM(VLOOKUP(S43,Employee_Lookups!$I$4:$M$19,2,FALSE())))</f>
        <v>Aarav Deshmukh</v>
      </c>
      <c r="X43" t="str">
        <f>VLOOKUP(C43,Employee_Lookups!$A$4:$G$9,4,FALSE())</f>
        <v>CC-101</v>
      </c>
      <c r="Y43" t="str">
        <f>INDEX(Employee_Lookups!$C$13:$C$17,MATCH(F43,Employee_Lookups!$A$13:$A$17,0))</f>
        <v>Band A (Entry)</v>
      </c>
      <c r="Z43" s="27">
        <f>_xlfn.XLOOKUP(F43,Employee_Lookups!$A$13:$A$17,Employee_Lookups!$E$13:$E$17,0)</f>
        <v>700000</v>
      </c>
      <c r="AA43" s="28">
        <f>ROUND(O43/INDEX(Employee_Lookups!$E$13:$E$17,MATCH(F43,Employee_Lookups!$A$13:$A$17,0)),3)</f>
        <v>1.177</v>
      </c>
      <c r="AB43">
        <f t="shared" si="3"/>
        <v>2019</v>
      </c>
      <c r="AC43" t="str">
        <f t="shared" si="4"/>
        <v/>
      </c>
      <c r="AD43" s="28">
        <f>ROUND((IF(ISBLANK(L43),Employee_Lookups!$O$14,L43)-J43)/365.25,2)</f>
        <v>6.52</v>
      </c>
      <c r="AE43" t="str">
        <f t="shared" si="5"/>
        <v>5+ Yrs</v>
      </c>
      <c r="AF43" t="str">
        <f t="shared" si="6"/>
        <v>Low Risk</v>
      </c>
    </row>
    <row r="44" spans="1:32" x14ac:dyDescent="0.45">
      <c r="A44" t="s">
        <v>301</v>
      </c>
      <c r="B44" t="s">
        <v>276</v>
      </c>
      <c r="C44" t="s">
        <v>51</v>
      </c>
      <c r="D44" t="s">
        <v>50</v>
      </c>
      <c r="E44" t="s">
        <v>176</v>
      </c>
      <c r="F44" t="s">
        <v>82</v>
      </c>
      <c r="G44" t="s">
        <v>177</v>
      </c>
      <c r="H44" t="s">
        <v>108</v>
      </c>
      <c r="I44" t="s">
        <v>107</v>
      </c>
      <c r="J44" s="26">
        <v>43642</v>
      </c>
      <c r="K44" t="s">
        <v>170</v>
      </c>
      <c r="L44" s="26">
        <v>43985</v>
      </c>
      <c r="M44" t="s">
        <v>171</v>
      </c>
      <c r="N44" t="s">
        <v>98</v>
      </c>
      <c r="O44" s="27">
        <v>1129000</v>
      </c>
      <c r="P44">
        <v>2</v>
      </c>
      <c r="Q44" t="s">
        <v>164</v>
      </c>
      <c r="R44">
        <v>17</v>
      </c>
      <c r="S44" t="s">
        <v>244</v>
      </c>
      <c r="T44">
        <f t="shared" si="0"/>
        <v>10235</v>
      </c>
      <c r="U44" t="str">
        <f t="shared" si="1"/>
        <v>ENG</v>
      </c>
      <c r="V44" t="str">
        <f t="shared" si="2"/>
        <v>L2</v>
      </c>
      <c r="W44" t="str">
        <f>PROPER(TRIM(VLOOKUP(S44,Employee_Lookups!$I$4:$M$19,2,FALSE())))</f>
        <v>Siddharth Nair</v>
      </c>
      <c r="X44" t="str">
        <f>VLOOKUP(C44,Employee_Lookups!$A$4:$G$9,4,FALSE())</f>
        <v>CC-101</v>
      </c>
      <c r="Y44" t="str">
        <f>INDEX(Employee_Lookups!$C$13:$C$17,MATCH(F44,Employee_Lookups!$A$13:$A$17,0))</f>
        <v>Band B (Mid)</v>
      </c>
      <c r="Z44" s="27">
        <f>_xlfn.XLOOKUP(F44,Employee_Lookups!$A$13:$A$17,Employee_Lookups!$E$13:$E$17,0)</f>
        <v>1100000</v>
      </c>
      <c r="AA44" s="28">
        <f>ROUND(O44/INDEX(Employee_Lookups!$E$13:$E$17,MATCH(F44,Employee_Lookups!$A$13:$A$17,0)),3)</f>
        <v>1.026</v>
      </c>
      <c r="AB44">
        <f t="shared" si="3"/>
        <v>2019</v>
      </c>
      <c r="AC44">
        <f t="shared" si="4"/>
        <v>2020</v>
      </c>
      <c r="AD44" s="28">
        <f>ROUND((IF(ISBLANK(L44),Employee_Lookups!$O$14,L44)-J44)/365.25,2)</f>
        <v>0.94</v>
      </c>
      <c r="AE44" t="str">
        <f t="shared" si="5"/>
        <v>&lt; 1 Yr (New)</v>
      </c>
      <c r="AF44" t="str">
        <f t="shared" si="6"/>
        <v>Exited</v>
      </c>
    </row>
    <row r="45" spans="1:32" x14ac:dyDescent="0.45">
      <c r="A45" t="s">
        <v>302</v>
      </c>
      <c r="B45" t="s">
        <v>303</v>
      </c>
      <c r="C45" t="s">
        <v>55</v>
      </c>
      <c r="D45" t="s">
        <v>54</v>
      </c>
      <c r="E45" t="s">
        <v>240</v>
      </c>
      <c r="F45" t="s">
        <v>83</v>
      </c>
      <c r="G45" t="s">
        <v>241</v>
      </c>
      <c r="H45" t="s">
        <v>109</v>
      </c>
      <c r="I45" t="s">
        <v>110</v>
      </c>
      <c r="J45" s="26">
        <v>43643</v>
      </c>
      <c r="K45" t="s">
        <v>162</v>
      </c>
      <c r="L45" s="26"/>
      <c r="M45" t="s">
        <v>163</v>
      </c>
      <c r="N45" t="s">
        <v>96</v>
      </c>
      <c r="O45" s="27">
        <v>2092000</v>
      </c>
      <c r="P45">
        <v>1</v>
      </c>
      <c r="Q45" t="s">
        <v>164</v>
      </c>
      <c r="R45">
        <v>18</v>
      </c>
      <c r="S45" t="s">
        <v>274</v>
      </c>
      <c r="T45">
        <f t="shared" si="0"/>
        <v>11318</v>
      </c>
      <c r="U45" t="str">
        <f t="shared" si="1"/>
        <v>OPS</v>
      </c>
      <c r="V45" t="str">
        <f t="shared" si="2"/>
        <v>L3</v>
      </c>
      <c r="W45" t="str">
        <f>PROPER(TRIM(VLOOKUP(S45,Employee_Lookups!$I$4:$M$19,2,FALSE())))</f>
        <v>Meera Krishnan</v>
      </c>
      <c r="X45" t="str">
        <f>VLOOKUP(C45,Employee_Lookups!$A$4:$G$9,4,FALSE())</f>
        <v>CC-303</v>
      </c>
      <c r="Y45" t="str">
        <f>INDEX(Employee_Lookups!$C$13:$C$17,MATCH(F45,Employee_Lookups!$A$13:$A$17,0))</f>
        <v>Band C (Senior)</v>
      </c>
      <c r="Z45" s="27">
        <f>_xlfn.XLOOKUP(F45,Employee_Lookups!$A$13:$A$17,Employee_Lookups!$E$13:$E$17,0)</f>
        <v>1725000</v>
      </c>
      <c r="AA45" s="28">
        <f>ROUND(O45/INDEX(Employee_Lookups!$E$13:$E$17,MATCH(F45,Employee_Lookups!$A$13:$A$17,0)),3)</f>
        <v>1.2130000000000001</v>
      </c>
      <c r="AB45">
        <f t="shared" si="3"/>
        <v>2019</v>
      </c>
      <c r="AC45" t="str">
        <f t="shared" si="4"/>
        <v/>
      </c>
      <c r="AD45" s="28">
        <f>ROUND((IF(ISBLANK(L45),Employee_Lookups!$O$14,L45)-J45)/365.25,2)</f>
        <v>6.51</v>
      </c>
      <c r="AE45" t="str">
        <f t="shared" si="5"/>
        <v>5+ Yrs</v>
      </c>
      <c r="AF45" t="str">
        <f t="shared" si="6"/>
        <v>Moderate Risk</v>
      </c>
    </row>
    <row r="46" spans="1:32" x14ac:dyDescent="0.45">
      <c r="A46" t="s">
        <v>304</v>
      </c>
      <c r="B46" t="s">
        <v>305</v>
      </c>
      <c r="C46" t="s">
        <v>51</v>
      </c>
      <c r="D46" t="s">
        <v>50</v>
      </c>
      <c r="E46" t="s">
        <v>217</v>
      </c>
      <c r="F46" t="s">
        <v>83</v>
      </c>
      <c r="G46" t="s">
        <v>218</v>
      </c>
      <c r="H46" t="s">
        <v>106</v>
      </c>
      <c r="I46" t="s">
        <v>107</v>
      </c>
      <c r="J46" s="26">
        <v>43643</v>
      </c>
      <c r="K46" t="s">
        <v>170</v>
      </c>
      <c r="L46" s="26">
        <v>45090</v>
      </c>
      <c r="M46" t="s">
        <v>171</v>
      </c>
      <c r="N46" t="s">
        <v>99</v>
      </c>
      <c r="O46" s="27">
        <v>1760000</v>
      </c>
      <c r="P46">
        <v>2</v>
      </c>
      <c r="Q46" t="s">
        <v>164</v>
      </c>
      <c r="R46">
        <v>0</v>
      </c>
      <c r="S46" t="s">
        <v>197</v>
      </c>
      <c r="T46">
        <f t="shared" si="0"/>
        <v>10354</v>
      </c>
      <c r="U46" t="str">
        <f t="shared" si="1"/>
        <v>ENG</v>
      </c>
      <c r="V46" t="str">
        <f t="shared" si="2"/>
        <v>L3</v>
      </c>
      <c r="W46" t="str">
        <f>PROPER(TRIM(VLOOKUP(S46,Employee_Lookups!$I$4:$M$19,2,FALSE())))</f>
        <v>Rohan Verma</v>
      </c>
      <c r="X46" t="str">
        <f>VLOOKUP(C46,Employee_Lookups!$A$4:$G$9,4,FALSE())</f>
        <v>CC-101</v>
      </c>
      <c r="Y46" t="str">
        <f>INDEX(Employee_Lookups!$C$13:$C$17,MATCH(F46,Employee_Lookups!$A$13:$A$17,0))</f>
        <v>Band C (Senior)</v>
      </c>
      <c r="Z46" s="27">
        <f>_xlfn.XLOOKUP(F46,Employee_Lookups!$A$13:$A$17,Employee_Lookups!$E$13:$E$17,0)</f>
        <v>1725000</v>
      </c>
      <c r="AA46" s="28">
        <f>ROUND(O46/INDEX(Employee_Lookups!$E$13:$E$17,MATCH(F46,Employee_Lookups!$A$13:$A$17,0)),3)</f>
        <v>1.02</v>
      </c>
      <c r="AB46">
        <f t="shared" si="3"/>
        <v>2019</v>
      </c>
      <c r="AC46">
        <f t="shared" si="4"/>
        <v>2023</v>
      </c>
      <c r="AD46" s="28">
        <f>ROUND((IF(ISBLANK(L46),Employee_Lookups!$O$14,L46)-J46)/365.25,2)</f>
        <v>3.96</v>
      </c>
      <c r="AE46" t="str">
        <f t="shared" si="5"/>
        <v>3 - 5 Yrs</v>
      </c>
      <c r="AF46" t="str">
        <f t="shared" si="6"/>
        <v>Exited</v>
      </c>
    </row>
    <row r="47" spans="1:32" x14ac:dyDescent="0.45">
      <c r="A47" t="s">
        <v>306</v>
      </c>
      <c r="B47" t="s">
        <v>307</v>
      </c>
      <c r="C47" t="s">
        <v>55</v>
      </c>
      <c r="D47" t="s">
        <v>54</v>
      </c>
      <c r="E47" t="s">
        <v>240</v>
      </c>
      <c r="F47" t="s">
        <v>83</v>
      </c>
      <c r="G47" t="s">
        <v>241</v>
      </c>
      <c r="H47" t="s">
        <v>109</v>
      </c>
      <c r="I47" t="s">
        <v>110</v>
      </c>
      <c r="J47" s="26">
        <v>43654</v>
      </c>
      <c r="K47" t="s">
        <v>187</v>
      </c>
      <c r="L47" s="26">
        <v>45107</v>
      </c>
      <c r="M47" t="s">
        <v>308</v>
      </c>
      <c r="N47" t="s">
        <v>96</v>
      </c>
      <c r="O47" s="27">
        <v>1894000</v>
      </c>
      <c r="P47">
        <v>4</v>
      </c>
      <c r="Q47" t="s">
        <v>164</v>
      </c>
      <c r="R47">
        <v>51</v>
      </c>
      <c r="S47" t="s">
        <v>173</v>
      </c>
      <c r="T47">
        <f t="shared" si="0"/>
        <v>10750</v>
      </c>
      <c r="U47" t="str">
        <f t="shared" si="1"/>
        <v>OPS</v>
      </c>
      <c r="V47" t="str">
        <f t="shared" si="2"/>
        <v>L3</v>
      </c>
      <c r="W47" t="str">
        <f>PROPER(TRIM(VLOOKUP(S47,Employee_Lookups!$I$4:$M$19,2,FALSE())))</f>
        <v>Deepak Patil</v>
      </c>
      <c r="X47" t="str">
        <f>VLOOKUP(C47,Employee_Lookups!$A$4:$G$9,4,FALSE())</f>
        <v>CC-303</v>
      </c>
      <c r="Y47" t="str">
        <f>INDEX(Employee_Lookups!$C$13:$C$17,MATCH(F47,Employee_Lookups!$A$13:$A$17,0))</f>
        <v>Band C (Senior)</v>
      </c>
      <c r="Z47" s="27">
        <f>_xlfn.XLOOKUP(F47,Employee_Lookups!$A$13:$A$17,Employee_Lookups!$E$13:$E$17,0)</f>
        <v>1725000</v>
      </c>
      <c r="AA47" s="28">
        <f>ROUND(O47/INDEX(Employee_Lookups!$E$13:$E$17,MATCH(F47,Employee_Lookups!$A$13:$A$17,0)),3)</f>
        <v>1.0980000000000001</v>
      </c>
      <c r="AB47">
        <f t="shared" si="3"/>
        <v>2019</v>
      </c>
      <c r="AC47">
        <f t="shared" si="4"/>
        <v>2023</v>
      </c>
      <c r="AD47" s="28">
        <f>ROUND((IF(ISBLANK(L47),Employee_Lookups!$O$14,L47)-J47)/365.25,2)</f>
        <v>3.98</v>
      </c>
      <c r="AE47" t="str">
        <f t="shared" si="5"/>
        <v>3 - 5 Yrs</v>
      </c>
      <c r="AF47" t="str">
        <f t="shared" si="6"/>
        <v>Exited</v>
      </c>
    </row>
    <row r="48" spans="1:32" x14ac:dyDescent="0.45">
      <c r="A48" t="s">
        <v>309</v>
      </c>
      <c r="B48" t="s">
        <v>310</v>
      </c>
      <c r="C48" t="s">
        <v>51</v>
      </c>
      <c r="D48" t="s">
        <v>50</v>
      </c>
      <c r="E48" t="s">
        <v>181</v>
      </c>
      <c r="F48" t="s">
        <v>81</v>
      </c>
      <c r="G48" t="s">
        <v>182</v>
      </c>
      <c r="H48" t="s">
        <v>108</v>
      </c>
      <c r="I48" t="s">
        <v>107</v>
      </c>
      <c r="J48" s="26">
        <v>43655</v>
      </c>
      <c r="K48" t="s">
        <v>187</v>
      </c>
      <c r="L48" s="26">
        <v>44845</v>
      </c>
      <c r="M48" t="s">
        <v>269</v>
      </c>
      <c r="N48" t="s">
        <v>96</v>
      </c>
      <c r="O48" s="27">
        <v>646000</v>
      </c>
      <c r="P48">
        <v>3</v>
      </c>
      <c r="Q48" t="s">
        <v>172</v>
      </c>
      <c r="R48">
        <v>33</v>
      </c>
      <c r="S48" t="s">
        <v>197</v>
      </c>
      <c r="T48">
        <f t="shared" si="0"/>
        <v>10401</v>
      </c>
      <c r="U48" t="str">
        <f t="shared" si="1"/>
        <v>ENG</v>
      </c>
      <c r="V48" t="str">
        <f t="shared" si="2"/>
        <v>L1</v>
      </c>
      <c r="W48" t="str">
        <f>PROPER(TRIM(VLOOKUP(S48,Employee_Lookups!$I$4:$M$19,2,FALSE())))</f>
        <v>Rohan Verma</v>
      </c>
      <c r="X48" t="str">
        <f>VLOOKUP(C48,Employee_Lookups!$A$4:$G$9,4,FALSE())</f>
        <v>CC-101</v>
      </c>
      <c r="Y48" t="str">
        <f>INDEX(Employee_Lookups!$C$13:$C$17,MATCH(F48,Employee_Lookups!$A$13:$A$17,0))</f>
        <v>Band A (Entry)</v>
      </c>
      <c r="Z48" s="27">
        <f>_xlfn.XLOOKUP(F48,Employee_Lookups!$A$13:$A$17,Employee_Lookups!$E$13:$E$17,0)</f>
        <v>700000</v>
      </c>
      <c r="AA48" s="28">
        <f>ROUND(O48/INDEX(Employee_Lookups!$E$13:$E$17,MATCH(F48,Employee_Lookups!$A$13:$A$17,0)),3)</f>
        <v>0.92300000000000004</v>
      </c>
      <c r="AB48">
        <f t="shared" si="3"/>
        <v>2019</v>
      </c>
      <c r="AC48">
        <f t="shared" si="4"/>
        <v>2022</v>
      </c>
      <c r="AD48" s="28">
        <f>ROUND((IF(ISBLANK(L48),Employee_Lookups!$O$14,L48)-J48)/365.25,2)</f>
        <v>3.26</v>
      </c>
      <c r="AE48" t="str">
        <f t="shared" si="5"/>
        <v>3 - 5 Yrs</v>
      </c>
      <c r="AF48" t="str">
        <f t="shared" si="6"/>
        <v>Exited</v>
      </c>
    </row>
    <row r="49" spans="1:32" x14ac:dyDescent="0.45">
      <c r="A49" t="s">
        <v>311</v>
      </c>
      <c r="B49" t="s">
        <v>312</v>
      </c>
      <c r="C49" t="s">
        <v>57</v>
      </c>
      <c r="D49" t="s">
        <v>56</v>
      </c>
      <c r="E49" t="s">
        <v>222</v>
      </c>
      <c r="F49" t="s">
        <v>82</v>
      </c>
      <c r="G49" t="s">
        <v>223</v>
      </c>
      <c r="H49" t="s">
        <v>108</v>
      </c>
      <c r="I49" t="s">
        <v>107</v>
      </c>
      <c r="J49" s="26">
        <v>43659</v>
      </c>
      <c r="K49" t="s">
        <v>170</v>
      </c>
      <c r="L49" s="26">
        <v>43742</v>
      </c>
      <c r="M49" t="s">
        <v>171</v>
      </c>
      <c r="N49" t="s">
        <v>97</v>
      </c>
      <c r="O49" s="27">
        <v>1226000</v>
      </c>
      <c r="P49">
        <v>4</v>
      </c>
      <c r="Q49" t="s">
        <v>172</v>
      </c>
      <c r="R49">
        <v>25</v>
      </c>
      <c r="S49" t="s">
        <v>165</v>
      </c>
      <c r="T49">
        <f t="shared" si="0"/>
        <v>11022</v>
      </c>
      <c r="U49" t="str">
        <f t="shared" si="1"/>
        <v>MKT</v>
      </c>
      <c r="V49" t="str">
        <f t="shared" si="2"/>
        <v>L2</v>
      </c>
      <c r="W49" t="str">
        <f>PROPER(TRIM(VLOOKUP(S49,Employee_Lookups!$I$4:$M$19,2,FALSE())))</f>
        <v>Arjun Sengupta</v>
      </c>
      <c r="X49" t="str">
        <f>VLOOKUP(C49,Employee_Lookups!$A$4:$G$9,4,FALSE())</f>
        <v>CC-606</v>
      </c>
      <c r="Y49" t="str">
        <f>INDEX(Employee_Lookups!$C$13:$C$17,MATCH(F49,Employee_Lookups!$A$13:$A$17,0))</f>
        <v>Band B (Mid)</v>
      </c>
      <c r="Z49" s="27">
        <f>_xlfn.XLOOKUP(F49,Employee_Lookups!$A$13:$A$17,Employee_Lookups!$E$13:$E$17,0)</f>
        <v>1100000</v>
      </c>
      <c r="AA49" s="28">
        <f>ROUND(O49/INDEX(Employee_Lookups!$E$13:$E$17,MATCH(F49,Employee_Lookups!$A$13:$A$17,0)),3)</f>
        <v>1.115</v>
      </c>
      <c r="AB49">
        <f t="shared" si="3"/>
        <v>2019</v>
      </c>
      <c r="AC49">
        <f t="shared" si="4"/>
        <v>2019</v>
      </c>
      <c r="AD49" s="28">
        <f>ROUND((IF(ISBLANK(L49),Employee_Lookups!$O$14,L49)-J49)/365.25,2)</f>
        <v>0.23</v>
      </c>
      <c r="AE49" t="str">
        <f t="shared" si="5"/>
        <v>&lt; 1 Yr (New)</v>
      </c>
      <c r="AF49" t="str">
        <f t="shared" si="6"/>
        <v>Exited</v>
      </c>
    </row>
    <row r="50" spans="1:32" x14ac:dyDescent="0.45">
      <c r="A50" t="s">
        <v>313</v>
      </c>
      <c r="B50" t="s">
        <v>314</v>
      </c>
      <c r="C50" t="s">
        <v>55</v>
      </c>
      <c r="D50" t="s">
        <v>54</v>
      </c>
      <c r="E50" t="s">
        <v>277</v>
      </c>
      <c r="F50" t="s">
        <v>81</v>
      </c>
      <c r="G50" t="s">
        <v>278</v>
      </c>
      <c r="H50" t="s">
        <v>106</v>
      </c>
      <c r="I50" t="s">
        <v>107</v>
      </c>
      <c r="J50" s="26">
        <v>43663</v>
      </c>
      <c r="K50" t="s">
        <v>187</v>
      </c>
      <c r="L50" s="26">
        <v>43943</v>
      </c>
      <c r="M50" t="s">
        <v>308</v>
      </c>
      <c r="N50" t="s">
        <v>97</v>
      </c>
      <c r="O50" s="27">
        <v>740000</v>
      </c>
      <c r="P50">
        <v>3</v>
      </c>
      <c r="Q50" t="s">
        <v>172</v>
      </c>
      <c r="R50">
        <v>20</v>
      </c>
      <c r="S50" t="s">
        <v>173</v>
      </c>
      <c r="T50">
        <f t="shared" si="0"/>
        <v>11193</v>
      </c>
      <c r="U50" t="str">
        <f t="shared" si="1"/>
        <v>OPS</v>
      </c>
      <c r="V50" t="str">
        <f t="shared" si="2"/>
        <v>L1</v>
      </c>
      <c r="W50" t="str">
        <f>PROPER(TRIM(VLOOKUP(S50,Employee_Lookups!$I$4:$M$19,2,FALSE())))</f>
        <v>Deepak Patil</v>
      </c>
      <c r="X50" t="str">
        <f>VLOOKUP(C50,Employee_Lookups!$A$4:$G$9,4,FALSE())</f>
        <v>CC-303</v>
      </c>
      <c r="Y50" t="str">
        <f>INDEX(Employee_Lookups!$C$13:$C$17,MATCH(F50,Employee_Lookups!$A$13:$A$17,0))</f>
        <v>Band A (Entry)</v>
      </c>
      <c r="Z50" s="27">
        <f>_xlfn.XLOOKUP(F50,Employee_Lookups!$A$13:$A$17,Employee_Lookups!$E$13:$E$17,0)</f>
        <v>700000</v>
      </c>
      <c r="AA50" s="28">
        <f>ROUND(O50/INDEX(Employee_Lookups!$E$13:$E$17,MATCH(F50,Employee_Lookups!$A$13:$A$17,0)),3)</f>
        <v>1.0569999999999999</v>
      </c>
      <c r="AB50">
        <f t="shared" si="3"/>
        <v>2019</v>
      </c>
      <c r="AC50">
        <f t="shared" si="4"/>
        <v>2020</v>
      </c>
      <c r="AD50" s="28">
        <f>ROUND((IF(ISBLANK(L50),Employee_Lookups!$O$14,L50)-J50)/365.25,2)</f>
        <v>0.77</v>
      </c>
      <c r="AE50" t="str">
        <f t="shared" si="5"/>
        <v>&lt; 1 Yr (New)</v>
      </c>
      <c r="AF50" t="str">
        <f t="shared" si="6"/>
        <v>Exited</v>
      </c>
    </row>
    <row r="51" spans="1:32" x14ac:dyDescent="0.45">
      <c r="A51" t="s">
        <v>315</v>
      </c>
      <c r="B51" t="s">
        <v>316</v>
      </c>
      <c r="C51" t="s">
        <v>61</v>
      </c>
      <c r="D51" t="s">
        <v>60</v>
      </c>
      <c r="E51" t="s">
        <v>317</v>
      </c>
      <c r="F51" t="s">
        <v>84</v>
      </c>
      <c r="G51" t="s">
        <v>318</v>
      </c>
      <c r="H51" t="s">
        <v>106</v>
      </c>
      <c r="I51" t="s">
        <v>107</v>
      </c>
      <c r="J51" s="26">
        <v>43668</v>
      </c>
      <c r="K51" t="s">
        <v>162</v>
      </c>
      <c r="L51" s="26"/>
      <c r="M51" t="s">
        <v>163</v>
      </c>
      <c r="N51" t="s">
        <v>95</v>
      </c>
      <c r="O51" s="27">
        <v>2560000</v>
      </c>
      <c r="P51">
        <v>3</v>
      </c>
      <c r="Q51" t="s">
        <v>164</v>
      </c>
      <c r="R51">
        <v>23</v>
      </c>
      <c r="S51" t="s">
        <v>319</v>
      </c>
      <c r="T51">
        <f t="shared" si="0"/>
        <v>10397</v>
      </c>
      <c r="U51" t="str">
        <f t="shared" si="1"/>
        <v>-HR</v>
      </c>
      <c r="V51" t="str">
        <f t="shared" si="2"/>
        <v>L4</v>
      </c>
      <c r="W51" t="str">
        <f>PROPER(TRIM(VLOOKUP(S51,Employee_Lookups!$I$4:$M$19,2,FALSE())))</f>
        <v>Kavita Menon</v>
      </c>
      <c r="X51" t="str">
        <f>VLOOKUP(C51,Employee_Lookups!$A$4:$G$9,4,FALSE())</f>
        <v>CC-505</v>
      </c>
      <c r="Y51" t="str">
        <f>INDEX(Employee_Lookups!$C$13:$C$17,MATCH(F51,Employee_Lookups!$A$13:$A$17,0))</f>
        <v>Band D (Leadership)</v>
      </c>
      <c r="Z51" s="27">
        <f>_xlfn.XLOOKUP(F51,Employee_Lookups!$A$13:$A$17,Employee_Lookups!$E$13:$E$17,0)</f>
        <v>2750000</v>
      </c>
      <c r="AA51" s="28">
        <f>ROUND(O51/INDEX(Employee_Lookups!$E$13:$E$17,MATCH(F51,Employee_Lookups!$A$13:$A$17,0)),3)</f>
        <v>0.93100000000000005</v>
      </c>
      <c r="AB51">
        <f t="shared" si="3"/>
        <v>2019</v>
      </c>
      <c r="AC51" t="str">
        <f t="shared" si="4"/>
        <v/>
      </c>
      <c r="AD51" s="28">
        <f>ROUND((IF(ISBLANK(L51),Employee_Lookups!$O$14,L51)-J51)/365.25,2)</f>
        <v>6.44</v>
      </c>
      <c r="AE51" t="str">
        <f t="shared" si="5"/>
        <v>5+ Yrs</v>
      </c>
      <c r="AF51" t="str">
        <f t="shared" si="6"/>
        <v>Low Risk</v>
      </c>
    </row>
    <row r="52" spans="1:32" x14ac:dyDescent="0.45">
      <c r="A52" t="s">
        <v>320</v>
      </c>
      <c r="B52" t="s">
        <v>321</v>
      </c>
      <c r="C52" t="s">
        <v>53</v>
      </c>
      <c r="D52" t="s">
        <v>52</v>
      </c>
      <c r="E52" t="s">
        <v>322</v>
      </c>
      <c r="F52" t="s">
        <v>81</v>
      </c>
      <c r="G52" t="s">
        <v>323</v>
      </c>
      <c r="H52" t="s">
        <v>106</v>
      </c>
      <c r="I52" t="s">
        <v>107</v>
      </c>
      <c r="J52" s="26">
        <v>43672</v>
      </c>
      <c r="K52" t="s">
        <v>162</v>
      </c>
      <c r="L52" s="26"/>
      <c r="M52" t="s">
        <v>163</v>
      </c>
      <c r="N52" t="s">
        <v>98</v>
      </c>
      <c r="O52" s="27">
        <v>685000</v>
      </c>
      <c r="P52">
        <v>1</v>
      </c>
      <c r="Q52" t="s">
        <v>164</v>
      </c>
      <c r="R52">
        <v>20</v>
      </c>
      <c r="S52" t="s">
        <v>237</v>
      </c>
      <c r="T52">
        <f t="shared" si="0"/>
        <v>10901</v>
      </c>
      <c r="U52" t="str">
        <f t="shared" si="1"/>
        <v>SAL</v>
      </c>
      <c r="V52" t="str">
        <f t="shared" si="2"/>
        <v>L1</v>
      </c>
      <c r="W52" t="str">
        <f>PROPER(TRIM(VLOOKUP(S52,Employee_Lookups!$I$4:$M$19,2,FALSE())))</f>
        <v>Karan Malhotra</v>
      </c>
      <c r="X52" t="str">
        <f>VLOOKUP(C52,Employee_Lookups!$A$4:$G$9,4,FALSE())</f>
        <v>CC-202</v>
      </c>
      <c r="Y52" t="str">
        <f>INDEX(Employee_Lookups!$C$13:$C$17,MATCH(F52,Employee_Lookups!$A$13:$A$17,0))</f>
        <v>Band A (Entry)</v>
      </c>
      <c r="Z52" s="27">
        <f>_xlfn.XLOOKUP(F52,Employee_Lookups!$A$13:$A$17,Employee_Lookups!$E$13:$E$17,0)</f>
        <v>700000</v>
      </c>
      <c r="AA52" s="28">
        <f>ROUND(O52/INDEX(Employee_Lookups!$E$13:$E$17,MATCH(F52,Employee_Lookups!$A$13:$A$17,0)),3)</f>
        <v>0.97899999999999998</v>
      </c>
      <c r="AB52">
        <f t="shared" si="3"/>
        <v>2019</v>
      </c>
      <c r="AC52" t="str">
        <f t="shared" si="4"/>
        <v/>
      </c>
      <c r="AD52" s="28">
        <f>ROUND((IF(ISBLANK(L52),Employee_Lookups!$O$14,L52)-J52)/365.25,2)</f>
        <v>6.43</v>
      </c>
      <c r="AE52" t="str">
        <f t="shared" si="5"/>
        <v>5+ Yrs</v>
      </c>
      <c r="AF52" t="str">
        <f t="shared" si="6"/>
        <v>Moderate Risk</v>
      </c>
    </row>
    <row r="53" spans="1:32" x14ac:dyDescent="0.45">
      <c r="A53" t="s">
        <v>324</v>
      </c>
      <c r="B53" t="s">
        <v>325</v>
      </c>
      <c r="C53" t="s">
        <v>51</v>
      </c>
      <c r="D53" t="s">
        <v>50</v>
      </c>
      <c r="E53" t="s">
        <v>181</v>
      </c>
      <c r="F53" t="s">
        <v>81</v>
      </c>
      <c r="G53" t="s">
        <v>182</v>
      </c>
      <c r="H53" t="s">
        <v>106</v>
      </c>
      <c r="I53" t="s">
        <v>107</v>
      </c>
      <c r="J53" s="26">
        <v>43679</v>
      </c>
      <c r="K53" t="s">
        <v>162</v>
      </c>
      <c r="L53" s="26"/>
      <c r="M53" t="s">
        <v>163</v>
      </c>
      <c r="N53" t="s">
        <v>95</v>
      </c>
      <c r="O53" s="27">
        <v>658000</v>
      </c>
      <c r="P53">
        <v>2</v>
      </c>
      <c r="Q53" t="s">
        <v>164</v>
      </c>
      <c r="R53">
        <v>35</v>
      </c>
      <c r="S53" t="s">
        <v>219</v>
      </c>
      <c r="T53">
        <f t="shared" si="0"/>
        <v>11104</v>
      </c>
      <c r="U53" t="str">
        <f t="shared" si="1"/>
        <v>ENG</v>
      </c>
      <c r="V53" t="str">
        <f t="shared" si="2"/>
        <v>L1</v>
      </c>
      <c r="W53" t="str">
        <f>PROPER(TRIM(VLOOKUP(S53,Employee_Lookups!$I$4:$M$19,2,FALSE())))</f>
        <v>Neha Kulkarni</v>
      </c>
      <c r="X53" t="str">
        <f>VLOOKUP(C53,Employee_Lookups!$A$4:$G$9,4,FALSE())</f>
        <v>CC-101</v>
      </c>
      <c r="Y53" t="str">
        <f>INDEX(Employee_Lookups!$C$13:$C$17,MATCH(F53,Employee_Lookups!$A$13:$A$17,0))</f>
        <v>Band A (Entry)</v>
      </c>
      <c r="Z53" s="27">
        <f>_xlfn.XLOOKUP(F53,Employee_Lookups!$A$13:$A$17,Employee_Lookups!$E$13:$E$17,0)</f>
        <v>700000</v>
      </c>
      <c r="AA53" s="28">
        <f>ROUND(O53/INDEX(Employee_Lookups!$E$13:$E$17,MATCH(F53,Employee_Lookups!$A$13:$A$17,0)),3)</f>
        <v>0.94</v>
      </c>
      <c r="AB53">
        <f t="shared" si="3"/>
        <v>2019</v>
      </c>
      <c r="AC53" t="str">
        <f t="shared" si="4"/>
        <v/>
      </c>
      <c r="AD53" s="28">
        <f>ROUND((IF(ISBLANK(L53),Employee_Lookups!$O$14,L53)-J53)/365.25,2)</f>
        <v>6.41</v>
      </c>
      <c r="AE53" t="str">
        <f t="shared" si="5"/>
        <v>5+ Yrs</v>
      </c>
      <c r="AF53" t="str">
        <f t="shared" si="6"/>
        <v>Moderate Risk</v>
      </c>
    </row>
    <row r="54" spans="1:32" x14ac:dyDescent="0.45">
      <c r="A54" t="s">
        <v>326</v>
      </c>
      <c r="B54" t="s">
        <v>327</v>
      </c>
      <c r="C54" t="s">
        <v>51</v>
      </c>
      <c r="D54" t="s">
        <v>50</v>
      </c>
      <c r="E54" t="s">
        <v>328</v>
      </c>
      <c r="F54" t="s">
        <v>85</v>
      </c>
      <c r="G54" t="s">
        <v>329</v>
      </c>
      <c r="H54" t="s">
        <v>106</v>
      </c>
      <c r="I54" t="s">
        <v>107</v>
      </c>
      <c r="J54" s="26">
        <v>43681</v>
      </c>
      <c r="K54" t="s">
        <v>162</v>
      </c>
      <c r="L54" s="26"/>
      <c r="M54" t="s">
        <v>163</v>
      </c>
      <c r="N54" t="s">
        <v>98</v>
      </c>
      <c r="O54" s="27">
        <v>4373000</v>
      </c>
      <c r="P54">
        <v>3</v>
      </c>
      <c r="Q54" t="s">
        <v>164</v>
      </c>
      <c r="R54">
        <v>27</v>
      </c>
      <c r="S54" t="s">
        <v>219</v>
      </c>
      <c r="T54">
        <f t="shared" si="0"/>
        <v>11124</v>
      </c>
      <c r="U54" t="str">
        <f t="shared" si="1"/>
        <v>ENG</v>
      </c>
      <c r="V54" t="str">
        <f t="shared" si="2"/>
        <v>L5</v>
      </c>
      <c r="W54" t="str">
        <f>PROPER(TRIM(VLOOKUP(S54,Employee_Lookups!$I$4:$M$19,2,FALSE())))</f>
        <v>Neha Kulkarni</v>
      </c>
      <c r="X54" t="str">
        <f>VLOOKUP(C54,Employee_Lookups!$A$4:$G$9,4,FALSE())</f>
        <v>CC-101</v>
      </c>
      <c r="Y54" t="str">
        <f>INDEX(Employee_Lookups!$C$13:$C$17,MATCH(F54,Employee_Lookups!$A$13:$A$17,0))</f>
        <v>Band E (Executive)</v>
      </c>
      <c r="Z54" s="27">
        <f>_xlfn.XLOOKUP(F54,Employee_Lookups!$A$13:$A$17,Employee_Lookups!$E$13:$E$17,0)</f>
        <v>4300000</v>
      </c>
      <c r="AA54" s="28">
        <f>ROUND(O54/INDEX(Employee_Lookups!$E$13:$E$17,MATCH(F54,Employee_Lookups!$A$13:$A$17,0)),3)</f>
        <v>1.0169999999999999</v>
      </c>
      <c r="AB54">
        <f t="shared" si="3"/>
        <v>2019</v>
      </c>
      <c r="AC54" t="str">
        <f t="shared" si="4"/>
        <v/>
      </c>
      <c r="AD54" s="28">
        <f>ROUND((IF(ISBLANK(L54),Employee_Lookups!$O$14,L54)-J54)/365.25,2)</f>
        <v>6.41</v>
      </c>
      <c r="AE54" t="str">
        <f t="shared" si="5"/>
        <v>5+ Yrs</v>
      </c>
      <c r="AF54" t="str">
        <f t="shared" si="6"/>
        <v>Low Risk</v>
      </c>
    </row>
    <row r="55" spans="1:32" x14ac:dyDescent="0.45">
      <c r="A55" t="s">
        <v>330</v>
      </c>
      <c r="B55" t="s">
        <v>331</v>
      </c>
      <c r="C55" t="s">
        <v>53</v>
      </c>
      <c r="D55" t="s">
        <v>52</v>
      </c>
      <c r="E55" t="s">
        <v>322</v>
      </c>
      <c r="F55" t="s">
        <v>81</v>
      </c>
      <c r="G55" t="s">
        <v>323</v>
      </c>
      <c r="H55" t="s">
        <v>111</v>
      </c>
      <c r="I55" t="s">
        <v>110</v>
      </c>
      <c r="J55" s="26">
        <v>43682</v>
      </c>
      <c r="K55" t="s">
        <v>170</v>
      </c>
      <c r="L55" s="26">
        <v>44042</v>
      </c>
      <c r="M55" t="s">
        <v>171</v>
      </c>
      <c r="N55" t="s">
        <v>97</v>
      </c>
      <c r="O55" s="27">
        <v>606000</v>
      </c>
      <c r="P55">
        <v>1</v>
      </c>
      <c r="Q55" t="s">
        <v>172</v>
      </c>
      <c r="R55">
        <v>13</v>
      </c>
      <c r="S55" t="s">
        <v>189</v>
      </c>
      <c r="T55">
        <f t="shared" si="0"/>
        <v>11448</v>
      </c>
      <c r="U55" t="str">
        <f t="shared" si="1"/>
        <v>SAL</v>
      </c>
      <c r="V55" t="str">
        <f t="shared" si="2"/>
        <v>L1</v>
      </c>
      <c r="W55" t="str">
        <f>PROPER(TRIM(VLOOKUP(S55,Employee_Lookups!$I$4:$M$19,2,FALSE())))</f>
        <v>Priya Sharma</v>
      </c>
      <c r="X55" t="str">
        <f>VLOOKUP(C55,Employee_Lookups!$A$4:$G$9,4,FALSE())</f>
        <v>CC-202</v>
      </c>
      <c r="Y55" t="str">
        <f>INDEX(Employee_Lookups!$C$13:$C$17,MATCH(F55,Employee_Lookups!$A$13:$A$17,0))</f>
        <v>Band A (Entry)</v>
      </c>
      <c r="Z55" s="27">
        <f>_xlfn.XLOOKUP(F55,Employee_Lookups!$A$13:$A$17,Employee_Lookups!$E$13:$E$17,0)</f>
        <v>700000</v>
      </c>
      <c r="AA55" s="28">
        <f>ROUND(O55/INDEX(Employee_Lookups!$E$13:$E$17,MATCH(F55,Employee_Lookups!$A$13:$A$17,0)),3)</f>
        <v>0.86599999999999999</v>
      </c>
      <c r="AB55">
        <f t="shared" si="3"/>
        <v>2019</v>
      </c>
      <c r="AC55">
        <f t="shared" si="4"/>
        <v>2020</v>
      </c>
      <c r="AD55" s="28">
        <f>ROUND((IF(ISBLANK(L55),Employee_Lookups!$O$14,L55)-J55)/365.25,2)</f>
        <v>0.99</v>
      </c>
      <c r="AE55" t="str">
        <f t="shared" si="5"/>
        <v>&lt; 1 Yr (New)</v>
      </c>
      <c r="AF55" t="str">
        <f t="shared" si="6"/>
        <v>Exited</v>
      </c>
    </row>
    <row r="56" spans="1:32" x14ac:dyDescent="0.45">
      <c r="A56" t="s">
        <v>332</v>
      </c>
      <c r="B56" t="s">
        <v>333</v>
      </c>
      <c r="C56" t="s">
        <v>57</v>
      </c>
      <c r="D56" t="s">
        <v>56</v>
      </c>
      <c r="E56" t="s">
        <v>222</v>
      </c>
      <c r="F56" t="s">
        <v>82</v>
      </c>
      <c r="G56" t="s">
        <v>223</v>
      </c>
      <c r="H56" t="s">
        <v>108</v>
      </c>
      <c r="I56" t="s">
        <v>107</v>
      </c>
      <c r="J56" s="26">
        <v>43683</v>
      </c>
      <c r="K56" t="s">
        <v>162</v>
      </c>
      <c r="L56" s="26"/>
      <c r="M56" t="s">
        <v>163</v>
      </c>
      <c r="N56" t="s">
        <v>99</v>
      </c>
      <c r="O56" s="27">
        <v>1324000</v>
      </c>
      <c r="P56">
        <v>2</v>
      </c>
      <c r="Q56" t="s">
        <v>172</v>
      </c>
      <c r="R56">
        <v>22</v>
      </c>
      <c r="S56" t="s">
        <v>224</v>
      </c>
      <c r="T56">
        <f t="shared" si="0"/>
        <v>10542</v>
      </c>
      <c r="U56" t="str">
        <f t="shared" si="1"/>
        <v>MKT</v>
      </c>
      <c r="V56" t="str">
        <f t="shared" si="2"/>
        <v>L2</v>
      </c>
      <c r="W56" t="str">
        <f>PROPER(TRIM(VLOOKUP(S56,Employee_Lookups!$I$4:$M$19,2,FALSE())))</f>
        <v>Tanvi Chitnis</v>
      </c>
      <c r="X56" t="str">
        <f>VLOOKUP(C56,Employee_Lookups!$A$4:$G$9,4,FALSE())</f>
        <v>CC-606</v>
      </c>
      <c r="Y56" t="str">
        <f>INDEX(Employee_Lookups!$C$13:$C$17,MATCH(F56,Employee_Lookups!$A$13:$A$17,0))</f>
        <v>Band B (Mid)</v>
      </c>
      <c r="Z56" s="27">
        <f>_xlfn.XLOOKUP(F56,Employee_Lookups!$A$13:$A$17,Employee_Lookups!$E$13:$E$17,0)</f>
        <v>1100000</v>
      </c>
      <c r="AA56" s="28">
        <f>ROUND(O56/INDEX(Employee_Lookups!$E$13:$E$17,MATCH(F56,Employee_Lookups!$A$13:$A$17,0)),3)</f>
        <v>1.204</v>
      </c>
      <c r="AB56">
        <f t="shared" si="3"/>
        <v>2019</v>
      </c>
      <c r="AC56" t="str">
        <f t="shared" si="4"/>
        <v/>
      </c>
      <c r="AD56" s="28">
        <f>ROUND((IF(ISBLANK(L56),Employee_Lookups!$O$14,L56)-J56)/365.25,2)</f>
        <v>6.4</v>
      </c>
      <c r="AE56" t="str">
        <f t="shared" si="5"/>
        <v>5+ Yrs</v>
      </c>
      <c r="AF56" t="str">
        <f t="shared" si="6"/>
        <v>Moderate Risk</v>
      </c>
    </row>
    <row r="57" spans="1:32" x14ac:dyDescent="0.45">
      <c r="A57" t="s">
        <v>334</v>
      </c>
      <c r="B57" t="s">
        <v>335</v>
      </c>
      <c r="C57" t="s">
        <v>55</v>
      </c>
      <c r="D57" t="s">
        <v>54</v>
      </c>
      <c r="E57" t="s">
        <v>229</v>
      </c>
      <c r="F57" t="s">
        <v>82</v>
      </c>
      <c r="G57" t="s">
        <v>230</v>
      </c>
      <c r="H57" t="s">
        <v>109</v>
      </c>
      <c r="I57" t="s">
        <v>110</v>
      </c>
      <c r="J57" s="26">
        <v>43684</v>
      </c>
      <c r="K57" t="s">
        <v>187</v>
      </c>
      <c r="L57" s="26">
        <v>45547</v>
      </c>
      <c r="M57" t="s">
        <v>282</v>
      </c>
      <c r="N57" t="s">
        <v>99</v>
      </c>
      <c r="O57" s="27">
        <v>1276000</v>
      </c>
      <c r="P57">
        <v>3</v>
      </c>
      <c r="Q57" t="s">
        <v>172</v>
      </c>
      <c r="R57">
        <v>24</v>
      </c>
      <c r="S57" t="s">
        <v>274</v>
      </c>
      <c r="T57">
        <f t="shared" si="0"/>
        <v>10213</v>
      </c>
      <c r="U57" t="str">
        <f t="shared" si="1"/>
        <v>OPS</v>
      </c>
      <c r="V57" t="str">
        <f t="shared" si="2"/>
        <v>L2</v>
      </c>
      <c r="W57" t="str">
        <f>PROPER(TRIM(VLOOKUP(S57,Employee_Lookups!$I$4:$M$19,2,FALSE())))</f>
        <v>Meera Krishnan</v>
      </c>
      <c r="X57" t="str">
        <f>VLOOKUP(C57,Employee_Lookups!$A$4:$G$9,4,FALSE())</f>
        <v>CC-303</v>
      </c>
      <c r="Y57" t="str">
        <f>INDEX(Employee_Lookups!$C$13:$C$17,MATCH(F57,Employee_Lookups!$A$13:$A$17,0))</f>
        <v>Band B (Mid)</v>
      </c>
      <c r="Z57" s="27">
        <f>_xlfn.XLOOKUP(F57,Employee_Lookups!$A$13:$A$17,Employee_Lookups!$E$13:$E$17,0)</f>
        <v>1100000</v>
      </c>
      <c r="AA57" s="28">
        <f>ROUND(O57/INDEX(Employee_Lookups!$E$13:$E$17,MATCH(F57,Employee_Lookups!$A$13:$A$17,0)),3)</f>
        <v>1.1599999999999999</v>
      </c>
      <c r="AB57">
        <f t="shared" si="3"/>
        <v>2019</v>
      </c>
      <c r="AC57">
        <f t="shared" si="4"/>
        <v>2024</v>
      </c>
      <c r="AD57" s="28">
        <f>ROUND((IF(ISBLANK(L57),Employee_Lookups!$O$14,L57)-J57)/365.25,2)</f>
        <v>5.0999999999999996</v>
      </c>
      <c r="AE57" t="str">
        <f t="shared" si="5"/>
        <v>5+ Yrs</v>
      </c>
      <c r="AF57" t="str">
        <f t="shared" si="6"/>
        <v>Exited</v>
      </c>
    </row>
    <row r="58" spans="1:32" x14ac:dyDescent="0.45">
      <c r="A58" t="s">
        <v>336</v>
      </c>
      <c r="B58" t="s">
        <v>337</v>
      </c>
      <c r="C58" t="s">
        <v>53</v>
      </c>
      <c r="D58" t="s">
        <v>52</v>
      </c>
      <c r="E58" t="s">
        <v>322</v>
      </c>
      <c r="F58" t="s">
        <v>81</v>
      </c>
      <c r="G58" t="s">
        <v>323</v>
      </c>
      <c r="H58" t="s">
        <v>106</v>
      </c>
      <c r="I58" t="s">
        <v>107</v>
      </c>
      <c r="J58" s="26">
        <v>43686</v>
      </c>
      <c r="K58" t="s">
        <v>187</v>
      </c>
      <c r="L58" s="26">
        <v>44696</v>
      </c>
      <c r="M58" t="s">
        <v>213</v>
      </c>
      <c r="N58" t="s">
        <v>98</v>
      </c>
      <c r="O58" s="27">
        <v>795000</v>
      </c>
      <c r="P58">
        <v>4</v>
      </c>
      <c r="Q58" t="s">
        <v>172</v>
      </c>
      <c r="R58">
        <v>25</v>
      </c>
      <c r="S58" t="s">
        <v>194</v>
      </c>
      <c r="T58">
        <f t="shared" si="0"/>
        <v>10345</v>
      </c>
      <c r="U58" t="str">
        <f t="shared" si="1"/>
        <v>SAL</v>
      </c>
      <c r="V58" t="str">
        <f t="shared" si="2"/>
        <v>L1</v>
      </c>
      <c r="W58" t="str">
        <f>PROPER(TRIM(VLOOKUP(S58,Employee_Lookups!$I$4:$M$19,2,FALSE())))</f>
        <v>Vikramaditya Joshi</v>
      </c>
      <c r="X58" t="str">
        <f>VLOOKUP(C58,Employee_Lookups!$A$4:$G$9,4,FALSE())</f>
        <v>CC-202</v>
      </c>
      <c r="Y58" t="str">
        <f>INDEX(Employee_Lookups!$C$13:$C$17,MATCH(F58,Employee_Lookups!$A$13:$A$17,0))</f>
        <v>Band A (Entry)</v>
      </c>
      <c r="Z58" s="27">
        <f>_xlfn.XLOOKUP(F58,Employee_Lookups!$A$13:$A$17,Employee_Lookups!$E$13:$E$17,0)</f>
        <v>700000</v>
      </c>
      <c r="AA58" s="28">
        <f>ROUND(O58/INDEX(Employee_Lookups!$E$13:$E$17,MATCH(F58,Employee_Lookups!$A$13:$A$17,0)),3)</f>
        <v>1.1359999999999999</v>
      </c>
      <c r="AB58">
        <f t="shared" si="3"/>
        <v>2019</v>
      </c>
      <c r="AC58">
        <f t="shared" si="4"/>
        <v>2022</v>
      </c>
      <c r="AD58" s="28">
        <f>ROUND((IF(ISBLANK(L58),Employee_Lookups!$O$14,L58)-J58)/365.25,2)</f>
        <v>2.77</v>
      </c>
      <c r="AE58" t="str">
        <f t="shared" si="5"/>
        <v>1 - 3 Yrs</v>
      </c>
      <c r="AF58" t="str">
        <f t="shared" si="6"/>
        <v>Exited</v>
      </c>
    </row>
    <row r="59" spans="1:32" x14ac:dyDescent="0.45">
      <c r="A59" t="s">
        <v>338</v>
      </c>
      <c r="B59" t="s">
        <v>339</v>
      </c>
      <c r="C59" t="s">
        <v>51</v>
      </c>
      <c r="D59" t="s">
        <v>50</v>
      </c>
      <c r="E59" t="s">
        <v>176</v>
      </c>
      <c r="F59" t="s">
        <v>82</v>
      </c>
      <c r="G59" t="s">
        <v>177</v>
      </c>
      <c r="H59" t="s">
        <v>108</v>
      </c>
      <c r="I59" t="s">
        <v>107</v>
      </c>
      <c r="J59" s="26">
        <v>43697</v>
      </c>
      <c r="K59" t="s">
        <v>162</v>
      </c>
      <c r="L59" s="26"/>
      <c r="M59" t="s">
        <v>163</v>
      </c>
      <c r="N59" t="s">
        <v>99</v>
      </c>
      <c r="O59" s="27">
        <v>1285000</v>
      </c>
      <c r="P59">
        <v>3</v>
      </c>
      <c r="Q59" t="s">
        <v>164</v>
      </c>
      <c r="R59">
        <v>30</v>
      </c>
      <c r="S59" t="s">
        <v>197</v>
      </c>
      <c r="T59">
        <f t="shared" si="0"/>
        <v>11119</v>
      </c>
      <c r="U59" t="str">
        <f t="shared" si="1"/>
        <v>ENG</v>
      </c>
      <c r="V59" t="str">
        <f t="shared" si="2"/>
        <v>L2</v>
      </c>
      <c r="W59" t="str">
        <f>PROPER(TRIM(VLOOKUP(S59,Employee_Lookups!$I$4:$M$19,2,FALSE())))</f>
        <v>Rohan Verma</v>
      </c>
      <c r="X59" t="str">
        <f>VLOOKUP(C59,Employee_Lookups!$A$4:$G$9,4,FALSE())</f>
        <v>CC-101</v>
      </c>
      <c r="Y59" t="str">
        <f>INDEX(Employee_Lookups!$C$13:$C$17,MATCH(F59,Employee_Lookups!$A$13:$A$17,0))</f>
        <v>Band B (Mid)</v>
      </c>
      <c r="Z59" s="27">
        <f>_xlfn.XLOOKUP(F59,Employee_Lookups!$A$13:$A$17,Employee_Lookups!$E$13:$E$17,0)</f>
        <v>1100000</v>
      </c>
      <c r="AA59" s="28">
        <f>ROUND(O59/INDEX(Employee_Lookups!$E$13:$E$17,MATCH(F59,Employee_Lookups!$A$13:$A$17,0)),3)</f>
        <v>1.1679999999999999</v>
      </c>
      <c r="AB59">
        <f t="shared" si="3"/>
        <v>2019</v>
      </c>
      <c r="AC59" t="str">
        <f t="shared" si="4"/>
        <v/>
      </c>
      <c r="AD59" s="28">
        <f>ROUND((IF(ISBLANK(L59),Employee_Lookups!$O$14,L59)-J59)/365.25,2)</f>
        <v>6.37</v>
      </c>
      <c r="AE59" t="str">
        <f t="shared" si="5"/>
        <v>5+ Yrs</v>
      </c>
      <c r="AF59" t="str">
        <f t="shared" si="6"/>
        <v>Low Risk</v>
      </c>
    </row>
    <row r="60" spans="1:32" x14ac:dyDescent="0.45">
      <c r="A60" t="s">
        <v>340</v>
      </c>
      <c r="B60" t="s">
        <v>341</v>
      </c>
      <c r="C60" t="s">
        <v>61</v>
      </c>
      <c r="D60" t="s">
        <v>60</v>
      </c>
      <c r="E60" t="s">
        <v>317</v>
      </c>
      <c r="F60" t="s">
        <v>84</v>
      </c>
      <c r="G60" t="s">
        <v>318</v>
      </c>
      <c r="H60" t="s">
        <v>108</v>
      </c>
      <c r="I60" t="s">
        <v>107</v>
      </c>
      <c r="J60" s="26">
        <v>43700</v>
      </c>
      <c r="K60" t="s">
        <v>162</v>
      </c>
      <c r="L60" s="26"/>
      <c r="M60" t="s">
        <v>163</v>
      </c>
      <c r="N60" t="s">
        <v>97</v>
      </c>
      <c r="O60" s="27">
        <v>2214000</v>
      </c>
      <c r="P60">
        <v>3</v>
      </c>
      <c r="Q60" t="s">
        <v>164</v>
      </c>
      <c r="R60">
        <v>29</v>
      </c>
      <c r="S60" t="s">
        <v>319</v>
      </c>
      <c r="T60">
        <f t="shared" si="0"/>
        <v>10522</v>
      </c>
      <c r="U60" t="str">
        <f t="shared" si="1"/>
        <v>-HR</v>
      </c>
      <c r="V60" t="str">
        <f t="shared" si="2"/>
        <v>L4</v>
      </c>
      <c r="W60" t="str">
        <f>PROPER(TRIM(VLOOKUP(S60,Employee_Lookups!$I$4:$M$19,2,FALSE())))</f>
        <v>Kavita Menon</v>
      </c>
      <c r="X60" t="str">
        <f>VLOOKUP(C60,Employee_Lookups!$A$4:$G$9,4,FALSE())</f>
        <v>CC-505</v>
      </c>
      <c r="Y60" t="str">
        <f>INDEX(Employee_Lookups!$C$13:$C$17,MATCH(F60,Employee_Lookups!$A$13:$A$17,0))</f>
        <v>Band D (Leadership)</v>
      </c>
      <c r="Z60" s="27">
        <f>_xlfn.XLOOKUP(F60,Employee_Lookups!$A$13:$A$17,Employee_Lookups!$E$13:$E$17,0)</f>
        <v>2750000</v>
      </c>
      <c r="AA60" s="28">
        <f>ROUND(O60/INDEX(Employee_Lookups!$E$13:$E$17,MATCH(F60,Employee_Lookups!$A$13:$A$17,0)),3)</f>
        <v>0.80500000000000005</v>
      </c>
      <c r="AB60">
        <f t="shared" si="3"/>
        <v>2019</v>
      </c>
      <c r="AC60" t="str">
        <f t="shared" si="4"/>
        <v/>
      </c>
      <c r="AD60" s="28">
        <f>ROUND((IF(ISBLANK(L60),Employee_Lookups!$O$14,L60)-J60)/365.25,2)</f>
        <v>6.36</v>
      </c>
      <c r="AE60" t="str">
        <f t="shared" si="5"/>
        <v>5+ Yrs</v>
      </c>
      <c r="AF60" t="str">
        <f t="shared" si="6"/>
        <v>Low Risk</v>
      </c>
    </row>
    <row r="61" spans="1:32" x14ac:dyDescent="0.45">
      <c r="A61" t="s">
        <v>342</v>
      </c>
      <c r="B61" t="s">
        <v>343</v>
      </c>
      <c r="C61" t="s">
        <v>51</v>
      </c>
      <c r="D61" t="s">
        <v>50</v>
      </c>
      <c r="E61" t="s">
        <v>181</v>
      </c>
      <c r="F61" t="s">
        <v>81</v>
      </c>
      <c r="G61" t="s">
        <v>182</v>
      </c>
      <c r="H61" t="s">
        <v>112</v>
      </c>
      <c r="I61" t="s">
        <v>113</v>
      </c>
      <c r="J61" s="26">
        <v>43702</v>
      </c>
      <c r="K61" t="s">
        <v>162</v>
      </c>
      <c r="L61" s="26"/>
      <c r="M61" t="s">
        <v>163</v>
      </c>
      <c r="N61" t="s">
        <v>96</v>
      </c>
      <c r="O61" s="27">
        <v>665000</v>
      </c>
      <c r="P61">
        <v>5</v>
      </c>
      <c r="Q61" t="s">
        <v>172</v>
      </c>
      <c r="R61">
        <v>46</v>
      </c>
      <c r="S61" t="s">
        <v>244</v>
      </c>
      <c r="T61">
        <f t="shared" si="0"/>
        <v>10187</v>
      </c>
      <c r="U61" t="str">
        <f t="shared" si="1"/>
        <v>ENG</v>
      </c>
      <c r="V61" t="str">
        <f t="shared" si="2"/>
        <v>L1</v>
      </c>
      <c r="W61" t="str">
        <f>PROPER(TRIM(VLOOKUP(S61,Employee_Lookups!$I$4:$M$19,2,FALSE())))</f>
        <v>Siddharth Nair</v>
      </c>
      <c r="X61" t="str">
        <f>VLOOKUP(C61,Employee_Lookups!$A$4:$G$9,4,FALSE())</f>
        <v>CC-101</v>
      </c>
      <c r="Y61" t="str">
        <f>INDEX(Employee_Lookups!$C$13:$C$17,MATCH(F61,Employee_Lookups!$A$13:$A$17,0))</f>
        <v>Band A (Entry)</v>
      </c>
      <c r="Z61" s="27">
        <f>_xlfn.XLOOKUP(F61,Employee_Lookups!$A$13:$A$17,Employee_Lookups!$E$13:$E$17,0)</f>
        <v>700000</v>
      </c>
      <c r="AA61" s="28">
        <f>ROUND(O61/INDEX(Employee_Lookups!$E$13:$E$17,MATCH(F61,Employee_Lookups!$A$13:$A$17,0)),3)</f>
        <v>0.95</v>
      </c>
      <c r="AB61">
        <f t="shared" si="3"/>
        <v>2019</v>
      </c>
      <c r="AC61" t="str">
        <f t="shared" si="4"/>
        <v/>
      </c>
      <c r="AD61" s="28">
        <f>ROUND((IF(ISBLANK(L61),Employee_Lookups!$O$14,L61)-J61)/365.25,2)</f>
        <v>6.35</v>
      </c>
      <c r="AE61" t="str">
        <f t="shared" si="5"/>
        <v>5+ Yrs</v>
      </c>
      <c r="AF61" t="str">
        <f t="shared" si="6"/>
        <v>High Risk</v>
      </c>
    </row>
    <row r="62" spans="1:32" x14ac:dyDescent="0.45">
      <c r="A62" t="s">
        <v>344</v>
      </c>
      <c r="B62" t="s">
        <v>345</v>
      </c>
      <c r="C62" t="s">
        <v>51</v>
      </c>
      <c r="D62" t="s">
        <v>50</v>
      </c>
      <c r="E62" t="s">
        <v>217</v>
      </c>
      <c r="F62" t="s">
        <v>83</v>
      </c>
      <c r="G62" t="s">
        <v>218</v>
      </c>
      <c r="H62" t="s">
        <v>106</v>
      </c>
      <c r="I62" t="s">
        <v>107</v>
      </c>
      <c r="J62" s="26">
        <v>43703</v>
      </c>
      <c r="K62" t="s">
        <v>162</v>
      </c>
      <c r="L62" s="26"/>
      <c r="M62" t="s">
        <v>163</v>
      </c>
      <c r="N62" t="s">
        <v>99</v>
      </c>
      <c r="O62" s="27">
        <v>1838000</v>
      </c>
      <c r="P62">
        <v>3</v>
      </c>
      <c r="Q62" t="s">
        <v>164</v>
      </c>
      <c r="R62">
        <v>27</v>
      </c>
      <c r="S62" t="s">
        <v>178</v>
      </c>
      <c r="T62">
        <f t="shared" si="0"/>
        <v>10417</v>
      </c>
      <c r="U62" t="str">
        <f t="shared" si="1"/>
        <v>ENG</v>
      </c>
      <c r="V62" t="str">
        <f t="shared" si="2"/>
        <v>L3</v>
      </c>
      <c r="W62" t="str">
        <f>PROPER(TRIM(VLOOKUP(S62,Employee_Lookups!$I$4:$M$19,2,FALSE())))</f>
        <v>Aarav Deshmukh</v>
      </c>
      <c r="X62" t="str">
        <f>VLOOKUP(C62,Employee_Lookups!$A$4:$G$9,4,FALSE())</f>
        <v>CC-101</v>
      </c>
      <c r="Y62" t="str">
        <f>INDEX(Employee_Lookups!$C$13:$C$17,MATCH(F62,Employee_Lookups!$A$13:$A$17,0))</f>
        <v>Band C (Senior)</v>
      </c>
      <c r="Z62" s="27">
        <f>_xlfn.XLOOKUP(F62,Employee_Lookups!$A$13:$A$17,Employee_Lookups!$E$13:$E$17,0)</f>
        <v>1725000</v>
      </c>
      <c r="AA62" s="28">
        <f>ROUND(O62/INDEX(Employee_Lookups!$E$13:$E$17,MATCH(F62,Employee_Lookups!$A$13:$A$17,0)),3)</f>
        <v>1.0660000000000001</v>
      </c>
      <c r="AB62">
        <f t="shared" si="3"/>
        <v>2019</v>
      </c>
      <c r="AC62" t="str">
        <f t="shared" si="4"/>
        <v/>
      </c>
      <c r="AD62" s="28">
        <f>ROUND((IF(ISBLANK(L62),Employee_Lookups!$O$14,L62)-J62)/365.25,2)</f>
        <v>6.35</v>
      </c>
      <c r="AE62" t="str">
        <f t="shared" si="5"/>
        <v>5+ Yrs</v>
      </c>
      <c r="AF62" t="str">
        <f t="shared" si="6"/>
        <v>Low Risk</v>
      </c>
    </row>
    <row r="63" spans="1:32" x14ac:dyDescent="0.45">
      <c r="A63" t="s">
        <v>346</v>
      </c>
      <c r="B63" t="s">
        <v>347</v>
      </c>
      <c r="C63" t="s">
        <v>61</v>
      </c>
      <c r="D63" t="s">
        <v>60</v>
      </c>
      <c r="E63" t="s">
        <v>251</v>
      </c>
      <c r="F63" t="s">
        <v>82</v>
      </c>
      <c r="G63" t="s">
        <v>252</v>
      </c>
      <c r="H63" t="s">
        <v>106</v>
      </c>
      <c r="I63" t="s">
        <v>107</v>
      </c>
      <c r="J63" s="26">
        <v>43703</v>
      </c>
      <c r="K63" t="s">
        <v>162</v>
      </c>
      <c r="L63" s="26"/>
      <c r="M63" t="s">
        <v>163</v>
      </c>
      <c r="N63" t="s">
        <v>98</v>
      </c>
      <c r="O63" s="27">
        <v>995000</v>
      </c>
      <c r="P63">
        <v>4</v>
      </c>
      <c r="Q63" t="s">
        <v>172</v>
      </c>
      <c r="R63">
        <v>52</v>
      </c>
      <c r="S63" t="s">
        <v>253</v>
      </c>
      <c r="T63">
        <f t="shared" si="0"/>
        <v>11253</v>
      </c>
      <c r="U63" t="str">
        <f t="shared" si="1"/>
        <v>-HR</v>
      </c>
      <c r="V63" t="str">
        <f t="shared" si="2"/>
        <v>L2</v>
      </c>
      <c r="W63" t="str">
        <f>PROPER(TRIM(VLOOKUP(S63,Employee_Lookups!$I$4:$M$19,2,FALSE())))</f>
        <v>Nikhil Chatterjee</v>
      </c>
      <c r="X63" t="str">
        <f>VLOOKUP(C63,Employee_Lookups!$A$4:$G$9,4,FALSE())</f>
        <v>CC-505</v>
      </c>
      <c r="Y63" t="str">
        <f>INDEX(Employee_Lookups!$C$13:$C$17,MATCH(F63,Employee_Lookups!$A$13:$A$17,0))</f>
        <v>Band B (Mid)</v>
      </c>
      <c r="Z63" s="27">
        <f>_xlfn.XLOOKUP(F63,Employee_Lookups!$A$13:$A$17,Employee_Lookups!$E$13:$E$17,0)</f>
        <v>1100000</v>
      </c>
      <c r="AA63" s="28">
        <f>ROUND(O63/INDEX(Employee_Lookups!$E$13:$E$17,MATCH(F63,Employee_Lookups!$A$13:$A$17,0)),3)</f>
        <v>0.90500000000000003</v>
      </c>
      <c r="AB63">
        <f t="shared" si="3"/>
        <v>2019</v>
      </c>
      <c r="AC63" t="str">
        <f t="shared" si="4"/>
        <v/>
      </c>
      <c r="AD63" s="28">
        <f>ROUND((IF(ISBLANK(L63),Employee_Lookups!$O$14,L63)-J63)/365.25,2)</f>
        <v>6.35</v>
      </c>
      <c r="AE63" t="str">
        <f t="shared" si="5"/>
        <v>5+ Yrs</v>
      </c>
      <c r="AF63" t="str">
        <f t="shared" si="6"/>
        <v>High Risk</v>
      </c>
    </row>
    <row r="64" spans="1:32" x14ac:dyDescent="0.45">
      <c r="A64" t="s">
        <v>348</v>
      </c>
      <c r="B64" t="s">
        <v>349</v>
      </c>
      <c r="C64" t="s">
        <v>53</v>
      </c>
      <c r="D64" t="s">
        <v>52</v>
      </c>
      <c r="E64" t="s">
        <v>322</v>
      </c>
      <c r="F64" t="s">
        <v>81</v>
      </c>
      <c r="G64" t="s">
        <v>323</v>
      </c>
      <c r="H64" t="s">
        <v>112</v>
      </c>
      <c r="I64" t="s">
        <v>113</v>
      </c>
      <c r="J64" s="26">
        <v>43705</v>
      </c>
      <c r="K64" t="s">
        <v>162</v>
      </c>
      <c r="L64" s="26"/>
      <c r="M64" t="s">
        <v>163</v>
      </c>
      <c r="N64" t="s">
        <v>95</v>
      </c>
      <c r="O64" s="27">
        <v>755000</v>
      </c>
      <c r="P64">
        <v>3</v>
      </c>
      <c r="Q64" t="s">
        <v>172</v>
      </c>
      <c r="R64">
        <v>7</v>
      </c>
      <c r="S64" t="s">
        <v>189</v>
      </c>
      <c r="T64">
        <f t="shared" si="0"/>
        <v>10962</v>
      </c>
      <c r="U64" t="str">
        <f t="shared" si="1"/>
        <v>SAL</v>
      </c>
      <c r="V64" t="str">
        <f t="shared" si="2"/>
        <v>L1</v>
      </c>
      <c r="W64" t="str">
        <f>PROPER(TRIM(VLOOKUP(S64,Employee_Lookups!$I$4:$M$19,2,FALSE())))</f>
        <v>Priya Sharma</v>
      </c>
      <c r="X64" t="str">
        <f>VLOOKUP(C64,Employee_Lookups!$A$4:$G$9,4,FALSE())</f>
        <v>CC-202</v>
      </c>
      <c r="Y64" t="str">
        <f>INDEX(Employee_Lookups!$C$13:$C$17,MATCH(F64,Employee_Lookups!$A$13:$A$17,0))</f>
        <v>Band A (Entry)</v>
      </c>
      <c r="Z64" s="27">
        <f>_xlfn.XLOOKUP(F64,Employee_Lookups!$A$13:$A$17,Employee_Lookups!$E$13:$E$17,0)</f>
        <v>700000</v>
      </c>
      <c r="AA64" s="28">
        <f>ROUND(O64/INDEX(Employee_Lookups!$E$13:$E$17,MATCH(F64,Employee_Lookups!$A$13:$A$17,0)),3)</f>
        <v>1.079</v>
      </c>
      <c r="AB64">
        <f t="shared" si="3"/>
        <v>2019</v>
      </c>
      <c r="AC64" t="str">
        <f t="shared" si="4"/>
        <v/>
      </c>
      <c r="AD64" s="28">
        <f>ROUND((IF(ISBLANK(L64),Employee_Lookups!$O$14,L64)-J64)/365.25,2)</f>
        <v>6.34</v>
      </c>
      <c r="AE64" t="str">
        <f t="shared" si="5"/>
        <v>5+ Yrs</v>
      </c>
      <c r="AF64" t="str">
        <f t="shared" si="6"/>
        <v>Moderate Risk</v>
      </c>
    </row>
    <row r="65" spans="1:32" x14ac:dyDescent="0.45">
      <c r="A65" t="s">
        <v>350</v>
      </c>
      <c r="B65" t="s">
        <v>351</v>
      </c>
      <c r="C65" t="s">
        <v>55</v>
      </c>
      <c r="D65" t="s">
        <v>54</v>
      </c>
      <c r="E65" t="s">
        <v>277</v>
      </c>
      <c r="F65" t="s">
        <v>81</v>
      </c>
      <c r="G65" t="s">
        <v>278</v>
      </c>
      <c r="H65" t="s">
        <v>108</v>
      </c>
      <c r="I65" t="s">
        <v>107</v>
      </c>
      <c r="J65" s="26">
        <v>43713</v>
      </c>
      <c r="K65" t="s">
        <v>162</v>
      </c>
      <c r="L65" s="26"/>
      <c r="M65" t="s">
        <v>163</v>
      </c>
      <c r="N65" t="s">
        <v>97</v>
      </c>
      <c r="O65" s="27">
        <v>731000</v>
      </c>
      <c r="P65">
        <v>4</v>
      </c>
      <c r="Q65" t="s">
        <v>172</v>
      </c>
      <c r="R65">
        <v>36</v>
      </c>
      <c r="S65" t="s">
        <v>274</v>
      </c>
      <c r="T65">
        <f t="shared" si="0"/>
        <v>10038</v>
      </c>
      <c r="U65" t="str">
        <f t="shared" si="1"/>
        <v>OPS</v>
      </c>
      <c r="V65" t="str">
        <f t="shared" si="2"/>
        <v>L1</v>
      </c>
      <c r="W65" t="str">
        <f>PROPER(TRIM(VLOOKUP(S65,Employee_Lookups!$I$4:$M$19,2,FALSE())))</f>
        <v>Meera Krishnan</v>
      </c>
      <c r="X65" t="str">
        <f>VLOOKUP(C65,Employee_Lookups!$A$4:$G$9,4,FALSE())</f>
        <v>CC-303</v>
      </c>
      <c r="Y65" t="str">
        <f>INDEX(Employee_Lookups!$C$13:$C$17,MATCH(F65,Employee_Lookups!$A$13:$A$17,0))</f>
        <v>Band A (Entry)</v>
      </c>
      <c r="Z65" s="27">
        <f>_xlfn.XLOOKUP(F65,Employee_Lookups!$A$13:$A$17,Employee_Lookups!$E$13:$E$17,0)</f>
        <v>700000</v>
      </c>
      <c r="AA65" s="28">
        <f>ROUND(O65/INDEX(Employee_Lookups!$E$13:$E$17,MATCH(F65,Employee_Lookups!$A$13:$A$17,0)),3)</f>
        <v>1.044</v>
      </c>
      <c r="AB65">
        <f t="shared" si="3"/>
        <v>2019</v>
      </c>
      <c r="AC65" t="str">
        <f t="shared" si="4"/>
        <v/>
      </c>
      <c r="AD65" s="28">
        <f>ROUND((IF(ISBLANK(L65),Employee_Lookups!$O$14,L65)-J65)/365.25,2)</f>
        <v>6.32</v>
      </c>
      <c r="AE65" t="str">
        <f t="shared" si="5"/>
        <v>5+ Yrs</v>
      </c>
      <c r="AF65" t="str">
        <f t="shared" si="6"/>
        <v>High Risk</v>
      </c>
    </row>
    <row r="66" spans="1:32" x14ac:dyDescent="0.45">
      <c r="A66" t="s">
        <v>352</v>
      </c>
      <c r="B66" t="s">
        <v>353</v>
      </c>
      <c r="C66" t="s">
        <v>51</v>
      </c>
      <c r="D66" t="s">
        <v>50</v>
      </c>
      <c r="E66" t="s">
        <v>328</v>
      </c>
      <c r="F66" t="s">
        <v>85</v>
      </c>
      <c r="G66" t="s">
        <v>329</v>
      </c>
      <c r="H66" t="s">
        <v>108</v>
      </c>
      <c r="I66" t="s">
        <v>107</v>
      </c>
      <c r="J66" s="26">
        <v>43713</v>
      </c>
      <c r="K66" t="s">
        <v>162</v>
      </c>
      <c r="L66" s="26"/>
      <c r="M66" t="s">
        <v>163</v>
      </c>
      <c r="N66" t="s">
        <v>95</v>
      </c>
      <c r="O66" s="27">
        <v>5059000</v>
      </c>
      <c r="P66">
        <v>4</v>
      </c>
      <c r="Q66" t="s">
        <v>164</v>
      </c>
      <c r="R66">
        <v>38</v>
      </c>
      <c r="S66" t="s">
        <v>244</v>
      </c>
      <c r="T66">
        <f t="shared" ref="T66:T129" si="7">VALUE(MID(A66,5,5))</f>
        <v>10111</v>
      </c>
      <c r="U66" t="str">
        <f t="shared" ref="U66:U129" si="8">LEFT(E66,3)</f>
        <v>ENG</v>
      </c>
      <c r="V66" t="str">
        <f t="shared" ref="V66:V129" si="9">RIGHT(E66,2)</f>
        <v>L5</v>
      </c>
      <c r="W66" t="str">
        <f>PROPER(TRIM(VLOOKUP(S66,Employee_Lookups!$I$4:$M$19,2,FALSE())))</f>
        <v>Siddharth Nair</v>
      </c>
      <c r="X66" t="str">
        <f>VLOOKUP(C66,Employee_Lookups!$A$4:$G$9,4,FALSE())</f>
        <v>CC-101</v>
      </c>
      <c r="Y66" t="str">
        <f>INDEX(Employee_Lookups!$C$13:$C$17,MATCH(F66,Employee_Lookups!$A$13:$A$17,0))</f>
        <v>Band E (Executive)</v>
      </c>
      <c r="Z66" s="27">
        <f>_xlfn.XLOOKUP(F66,Employee_Lookups!$A$13:$A$17,Employee_Lookups!$E$13:$E$17,0)</f>
        <v>4300000</v>
      </c>
      <c r="AA66" s="28">
        <f>ROUND(O66/INDEX(Employee_Lookups!$E$13:$E$17,MATCH(F66,Employee_Lookups!$A$13:$A$17,0)),3)</f>
        <v>1.177</v>
      </c>
      <c r="AB66">
        <f t="shared" ref="AB66:AB129" si="10">YEAR(J66)</f>
        <v>2019</v>
      </c>
      <c r="AC66" t="str">
        <f t="shared" ref="AC66:AC129" si="11">IF(ISBLANK(L66),"",YEAR(L66))</f>
        <v/>
      </c>
      <c r="AD66" s="28">
        <f>ROUND((IF(ISBLANK(L66),Employee_Lookups!$O$14,L66)-J66)/365.25,2)</f>
        <v>6.32</v>
      </c>
      <c r="AE66" t="str">
        <f t="shared" ref="AE66:AE129" si="12">IF(AD66&lt;1,"&lt; 1 Yr (New)",IF(AD66&lt;3,"1 - 3 Yrs",IF(AD66&lt;5,"3 - 5 Yrs","5+ Yrs")))</f>
        <v>5+ Yrs</v>
      </c>
      <c r="AF66" t="str">
        <f t="shared" ref="AF66:AF129" si="13">IF(K66&lt;&gt;"Active","Exited",IF(AND(Q66="Yes",OR(P66&gt;=4,AA66&lt;0.95)),"High Risk",IF(OR(Q66="Yes",AND(NOT(ISBLANK(P66)),P66&lt;=2)),"Moderate Risk","Low Risk")))</f>
        <v>Low Risk</v>
      </c>
    </row>
    <row r="67" spans="1:32" x14ac:dyDescent="0.45">
      <c r="A67" t="s">
        <v>354</v>
      </c>
      <c r="B67" t="s">
        <v>355</v>
      </c>
      <c r="C67" t="s">
        <v>61</v>
      </c>
      <c r="D67" t="s">
        <v>60</v>
      </c>
      <c r="E67" t="s">
        <v>356</v>
      </c>
      <c r="F67" t="s">
        <v>81</v>
      </c>
      <c r="G67" t="s">
        <v>357</v>
      </c>
      <c r="H67" t="s">
        <v>108</v>
      </c>
      <c r="I67" t="s">
        <v>107</v>
      </c>
      <c r="J67" s="26">
        <v>43713</v>
      </c>
      <c r="K67" t="s">
        <v>187</v>
      </c>
      <c r="L67" s="26">
        <v>44244</v>
      </c>
      <c r="M67" t="s">
        <v>282</v>
      </c>
      <c r="N67" t="s">
        <v>97</v>
      </c>
      <c r="O67" s="27">
        <v>638000</v>
      </c>
      <c r="P67">
        <v>3</v>
      </c>
      <c r="Q67" t="s">
        <v>164</v>
      </c>
      <c r="R67">
        <v>31</v>
      </c>
      <c r="S67" t="s">
        <v>253</v>
      </c>
      <c r="T67">
        <f t="shared" si="7"/>
        <v>11443</v>
      </c>
      <c r="U67" t="str">
        <f t="shared" si="8"/>
        <v>-HR</v>
      </c>
      <c r="V67" t="str">
        <f t="shared" si="9"/>
        <v>L1</v>
      </c>
      <c r="W67" t="str">
        <f>PROPER(TRIM(VLOOKUP(S67,Employee_Lookups!$I$4:$M$19,2,FALSE())))</f>
        <v>Nikhil Chatterjee</v>
      </c>
      <c r="X67" t="str">
        <f>VLOOKUP(C67,Employee_Lookups!$A$4:$G$9,4,FALSE())</f>
        <v>CC-505</v>
      </c>
      <c r="Y67" t="str">
        <f>INDEX(Employee_Lookups!$C$13:$C$17,MATCH(F67,Employee_Lookups!$A$13:$A$17,0))</f>
        <v>Band A (Entry)</v>
      </c>
      <c r="Z67" s="27">
        <f>_xlfn.XLOOKUP(F67,Employee_Lookups!$A$13:$A$17,Employee_Lookups!$E$13:$E$17,0)</f>
        <v>700000</v>
      </c>
      <c r="AA67" s="28">
        <f>ROUND(O67/INDEX(Employee_Lookups!$E$13:$E$17,MATCH(F67,Employee_Lookups!$A$13:$A$17,0)),3)</f>
        <v>0.91100000000000003</v>
      </c>
      <c r="AB67">
        <f t="shared" si="10"/>
        <v>2019</v>
      </c>
      <c r="AC67">
        <f t="shared" si="11"/>
        <v>2021</v>
      </c>
      <c r="AD67" s="28">
        <f>ROUND((IF(ISBLANK(L67),Employee_Lookups!$O$14,L67)-J67)/365.25,2)</f>
        <v>1.45</v>
      </c>
      <c r="AE67" t="str">
        <f t="shared" si="12"/>
        <v>1 - 3 Yrs</v>
      </c>
      <c r="AF67" t="str">
        <f t="shared" si="13"/>
        <v>Exited</v>
      </c>
    </row>
    <row r="68" spans="1:32" x14ac:dyDescent="0.45">
      <c r="A68" t="s">
        <v>358</v>
      </c>
      <c r="B68" t="s">
        <v>359</v>
      </c>
      <c r="C68" t="s">
        <v>57</v>
      </c>
      <c r="D68" t="s">
        <v>56</v>
      </c>
      <c r="E68" t="s">
        <v>222</v>
      </c>
      <c r="F68" t="s">
        <v>82</v>
      </c>
      <c r="G68" t="s">
        <v>223</v>
      </c>
      <c r="H68" t="s">
        <v>109</v>
      </c>
      <c r="I68" t="s">
        <v>110</v>
      </c>
      <c r="J68" s="26">
        <v>43714</v>
      </c>
      <c r="K68" t="s">
        <v>187</v>
      </c>
      <c r="L68" s="26">
        <v>45758</v>
      </c>
      <c r="M68" t="s">
        <v>213</v>
      </c>
      <c r="N68" t="s">
        <v>99</v>
      </c>
      <c r="O68" s="27">
        <v>949000</v>
      </c>
      <c r="P68">
        <v>4</v>
      </c>
      <c r="Q68" t="s">
        <v>164</v>
      </c>
      <c r="R68">
        <v>42</v>
      </c>
      <c r="S68" t="s">
        <v>224</v>
      </c>
      <c r="T68">
        <f t="shared" si="7"/>
        <v>10335</v>
      </c>
      <c r="U68" t="str">
        <f t="shared" si="8"/>
        <v>MKT</v>
      </c>
      <c r="V68" t="str">
        <f t="shared" si="9"/>
        <v>L2</v>
      </c>
      <c r="W68" t="str">
        <f>PROPER(TRIM(VLOOKUP(S68,Employee_Lookups!$I$4:$M$19,2,FALSE())))</f>
        <v>Tanvi Chitnis</v>
      </c>
      <c r="X68" t="str">
        <f>VLOOKUP(C68,Employee_Lookups!$A$4:$G$9,4,FALSE())</f>
        <v>CC-606</v>
      </c>
      <c r="Y68" t="str">
        <f>INDEX(Employee_Lookups!$C$13:$C$17,MATCH(F68,Employee_Lookups!$A$13:$A$17,0))</f>
        <v>Band B (Mid)</v>
      </c>
      <c r="Z68" s="27">
        <f>_xlfn.XLOOKUP(F68,Employee_Lookups!$A$13:$A$17,Employee_Lookups!$E$13:$E$17,0)</f>
        <v>1100000</v>
      </c>
      <c r="AA68" s="28">
        <f>ROUND(O68/INDEX(Employee_Lookups!$E$13:$E$17,MATCH(F68,Employee_Lookups!$A$13:$A$17,0)),3)</f>
        <v>0.86299999999999999</v>
      </c>
      <c r="AB68">
        <f t="shared" si="10"/>
        <v>2019</v>
      </c>
      <c r="AC68">
        <f t="shared" si="11"/>
        <v>2025</v>
      </c>
      <c r="AD68" s="28">
        <f>ROUND((IF(ISBLANK(L68),Employee_Lookups!$O$14,L68)-J68)/365.25,2)</f>
        <v>5.6</v>
      </c>
      <c r="AE68" t="str">
        <f t="shared" si="12"/>
        <v>5+ Yrs</v>
      </c>
      <c r="AF68" t="str">
        <f t="shared" si="13"/>
        <v>Exited</v>
      </c>
    </row>
    <row r="69" spans="1:32" x14ac:dyDescent="0.45">
      <c r="A69" t="s">
        <v>360</v>
      </c>
      <c r="B69" t="s">
        <v>361</v>
      </c>
      <c r="C69" t="s">
        <v>55</v>
      </c>
      <c r="D69" t="s">
        <v>54</v>
      </c>
      <c r="E69" t="s">
        <v>240</v>
      </c>
      <c r="F69" t="s">
        <v>83</v>
      </c>
      <c r="G69" t="s">
        <v>241</v>
      </c>
      <c r="H69" t="s">
        <v>108</v>
      </c>
      <c r="I69" t="s">
        <v>107</v>
      </c>
      <c r="J69" s="26">
        <v>43717</v>
      </c>
      <c r="K69" t="s">
        <v>162</v>
      </c>
      <c r="L69" s="26"/>
      <c r="M69" t="s">
        <v>163</v>
      </c>
      <c r="N69" t="s">
        <v>95</v>
      </c>
      <c r="O69" s="27">
        <v>1817000</v>
      </c>
      <c r="P69">
        <v>3</v>
      </c>
      <c r="Q69" t="s">
        <v>164</v>
      </c>
      <c r="R69">
        <v>28</v>
      </c>
      <c r="S69" t="s">
        <v>173</v>
      </c>
      <c r="T69">
        <f t="shared" si="7"/>
        <v>10234</v>
      </c>
      <c r="U69" t="str">
        <f t="shared" si="8"/>
        <v>OPS</v>
      </c>
      <c r="V69" t="str">
        <f t="shared" si="9"/>
        <v>L3</v>
      </c>
      <c r="W69" t="str">
        <f>PROPER(TRIM(VLOOKUP(S69,Employee_Lookups!$I$4:$M$19,2,FALSE())))</f>
        <v>Deepak Patil</v>
      </c>
      <c r="X69" t="str">
        <f>VLOOKUP(C69,Employee_Lookups!$A$4:$G$9,4,FALSE())</f>
        <v>CC-303</v>
      </c>
      <c r="Y69" t="str">
        <f>INDEX(Employee_Lookups!$C$13:$C$17,MATCH(F69,Employee_Lookups!$A$13:$A$17,0))</f>
        <v>Band C (Senior)</v>
      </c>
      <c r="Z69" s="27">
        <f>_xlfn.XLOOKUP(F69,Employee_Lookups!$A$13:$A$17,Employee_Lookups!$E$13:$E$17,0)</f>
        <v>1725000</v>
      </c>
      <c r="AA69" s="28">
        <f>ROUND(O69/INDEX(Employee_Lookups!$E$13:$E$17,MATCH(F69,Employee_Lookups!$A$13:$A$17,0)),3)</f>
        <v>1.0529999999999999</v>
      </c>
      <c r="AB69">
        <f t="shared" si="10"/>
        <v>2019</v>
      </c>
      <c r="AC69" t="str">
        <f t="shared" si="11"/>
        <v/>
      </c>
      <c r="AD69" s="28">
        <f>ROUND((IF(ISBLANK(L69),Employee_Lookups!$O$14,L69)-J69)/365.25,2)</f>
        <v>6.31</v>
      </c>
      <c r="AE69" t="str">
        <f t="shared" si="12"/>
        <v>5+ Yrs</v>
      </c>
      <c r="AF69" t="str">
        <f t="shared" si="13"/>
        <v>Low Risk</v>
      </c>
    </row>
    <row r="70" spans="1:32" x14ac:dyDescent="0.45">
      <c r="A70" t="s">
        <v>362</v>
      </c>
      <c r="B70" t="s">
        <v>363</v>
      </c>
      <c r="C70" t="s">
        <v>51</v>
      </c>
      <c r="D70" t="s">
        <v>50</v>
      </c>
      <c r="E70" t="s">
        <v>181</v>
      </c>
      <c r="F70" t="s">
        <v>81</v>
      </c>
      <c r="G70" t="s">
        <v>182</v>
      </c>
      <c r="H70" t="s">
        <v>106</v>
      </c>
      <c r="I70" t="s">
        <v>107</v>
      </c>
      <c r="J70" s="26">
        <v>43718</v>
      </c>
      <c r="K70" t="s">
        <v>162</v>
      </c>
      <c r="L70" s="26"/>
      <c r="M70" t="s">
        <v>163</v>
      </c>
      <c r="N70" t="s">
        <v>98</v>
      </c>
      <c r="O70" s="27">
        <v>794000</v>
      </c>
      <c r="P70">
        <v>3</v>
      </c>
      <c r="Q70" t="s">
        <v>172</v>
      </c>
      <c r="R70">
        <v>38</v>
      </c>
      <c r="S70" t="s">
        <v>197</v>
      </c>
      <c r="T70">
        <f t="shared" si="7"/>
        <v>10296</v>
      </c>
      <c r="U70" t="str">
        <f t="shared" si="8"/>
        <v>ENG</v>
      </c>
      <c r="V70" t="str">
        <f t="shared" si="9"/>
        <v>L1</v>
      </c>
      <c r="W70" t="str">
        <f>PROPER(TRIM(VLOOKUP(S70,Employee_Lookups!$I$4:$M$19,2,FALSE())))</f>
        <v>Rohan Verma</v>
      </c>
      <c r="X70" t="str">
        <f>VLOOKUP(C70,Employee_Lookups!$A$4:$G$9,4,FALSE())</f>
        <v>CC-101</v>
      </c>
      <c r="Y70" t="str">
        <f>INDEX(Employee_Lookups!$C$13:$C$17,MATCH(F70,Employee_Lookups!$A$13:$A$17,0))</f>
        <v>Band A (Entry)</v>
      </c>
      <c r="Z70" s="27">
        <f>_xlfn.XLOOKUP(F70,Employee_Lookups!$A$13:$A$17,Employee_Lookups!$E$13:$E$17,0)</f>
        <v>700000</v>
      </c>
      <c r="AA70" s="28">
        <f>ROUND(O70/INDEX(Employee_Lookups!$E$13:$E$17,MATCH(F70,Employee_Lookups!$A$13:$A$17,0)),3)</f>
        <v>1.1339999999999999</v>
      </c>
      <c r="AB70">
        <f t="shared" si="10"/>
        <v>2019</v>
      </c>
      <c r="AC70" t="str">
        <f t="shared" si="11"/>
        <v/>
      </c>
      <c r="AD70" s="28">
        <f>ROUND((IF(ISBLANK(L70),Employee_Lookups!$O$14,L70)-J70)/365.25,2)</f>
        <v>6.31</v>
      </c>
      <c r="AE70" t="str">
        <f t="shared" si="12"/>
        <v>5+ Yrs</v>
      </c>
      <c r="AF70" t="str">
        <f t="shared" si="13"/>
        <v>Moderate Risk</v>
      </c>
    </row>
    <row r="71" spans="1:32" x14ac:dyDescent="0.45">
      <c r="A71" t="s">
        <v>364</v>
      </c>
      <c r="B71" t="s">
        <v>359</v>
      </c>
      <c r="C71" t="s">
        <v>51</v>
      </c>
      <c r="D71" t="s">
        <v>50</v>
      </c>
      <c r="E71" t="s">
        <v>181</v>
      </c>
      <c r="F71" t="s">
        <v>81</v>
      </c>
      <c r="G71" t="s">
        <v>182</v>
      </c>
      <c r="H71" t="s">
        <v>106</v>
      </c>
      <c r="I71" t="s">
        <v>107</v>
      </c>
      <c r="J71" s="26">
        <v>43720</v>
      </c>
      <c r="K71" t="s">
        <v>187</v>
      </c>
      <c r="L71" s="26">
        <v>43850</v>
      </c>
      <c r="M71" t="s">
        <v>308</v>
      </c>
      <c r="N71" t="s">
        <v>99</v>
      </c>
      <c r="O71" s="27">
        <v>745000</v>
      </c>
      <c r="P71">
        <v>4</v>
      </c>
      <c r="Q71" t="s">
        <v>164</v>
      </c>
      <c r="R71">
        <v>38</v>
      </c>
      <c r="S71" t="s">
        <v>219</v>
      </c>
      <c r="T71">
        <f t="shared" si="7"/>
        <v>10211</v>
      </c>
      <c r="U71" t="str">
        <f t="shared" si="8"/>
        <v>ENG</v>
      </c>
      <c r="V71" t="str">
        <f t="shared" si="9"/>
        <v>L1</v>
      </c>
      <c r="W71" t="str">
        <f>PROPER(TRIM(VLOOKUP(S71,Employee_Lookups!$I$4:$M$19,2,FALSE())))</f>
        <v>Neha Kulkarni</v>
      </c>
      <c r="X71" t="str">
        <f>VLOOKUP(C71,Employee_Lookups!$A$4:$G$9,4,FALSE())</f>
        <v>CC-101</v>
      </c>
      <c r="Y71" t="str">
        <f>INDEX(Employee_Lookups!$C$13:$C$17,MATCH(F71,Employee_Lookups!$A$13:$A$17,0))</f>
        <v>Band A (Entry)</v>
      </c>
      <c r="Z71" s="27">
        <f>_xlfn.XLOOKUP(F71,Employee_Lookups!$A$13:$A$17,Employee_Lookups!$E$13:$E$17,0)</f>
        <v>700000</v>
      </c>
      <c r="AA71" s="28">
        <f>ROUND(O71/INDEX(Employee_Lookups!$E$13:$E$17,MATCH(F71,Employee_Lookups!$A$13:$A$17,0)),3)</f>
        <v>1.0640000000000001</v>
      </c>
      <c r="AB71">
        <f t="shared" si="10"/>
        <v>2019</v>
      </c>
      <c r="AC71">
        <f t="shared" si="11"/>
        <v>2020</v>
      </c>
      <c r="AD71" s="28">
        <f>ROUND((IF(ISBLANK(L71),Employee_Lookups!$O$14,L71)-J71)/365.25,2)</f>
        <v>0.36</v>
      </c>
      <c r="AE71" t="str">
        <f t="shared" si="12"/>
        <v>&lt; 1 Yr (New)</v>
      </c>
      <c r="AF71" t="str">
        <f t="shared" si="13"/>
        <v>Exited</v>
      </c>
    </row>
    <row r="72" spans="1:32" x14ac:dyDescent="0.45">
      <c r="A72" t="s">
        <v>365</v>
      </c>
      <c r="B72" t="s">
        <v>366</v>
      </c>
      <c r="C72" t="s">
        <v>55</v>
      </c>
      <c r="D72" t="s">
        <v>54</v>
      </c>
      <c r="E72" t="s">
        <v>277</v>
      </c>
      <c r="F72" t="s">
        <v>81</v>
      </c>
      <c r="G72" t="s">
        <v>278</v>
      </c>
      <c r="H72" t="s">
        <v>106</v>
      </c>
      <c r="I72" t="s">
        <v>107</v>
      </c>
      <c r="J72" s="26">
        <v>43724</v>
      </c>
      <c r="K72" t="s">
        <v>187</v>
      </c>
      <c r="L72" s="26">
        <v>44018</v>
      </c>
      <c r="M72" t="s">
        <v>282</v>
      </c>
      <c r="N72" t="s">
        <v>97</v>
      </c>
      <c r="O72" s="27">
        <v>631000</v>
      </c>
      <c r="P72">
        <v>4</v>
      </c>
      <c r="Q72" t="s">
        <v>164</v>
      </c>
      <c r="R72">
        <v>48</v>
      </c>
      <c r="S72" t="s">
        <v>262</v>
      </c>
      <c r="T72">
        <f t="shared" si="7"/>
        <v>11391</v>
      </c>
      <c r="U72" t="str">
        <f t="shared" si="8"/>
        <v>OPS</v>
      </c>
      <c r="V72" t="str">
        <f t="shared" si="9"/>
        <v>L1</v>
      </c>
      <c r="W72" t="str">
        <f>PROPER(TRIM(VLOOKUP(S72,Employee_Lookups!$I$4:$M$19,2,FALSE())))</f>
        <v>Ananya Iyer</v>
      </c>
      <c r="X72" t="str">
        <f>VLOOKUP(C72,Employee_Lookups!$A$4:$G$9,4,FALSE())</f>
        <v>CC-303</v>
      </c>
      <c r="Y72" t="str">
        <f>INDEX(Employee_Lookups!$C$13:$C$17,MATCH(F72,Employee_Lookups!$A$13:$A$17,0))</f>
        <v>Band A (Entry)</v>
      </c>
      <c r="Z72" s="27">
        <f>_xlfn.XLOOKUP(F72,Employee_Lookups!$A$13:$A$17,Employee_Lookups!$E$13:$E$17,0)</f>
        <v>700000</v>
      </c>
      <c r="AA72" s="28">
        <f>ROUND(O72/INDEX(Employee_Lookups!$E$13:$E$17,MATCH(F72,Employee_Lookups!$A$13:$A$17,0)),3)</f>
        <v>0.90100000000000002</v>
      </c>
      <c r="AB72">
        <f t="shared" si="10"/>
        <v>2019</v>
      </c>
      <c r="AC72">
        <f t="shared" si="11"/>
        <v>2020</v>
      </c>
      <c r="AD72" s="28">
        <f>ROUND((IF(ISBLANK(L72),Employee_Lookups!$O$14,L72)-J72)/365.25,2)</f>
        <v>0.8</v>
      </c>
      <c r="AE72" t="str">
        <f t="shared" si="12"/>
        <v>&lt; 1 Yr (New)</v>
      </c>
      <c r="AF72" t="str">
        <f t="shared" si="13"/>
        <v>Exited</v>
      </c>
    </row>
    <row r="73" spans="1:32" x14ac:dyDescent="0.45">
      <c r="A73" t="s">
        <v>367</v>
      </c>
      <c r="B73" t="s">
        <v>368</v>
      </c>
      <c r="C73" t="s">
        <v>57</v>
      </c>
      <c r="D73" t="s">
        <v>56</v>
      </c>
      <c r="E73" t="s">
        <v>222</v>
      </c>
      <c r="F73" t="s">
        <v>82</v>
      </c>
      <c r="G73" t="s">
        <v>223</v>
      </c>
      <c r="H73" t="s">
        <v>108</v>
      </c>
      <c r="I73" t="s">
        <v>107</v>
      </c>
      <c r="J73" s="26">
        <v>43741</v>
      </c>
      <c r="K73" t="s">
        <v>187</v>
      </c>
      <c r="L73" s="26">
        <v>43868</v>
      </c>
      <c r="M73" t="s">
        <v>308</v>
      </c>
      <c r="N73" t="s">
        <v>97</v>
      </c>
      <c r="O73" s="27">
        <v>1155000</v>
      </c>
      <c r="P73">
        <v>3</v>
      </c>
      <c r="Q73" t="s">
        <v>172</v>
      </c>
      <c r="R73">
        <v>29</v>
      </c>
      <c r="S73" t="s">
        <v>224</v>
      </c>
      <c r="T73">
        <f t="shared" si="7"/>
        <v>11413</v>
      </c>
      <c r="U73" t="str">
        <f t="shared" si="8"/>
        <v>MKT</v>
      </c>
      <c r="V73" t="str">
        <f t="shared" si="9"/>
        <v>L2</v>
      </c>
      <c r="W73" t="str">
        <f>PROPER(TRIM(VLOOKUP(S73,Employee_Lookups!$I$4:$M$19,2,FALSE())))</f>
        <v>Tanvi Chitnis</v>
      </c>
      <c r="X73" t="str">
        <f>VLOOKUP(C73,Employee_Lookups!$A$4:$G$9,4,FALSE())</f>
        <v>CC-606</v>
      </c>
      <c r="Y73" t="str">
        <f>INDEX(Employee_Lookups!$C$13:$C$17,MATCH(F73,Employee_Lookups!$A$13:$A$17,0))</f>
        <v>Band B (Mid)</v>
      </c>
      <c r="Z73" s="27">
        <f>_xlfn.XLOOKUP(F73,Employee_Lookups!$A$13:$A$17,Employee_Lookups!$E$13:$E$17,0)</f>
        <v>1100000</v>
      </c>
      <c r="AA73" s="28">
        <f>ROUND(O73/INDEX(Employee_Lookups!$E$13:$E$17,MATCH(F73,Employee_Lookups!$A$13:$A$17,0)),3)</f>
        <v>1.05</v>
      </c>
      <c r="AB73">
        <f t="shared" si="10"/>
        <v>2019</v>
      </c>
      <c r="AC73">
        <f t="shared" si="11"/>
        <v>2020</v>
      </c>
      <c r="AD73" s="28">
        <f>ROUND((IF(ISBLANK(L73),Employee_Lookups!$O$14,L73)-J73)/365.25,2)</f>
        <v>0.35</v>
      </c>
      <c r="AE73" t="str">
        <f t="shared" si="12"/>
        <v>&lt; 1 Yr (New)</v>
      </c>
      <c r="AF73" t="str">
        <f t="shared" si="13"/>
        <v>Exited</v>
      </c>
    </row>
    <row r="74" spans="1:32" x14ac:dyDescent="0.45">
      <c r="A74" t="s">
        <v>369</v>
      </c>
      <c r="B74" t="s">
        <v>370</v>
      </c>
      <c r="C74" t="s">
        <v>55</v>
      </c>
      <c r="D74" t="s">
        <v>54</v>
      </c>
      <c r="E74" t="s">
        <v>277</v>
      </c>
      <c r="F74" t="s">
        <v>81</v>
      </c>
      <c r="G74" t="s">
        <v>278</v>
      </c>
      <c r="H74" t="s">
        <v>109</v>
      </c>
      <c r="I74" t="s">
        <v>110</v>
      </c>
      <c r="J74" s="26">
        <v>43753</v>
      </c>
      <c r="K74" t="s">
        <v>187</v>
      </c>
      <c r="L74" s="26">
        <v>43955</v>
      </c>
      <c r="M74" t="s">
        <v>213</v>
      </c>
      <c r="N74" t="s">
        <v>95</v>
      </c>
      <c r="O74" s="27">
        <v>649000</v>
      </c>
      <c r="P74">
        <v>3</v>
      </c>
      <c r="Q74" t="s">
        <v>164</v>
      </c>
      <c r="R74">
        <v>0</v>
      </c>
      <c r="S74" t="s">
        <v>274</v>
      </c>
      <c r="T74">
        <f t="shared" si="7"/>
        <v>11089</v>
      </c>
      <c r="U74" t="str">
        <f t="shared" si="8"/>
        <v>OPS</v>
      </c>
      <c r="V74" t="str">
        <f t="shared" si="9"/>
        <v>L1</v>
      </c>
      <c r="W74" t="str">
        <f>PROPER(TRIM(VLOOKUP(S74,Employee_Lookups!$I$4:$M$19,2,FALSE())))</f>
        <v>Meera Krishnan</v>
      </c>
      <c r="X74" t="str">
        <f>VLOOKUP(C74,Employee_Lookups!$A$4:$G$9,4,FALSE())</f>
        <v>CC-303</v>
      </c>
      <c r="Y74" t="str">
        <f>INDEX(Employee_Lookups!$C$13:$C$17,MATCH(F74,Employee_Lookups!$A$13:$A$17,0))</f>
        <v>Band A (Entry)</v>
      </c>
      <c r="Z74" s="27">
        <f>_xlfn.XLOOKUP(F74,Employee_Lookups!$A$13:$A$17,Employee_Lookups!$E$13:$E$17,0)</f>
        <v>700000</v>
      </c>
      <c r="AA74" s="28">
        <f>ROUND(O74/INDEX(Employee_Lookups!$E$13:$E$17,MATCH(F74,Employee_Lookups!$A$13:$A$17,0)),3)</f>
        <v>0.92700000000000005</v>
      </c>
      <c r="AB74">
        <f t="shared" si="10"/>
        <v>2019</v>
      </c>
      <c r="AC74">
        <f t="shared" si="11"/>
        <v>2020</v>
      </c>
      <c r="AD74" s="28">
        <f>ROUND((IF(ISBLANK(L74),Employee_Lookups!$O$14,L74)-J74)/365.25,2)</f>
        <v>0.55000000000000004</v>
      </c>
      <c r="AE74" t="str">
        <f t="shared" si="12"/>
        <v>&lt; 1 Yr (New)</v>
      </c>
      <c r="AF74" t="str">
        <f t="shared" si="13"/>
        <v>Exited</v>
      </c>
    </row>
    <row r="75" spans="1:32" x14ac:dyDescent="0.45">
      <c r="A75" t="s">
        <v>371</v>
      </c>
      <c r="B75" t="s">
        <v>372</v>
      </c>
      <c r="C75" t="s">
        <v>55</v>
      </c>
      <c r="D75" t="s">
        <v>54</v>
      </c>
      <c r="E75" t="s">
        <v>277</v>
      </c>
      <c r="F75" t="s">
        <v>81</v>
      </c>
      <c r="G75" t="s">
        <v>278</v>
      </c>
      <c r="H75" t="s">
        <v>106</v>
      </c>
      <c r="I75" t="s">
        <v>107</v>
      </c>
      <c r="J75" s="26">
        <v>43757</v>
      </c>
      <c r="K75" t="s">
        <v>162</v>
      </c>
      <c r="L75" s="26"/>
      <c r="M75" t="s">
        <v>163</v>
      </c>
      <c r="N75" t="s">
        <v>98</v>
      </c>
      <c r="O75" s="27">
        <v>581000</v>
      </c>
      <c r="P75">
        <v>3</v>
      </c>
      <c r="Q75" t="s">
        <v>172</v>
      </c>
      <c r="R75">
        <v>48</v>
      </c>
      <c r="S75" t="s">
        <v>173</v>
      </c>
      <c r="T75">
        <f t="shared" si="7"/>
        <v>10724</v>
      </c>
      <c r="U75" t="str">
        <f t="shared" si="8"/>
        <v>OPS</v>
      </c>
      <c r="V75" t="str">
        <f t="shared" si="9"/>
        <v>L1</v>
      </c>
      <c r="W75" t="str">
        <f>PROPER(TRIM(VLOOKUP(S75,Employee_Lookups!$I$4:$M$19,2,FALSE())))</f>
        <v>Deepak Patil</v>
      </c>
      <c r="X75" t="str">
        <f>VLOOKUP(C75,Employee_Lookups!$A$4:$G$9,4,FALSE())</f>
        <v>CC-303</v>
      </c>
      <c r="Y75" t="str">
        <f>INDEX(Employee_Lookups!$C$13:$C$17,MATCH(F75,Employee_Lookups!$A$13:$A$17,0))</f>
        <v>Band A (Entry)</v>
      </c>
      <c r="Z75" s="27">
        <f>_xlfn.XLOOKUP(F75,Employee_Lookups!$A$13:$A$17,Employee_Lookups!$E$13:$E$17,0)</f>
        <v>700000</v>
      </c>
      <c r="AA75" s="28">
        <f>ROUND(O75/INDEX(Employee_Lookups!$E$13:$E$17,MATCH(F75,Employee_Lookups!$A$13:$A$17,0)),3)</f>
        <v>0.83</v>
      </c>
      <c r="AB75">
        <f t="shared" si="10"/>
        <v>2019</v>
      </c>
      <c r="AC75" t="str">
        <f t="shared" si="11"/>
        <v/>
      </c>
      <c r="AD75" s="28">
        <f>ROUND((IF(ISBLANK(L75),Employee_Lookups!$O$14,L75)-J75)/365.25,2)</f>
        <v>6.2</v>
      </c>
      <c r="AE75" t="str">
        <f t="shared" si="12"/>
        <v>5+ Yrs</v>
      </c>
      <c r="AF75" t="str">
        <f t="shared" si="13"/>
        <v>High Risk</v>
      </c>
    </row>
    <row r="76" spans="1:32" x14ac:dyDescent="0.45">
      <c r="A76" t="s">
        <v>373</v>
      </c>
      <c r="B76" t="s">
        <v>374</v>
      </c>
      <c r="C76" t="s">
        <v>51</v>
      </c>
      <c r="D76" t="s">
        <v>50</v>
      </c>
      <c r="E76" t="s">
        <v>176</v>
      </c>
      <c r="F76" t="s">
        <v>82</v>
      </c>
      <c r="G76" t="s">
        <v>177</v>
      </c>
      <c r="H76" t="s">
        <v>106</v>
      </c>
      <c r="I76" t="s">
        <v>107</v>
      </c>
      <c r="J76" s="26">
        <v>43760</v>
      </c>
      <c r="K76" t="s">
        <v>187</v>
      </c>
      <c r="L76" s="26">
        <v>45065</v>
      </c>
      <c r="M76" t="s">
        <v>269</v>
      </c>
      <c r="N76" t="s">
        <v>95</v>
      </c>
      <c r="O76" s="27">
        <v>984000</v>
      </c>
      <c r="P76">
        <v>4</v>
      </c>
      <c r="Q76" t="s">
        <v>164</v>
      </c>
      <c r="R76">
        <v>29</v>
      </c>
      <c r="S76" t="s">
        <v>178</v>
      </c>
      <c r="T76">
        <f t="shared" si="7"/>
        <v>10157</v>
      </c>
      <c r="U76" t="str">
        <f t="shared" si="8"/>
        <v>ENG</v>
      </c>
      <c r="V76" t="str">
        <f t="shared" si="9"/>
        <v>L2</v>
      </c>
      <c r="W76" t="str">
        <f>PROPER(TRIM(VLOOKUP(S76,Employee_Lookups!$I$4:$M$19,2,FALSE())))</f>
        <v>Aarav Deshmukh</v>
      </c>
      <c r="X76" t="str">
        <f>VLOOKUP(C76,Employee_Lookups!$A$4:$G$9,4,FALSE())</f>
        <v>CC-101</v>
      </c>
      <c r="Y76" t="str">
        <f>INDEX(Employee_Lookups!$C$13:$C$17,MATCH(F76,Employee_Lookups!$A$13:$A$17,0))</f>
        <v>Band B (Mid)</v>
      </c>
      <c r="Z76" s="27">
        <f>_xlfn.XLOOKUP(F76,Employee_Lookups!$A$13:$A$17,Employee_Lookups!$E$13:$E$17,0)</f>
        <v>1100000</v>
      </c>
      <c r="AA76" s="28">
        <f>ROUND(O76/INDEX(Employee_Lookups!$E$13:$E$17,MATCH(F76,Employee_Lookups!$A$13:$A$17,0)),3)</f>
        <v>0.89500000000000002</v>
      </c>
      <c r="AB76">
        <f t="shared" si="10"/>
        <v>2019</v>
      </c>
      <c r="AC76">
        <f t="shared" si="11"/>
        <v>2023</v>
      </c>
      <c r="AD76" s="28">
        <f>ROUND((IF(ISBLANK(L76),Employee_Lookups!$O$14,L76)-J76)/365.25,2)</f>
        <v>3.57</v>
      </c>
      <c r="AE76" t="str">
        <f t="shared" si="12"/>
        <v>3 - 5 Yrs</v>
      </c>
      <c r="AF76" t="str">
        <f t="shared" si="13"/>
        <v>Exited</v>
      </c>
    </row>
    <row r="77" spans="1:32" x14ac:dyDescent="0.45">
      <c r="A77" t="s">
        <v>375</v>
      </c>
      <c r="B77" t="s">
        <v>376</v>
      </c>
      <c r="C77" t="s">
        <v>57</v>
      </c>
      <c r="D77" t="s">
        <v>56</v>
      </c>
      <c r="E77" t="s">
        <v>222</v>
      </c>
      <c r="F77" t="s">
        <v>82</v>
      </c>
      <c r="G77" t="s">
        <v>223</v>
      </c>
      <c r="H77" t="s">
        <v>109</v>
      </c>
      <c r="I77" t="s">
        <v>110</v>
      </c>
      <c r="J77" s="26">
        <v>43780</v>
      </c>
      <c r="K77" t="s">
        <v>162</v>
      </c>
      <c r="L77" s="26"/>
      <c r="M77" t="s">
        <v>163</v>
      </c>
      <c r="N77" t="s">
        <v>99</v>
      </c>
      <c r="O77" s="27">
        <v>1340000</v>
      </c>
      <c r="P77">
        <v>2</v>
      </c>
      <c r="Q77" t="s">
        <v>164</v>
      </c>
      <c r="R77">
        <v>29</v>
      </c>
      <c r="S77" t="s">
        <v>165</v>
      </c>
      <c r="T77">
        <f t="shared" si="7"/>
        <v>11002</v>
      </c>
      <c r="U77" t="str">
        <f t="shared" si="8"/>
        <v>MKT</v>
      </c>
      <c r="V77" t="str">
        <f t="shared" si="9"/>
        <v>L2</v>
      </c>
      <c r="W77" t="str">
        <f>PROPER(TRIM(VLOOKUP(S77,Employee_Lookups!$I$4:$M$19,2,FALSE())))</f>
        <v>Arjun Sengupta</v>
      </c>
      <c r="X77" t="str">
        <f>VLOOKUP(C77,Employee_Lookups!$A$4:$G$9,4,FALSE())</f>
        <v>CC-606</v>
      </c>
      <c r="Y77" t="str">
        <f>INDEX(Employee_Lookups!$C$13:$C$17,MATCH(F77,Employee_Lookups!$A$13:$A$17,0))</f>
        <v>Band B (Mid)</v>
      </c>
      <c r="Z77" s="27">
        <f>_xlfn.XLOOKUP(F77,Employee_Lookups!$A$13:$A$17,Employee_Lookups!$E$13:$E$17,0)</f>
        <v>1100000</v>
      </c>
      <c r="AA77" s="28">
        <f>ROUND(O77/INDEX(Employee_Lookups!$E$13:$E$17,MATCH(F77,Employee_Lookups!$A$13:$A$17,0)),3)</f>
        <v>1.218</v>
      </c>
      <c r="AB77">
        <f t="shared" si="10"/>
        <v>2019</v>
      </c>
      <c r="AC77" t="str">
        <f t="shared" si="11"/>
        <v/>
      </c>
      <c r="AD77" s="28">
        <f>ROUND((IF(ISBLANK(L77),Employee_Lookups!$O$14,L77)-J77)/365.25,2)</f>
        <v>6.14</v>
      </c>
      <c r="AE77" t="str">
        <f t="shared" si="12"/>
        <v>5+ Yrs</v>
      </c>
      <c r="AF77" t="str">
        <f t="shared" si="13"/>
        <v>Moderate Risk</v>
      </c>
    </row>
    <row r="78" spans="1:32" x14ac:dyDescent="0.45">
      <c r="A78" t="s">
        <v>377</v>
      </c>
      <c r="B78" t="s">
        <v>378</v>
      </c>
      <c r="C78" t="s">
        <v>53</v>
      </c>
      <c r="D78" t="s">
        <v>52</v>
      </c>
      <c r="E78" t="s">
        <v>185</v>
      </c>
      <c r="F78" t="s">
        <v>82</v>
      </c>
      <c r="G78" t="s">
        <v>186</v>
      </c>
      <c r="H78" t="s">
        <v>108</v>
      </c>
      <c r="I78" t="s">
        <v>107</v>
      </c>
      <c r="J78" s="26">
        <v>43786</v>
      </c>
      <c r="K78" t="s">
        <v>170</v>
      </c>
      <c r="L78" s="26">
        <v>44107</v>
      </c>
      <c r="M78" t="s">
        <v>171</v>
      </c>
      <c r="N78" t="s">
        <v>97</v>
      </c>
      <c r="O78" s="27">
        <v>1212000</v>
      </c>
      <c r="P78">
        <v>2</v>
      </c>
      <c r="Q78" t="s">
        <v>172</v>
      </c>
      <c r="R78">
        <v>36</v>
      </c>
      <c r="S78" t="s">
        <v>237</v>
      </c>
      <c r="T78">
        <f t="shared" si="7"/>
        <v>10555</v>
      </c>
      <c r="U78" t="str">
        <f t="shared" si="8"/>
        <v>SAL</v>
      </c>
      <c r="V78" t="str">
        <f t="shared" si="9"/>
        <v>L2</v>
      </c>
      <c r="W78" t="str">
        <f>PROPER(TRIM(VLOOKUP(S78,Employee_Lookups!$I$4:$M$19,2,FALSE())))</f>
        <v>Karan Malhotra</v>
      </c>
      <c r="X78" t="str">
        <f>VLOOKUP(C78,Employee_Lookups!$A$4:$G$9,4,FALSE())</f>
        <v>CC-202</v>
      </c>
      <c r="Y78" t="str">
        <f>INDEX(Employee_Lookups!$C$13:$C$17,MATCH(F78,Employee_Lookups!$A$13:$A$17,0))</f>
        <v>Band B (Mid)</v>
      </c>
      <c r="Z78" s="27">
        <f>_xlfn.XLOOKUP(F78,Employee_Lookups!$A$13:$A$17,Employee_Lookups!$E$13:$E$17,0)</f>
        <v>1100000</v>
      </c>
      <c r="AA78" s="28">
        <f>ROUND(O78/INDEX(Employee_Lookups!$E$13:$E$17,MATCH(F78,Employee_Lookups!$A$13:$A$17,0)),3)</f>
        <v>1.1020000000000001</v>
      </c>
      <c r="AB78">
        <f t="shared" si="10"/>
        <v>2019</v>
      </c>
      <c r="AC78">
        <f t="shared" si="11"/>
        <v>2020</v>
      </c>
      <c r="AD78" s="28">
        <f>ROUND((IF(ISBLANK(L78),Employee_Lookups!$O$14,L78)-J78)/365.25,2)</f>
        <v>0.88</v>
      </c>
      <c r="AE78" t="str">
        <f t="shared" si="12"/>
        <v>&lt; 1 Yr (New)</v>
      </c>
      <c r="AF78" t="str">
        <f t="shared" si="13"/>
        <v>Exited</v>
      </c>
    </row>
    <row r="79" spans="1:32" x14ac:dyDescent="0.45">
      <c r="A79" t="s">
        <v>379</v>
      </c>
      <c r="B79" t="s">
        <v>380</v>
      </c>
      <c r="C79" t="s">
        <v>53</v>
      </c>
      <c r="D79" t="s">
        <v>52</v>
      </c>
      <c r="E79" t="s">
        <v>185</v>
      </c>
      <c r="F79" t="s">
        <v>82</v>
      </c>
      <c r="G79" t="s">
        <v>186</v>
      </c>
      <c r="H79" t="s">
        <v>106</v>
      </c>
      <c r="I79" t="s">
        <v>107</v>
      </c>
      <c r="J79" s="26">
        <v>43786</v>
      </c>
      <c r="K79" t="s">
        <v>170</v>
      </c>
      <c r="L79" s="26">
        <v>44830</v>
      </c>
      <c r="M79" t="s">
        <v>171</v>
      </c>
      <c r="N79" t="s">
        <v>97</v>
      </c>
      <c r="O79" s="27">
        <v>1334000</v>
      </c>
      <c r="P79">
        <v>3</v>
      </c>
      <c r="Q79" t="s">
        <v>172</v>
      </c>
      <c r="R79">
        <v>44</v>
      </c>
      <c r="S79" t="s">
        <v>194</v>
      </c>
      <c r="T79">
        <f t="shared" si="7"/>
        <v>10997</v>
      </c>
      <c r="U79" t="str">
        <f t="shared" si="8"/>
        <v>SAL</v>
      </c>
      <c r="V79" t="str">
        <f t="shared" si="9"/>
        <v>L2</v>
      </c>
      <c r="W79" t="str">
        <f>PROPER(TRIM(VLOOKUP(S79,Employee_Lookups!$I$4:$M$19,2,FALSE())))</f>
        <v>Vikramaditya Joshi</v>
      </c>
      <c r="X79" t="str">
        <f>VLOOKUP(C79,Employee_Lookups!$A$4:$G$9,4,FALSE())</f>
        <v>CC-202</v>
      </c>
      <c r="Y79" t="str">
        <f>INDEX(Employee_Lookups!$C$13:$C$17,MATCH(F79,Employee_Lookups!$A$13:$A$17,0))</f>
        <v>Band B (Mid)</v>
      </c>
      <c r="Z79" s="27">
        <f>_xlfn.XLOOKUP(F79,Employee_Lookups!$A$13:$A$17,Employee_Lookups!$E$13:$E$17,0)</f>
        <v>1100000</v>
      </c>
      <c r="AA79" s="28">
        <f>ROUND(O79/INDEX(Employee_Lookups!$E$13:$E$17,MATCH(F79,Employee_Lookups!$A$13:$A$17,0)),3)</f>
        <v>1.2130000000000001</v>
      </c>
      <c r="AB79">
        <f t="shared" si="10"/>
        <v>2019</v>
      </c>
      <c r="AC79">
        <f t="shared" si="11"/>
        <v>2022</v>
      </c>
      <c r="AD79" s="28">
        <f>ROUND((IF(ISBLANK(L79),Employee_Lookups!$O$14,L79)-J79)/365.25,2)</f>
        <v>2.86</v>
      </c>
      <c r="AE79" t="str">
        <f t="shared" si="12"/>
        <v>1 - 3 Yrs</v>
      </c>
      <c r="AF79" t="str">
        <f t="shared" si="13"/>
        <v>Exited</v>
      </c>
    </row>
    <row r="80" spans="1:32" x14ac:dyDescent="0.45">
      <c r="A80" t="s">
        <v>381</v>
      </c>
      <c r="B80" t="s">
        <v>382</v>
      </c>
      <c r="C80" t="s">
        <v>55</v>
      </c>
      <c r="D80" t="s">
        <v>54</v>
      </c>
      <c r="E80" t="s">
        <v>229</v>
      </c>
      <c r="F80" t="s">
        <v>82</v>
      </c>
      <c r="G80" t="s">
        <v>230</v>
      </c>
      <c r="H80" t="s">
        <v>106</v>
      </c>
      <c r="I80" t="s">
        <v>107</v>
      </c>
      <c r="J80" s="26">
        <v>43788</v>
      </c>
      <c r="K80" t="s">
        <v>187</v>
      </c>
      <c r="L80" s="26">
        <v>45122</v>
      </c>
      <c r="M80" t="s">
        <v>269</v>
      </c>
      <c r="N80" t="s">
        <v>96</v>
      </c>
      <c r="O80" s="27">
        <v>1343000</v>
      </c>
      <c r="P80">
        <v>3</v>
      </c>
      <c r="Q80" t="s">
        <v>164</v>
      </c>
      <c r="R80">
        <v>44</v>
      </c>
      <c r="S80" t="s">
        <v>173</v>
      </c>
      <c r="T80">
        <f t="shared" si="7"/>
        <v>10171</v>
      </c>
      <c r="U80" t="str">
        <f t="shared" si="8"/>
        <v>OPS</v>
      </c>
      <c r="V80" t="str">
        <f t="shared" si="9"/>
        <v>L2</v>
      </c>
      <c r="W80" t="str">
        <f>PROPER(TRIM(VLOOKUP(S80,Employee_Lookups!$I$4:$M$19,2,FALSE())))</f>
        <v>Deepak Patil</v>
      </c>
      <c r="X80" t="str">
        <f>VLOOKUP(C80,Employee_Lookups!$A$4:$G$9,4,FALSE())</f>
        <v>CC-303</v>
      </c>
      <c r="Y80" t="str">
        <f>INDEX(Employee_Lookups!$C$13:$C$17,MATCH(F80,Employee_Lookups!$A$13:$A$17,0))</f>
        <v>Band B (Mid)</v>
      </c>
      <c r="Z80" s="27">
        <f>_xlfn.XLOOKUP(F80,Employee_Lookups!$A$13:$A$17,Employee_Lookups!$E$13:$E$17,0)</f>
        <v>1100000</v>
      </c>
      <c r="AA80" s="28">
        <f>ROUND(O80/INDEX(Employee_Lookups!$E$13:$E$17,MATCH(F80,Employee_Lookups!$A$13:$A$17,0)),3)</f>
        <v>1.2210000000000001</v>
      </c>
      <c r="AB80">
        <f t="shared" si="10"/>
        <v>2019</v>
      </c>
      <c r="AC80">
        <f t="shared" si="11"/>
        <v>2023</v>
      </c>
      <c r="AD80" s="28">
        <f>ROUND((IF(ISBLANK(L80),Employee_Lookups!$O$14,L80)-J80)/365.25,2)</f>
        <v>3.65</v>
      </c>
      <c r="AE80" t="str">
        <f t="shared" si="12"/>
        <v>3 - 5 Yrs</v>
      </c>
      <c r="AF80" t="str">
        <f t="shared" si="13"/>
        <v>Exited</v>
      </c>
    </row>
    <row r="81" spans="1:32" x14ac:dyDescent="0.45">
      <c r="A81" t="s">
        <v>383</v>
      </c>
      <c r="B81" t="s">
        <v>384</v>
      </c>
      <c r="C81" t="s">
        <v>51</v>
      </c>
      <c r="D81" t="s">
        <v>50</v>
      </c>
      <c r="E81" t="s">
        <v>176</v>
      </c>
      <c r="F81" t="s">
        <v>82</v>
      </c>
      <c r="G81" t="s">
        <v>177</v>
      </c>
      <c r="H81" t="s">
        <v>106</v>
      </c>
      <c r="I81" t="s">
        <v>107</v>
      </c>
      <c r="J81" s="26">
        <v>43789</v>
      </c>
      <c r="K81" t="s">
        <v>170</v>
      </c>
      <c r="L81" s="26">
        <v>43887</v>
      </c>
      <c r="M81" t="s">
        <v>171</v>
      </c>
      <c r="N81" t="s">
        <v>99</v>
      </c>
      <c r="O81" s="27">
        <v>1168000</v>
      </c>
      <c r="P81">
        <v>2</v>
      </c>
      <c r="Q81" t="s">
        <v>172</v>
      </c>
      <c r="R81">
        <v>13</v>
      </c>
      <c r="S81" t="s">
        <v>244</v>
      </c>
      <c r="T81">
        <f t="shared" si="7"/>
        <v>11113</v>
      </c>
      <c r="U81" t="str">
        <f t="shared" si="8"/>
        <v>ENG</v>
      </c>
      <c r="V81" t="str">
        <f t="shared" si="9"/>
        <v>L2</v>
      </c>
      <c r="W81" t="str">
        <f>PROPER(TRIM(VLOOKUP(S81,Employee_Lookups!$I$4:$M$19,2,FALSE())))</f>
        <v>Siddharth Nair</v>
      </c>
      <c r="X81" t="str">
        <f>VLOOKUP(C81,Employee_Lookups!$A$4:$G$9,4,FALSE())</f>
        <v>CC-101</v>
      </c>
      <c r="Y81" t="str">
        <f>INDEX(Employee_Lookups!$C$13:$C$17,MATCH(F81,Employee_Lookups!$A$13:$A$17,0))</f>
        <v>Band B (Mid)</v>
      </c>
      <c r="Z81" s="27">
        <f>_xlfn.XLOOKUP(F81,Employee_Lookups!$A$13:$A$17,Employee_Lookups!$E$13:$E$17,0)</f>
        <v>1100000</v>
      </c>
      <c r="AA81" s="28">
        <f>ROUND(O81/INDEX(Employee_Lookups!$E$13:$E$17,MATCH(F81,Employee_Lookups!$A$13:$A$17,0)),3)</f>
        <v>1.0620000000000001</v>
      </c>
      <c r="AB81">
        <f t="shared" si="10"/>
        <v>2019</v>
      </c>
      <c r="AC81">
        <f t="shared" si="11"/>
        <v>2020</v>
      </c>
      <c r="AD81" s="28">
        <f>ROUND((IF(ISBLANK(L81),Employee_Lookups!$O$14,L81)-J81)/365.25,2)</f>
        <v>0.27</v>
      </c>
      <c r="AE81" t="str">
        <f t="shared" si="12"/>
        <v>&lt; 1 Yr (New)</v>
      </c>
      <c r="AF81" t="str">
        <f t="shared" si="13"/>
        <v>Exited</v>
      </c>
    </row>
    <row r="82" spans="1:32" x14ac:dyDescent="0.45">
      <c r="A82" t="s">
        <v>385</v>
      </c>
      <c r="B82" t="s">
        <v>333</v>
      </c>
      <c r="C82" t="s">
        <v>55</v>
      </c>
      <c r="D82" t="s">
        <v>54</v>
      </c>
      <c r="E82" t="s">
        <v>229</v>
      </c>
      <c r="F82" t="s">
        <v>82</v>
      </c>
      <c r="G82" t="s">
        <v>230</v>
      </c>
      <c r="H82" t="s">
        <v>106</v>
      </c>
      <c r="I82" t="s">
        <v>107</v>
      </c>
      <c r="J82" s="26">
        <v>43794</v>
      </c>
      <c r="K82" t="s">
        <v>170</v>
      </c>
      <c r="L82" s="26">
        <v>44020</v>
      </c>
      <c r="M82" t="s">
        <v>171</v>
      </c>
      <c r="N82" t="s">
        <v>95</v>
      </c>
      <c r="O82" s="27">
        <v>1099000</v>
      </c>
      <c r="P82">
        <v>2</v>
      </c>
      <c r="Q82" t="s">
        <v>172</v>
      </c>
      <c r="R82">
        <v>33</v>
      </c>
      <c r="S82" t="s">
        <v>173</v>
      </c>
      <c r="T82">
        <f t="shared" si="7"/>
        <v>11042</v>
      </c>
      <c r="U82" t="str">
        <f t="shared" si="8"/>
        <v>OPS</v>
      </c>
      <c r="V82" t="str">
        <f t="shared" si="9"/>
        <v>L2</v>
      </c>
      <c r="W82" t="str">
        <f>PROPER(TRIM(VLOOKUP(S82,Employee_Lookups!$I$4:$M$19,2,FALSE())))</f>
        <v>Deepak Patil</v>
      </c>
      <c r="X82" t="str">
        <f>VLOOKUP(C82,Employee_Lookups!$A$4:$G$9,4,FALSE())</f>
        <v>CC-303</v>
      </c>
      <c r="Y82" t="str">
        <f>INDEX(Employee_Lookups!$C$13:$C$17,MATCH(F82,Employee_Lookups!$A$13:$A$17,0))</f>
        <v>Band B (Mid)</v>
      </c>
      <c r="Z82" s="27">
        <f>_xlfn.XLOOKUP(F82,Employee_Lookups!$A$13:$A$17,Employee_Lookups!$E$13:$E$17,0)</f>
        <v>1100000</v>
      </c>
      <c r="AA82" s="28">
        <f>ROUND(O82/INDEX(Employee_Lookups!$E$13:$E$17,MATCH(F82,Employee_Lookups!$A$13:$A$17,0)),3)</f>
        <v>0.999</v>
      </c>
      <c r="AB82">
        <f t="shared" si="10"/>
        <v>2019</v>
      </c>
      <c r="AC82">
        <f t="shared" si="11"/>
        <v>2020</v>
      </c>
      <c r="AD82" s="28">
        <f>ROUND((IF(ISBLANK(L82),Employee_Lookups!$O$14,L82)-J82)/365.25,2)</f>
        <v>0.62</v>
      </c>
      <c r="AE82" t="str">
        <f t="shared" si="12"/>
        <v>&lt; 1 Yr (New)</v>
      </c>
      <c r="AF82" t="str">
        <f t="shared" si="13"/>
        <v>Exited</v>
      </c>
    </row>
    <row r="83" spans="1:32" x14ac:dyDescent="0.45">
      <c r="A83" t="s">
        <v>386</v>
      </c>
      <c r="B83" t="s">
        <v>387</v>
      </c>
      <c r="C83" t="s">
        <v>53</v>
      </c>
      <c r="D83" t="s">
        <v>52</v>
      </c>
      <c r="E83" t="s">
        <v>185</v>
      </c>
      <c r="F83" t="s">
        <v>82</v>
      </c>
      <c r="G83" t="s">
        <v>186</v>
      </c>
      <c r="H83" t="s">
        <v>106</v>
      </c>
      <c r="I83" t="s">
        <v>107</v>
      </c>
      <c r="J83" s="26">
        <v>43803</v>
      </c>
      <c r="K83" t="s">
        <v>162</v>
      </c>
      <c r="L83" s="26"/>
      <c r="M83" t="s">
        <v>163</v>
      </c>
      <c r="N83" t="s">
        <v>98</v>
      </c>
      <c r="O83" s="27">
        <v>1213000</v>
      </c>
      <c r="P83">
        <v>2</v>
      </c>
      <c r="Q83" t="s">
        <v>164</v>
      </c>
      <c r="R83">
        <v>41</v>
      </c>
      <c r="S83" t="s">
        <v>189</v>
      </c>
      <c r="T83">
        <f t="shared" si="7"/>
        <v>11001</v>
      </c>
      <c r="U83" t="str">
        <f t="shared" si="8"/>
        <v>SAL</v>
      </c>
      <c r="V83" t="str">
        <f t="shared" si="9"/>
        <v>L2</v>
      </c>
      <c r="W83" t="str">
        <f>PROPER(TRIM(VLOOKUP(S83,Employee_Lookups!$I$4:$M$19,2,FALSE())))</f>
        <v>Priya Sharma</v>
      </c>
      <c r="X83" t="str">
        <f>VLOOKUP(C83,Employee_Lookups!$A$4:$G$9,4,FALSE())</f>
        <v>CC-202</v>
      </c>
      <c r="Y83" t="str">
        <f>INDEX(Employee_Lookups!$C$13:$C$17,MATCH(F83,Employee_Lookups!$A$13:$A$17,0))</f>
        <v>Band B (Mid)</v>
      </c>
      <c r="Z83" s="27">
        <f>_xlfn.XLOOKUP(F83,Employee_Lookups!$A$13:$A$17,Employee_Lookups!$E$13:$E$17,0)</f>
        <v>1100000</v>
      </c>
      <c r="AA83" s="28">
        <f>ROUND(O83/INDEX(Employee_Lookups!$E$13:$E$17,MATCH(F83,Employee_Lookups!$A$13:$A$17,0)),3)</f>
        <v>1.103</v>
      </c>
      <c r="AB83">
        <f t="shared" si="10"/>
        <v>2019</v>
      </c>
      <c r="AC83" t="str">
        <f t="shared" si="11"/>
        <v/>
      </c>
      <c r="AD83" s="28">
        <f>ROUND((IF(ISBLANK(L83),Employee_Lookups!$O$14,L83)-J83)/365.25,2)</f>
        <v>6.08</v>
      </c>
      <c r="AE83" t="str">
        <f t="shared" si="12"/>
        <v>5+ Yrs</v>
      </c>
      <c r="AF83" t="str">
        <f t="shared" si="13"/>
        <v>Moderate Risk</v>
      </c>
    </row>
    <row r="84" spans="1:32" x14ac:dyDescent="0.45">
      <c r="A84" t="s">
        <v>388</v>
      </c>
      <c r="B84" t="s">
        <v>347</v>
      </c>
      <c r="C84" t="s">
        <v>51</v>
      </c>
      <c r="D84" t="s">
        <v>50</v>
      </c>
      <c r="E84" t="s">
        <v>217</v>
      </c>
      <c r="F84" t="s">
        <v>83</v>
      </c>
      <c r="G84" t="s">
        <v>218</v>
      </c>
      <c r="H84" t="s">
        <v>109</v>
      </c>
      <c r="I84" t="s">
        <v>110</v>
      </c>
      <c r="J84" s="26">
        <v>43806</v>
      </c>
      <c r="K84" t="s">
        <v>187</v>
      </c>
      <c r="L84" s="26">
        <v>44332</v>
      </c>
      <c r="M84" t="s">
        <v>282</v>
      </c>
      <c r="N84" t="s">
        <v>99</v>
      </c>
      <c r="O84" s="27">
        <v>1374000</v>
      </c>
      <c r="P84">
        <v>4</v>
      </c>
      <c r="Q84" t="s">
        <v>164</v>
      </c>
      <c r="R84">
        <v>13</v>
      </c>
      <c r="S84" t="s">
        <v>178</v>
      </c>
      <c r="T84">
        <f t="shared" si="7"/>
        <v>10979</v>
      </c>
      <c r="U84" t="str">
        <f t="shared" si="8"/>
        <v>ENG</v>
      </c>
      <c r="V84" t="str">
        <f t="shared" si="9"/>
        <v>L3</v>
      </c>
      <c r="W84" t="str">
        <f>PROPER(TRIM(VLOOKUP(S84,Employee_Lookups!$I$4:$M$19,2,FALSE())))</f>
        <v>Aarav Deshmukh</v>
      </c>
      <c r="X84" t="str">
        <f>VLOOKUP(C84,Employee_Lookups!$A$4:$G$9,4,FALSE())</f>
        <v>CC-101</v>
      </c>
      <c r="Y84" t="str">
        <f>INDEX(Employee_Lookups!$C$13:$C$17,MATCH(F84,Employee_Lookups!$A$13:$A$17,0))</f>
        <v>Band C (Senior)</v>
      </c>
      <c r="Z84" s="27">
        <f>_xlfn.XLOOKUP(F84,Employee_Lookups!$A$13:$A$17,Employee_Lookups!$E$13:$E$17,0)</f>
        <v>1725000</v>
      </c>
      <c r="AA84" s="28">
        <f>ROUND(O84/INDEX(Employee_Lookups!$E$13:$E$17,MATCH(F84,Employee_Lookups!$A$13:$A$17,0)),3)</f>
        <v>0.79700000000000004</v>
      </c>
      <c r="AB84">
        <f t="shared" si="10"/>
        <v>2019</v>
      </c>
      <c r="AC84">
        <f t="shared" si="11"/>
        <v>2021</v>
      </c>
      <c r="AD84" s="28">
        <f>ROUND((IF(ISBLANK(L84),Employee_Lookups!$O$14,L84)-J84)/365.25,2)</f>
        <v>1.44</v>
      </c>
      <c r="AE84" t="str">
        <f t="shared" si="12"/>
        <v>1 - 3 Yrs</v>
      </c>
      <c r="AF84" t="str">
        <f t="shared" si="13"/>
        <v>Exited</v>
      </c>
    </row>
    <row r="85" spans="1:32" x14ac:dyDescent="0.45">
      <c r="A85" t="s">
        <v>389</v>
      </c>
      <c r="B85" t="s">
        <v>390</v>
      </c>
      <c r="C85" t="s">
        <v>57</v>
      </c>
      <c r="D85" t="s">
        <v>56</v>
      </c>
      <c r="E85" t="s">
        <v>391</v>
      </c>
      <c r="F85" t="s">
        <v>83</v>
      </c>
      <c r="G85" t="s">
        <v>392</v>
      </c>
      <c r="H85" t="s">
        <v>106</v>
      </c>
      <c r="I85" t="s">
        <v>107</v>
      </c>
      <c r="J85" s="26">
        <v>43811</v>
      </c>
      <c r="K85" t="s">
        <v>162</v>
      </c>
      <c r="L85" s="26"/>
      <c r="M85" t="s">
        <v>163</v>
      </c>
      <c r="N85" t="s">
        <v>98</v>
      </c>
      <c r="O85" s="27">
        <v>1936000</v>
      </c>
      <c r="P85">
        <v>5</v>
      </c>
      <c r="Q85" t="s">
        <v>164</v>
      </c>
      <c r="R85">
        <v>13</v>
      </c>
      <c r="S85" t="s">
        <v>165</v>
      </c>
      <c r="T85">
        <f t="shared" si="7"/>
        <v>10967</v>
      </c>
      <c r="U85" t="str">
        <f t="shared" si="8"/>
        <v>MKT</v>
      </c>
      <c r="V85" t="str">
        <f t="shared" si="9"/>
        <v>L3</v>
      </c>
      <c r="W85" t="str">
        <f>PROPER(TRIM(VLOOKUP(S85,Employee_Lookups!$I$4:$M$19,2,FALSE())))</f>
        <v>Arjun Sengupta</v>
      </c>
      <c r="X85" t="str">
        <f>VLOOKUP(C85,Employee_Lookups!$A$4:$G$9,4,FALSE())</f>
        <v>CC-606</v>
      </c>
      <c r="Y85" t="str">
        <f>INDEX(Employee_Lookups!$C$13:$C$17,MATCH(F85,Employee_Lookups!$A$13:$A$17,0))</f>
        <v>Band C (Senior)</v>
      </c>
      <c r="Z85" s="27">
        <f>_xlfn.XLOOKUP(F85,Employee_Lookups!$A$13:$A$17,Employee_Lookups!$E$13:$E$17,0)</f>
        <v>1725000</v>
      </c>
      <c r="AA85" s="28">
        <f>ROUND(O85/INDEX(Employee_Lookups!$E$13:$E$17,MATCH(F85,Employee_Lookups!$A$13:$A$17,0)),3)</f>
        <v>1.1220000000000001</v>
      </c>
      <c r="AB85">
        <f t="shared" si="10"/>
        <v>2019</v>
      </c>
      <c r="AC85" t="str">
        <f t="shared" si="11"/>
        <v/>
      </c>
      <c r="AD85" s="28">
        <f>ROUND((IF(ISBLANK(L85),Employee_Lookups!$O$14,L85)-J85)/365.25,2)</f>
        <v>6.05</v>
      </c>
      <c r="AE85" t="str">
        <f t="shared" si="12"/>
        <v>5+ Yrs</v>
      </c>
      <c r="AF85" t="str">
        <f t="shared" si="13"/>
        <v>Low Risk</v>
      </c>
    </row>
    <row r="86" spans="1:32" x14ac:dyDescent="0.45">
      <c r="A86" t="s">
        <v>393</v>
      </c>
      <c r="B86" t="s">
        <v>394</v>
      </c>
      <c r="C86" t="s">
        <v>51</v>
      </c>
      <c r="D86" t="s">
        <v>50</v>
      </c>
      <c r="E86" t="s">
        <v>176</v>
      </c>
      <c r="F86" t="s">
        <v>82</v>
      </c>
      <c r="G86" t="s">
        <v>177</v>
      </c>
      <c r="H86" t="s">
        <v>106</v>
      </c>
      <c r="I86" t="s">
        <v>107</v>
      </c>
      <c r="J86" s="26">
        <v>43814</v>
      </c>
      <c r="K86" t="s">
        <v>162</v>
      </c>
      <c r="L86" s="26"/>
      <c r="M86" t="s">
        <v>163</v>
      </c>
      <c r="N86" t="s">
        <v>97</v>
      </c>
      <c r="O86" s="27">
        <v>1176000</v>
      </c>
      <c r="P86">
        <v>3</v>
      </c>
      <c r="Q86" t="s">
        <v>164</v>
      </c>
      <c r="R86">
        <v>36</v>
      </c>
      <c r="S86" t="s">
        <v>178</v>
      </c>
      <c r="T86">
        <f t="shared" si="7"/>
        <v>11244</v>
      </c>
      <c r="U86" t="str">
        <f t="shared" si="8"/>
        <v>ENG</v>
      </c>
      <c r="V86" t="str">
        <f t="shared" si="9"/>
        <v>L2</v>
      </c>
      <c r="W86" t="str">
        <f>PROPER(TRIM(VLOOKUP(S86,Employee_Lookups!$I$4:$M$19,2,FALSE())))</f>
        <v>Aarav Deshmukh</v>
      </c>
      <c r="X86" t="str">
        <f>VLOOKUP(C86,Employee_Lookups!$A$4:$G$9,4,FALSE())</f>
        <v>CC-101</v>
      </c>
      <c r="Y86" t="str">
        <f>INDEX(Employee_Lookups!$C$13:$C$17,MATCH(F86,Employee_Lookups!$A$13:$A$17,0))</f>
        <v>Band B (Mid)</v>
      </c>
      <c r="Z86" s="27">
        <f>_xlfn.XLOOKUP(F86,Employee_Lookups!$A$13:$A$17,Employee_Lookups!$E$13:$E$17,0)</f>
        <v>1100000</v>
      </c>
      <c r="AA86" s="28">
        <f>ROUND(O86/INDEX(Employee_Lookups!$E$13:$E$17,MATCH(F86,Employee_Lookups!$A$13:$A$17,0)),3)</f>
        <v>1.069</v>
      </c>
      <c r="AB86">
        <f t="shared" si="10"/>
        <v>2019</v>
      </c>
      <c r="AC86" t="str">
        <f t="shared" si="11"/>
        <v/>
      </c>
      <c r="AD86" s="28">
        <f>ROUND((IF(ISBLANK(L86),Employee_Lookups!$O$14,L86)-J86)/365.25,2)</f>
        <v>6.05</v>
      </c>
      <c r="AE86" t="str">
        <f t="shared" si="12"/>
        <v>5+ Yrs</v>
      </c>
      <c r="AF86" t="str">
        <f t="shared" si="13"/>
        <v>Low Risk</v>
      </c>
    </row>
    <row r="87" spans="1:32" x14ac:dyDescent="0.45">
      <c r="A87" t="s">
        <v>395</v>
      </c>
      <c r="B87" t="s">
        <v>396</v>
      </c>
      <c r="C87" t="s">
        <v>51</v>
      </c>
      <c r="D87" t="s">
        <v>50</v>
      </c>
      <c r="E87" t="s">
        <v>397</v>
      </c>
      <c r="F87" t="s">
        <v>84</v>
      </c>
      <c r="G87" t="s">
        <v>398</v>
      </c>
      <c r="H87" t="s">
        <v>109</v>
      </c>
      <c r="I87" t="s">
        <v>110</v>
      </c>
      <c r="J87" s="26">
        <v>43825</v>
      </c>
      <c r="K87" t="s">
        <v>162</v>
      </c>
      <c r="L87" s="26"/>
      <c r="M87" t="s">
        <v>163</v>
      </c>
      <c r="N87" t="s">
        <v>98</v>
      </c>
      <c r="O87" s="27">
        <v>2282000</v>
      </c>
      <c r="P87">
        <v>5</v>
      </c>
      <c r="Q87" t="s">
        <v>164</v>
      </c>
      <c r="R87">
        <v>30</v>
      </c>
      <c r="S87" t="s">
        <v>219</v>
      </c>
      <c r="T87">
        <f t="shared" si="7"/>
        <v>10292</v>
      </c>
      <c r="U87" t="str">
        <f t="shared" si="8"/>
        <v>ENG</v>
      </c>
      <c r="V87" t="str">
        <f t="shared" si="9"/>
        <v>L4</v>
      </c>
      <c r="W87" t="str">
        <f>PROPER(TRIM(VLOOKUP(S87,Employee_Lookups!$I$4:$M$19,2,FALSE())))</f>
        <v>Neha Kulkarni</v>
      </c>
      <c r="X87" t="str">
        <f>VLOOKUP(C87,Employee_Lookups!$A$4:$G$9,4,FALSE())</f>
        <v>CC-101</v>
      </c>
      <c r="Y87" t="str">
        <f>INDEX(Employee_Lookups!$C$13:$C$17,MATCH(F87,Employee_Lookups!$A$13:$A$17,0))</f>
        <v>Band D (Leadership)</v>
      </c>
      <c r="Z87" s="27">
        <f>_xlfn.XLOOKUP(F87,Employee_Lookups!$A$13:$A$17,Employee_Lookups!$E$13:$E$17,0)</f>
        <v>2750000</v>
      </c>
      <c r="AA87" s="28">
        <f>ROUND(O87/INDEX(Employee_Lookups!$E$13:$E$17,MATCH(F87,Employee_Lookups!$A$13:$A$17,0)),3)</f>
        <v>0.83</v>
      </c>
      <c r="AB87">
        <f t="shared" si="10"/>
        <v>2019</v>
      </c>
      <c r="AC87" t="str">
        <f t="shared" si="11"/>
        <v/>
      </c>
      <c r="AD87" s="28">
        <f>ROUND((IF(ISBLANK(L87),Employee_Lookups!$O$14,L87)-J87)/365.25,2)</f>
        <v>6.02</v>
      </c>
      <c r="AE87" t="str">
        <f t="shared" si="12"/>
        <v>5+ Yrs</v>
      </c>
      <c r="AF87" t="str">
        <f t="shared" si="13"/>
        <v>Low Risk</v>
      </c>
    </row>
    <row r="88" spans="1:32" x14ac:dyDescent="0.45">
      <c r="A88" t="s">
        <v>399</v>
      </c>
      <c r="B88" t="s">
        <v>400</v>
      </c>
      <c r="C88" t="s">
        <v>59</v>
      </c>
      <c r="D88" t="s">
        <v>58</v>
      </c>
      <c r="E88" t="s">
        <v>211</v>
      </c>
      <c r="F88" t="s">
        <v>82</v>
      </c>
      <c r="G88" t="s">
        <v>212</v>
      </c>
      <c r="H88" t="s">
        <v>109</v>
      </c>
      <c r="I88" t="s">
        <v>110</v>
      </c>
      <c r="J88" s="26">
        <v>43825</v>
      </c>
      <c r="K88" t="s">
        <v>162</v>
      </c>
      <c r="L88" s="26"/>
      <c r="M88" t="s">
        <v>163</v>
      </c>
      <c r="N88" t="s">
        <v>96</v>
      </c>
      <c r="O88" s="27">
        <v>1218000</v>
      </c>
      <c r="P88">
        <v>3</v>
      </c>
      <c r="Q88" t="s">
        <v>172</v>
      </c>
      <c r="R88">
        <v>34</v>
      </c>
      <c r="S88" t="s">
        <v>208</v>
      </c>
      <c r="T88">
        <f t="shared" si="7"/>
        <v>11136</v>
      </c>
      <c r="U88" t="str">
        <f t="shared" si="8"/>
        <v>FIN</v>
      </c>
      <c r="V88" t="str">
        <f t="shared" si="9"/>
        <v>L2</v>
      </c>
      <c r="W88" t="str">
        <f>PROPER(TRIM(VLOOKUP(S88,Employee_Lookups!$I$4:$M$19,2,FALSE())))</f>
        <v>Rajeshwari Rao</v>
      </c>
      <c r="X88" t="str">
        <f>VLOOKUP(C88,Employee_Lookups!$A$4:$G$9,4,FALSE())</f>
        <v>CC-404</v>
      </c>
      <c r="Y88" t="str">
        <f>INDEX(Employee_Lookups!$C$13:$C$17,MATCH(F88,Employee_Lookups!$A$13:$A$17,0))</f>
        <v>Band B (Mid)</v>
      </c>
      <c r="Z88" s="27">
        <f>_xlfn.XLOOKUP(F88,Employee_Lookups!$A$13:$A$17,Employee_Lookups!$E$13:$E$17,0)</f>
        <v>1100000</v>
      </c>
      <c r="AA88" s="28">
        <f>ROUND(O88/INDEX(Employee_Lookups!$E$13:$E$17,MATCH(F88,Employee_Lookups!$A$13:$A$17,0)),3)</f>
        <v>1.107</v>
      </c>
      <c r="AB88">
        <f t="shared" si="10"/>
        <v>2019</v>
      </c>
      <c r="AC88" t="str">
        <f t="shared" si="11"/>
        <v/>
      </c>
      <c r="AD88" s="28">
        <f>ROUND((IF(ISBLANK(L88),Employee_Lookups!$O$14,L88)-J88)/365.25,2)</f>
        <v>6.02</v>
      </c>
      <c r="AE88" t="str">
        <f t="shared" si="12"/>
        <v>5+ Yrs</v>
      </c>
      <c r="AF88" t="str">
        <f t="shared" si="13"/>
        <v>Moderate Risk</v>
      </c>
    </row>
    <row r="89" spans="1:32" x14ac:dyDescent="0.45">
      <c r="A89" t="s">
        <v>401</v>
      </c>
      <c r="B89" t="s">
        <v>402</v>
      </c>
      <c r="C89" t="s">
        <v>55</v>
      </c>
      <c r="D89" t="s">
        <v>54</v>
      </c>
      <c r="E89" t="s">
        <v>168</v>
      </c>
      <c r="F89" t="s">
        <v>84</v>
      </c>
      <c r="G89" t="s">
        <v>169</v>
      </c>
      <c r="H89" t="s">
        <v>111</v>
      </c>
      <c r="I89" t="s">
        <v>110</v>
      </c>
      <c r="J89" s="26">
        <v>43832</v>
      </c>
      <c r="K89" t="s">
        <v>162</v>
      </c>
      <c r="L89" s="26"/>
      <c r="M89" t="s">
        <v>163</v>
      </c>
      <c r="N89" t="s">
        <v>97</v>
      </c>
      <c r="O89" s="27">
        <v>2957000</v>
      </c>
      <c r="P89">
        <v>3</v>
      </c>
      <c r="Q89" t="s">
        <v>172</v>
      </c>
      <c r="R89">
        <v>31</v>
      </c>
      <c r="S89" t="s">
        <v>173</v>
      </c>
      <c r="T89">
        <f t="shared" si="7"/>
        <v>10864</v>
      </c>
      <c r="U89" t="str">
        <f t="shared" si="8"/>
        <v>OPS</v>
      </c>
      <c r="V89" t="str">
        <f t="shared" si="9"/>
        <v>L4</v>
      </c>
      <c r="W89" t="str">
        <f>PROPER(TRIM(VLOOKUP(S89,Employee_Lookups!$I$4:$M$19,2,FALSE())))</f>
        <v>Deepak Patil</v>
      </c>
      <c r="X89" t="str">
        <f>VLOOKUP(C89,Employee_Lookups!$A$4:$G$9,4,FALSE())</f>
        <v>CC-303</v>
      </c>
      <c r="Y89" t="str">
        <f>INDEX(Employee_Lookups!$C$13:$C$17,MATCH(F89,Employee_Lookups!$A$13:$A$17,0))</f>
        <v>Band D (Leadership)</v>
      </c>
      <c r="Z89" s="27">
        <f>_xlfn.XLOOKUP(F89,Employee_Lookups!$A$13:$A$17,Employee_Lookups!$E$13:$E$17,0)</f>
        <v>2750000</v>
      </c>
      <c r="AA89" s="28">
        <f>ROUND(O89/INDEX(Employee_Lookups!$E$13:$E$17,MATCH(F89,Employee_Lookups!$A$13:$A$17,0)),3)</f>
        <v>1.075</v>
      </c>
      <c r="AB89">
        <f t="shared" si="10"/>
        <v>2020</v>
      </c>
      <c r="AC89" t="str">
        <f t="shared" si="11"/>
        <v/>
      </c>
      <c r="AD89" s="28">
        <f>ROUND((IF(ISBLANK(L89),Employee_Lookups!$O$14,L89)-J89)/365.25,2)</f>
        <v>6</v>
      </c>
      <c r="AE89" t="str">
        <f t="shared" si="12"/>
        <v>5+ Yrs</v>
      </c>
      <c r="AF89" t="str">
        <f t="shared" si="13"/>
        <v>Moderate Risk</v>
      </c>
    </row>
    <row r="90" spans="1:32" x14ac:dyDescent="0.45">
      <c r="A90" t="s">
        <v>403</v>
      </c>
      <c r="B90" t="s">
        <v>307</v>
      </c>
      <c r="C90" t="s">
        <v>55</v>
      </c>
      <c r="D90" t="s">
        <v>54</v>
      </c>
      <c r="E90" t="s">
        <v>277</v>
      </c>
      <c r="F90" t="s">
        <v>81</v>
      </c>
      <c r="G90" t="s">
        <v>278</v>
      </c>
      <c r="H90" t="s">
        <v>111</v>
      </c>
      <c r="I90" t="s">
        <v>110</v>
      </c>
      <c r="J90" s="26">
        <v>43838</v>
      </c>
      <c r="K90" t="s">
        <v>187</v>
      </c>
      <c r="L90" s="26">
        <v>43978</v>
      </c>
      <c r="M90" t="s">
        <v>269</v>
      </c>
      <c r="N90" t="s">
        <v>99</v>
      </c>
      <c r="O90" s="27">
        <v>620000</v>
      </c>
      <c r="P90">
        <v>4</v>
      </c>
      <c r="Q90" t="s">
        <v>164</v>
      </c>
      <c r="R90">
        <v>38</v>
      </c>
      <c r="S90" t="s">
        <v>173</v>
      </c>
      <c r="T90">
        <f t="shared" si="7"/>
        <v>10543</v>
      </c>
      <c r="U90" t="str">
        <f t="shared" si="8"/>
        <v>OPS</v>
      </c>
      <c r="V90" t="str">
        <f t="shared" si="9"/>
        <v>L1</v>
      </c>
      <c r="W90" t="str">
        <f>PROPER(TRIM(VLOOKUP(S90,Employee_Lookups!$I$4:$M$19,2,FALSE())))</f>
        <v>Deepak Patil</v>
      </c>
      <c r="X90" t="str">
        <f>VLOOKUP(C90,Employee_Lookups!$A$4:$G$9,4,FALSE())</f>
        <v>CC-303</v>
      </c>
      <c r="Y90" t="str">
        <f>INDEX(Employee_Lookups!$C$13:$C$17,MATCH(F90,Employee_Lookups!$A$13:$A$17,0))</f>
        <v>Band A (Entry)</v>
      </c>
      <c r="Z90" s="27">
        <f>_xlfn.XLOOKUP(F90,Employee_Lookups!$A$13:$A$17,Employee_Lookups!$E$13:$E$17,0)</f>
        <v>700000</v>
      </c>
      <c r="AA90" s="28">
        <f>ROUND(O90/INDEX(Employee_Lookups!$E$13:$E$17,MATCH(F90,Employee_Lookups!$A$13:$A$17,0)),3)</f>
        <v>0.88600000000000001</v>
      </c>
      <c r="AB90">
        <f t="shared" si="10"/>
        <v>2020</v>
      </c>
      <c r="AC90">
        <f t="shared" si="11"/>
        <v>2020</v>
      </c>
      <c r="AD90" s="28">
        <f>ROUND((IF(ISBLANK(L90),Employee_Lookups!$O$14,L90)-J90)/365.25,2)</f>
        <v>0.38</v>
      </c>
      <c r="AE90" t="str">
        <f t="shared" si="12"/>
        <v>&lt; 1 Yr (New)</v>
      </c>
      <c r="AF90" t="str">
        <f t="shared" si="13"/>
        <v>Exited</v>
      </c>
    </row>
    <row r="91" spans="1:32" x14ac:dyDescent="0.45">
      <c r="A91" t="s">
        <v>404</v>
      </c>
      <c r="B91" t="s">
        <v>405</v>
      </c>
      <c r="C91" t="s">
        <v>51</v>
      </c>
      <c r="D91" t="s">
        <v>50</v>
      </c>
      <c r="E91" t="s">
        <v>217</v>
      </c>
      <c r="F91" t="s">
        <v>83</v>
      </c>
      <c r="G91" t="s">
        <v>218</v>
      </c>
      <c r="H91" t="s">
        <v>109</v>
      </c>
      <c r="I91" t="s">
        <v>110</v>
      </c>
      <c r="J91" s="26">
        <v>43839</v>
      </c>
      <c r="K91" t="s">
        <v>187</v>
      </c>
      <c r="L91" s="26">
        <v>44070</v>
      </c>
      <c r="M91" t="s">
        <v>269</v>
      </c>
      <c r="N91" t="s">
        <v>98</v>
      </c>
      <c r="O91" s="27">
        <v>1443000</v>
      </c>
      <c r="P91">
        <v>4</v>
      </c>
      <c r="Q91" t="s">
        <v>164</v>
      </c>
      <c r="R91">
        <v>24</v>
      </c>
      <c r="S91" t="s">
        <v>244</v>
      </c>
      <c r="T91">
        <f t="shared" si="7"/>
        <v>11312</v>
      </c>
      <c r="U91" t="str">
        <f t="shared" si="8"/>
        <v>ENG</v>
      </c>
      <c r="V91" t="str">
        <f t="shared" si="9"/>
        <v>L3</v>
      </c>
      <c r="W91" t="str">
        <f>PROPER(TRIM(VLOOKUP(S91,Employee_Lookups!$I$4:$M$19,2,FALSE())))</f>
        <v>Siddharth Nair</v>
      </c>
      <c r="X91" t="str">
        <f>VLOOKUP(C91,Employee_Lookups!$A$4:$G$9,4,FALSE())</f>
        <v>CC-101</v>
      </c>
      <c r="Y91" t="str">
        <f>INDEX(Employee_Lookups!$C$13:$C$17,MATCH(F91,Employee_Lookups!$A$13:$A$17,0))</f>
        <v>Band C (Senior)</v>
      </c>
      <c r="Z91" s="27">
        <f>_xlfn.XLOOKUP(F91,Employee_Lookups!$A$13:$A$17,Employee_Lookups!$E$13:$E$17,0)</f>
        <v>1725000</v>
      </c>
      <c r="AA91" s="28">
        <f>ROUND(O91/INDEX(Employee_Lookups!$E$13:$E$17,MATCH(F91,Employee_Lookups!$A$13:$A$17,0)),3)</f>
        <v>0.83699999999999997</v>
      </c>
      <c r="AB91">
        <f t="shared" si="10"/>
        <v>2020</v>
      </c>
      <c r="AC91">
        <f t="shared" si="11"/>
        <v>2020</v>
      </c>
      <c r="AD91" s="28">
        <f>ROUND((IF(ISBLANK(L91),Employee_Lookups!$O$14,L91)-J91)/365.25,2)</f>
        <v>0.63</v>
      </c>
      <c r="AE91" t="str">
        <f t="shared" si="12"/>
        <v>&lt; 1 Yr (New)</v>
      </c>
      <c r="AF91" t="str">
        <f t="shared" si="13"/>
        <v>Exited</v>
      </c>
    </row>
    <row r="92" spans="1:32" x14ac:dyDescent="0.45">
      <c r="A92" t="s">
        <v>406</v>
      </c>
      <c r="B92" t="s">
        <v>407</v>
      </c>
      <c r="C92" t="s">
        <v>55</v>
      </c>
      <c r="D92" t="s">
        <v>54</v>
      </c>
      <c r="E92" t="s">
        <v>240</v>
      </c>
      <c r="F92" t="s">
        <v>83</v>
      </c>
      <c r="G92" t="s">
        <v>241</v>
      </c>
      <c r="H92" t="s">
        <v>109</v>
      </c>
      <c r="I92" t="s">
        <v>110</v>
      </c>
      <c r="J92" s="26">
        <v>43840</v>
      </c>
      <c r="K92" t="s">
        <v>187</v>
      </c>
      <c r="L92" s="26">
        <v>45784</v>
      </c>
      <c r="M92" t="s">
        <v>213</v>
      </c>
      <c r="N92" t="s">
        <v>98</v>
      </c>
      <c r="O92" s="27">
        <v>1672000</v>
      </c>
      <c r="P92">
        <v>3</v>
      </c>
      <c r="Q92" t="s">
        <v>172</v>
      </c>
      <c r="R92">
        <v>21</v>
      </c>
      <c r="S92" t="s">
        <v>274</v>
      </c>
      <c r="T92">
        <f t="shared" si="7"/>
        <v>10054</v>
      </c>
      <c r="U92" t="str">
        <f t="shared" si="8"/>
        <v>OPS</v>
      </c>
      <c r="V92" t="str">
        <f t="shared" si="9"/>
        <v>L3</v>
      </c>
      <c r="W92" t="str">
        <f>PROPER(TRIM(VLOOKUP(S92,Employee_Lookups!$I$4:$M$19,2,FALSE())))</f>
        <v>Meera Krishnan</v>
      </c>
      <c r="X92" t="str">
        <f>VLOOKUP(C92,Employee_Lookups!$A$4:$G$9,4,FALSE())</f>
        <v>CC-303</v>
      </c>
      <c r="Y92" t="str">
        <f>INDEX(Employee_Lookups!$C$13:$C$17,MATCH(F92,Employee_Lookups!$A$13:$A$17,0))</f>
        <v>Band C (Senior)</v>
      </c>
      <c r="Z92" s="27">
        <f>_xlfn.XLOOKUP(F92,Employee_Lookups!$A$13:$A$17,Employee_Lookups!$E$13:$E$17,0)</f>
        <v>1725000</v>
      </c>
      <c r="AA92" s="28">
        <f>ROUND(O92/INDEX(Employee_Lookups!$E$13:$E$17,MATCH(F92,Employee_Lookups!$A$13:$A$17,0)),3)</f>
        <v>0.96899999999999997</v>
      </c>
      <c r="AB92">
        <f t="shared" si="10"/>
        <v>2020</v>
      </c>
      <c r="AC92">
        <f t="shared" si="11"/>
        <v>2025</v>
      </c>
      <c r="AD92" s="28">
        <f>ROUND((IF(ISBLANK(L92),Employee_Lookups!$O$14,L92)-J92)/365.25,2)</f>
        <v>5.32</v>
      </c>
      <c r="AE92" t="str">
        <f t="shared" si="12"/>
        <v>5+ Yrs</v>
      </c>
      <c r="AF92" t="str">
        <f t="shared" si="13"/>
        <v>Exited</v>
      </c>
    </row>
    <row r="93" spans="1:32" x14ac:dyDescent="0.45">
      <c r="A93" t="s">
        <v>408</v>
      </c>
      <c r="B93" t="s">
        <v>390</v>
      </c>
      <c r="C93" t="s">
        <v>57</v>
      </c>
      <c r="D93" t="s">
        <v>56</v>
      </c>
      <c r="E93" t="s">
        <v>160</v>
      </c>
      <c r="F93" t="s">
        <v>81</v>
      </c>
      <c r="G93" t="s">
        <v>161</v>
      </c>
      <c r="H93" t="s">
        <v>106</v>
      </c>
      <c r="I93" t="s">
        <v>107</v>
      </c>
      <c r="J93" s="26">
        <v>43842</v>
      </c>
      <c r="K93" t="s">
        <v>187</v>
      </c>
      <c r="L93" s="26">
        <v>45944</v>
      </c>
      <c r="M93" t="s">
        <v>282</v>
      </c>
      <c r="N93" t="s">
        <v>99</v>
      </c>
      <c r="O93" s="27">
        <v>657000</v>
      </c>
      <c r="P93">
        <v>5</v>
      </c>
      <c r="Q93" t="s">
        <v>164</v>
      </c>
      <c r="R93">
        <v>29</v>
      </c>
      <c r="S93" t="s">
        <v>224</v>
      </c>
      <c r="T93">
        <f t="shared" si="7"/>
        <v>10953</v>
      </c>
      <c r="U93" t="str">
        <f t="shared" si="8"/>
        <v>MKT</v>
      </c>
      <c r="V93" t="str">
        <f t="shared" si="9"/>
        <v>L1</v>
      </c>
      <c r="W93" t="str">
        <f>PROPER(TRIM(VLOOKUP(S93,Employee_Lookups!$I$4:$M$19,2,FALSE())))</f>
        <v>Tanvi Chitnis</v>
      </c>
      <c r="X93" t="str">
        <f>VLOOKUP(C93,Employee_Lookups!$A$4:$G$9,4,FALSE())</f>
        <v>CC-606</v>
      </c>
      <c r="Y93" t="str">
        <f>INDEX(Employee_Lookups!$C$13:$C$17,MATCH(F93,Employee_Lookups!$A$13:$A$17,0))</f>
        <v>Band A (Entry)</v>
      </c>
      <c r="Z93" s="27">
        <f>_xlfn.XLOOKUP(F93,Employee_Lookups!$A$13:$A$17,Employee_Lookups!$E$13:$E$17,0)</f>
        <v>700000</v>
      </c>
      <c r="AA93" s="28">
        <f>ROUND(O93/INDEX(Employee_Lookups!$E$13:$E$17,MATCH(F93,Employee_Lookups!$A$13:$A$17,0)),3)</f>
        <v>0.93899999999999995</v>
      </c>
      <c r="AB93">
        <f t="shared" si="10"/>
        <v>2020</v>
      </c>
      <c r="AC93">
        <f t="shared" si="11"/>
        <v>2025</v>
      </c>
      <c r="AD93" s="28">
        <f>ROUND((IF(ISBLANK(L93),Employee_Lookups!$O$14,L93)-J93)/365.25,2)</f>
        <v>5.75</v>
      </c>
      <c r="AE93" t="str">
        <f t="shared" si="12"/>
        <v>5+ Yrs</v>
      </c>
      <c r="AF93" t="str">
        <f t="shared" si="13"/>
        <v>Exited</v>
      </c>
    </row>
    <row r="94" spans="1:32" x14ac:dyDescent="0.45">
      <c r="A94" t="s">
        <v>409</v>
      </c>
      <c r="B94" t="s">
        <v>410</v>
      </c>
      <c r="C94" t="s">
        <v>55</v>
      </c>
      <c r="D94" t="s">
        <v>54</v>
      </c>
      <c r="E94" t="s">
        <v>277</v>
      </c>
      <c r="F94" t="s">
        <v>81</v>
      </c>
      <c r="G94" t="s">
        <v>278</v>
      </c>
      <c r="H94" t="s">
        <v>106</v>
      </c>
      <c r="I94" t="s">
        <v>107</v>
      </c>
      <c r="J94" s="26">
        <v>43844</v>
      </c>
      <c r="K94" t="s">
        <v>170</v>
      </c>
      <c r="L94" s="26">
        <v>44024</v>
      </c>
      <c r="M94" t="s">
        <v>171</v>
      </c>
      <c r="N94" t="s">
        <v>99</v>
      </c>
      <c r="O94" s="27">
        <v>581000</v>
      </c>
      <c r="P94">
        <v>2</v>
      </c>
      <c r="Q94" t="s">
        <v>172</v>
      </c>
      <c r="R94">
        <v>19</v>
      </c>
      <c r="S94" t="s">
        <v>262</v>
      </c>
      <c r="T94">
        <f t="shared" si="7"/>
        <v>10757</v>
      </c>
      <c r="U94" t="str">
        <f t="shared" si="8"/>
        <v>OPS</v>
      </c>
      <c r="V94" t="str">
        <f t="shared" si="9"/>
        <v>L1</v>
      </c>
      <c r="W94" t="str">
        <f>PROPER(TRIM(VLOOKUP(S94,Employee_Lookups!$I$4:$M$19,2,FALSE())))</f>
        <v>Ananya Iyer</v>
      </c>
      <c r="X94" t="str">
        <f>VLOOKUP(C94,Employee_Lookups!$A$4:$G$9,4,FALSE())</f>
        <v>CC-303</v>
      </c>
      <c r="Y94" t="str">
        <f>INDEX(Employee_Lookups!$C$13:$C$17,MATCH(F94,Employee_Lookups!$A$13:$A$17,0))</f>
        <v>Band A (Entry)</v>
      </c>
      <c r="Z94" s="27">
        <f>_xlfn.XLOOKUP(F94,Employee_Lookups!$A$13:$A$17,Employee_Lookups!$E$13:$E$17,0)</f>
        <v>700000</v>
      </c>
      <c r="AA94" s="28">
        <f>ROUND(O94/INDEX(Employee_Lookups!$E$13:$E$17,MATCH(F94,Employee_Lookups!$A$13:$A$17,0)),3)</f>
        <v>0.83</v>
      </c>
      <c r="AB94">
        <f t="shared" si="10"/>
        <v>2020</v>
      </c>
      <c r="AC94">
        <f t="shared" si="11"/>
        <v>2020</v>
      </c>
      <c r="AD94" s="28">
        <f>ROUND((IF(ISBLANK(L94),Employee_Lookups!$O$14,L94)-J94)/365.25,2)</f>
        <v>0.49</v>
      </c>
      <c r="AE94" t="str">
        <f t="shared" si="12"/>
        <v>&lt; 1 Yr (New)</v>
      </c>
      <c r="AF94" t="str">
        <f t="shared" si="13"/>
        <v>Exited</v>
      </c>
    </row>
    <row r="95" spans="1:32" x14ac:dyDescent="0.45">
      <c r="A95" t="s">
        <v>411</v>
      </c>
      <c r="B95" t="s">
        <v>405</v>
      </c>
      <c r="C95" t="s">
        <v>53</v>
      </c>
      <c r="D95" t="s">
        <v>52</v>
      </c>
      <c r="E95" t="s">
        <v>192</v>
      </c>
      <c r="F95" t="s">
        <v>83</v>
      </c>
      <c r="G95" t="s">
        <v>193</v>
      </c>
      <c r="H95" t="s">
        <v>111</v>
      </c>
      <c r="I95" t="s">
        <v>110</v>
      </c>
      <c r="J95" s="26">
        <v>43844</v>
      </c>
      <c r="K95" t="s">
        <v>170</v>
      </c>
      <c r="L95" s="26">
        <v>44024</v>
      </c>
      <c r="M95" t="s">
        <v>171</v>
      </c>
      <c r="N95" t="s">
        <v>97</v>
      </c>
      <c r="O95" s="27">
        <v>1976000</v>
      </c>
      <c r="P95">
        <v>3</v>
      </c>
      <c r="Q95" t="s">
        <v>172</v>
      </c>
      <c r="R95">
        <v>32</v>
      </c>
      <c r="S95" t="s">
        <v>189</v>
      </c>
      <c r="T95">
        <f t="shared" si="7"/>
        <v>11351</v>
      </c>
      <c r="U95" t="str">
        <f t="shared" si="8"/>
        <v>SAL</v>
      </c>
      <c r="V95" t="str">
        <f t="shared" si="9"/>
        <v>L3</v>
      </c>
      <c r="W95" t="str">
        <f>PROPER(TRIM(VLOOKUP(S95,Employee_Lookups!$I$4:$M$19,2,FALSE())))</f>
        <v>Priya Sharma</v>
      </c>
      <c r="X95" t="str">
        <f>VLOOKUP(C95,Employee_Lookups!$A$4:$G$9,4,FALSE())</f>
        <v>CC-202</v>
      </c>
      <c r="Y95" t="str">
        <f>INDEX(Employee_Lookups!$C$13:$C$17,MATCH(F95,Employee_Lookups!$A$13:$A$17,0))</f>
        <v>Band C (Senior)</v>
      </c>
      <c r="Z95" s="27">
        <f>_xlfn.XLOOKUP(F95,Employee_Lookups!$A$13:$A$17,Employee_Lookups!$E$13:$E$17,0)</f>
        <v>1725000</v>
      </c>
      <c r="AA95" s="28">
        <f>ROUND(O95/INDEX(Employee_Lookups!$E$13:$E$17,MATCH(F95,Employee_Lookups!$A$13:$A$17,0)),3)</f>
        <v>1.1459999999999999</v>
      </c>
      <c r="AB95">
        <f t="shared" si="10"/>
        <v>2020</v>
      </c>
      <c r="AC95">
        <f t="shared" si="11"/>
        <v>2020</v>
      </c>
      <c r="AD95" s="28">
        <f>ROUND((IF(ISBLANK(L95),Employee_Lookups!$O$14,L95)-J95)/365.25,2)</f>
        <v>0.49</v>
      </c>
      <c r="AE95" t="str">
        <f t="shared" si="12"/>
        <v>&lt; 1 Yr (New)</v>
      </c>
      <c r="AF95" t="str">
        <f t="shared" si="13"/>
        <v>Exited</v>
      </c>
    </row>
    <row r="96" spans="1:32" x14ac:dyDescent="0.45">
      <c r="A96" t="s">
        <v>412</v>
      </c>
      <c r="B96" t="s">
        <v>413</v>
      </c>
      <c r="C96" t="s">
        <v>59</v>
      </c>
      <c r="D96" t="s">
        <v>58</v>
      </c>
      <c r="E96" t="s">
        <v>206</v>
      </c>
      <c r="F96" t="s">
        <v>81</v>
      </c>
      <c r="G96" t="s">
        <v>207</v>
      </c>
      <c r="H96" t="s">
        <v>111</v>
      </c>
      <c r="I96" t="s">
        <v>110</v>
      </c>
      <c r="J96" s="26">
        <v>43846</v>
      </c>
      <c r="K96" t="s">
        <v>162</v>
      </c>
      <c r="L96" s="26"/>
      <c r="M96" t="s">
        <v>163</v>
      </c>
      <c r="N96" t="s">
        <v>96</v>
      </c>
      <c r="O96" s="27">
        <v>675000</v>
      </c>
      <c r="P96">
        <v>3</v>
      </c>
      <c r="Q96" t="s">
        <v>172</v>
      </c>
      <c r="R96">
        <v>39</v>
      </c>
      <c r="S96" t="s">
        <v>214</v>
      </c>
      <c r="T96">
        <f t="shared" si="7"/>
        <v>10328</v>
      </c>
      <c r="U96" t="str">
        <f t="shared" si="8"/>
        <v>FIN</v>
      </c>
      <c r="V96" t="str">
        <f t="shared" si="9"/>
        <v>L1</v>
      </c>
      <c r="W96" t="str">
        <f>PROPER(TRIM(VLOOKUP(S96,Employee_Lookups!$I$4:$M$19,2,FALSE())))</f>
        <v>Aditya Gokhale</v>
      </c>
      <c r="X96" t="str">
        <f>VLOOKUP(C96,Employee_Lookups!$A$4:$G$9,4,FALSE())</f>
        <v>CC-404</v>
      </c>
      <c r="Y96" t="str">
        <f>INDEX(Employee_Lookups!$C$13:$C$17,MATCH(F96,Employee_Lookups!$A$13:$A$17,0))</f>
        <v>Band A (Entry)</v>
      </c>
      <c r="Z96" s="27">
        <f>_xlfn.XLOOKUP(F96,Employee_Lookups!$A$13:$A$17,Employee_Lookups!$E$13:$E$17,0)</f>
        <v>700000</v>
      </c>
      <c r="AA96" s="28">
        <f>ROUND(O96/INDEX(Employee_Lookups!$E$13:$E$17,MATCH(F96,Employee_Lookups!$A$13:$A$17,0)),3)</f>
        <v>0.96399999999999997</v>
      </c>
      <c r="AB96">
        <f t="shared" si="10"/>
        <v>2020</v>
      </c>
      <c r="AC96" t="str">
        <f t="shared" si="11"/>
        <v/>
      </c>
      <c r="AD96" s="28">
        <f>ROUND((IF(ISBLANK(L96),Employee_Lookups!$O$14,L96)-J96)/365.25,2)</f>
        <v>5.96</v>
      </c>
      <c r="AE96" t="str">
        <f t="shared" si="12"/>
        <v>5+ Yrs</v>
      </c>
      <c r="AF96" t="str">
        <f t="shared" si="13"/>
        <v>Moderate Risk</v>
      </c>
    </row>
    <row r="97" spans="1:32" x14ac:dyDescent="0.45">
      <c r="A97" t="s">
        <v>414</v>
      </c>
      <c r="B97" t="s">
        <v>415</v>
      </c>
      <c r="C97" t="s">
        <v>57</v>
      </c>
      <c r="D97" t="s">
        <v>56</v>
      </c>
      <c r="E97" t="s">
        <v>222</v>
      </c>
      <c r="F97" t="s">
        <v>82</v>
      </c>
      <c r="G97" t="s">
        <v>223</v>
      </c>
      <c r="H97" t="s">
        <v>109</v>
      </c>
      <c r="I97" t="s">
        <v>110</v>
      </c>
      <c r="J97" s="26">
        <v>43847</v>
      </c>
      <c r="K97" t="s">
        <v>187</v>
      </c>
      <c r="L97" s="26">
        <v>44924</v>
      </c>
      <c r="M97" t="s">
        <v>213</v>
      </c>
      <c r="N97" t="s">
        <v>98</v>
      </c>
      <c r="O97" s="27">
        <v>1062000</v>
      </c>
      <c r="P97">
        <v>3</v>
      </c>
      <c r="Q97" t="s">
        <v>172</v>
      </c>
      <c r="R97">
        <v>35</v>
      </c>
      <c r="S97" t="s">
        <v>224</v>
      </c>
      <c r="T97">
        <f t="shared" si="7"/>
        <v>10935</v>
      </c>
      <c r="U97" t="str">
        <f t="shared" si="8"/>
        <v>MKT</v>
      </c>
      <c r="V97" t="str">
        <f t="shared" si="9"/>
        <v>L2</v>
      </c>
      <c r="W97" t="str">
        <f>PROPER(TRIM(VLOOKUP(S97,Employee_Lookups!$I$4:$M$19,2,FALSE())))</f>
        <v>Tanvi Chitnis</v>
      </c>
      <c r="X97" t="str">
        <f>VLOOKUP(C97,Employee_Lookups!$A$4:$G$9,4,FALSE())</f>
        <v>CC-606</v>
      </c>
      <c r="Y97" t="str">
        <f>INDEX(Employee_Lookups!$C$13:$C$17,MATCH(F97,Employee_Lookups!$A$13:$A$17,0))</f>
        <v>Band B (Mid)</v>
      </c>
      <c r="Z97" s="27">
        <f>_xlfn.XLOOKUP(F97,Employee_Lookups!$A$13:$A$17,Employee_Lookups!$E$13:$E$17,0)</f>
        <v>1100000</v>
      </c>
      <c r="AA97" s="28">
        <f>ROUND(O97/INDEX(Employee_Lookups!$E$13:$E$17,MATCH(F97,Employee_Lookups!$A$13:$A$17,0)),3)</f>
        <v>0.96499999999999997</v>
      </c>
      <c r="AB97">
        <f t="shared" si="10"/>
        <v>2020</v>
      </c>
      <c r="AC97">
        <f t="shared" si="11"/>
        <v>2022</v>
      </c>
      <c r="AD97" s="28">
        <f>ROUND((IF(ISBLANK(L97),Employee_Lookups!$O$14,L97)-J97)/365.25,2)</f>
        <v>2.95</v>
      </c>
      <c r="AE97" t="str">
        <f t="shared" si="12"/>
        <v>1 - 3 Yrs</v>
      </c>
      <c r="AF97" t="str">
        <f t="shared" si="13"/>
        <v>Exited</v>
      </c>
    </row>
    <row r="98" spans="1:32" x14ac:dyDescent="0.45">
      <c r="A98" t="s">
        <v>416</v>
      </c>
      <c r="B98" t="s">
        <v>417</v>
      </c>
      <c r="C98" t="s">
        <v>51</v>
      </c>
      <c r="D98" t="s">
        <v>50</v>
      </c>
      <c r="E98" t="s">
        <v>181</v>
      </c>
      <c r="F98" t="s">
        <v>81</v>
      </c>
      <c r="G98" t="s">
        <v>182</v>
      </c>
      <c r="H98" t="s">
        <v>108</v>
      </c>
      <c r="I98" t="s">
        <v>107</v>
      </c>
      <c r="J98" s="26">
        <v>43850</v>
      </c>
      <c r="K98" t="s">
        <v>162</v>
      </c>
      <c r="L98" s="26"/>
      <c r="M98" t="s">
        <v>163</v>
      </c>
      <c r="N98" t="s">
        <v>97</v>
      </c>
      <c r="O98" s="27">
        <v>832000</v>
      </c>
      <c r="P98">
        <v>2</v>
      </c>
      <c r="Q98" t="s">
        <v>172</v>
      </c>
      <c r="R98">
        <v>11</v>
      </c>
      <c r="S98" t="s">
        <v>178</v>
      </c>
      <c r="T98">
        <f t="shared" si="7"/>
        <v>10758</v>
      </c>
      <c r="U98" t="str">
        <f t="shared" si="8"/>
        <v>ENG</v>
      </c>
      <c r="V98" t="str">
        <f t="shared" si="9"/>
        <v>L1</v>
      </c>
      <c r="W98" t="str">
        <f>PROPER(TRIM(VLOOKUP(S98,Employee_Lookups!$I$4:$M$19,2,FALSE())))</f>
        <v>Aarav Deshmukh</v>
      </c>
      <c r="X98" t="str">
        <f>VLOOKUP(C98,Employee_Lookups!$A$4:$G$9,4,FALSE())</f>
        <v>CC-101</v>
      </c>
      <c r="Y98" t="str">
        <f>INDEX(Employee_Lookups!$C$13:$C$17,MATCH(F98,Employee_Lookups!$A$13:$A$17,0))</f>
        <v>Band A (Entry)</v>
      </c>
      <c r="Z98" s="27">
        <f>_xlfn.XLOOKUP(F98,Employee_Lookups!$A$13:$A$17,Employee_Lookups!$E$13:$E$17,0)</f>
        <v>700000</v>
      </c>
      <c r="AA98" s="28">
        <f>ROUND(O98/INDEX(Employee_Lookups!$E$13:$E$17,MATCH(F98,Employee_Lookups!$A$13:$A$17,0)),3)</f>
        <v>1.1890000000000001</v>
      </c>
      <c r="AB98">
        <f t="shared" si="10"/>
        <v>2020</v>
      </c>
      <c r="AC98" t="str">
        <f t="shared" si="11"/>
        <v/>
      </c>
      <c r="AD98" s="28">
        <f>ROUND((IF(ISBLANK(L98),Employee_Lookups!$O$14,L98)-J98)/365.25,2)</f>
        <v>5.95</v>
      </c>
      <c r="AE98" t="str">
        <f t="shared" si="12"/>
        <v>5+ Yrs</v>
      </c>
      <c r="AF98" t="str">
        <f t="shared" si="13"/>
        <v>Moderate Risk</v>
      </c>
    </row>
    <row r="99" spans="1:32" x14ac:dyDescent="0.45">
      <c r="A99" t="s">
        <v>418</v>
      </c>
      <c r="B99" t="s">
        <v>419</v>
      </c>
      <c r="C99" t="s">
        <v>53</v>
      </c>
      <c r="D99" t="s">
        <v>52</v>
      </c>
      <c r="E99" t="s">
        <v>322</v>
      </c>
      <c r="F99" t="s">
        <v>81</v>
      </c>
      <c r="G99" t="s">
        <v>323</v>
      </c>
      <c r="H99" t="s">
        <v>106</v>
      </c>
      <c r="I99" t="s">
        <v>107</v>
      </c>
      <c r="J99" s="26">
        <v>43850</v>
      </c>
      <c r="K99" t="s">
        <v>170</v>
      </c>
      <c r="L99" s="26">
        <v>45367</v>
      </c>
      <c r="M99" t="s">
        <v>171</v>
      </c>
      <c r="N99" t="s">
        <v>99</v>
      </c>
      <c r="O99" s="27">
        <v>721000</v>
      </c>
      <c r="P99">
        <v>3</v>
      </c>
      <c r="Q99" t="s">
        <v>172</v>
      </c>
      <c r="R99">
        <v>54</v>
      </c>
      <c r="S99" t="s">
        <v>189</v>
      </c>
      <c r="T99">
        <f t="shared" si="7"/>
        <v>10196</v>
      </c>
      <c r="U99" t="str">
        <f t="shared" si="8"/>
        <v>SAL</v>
      </c>
      <c r="V99" t="str">
        <f t="shared" si="9"/>
        <v>L1</v>
      </c>
      <c r="W99" t="str">
        <f>PROPER(TRIM(VLOOKUP(S99,Employee_Lookups!$I$4:$M$19,2,FALSE())))</f>
        <v>Priya Sharma</v>
      </c>
      <c r="X99" t="str">
        <f>VLOOKUP(C99,Employee_Lookups!$A$4:$G$9,4,FALSE())</f>
        <v>CC-202</v>
      </c>
      <c r="Y99" t="str">
        <f>INDEX(Employee_Lookups!$C$13:$C$17,MATCH(F99,Employee_Lookups!$A$13:$A$17,0))</f>
        <v>Band A (Entry)</v>
      </c>
      <c r="Z99" s="27">
        <f>_xlfn.XLOOKUP(F99,Employee_Lookups!$A$13:$A$17,Employee_Lookups!$E$13:$E$17,0)</f>
        <v>700000</v>
      </c>
      <c r="AA99" s="28">
        <f>ROUND(O99/INDEX(Employee_Lookups!$E$13:$E$17,MATCH(F99,Employee_Lookups!$A$13:$A$17,0)),3)</f>
        <v>1.03</v>
      </c>
      <c r="AB99">
        <f t="shared" si="10"/>
        <v>2020</v>
      </c>
      <c r="AC99">
        <f t="shared" si="11"/>
        <v>2024</v>
      </c>
      <c r="AD99" s="28">
        <f>ROUND((IF(ISBLANK(L99),Employee_Lookups!$O$14,L99)-J99)/365.25,2)</f>
        <v>4.1500000000000004</v>
      </c>
      <c r="AE99" t="str">
        <f t="shared" si="12"/>
        <v>3 - 5 Yrs</v>
      </c>
      <c r="AF99" t="str">
        <f t="shared" si="13"/>
        <v>Exited</v>
      </c>
    </row>
    <row r="100" spans="1:32" x14ac:dyDescent="0.45">
      <c r="A100" t="s">
        <v>420</v>
      </c>
      <c r="B100" t="s">
        <v>421</v>
      </c>
      <c r="C100" t="s">
        <v>51</v>
      </c>
      <c r="D100" t="s">
        <v>50</v>
      </c>
      <c r="E100" t="s">
        <v>181</v>
      </c>
      <c r="F100" t="s">
        <v>81</v>
      </c>
      <c r="G100" t="s">
        <v>182</v>
      </c>
      <c r="H100" t="s">
        <v>112</v>
      </c>
      <c r="I100" t="s">
        <v>113</v>
      </c>
      <c r="J100" s="26">
        <v>43851</v>
      </c>
      <c r="K100" t="s">
        <v>162</v>
      </c>
      <c r="L100" s="26"/>
      <c r="M100" t="s">
        <v>163</v>
      </c>
      <c r="N100" t="s">
        <v>99</v>
      </c>
      <c r="O100" s="27">
        <v>619000</v>
      </c>
      <c r="P100">
        <v>2</v>
      </c>
      <c r="Q100" t="s">
        <v>172</v>
      </c>
      <c r="R100">
        <v>11</v>
      </c>
      <c r="S100" t="s">
        <v>219</v>
      </c>
      <c r="T100">
        <f t="shared" si="7"/>
        <v>11032</v>
      </c>
      <c r="U100" t="str">
        <f t="shared" si="8"/>
        <v>ENG</v>
      </c>
      <c r="V100" t="str">
        <f t="shared" si="9"/>
        <v>L1</v>
      </c>
      <c r="W100" t="str">
        <f>PROPER(TRIM(VLOOKUP(S100,Employee_Lookups!$I$4:$M$19,2,FALSE())))</f>
        <v>Neha Kulkarni</v>
      </c>
      <c r="X100" t="str">
        <f>VLOOKUP(C100,Employee_Lookups!$A$4:$G$9,4,FALSE())</f>
        <v>CC-101</v>
      </c>
      <c r="Y100" t="str">
        <f>INDEX(Employee_Lookups!$C$13:$C$17,MATCH(F100,Employee_Lookups!$A$13:$A$17,0))</f>
        <v>Band A (Entry)</v>
      </c>
      <c r="Z100" s="27">
        <f>_xlfn.XLOOKUP(F100,Employee_Lookups!$A$13:$A$17,Employee_Lookups!$E$13:$E$17,0)</f>
        <v>700000</v>
      </c>
      <c r="AA100" s="28">
        <f>ROUND(O100/INDEX(Employee_Lookups!$E$13:$E$17,MATCH(F100,Employee_Lookups!$A$13:$A$17,0)),3)</f>
        <v>0.88400000000000001</v>
      </c>
      <c r="AB100">
        <f t="shared" si="10"/>
        <v>2020</v>
      </c>
      <c r="AC100" t="str">
        <f t="shared" si="11"/>
        <v/>
      </c>
      <c r="AD100" s="28">
        <f>ROUND((IF(ISBLANK(L100),Employee_Lookups!$O$14,L100)-J100)/365.25,2)</f>
        <v>5.94</v>
      </c>
      <c r="AE100" t="str">
        <f t="shared" si="12"/>
        <v>5+ Yrs</v>
      </c>
      <c r="AF100" t="str">
        <f t="shared" si="13"/>
        <v>High Risk</v>
      </c>
    </row>
    <row r="101" spans="1:32" x14ac:dyDescent="0.45">
      <c r="A101" t="s">
        <v>422</v>
      </c>
      <c r="B101" t="s">
        <v>423</v>
      </c>
      <c r="C101" t="s">
        <v>51</v>
      </c>
      <c r="D101" t="s">
        <v>50</v>
      </c>
      <c r="E101" t="s">
        <v>217</v>
      </c>
      <c r="F101" t="s">
        <v>83</v>
      </c>
      <c r="G101" t="s">
        <v>218</v>
      </c>
      <c r="H101" t="s">
        <v>109</v>
      </c>
      <c r="I101" t="s">
        <v>110</v>
      </c>
      <c r="J101" s="26">
        <v>43854</v>
      </c>
      <c r="K101" t="s">
        <v>162</v>
      </c>
      <c r="L101" s="26"/>
      <c r="M101" t="s">
        <v>163</v>
      </c>
      <c r="N101" t="s">
        <v>99</v>
      </c>
      <c r="O101" s="27">
        <v>1731000</v>
      </c>
      <c r="P101">
        <v>2</v>
      </c>
      <c r="Q101" t="s">
        <v>164</v>
      </c>
      <c r="R101">
        <v>33</v>
      </c>
      <c r="S101" t="s">
        <v>219</v>
      </c>
      <c r="T101">
        <f t="shared" si="7"/>
        <v>10819</v>
      </c>
      <c r="U101" t="str">
        <f t="shared" si="8"/>
        <v>ENG</v>
      </c>
      <c r="V101" t="str">
        <f t="shared" si="9"/>
        <v>L3</v>
      </c>
      <c r="W101" t="str">
        <f>PROPER(TRIM(VLOOKUP(S101,Employee_Lookups!$I$4:$M$19,2,FALSE())))</f>
        <v>Neha Kulkarni</v>
      </c>
      <c r="X101" t="str">
        <f>VLOOKUP(C101,Employee_Lookups!$A$4:$G$9,4,FALSE())</f>
        <v>CC-101</v>
      </c>
      <c r="Y101" t="str">
        <f>INDEX(Employee_Lookups!$C$13:$C$17,MATCH(F101,Employee_Lookups!$A$13:$A$17,0))</f>
        <v>Band C (Senior)</v>
      </c>
      <c r="Z101" s="27">
        <f>_xlfn.XLOOKUP(F101,Employee_Lookups!$A$13:$A$17,Employee_Lookups!$E$13:$E$17,0)</f>
        <v>1725000</v>
      </c>
      <c r="AA101" s="28">
        <f>ROUND(O101/INDEX(Employee_Lookups!$E$13:$E$17,MATCH(F101,Employee_Lookups!$A$13:$A$17,0)),3)</f>
        <v>1.0029999999999999</v>
      </c>
      <c r="AB101">
        <f t="shared" si="10"/>
        <v>2020</v>
      </c>
      <c r="AC101" t="str">
        <f t="shared" si="11"/>
        <v/>
      </c>
      <c r="AD101" s="28">
        <f>ROUND((IF(ISBLANK(L101),Employee_Lookups!$O$14,L101)-J101)/365.25,2)</f>
        <v>5.94</v>
      </c>
      <c r="AE101" t="str">
        <f t="shared" si="12"/>
        <v>5+ Yrs</v>
      </c>
      <c r="AF101" t="str">
        <f t="shared" si="13"/>
        <v>Moderate Risk</v>
      </c>
    </row>
    <row r="102" spans="1:32" x14ac:dyDescent="0.45">
      <c r="A102" t="s">
        <v>424</v>
      </c>
      <c r="B102" t="s">
        <v>425</v>
      </c>
      <c r="C102" t="s">
        <v>59</v>
      </c>
      <c r="D102" t="s">
        <v>58</v>
      </c>
      <c r="E102" t="s">
        <v>287</v>
      </c>
      <c r="F102" t="s">
        <v>83</v>
      </c>
      <c r="G102" t="s">
        <v>288</v>
      </c>
      <c r="H102" t="s">
        <v>106</v>
      </c>
      <c r="I102" t="s">
        <v>107</v>
      </c>
      <c r="J102" s="26">
        <v>43856</v>
      </c>
      <c r="K102" t="s">
        <v>162</v>
      </c>
      <c r="L102" s="26"/>
      <c r="M102" t="s">
        <v>163</v>
      </c>
      <c r="N102" t="s">
        <v>99</v>
      </c>
      <c r="O102" s="27">
        <v>1551000</v>
      </c>
      <c r="P102">
        <v>4</v>
      </c>
      <c r="Q102" t="s">
        <v>164</v>
      </c>
      <c r="R102">
        <v>46</v>
      </c>
      <c r="S102" t="s">
        <v>208</v>
      </c>
      <c r="T102">
        <f t="shared" si="7"/>
        <v>10010</v>
      </c>
      <c r="U102" t="str">
        <f t="shared" si="8"/>
        <v>FIN</v>
      </c>
      <c r="V102" t="str">
        <f t="shared" si="9"/>
        <v>L3</v>
      </c>
      <c r="W102" t="str">
        <f>PROPER(TRIM(VLOOKUP(S102,Employee_Lookups!$I$4:$M$19,2,FALSE())))</f>
        <v>Rajeshwari Rao</v>
      </c>
      <c r="X102" t="str">
        <f>VLOOKUP(C102,Employee_Lookups!$A$4:$G$9,4,FALSE())</f>
        <v>CC-404</v>
      </c>
      <c r="Y102" t="str">
        <f>INDEX(Employee_Lookups!$C$13:$C$17,MATCH(F102,Employee_Lookups!$A$13:$A$17,0))</f>
        <v>Band C (Senior)</v>
      </c>
      <c r="Z102" s="27">
        <f>_xlfn.XLOOKUP(F102,Employee_Lookups!$A$13:$A$17,Employee_Lookups!$E$13:$E$17,0)</f>
        <v>1725000</v>
      </c>
      <c r="AA102" s="28">
        <f>ROUND(O102/INDEX(Employee_Lookups!$E$13:$E$17,MATCH(F102,Employee_Lookups!$A$13:$A$17,0)),3)</f>
        <v>0.89900000000000002</v>
      </c>
      <c r="AB102">
        <f t="shared" si="10"/>
        <v>2020</v>
      </c>
      <c r="AC102" t="str">
        <f t="shared" si="11"/>
        <v/>
      </c>
      <c r="AD102" s="28">
        <f>ROUND((IF(ISBLANK(L102),Employee_Lookups!$O$14,L102)-J102)/365.25,2)</f>
        <v>5.93</v>
      </c>
      <c r="AE102" t="str">
        <f t="shared" si="12"/>
        <v>5+ Yrs</v>
      </c>
      <c r="AF102" t="str">
        <f t="shared" si="13"/>
        <v>Low Risk</v>
      </c>
    </row>
    <row r="103" spans="1:32" x14ac:dyDescent="0.45">
      <c r="A103" t="s">
        <v>426</v>
      </c>
      <c r="B103" t="s">
        <v>427</v>
      </c>
      <c r="C103" t="s">
        <v>53</v>
      </c>
      <c r="D103" t="s">
        <v>52</v>
      </c>
      <c r="E103" t="s">
        <v>192</v>
      </c>
      <c r="F103" t="s">
        <v>83</v>
      </c>
      <c r="G103" t="s">
        <v>193</v>
      </c>
      <c r="H103" t="s">
        <v>106</v>
      </c>
      <c r="I103" t="s">
        <v>107</v>
      </c>
      <c r="J103" s="26">
        <v>43863</v>
      </c>
      <c r="K103" t="s">
        <v>162</v>
      </c>
      <c r="L103" s="26"/>
      <c r="M103" t="s">
        <v>163</v>
      </c>
      <c r="N103" t="s">
        <v>95</v>
      </c>
      <c r="O103" s="27">
        <v>1899000</v>
      </c>
      <c r="P103">
        <v>5</v>
      </c>
      <c r="Q103" t="s">
        <v>164</v>
      </c>
      <c r="R103">
        <v>31</v>
      </c>
      <c r="S103" t="s">
        <v>189</v>
      </c>
      <c r="T103">
        <f t="shared" si="7"/>
        <v>11331</v>
      </c>
      <c r="U103" t="str">
        <f t="shared" si="8"/>
        <v>SAL</v>
      </c>
      <c r="V103" t="str">
        <f t="shared" si="9"/>
        <v>L3</v>
      </c>
      <c r="W103" t="str">
        <f>PROPER(TRIM(VLOOKUP(S103,Employee_Lookups!$I$4:$M$19,2,FALSE())))</f>
        <v>Priya Sharma</v>
      </c>
      <c r="X103" t="str">
        <f>VLOOKUP(C103,Employee_Lookups!$A$4:$G$9,4,FALSE())</f>
        <v>CC-202</v>
      </c>
      <c r="Y103" t="str">
        <f>INDEX(Employee_Lookups!$C$13:$C$17,MATCH(F103,Employee_Lookups!$A$13:$A$17,0))</f>
        <v>Band C (Senior)</v>
      </c>
      <c r="Z103" s="27">
        <f>_xlfn.XLOOKUP(F103,Employee_Lookups!$A$13:$A$17,Employee_Lookups!$E$13:$E$17,0)</f>
        <v>1725000</v>
      </c>
      <c r="AA103" s="28">
        <f>ROUND(O103/INDEX(Employee_Lookups!$E$13:$E$17,MATCH(F103,Employee_Lookups!$A$13:$A$17,0)),3)</f>
        <v>1.101</v>
      </c>
      <c r="AB103">
        <f t="shared" si="10"/>
        <v>2020</v>
      </c>
      <c r="AC103" t="str">
        <f t="shared" si="11"/>
        <v/>
      </c>
      <c r="AD103" s="28">
        <f>ROUND((IF(ISBLANK(L103),Employee_Lookups!$O$14,L103)-J103)/365.25,2)</f>
        <v>5.91</v>
      </c>
      <c r="AE103" t="str">
        <f t="shared" si="12"/>
        <v>5+ Yrs</v>
      </c>
      <c r="AF103" t="str">
        <f t="shared" si="13"/>
        <v>Low Risk</v>
      </c>
    </row>
    <row r="104" spans="1:32" x14ac:dyDescent="0.45">
      <c r="A104" t="s">
        <v>428</v>
      </c>
      <c r="B104" t="s">
        <v>429</v>
      </c>
      <c r="C104" t="s">
        <v>53</v>
      </c>
      <c r="D104" t="s">
        <v>52</v>
      </c>
      <c r="E104" t="s">
        <v>192</v>
      </c>
      <c r="F104" t="s">
        <v>83</v>
      </c>
      <c r="G104" t="s">
        <v>193</v>
      </c>
      <c r="H104" t="s">
        <v>106</v>
      </c>
      <c r="I104" t="s">
        <v>107</v>
      </c>
      <c r="J104" s="26">
        <v>43866</v>
      </c>
      <c r="K104" t="s">
        <v>170</v>
      </c>
      <c r="L104" s="26">
        <v>44191</v>
      </c>
      <c r="M104" t="s">
        <v>171</v>
      </c>
      <c r="N104" t="s">
        <v>95</v>
      </c>
      <c r="O104" s="27">
        <v>1922000</v>
      </c>
      <c r="P104">
        <v>1</v>
      </c>
      <c r="Q104" t="s">
        <v>172</v>
      </c>
      <c r="R104">
        <v>14</v>
      </c>
      <c r="S104" t="s">
        <v>194</v>
      </c>
      <c r="T104">
        <f t="shared" si="7"/>
        <v>10672</v>
      </c>
      <c r="U104" t="str">
        <f t="shared" si="8"/>
        <v>SAL</v>
      </c>
      <c r="V104" t="str">
        <f t="shared" si="9"/>
        <v>L3</v>
      </c>
      <c r="W104" t="str">
        <f>PROPER(TRIM(VLOOKUP(S104,Employee_Lookups!$I$4:$M$19,2,FALSE())))</f>
        <v>Vikramaditya Joshi</v>
      </c>
      <c r="X104" t="str">
        <f>VLOOKUP(C104,Employee_Lookups!$A$4:$G$9,4,FALSE())</f>
        <v>CC-202</v>
      </c>
      <c r="Y104" t="str">
        <f>INDEX(Employee_Lookups!$C$13:$C$17,MATCH(F104,Employee_Lookups!$A$13:$A$17,0))</f>
        <v>Band C (Senior)</v>
      </c>
      <c r="Z104" s="27">
        <f>_xlfn.XLOOKUP(F104,Employee_Lookups!$A$13:$A$17,Employee_Lookups!$E$13:$E$17,0)</f>
        <v>1725000</v>
      </c>
      <c r="AA104" s="28">
        <f>ROUND(O104/INDEX(Employee_Lookups!$E$13:$E$17,MATCH(F104,Employee_Lookups!$A$13:$A$17,0)),3)</f>
        <v>1.1140000000000001</v>
      </c>
      <c r="AB104">
        <f t="shared" si="10"/>
        <v>2020</v>
      </c>
      <c r="AC104">
        <f t="shared" si="11"/>
        <v>2020</v>
      </c>
      <c r="AD104" s="28">
        <f>ROUND((IF(ISBLANK(L104),Employee_Lookups!$O$14,L104)-J104)/365.25,2)</f>
        <v>0.89</v>
      </c>
      <c r="AE104" t="str">
        <f t="shared" si="12"/>
        <v>&lt; 1 Yr (New)</v>
      </c>
      <c r="AF104" t="str">
        <f t="shared" si="13"/>
        <v>Exited</v>
      </c>
    </row>
    <row r="105" spans="1:32" x14ac:dyDescent="0.45">
      <c r="A105" t="s">
        <v>430</v>
      </c>
      <c r="B105" t="s">
        <v>431</v>
      </c>
      <c r="C105" t="s">
        <v>53</v>
      </c>
      <c r="D105" t="s">
        <v>52</v>
      </c>
      <c r="E105" t="s">
        <v>185</v>
      </c>
      <c r="F105" t="s">
        <v>82</v>
      </c>
      <c r="G105" t="s">
        <v>186</v>
      </c>
      <c r="H105" t="s">
        <v>106</v>
      </c>
      <c r="I105" t="s">
        <v>107</v>
      </c>
      <c r="J105" s="26">
        <v>43874</v>
      </c>
      <c r="K105" t="s">
        <v>162</v>
      </c>
      <c r="L105" s="26"/>
      <c r="M105" t="s">
        <v>163</v>
      </c>
      <c r="N105" t="s">
        <v>99</v>
      </c>
      <c r="O105" s="27">
        <v>961000</v>
      </c>
      <c r="P105">
        <v>3</v>
      </c>
      <c r="Q105" t="s">
        <v>164</v>
      </c>
      <c r="R105">
        <v>27</v>
      </c>
      <c r="S105" t="s">
        <v>194</v>
      </c>
      <c r="T105">
        <f t="shared" si="7"/>
        <v>11164</v>
      </c>
      <c r="U105" t="str">
        <f t="shared" si="8"/>
        <v>SAL</v>
      </c>
      <c r="V105" t="str">
        <f t="shared" si="9"/>
        <v>L2</v>
      </c>
      <c r="W105" t="str">
        <f>PROPER(TRIM(VLOOKUP(S105,Employee_Lookups!$I$4:$M$19,2,FALSE())))</f>
        <v>Vikramaditya Joshi</v>
      </c>
      <c r="X105" t="str">
        <f>VLOOKUP(C105,Employee_Lookups!$A$4:$G$9,4,FALSE())</f>
        <v>CC-202</v>
      </c>
      <c r="Y105" t="str">
        <f>INDEX(Employee_Lookups!$C$13:$C$17,MATCH(F105,Employee_Lookups!$A$13:$A$17,0))</f>
        <v>Band B (Mid)</v>
      </c>
      <c r="Z105" s="27">
        <f>_xlfn.XLOOKUP(F105,Employee_Lookups!$A$13:$A$17,Employee_Lookups!$E$13:$E$17,0)</f>
        <v>1100000</v>
      </c>
      <c r="AA105" s="28">
        <f>ROUND(O105/INDEX(Employee_Lookups!$E$13:$E$17,MATCH(F105,Employee_Lookups!$A$13:$A$17,0)),3)</f>
        <v>0.874</v>
      </c>
      <c r="AB105">
        <f t="shared" si="10"/>
        <v>2020</v>
      </c>
      <c r="AC105" t="str">
        <f t="shared" si="11"/>
        <v/>
      </c>
      <c r="AD105" s="28">
        <f>ROUND((IF(ISBLANK(L105),Employee_Lookups!$O$14,L105)-J105)/365.25,2)</f>
        <v>5.88</v>
      </c>
      <c r="AE105" t="str">
        <f t="shared" si="12"/>
        <v>5+ Yrs</v>
      </c>
      <c r="AF105" t="str">
        <f t="shared" si="13"/>
        <v>Low Risk</v>
      </c>
    </row>
    <row r="106" spans="1:32" x14ac:dyDescent="0.45">
      <c r="A106" t="s">
        <v>432</v>
      </c>
      <c r="B106" t="s">
        <v>433</v>
      </c>
      <c r="C106" t="s">
        <v>51</v>
      </c>
      <c r="D106" t="s">
        <v>50</v>
      </c>
      <c r="E106" t="s">
        <v>176</v>
      </c>
      <c r="F106" t="s">
        <v>82</v>
      </c>
      <c r="G106" t="s">
        <v>177</v>
      </c>
      <c r="H106" t="s">
        <v>108</v>
      </c>
      <c r="I106" t="s">
        <v>107</v>
      </c>
      <c r="J106" s="26">
        <v>43878</v>
      </c>
      <c r="K106" t="s">
        <v>162</v>
      </c>
      <c r="L106" s="26"/>
      <c r="M106" t="s">
        <v>163</v>
      </c>
      <c r="N106" t="s">
        <v>99</v>
      </c>
      <c r="O106" s="27">
        <v>1147000</v>
      </c>
      <c r="P106">
        <v>4</v>
      </c>
      <c r="Q106" t="s">
        <v>164</v>
      </c>
      <c r="R106">
        <v>29</v>
      </c>
      <c r="S106" t="s">
        <v>178</v>
      </c>
      <c r="T106">
        <f t="shared" si="7"/>
        <v>11144</v>
      </c>
      <c r="U106" t="str">
        <f t="shared" si="8"/>
        <v>ENG</v>
      </c>
      <c r="V106" t="str">
        <f t="shared" si="9"/>
        <v>L2</v>
      </c>
      <c r="W106" t="str">
        <f>PROPER(TRIM(VLOOKUP(S106,Employee_Lookups!$I$4:$M$19,2,FALSE())))</f>
        <v>Aarav Deshmukh</v>
      </c>
      <c r="X106" t="str">
        <f>VLOOKUP(C106,Employee_Lookups!$A$4:$G$9,4,FALSE())</f>
        <v>CC-101</v>
      </c>
      <c r="Y106" t="str">
        <f>INDEX(Employee_Lookups!$C$13:$C$17,MATCH(F106,Employee_Lookups!$A$13:$A$17,0))</f>
        <v>Band B (Mid)</v>
      </c>
      <c r="Z106" s="27">
        <f>_xlfn.XLOOKUP(F106,Employee_Lookups!$A$13:$A$17,Employee_Lookups!$E$13:$E$17,0)</f>
        <v>1100000</v>
      </c>
      <c r="AA106" s="28">
        <f>ROUND(O106/INDEX(Employee_Lookups!$E$13:$E$17,MATCH(F106,Employee_Lookups!$A$13:$A$17,0)),3)</f>
        <v>1.0429999999999999</v>
      </c>
      <c r="AB106">
        <f t="shared" si="10"/>
        <v>2020</v>
      </c>
      <c r="AC106" t="str">
        <f t="shared" si="11"/>
        <v/>
      </c>
      <c r="AD106" s="28">
        <f>ROUND((IF(ISBLANK(L106),Employee_Lookups!$O$14,L106)-J106)/365.25,2)</f>
        <v>5.87</v>
      </c>
      <c r="AE106" t="str">
        <f t="shared" si="12"/>
        <v>5+ Yrs</v>
      </c>
      <c r="AF106" t="str">
        <f t="shared" si="13"/>
        <v>Low Risk</v>
      </c>
    </row>
    <row r="107" spans="1:32" x14ac:dyDescent="0.45">
      <c r="A107" t="s">
        <v>434</v>
      </c>
      <c r="B107" t="s">
        <v>435</v>
      </c>
      <c r="C107" t="s">
        <v>53</v>
      </c>
      <c r="D107" t="s">
        <v>52</v>
      </c>
      <c r="E107" t="s">
        <v>185</v>
      </c>
      <c r="F107" t="s">
        <v>82</v>
      </c>
      <c r="G107" t="s">
        <v>186</v>
      </c>
      <c r="H107" t="s">
        <v>106</v>
      </c>
      <c r="I107" t="s">
        <v>107</v>
      </c>
      <c r="J107" s="26">
        <v>43880</v>
      </c>
      <c r="K107" t="s">
        <v>162</v>
      </c>
      <c r="L107" s="26"/>
      <c r="M107" t="s">
        <v>163</v>
      </c>
      <c r="N107" t="s">
        <v>97</v>
      </c>
      <c r="O107" s="27">
        <v>1006000</v>
      </c>
      <c r="P107">
        <v>2</v>
      </c>
      <c r="Q107" t="s">
        <v>172</v>
      </c>
      <c r="R107">
        <v>26</v>
      </c>
      <c r="S107" t="s">
        <v>189</v>
      </c>
      <c r="T107">
        <f t="shared" si="7"/>
        <v>10076</v>
      </c>
      <c r="U107" t="str">
        <f t="shared" si="8"/>
        <v>SAL</v>
      </c>
      <c r="V107" t="str">
        <f t="shared" si="9"/>
        <v>L2</v>
      </c>
      <c r="W107" t="str">
        <f>PROPER(TRIM(VLOOKUP(S107,Employee_Lookups!$I$4:$M$19,2,FALSE())))</f>
        <v>Priya Sharma</v>
      </c>
      <c r="X107" t="str">
        <f>VLOOKUP(C107,Employee_Lookups!$A$4:$G$9,4,FALSE())</f>
        <v>CC-202</v>
      </c>
      <c r="Y107" t="str">
        <f>INDEX(Employee_Lookups!$C$13:$C$17,MATCH(F107,Employee_Lookups!$A$13:$A$17,0))</f>
        <v>Band B (Mid)</v>
      </c>
      <c r="Z107" s="27">
        <f>_xlfn.XLOOKUP(F107,Employee_Lookups!$A$13:$A$17,Employee_Lookups!$E$13:$E$17,0)</f>
        <v>1100000</v>
      </c>
      <c r="AA107" s="28">
        <f>ROUND(O107/INDEX(Employee_Lookups!$E$13:$E$17,MATCH(F107,Employee_Lookups!$A$13:$A$17,0)),3)</f>
        <v>0.91500000000000004</v>
      </c>
      <c r="AB107">
        <f t="shared" si="10"/>
        <v>2020</v>
      </c>
      <c r="AC107" t="str">
        <f t="shared" si="11"/>
        <v/>
      </c>
      <c r="AD107" s="28">
        <f>ROUND((IF(ISBLANK(L107),Employee_Lookups!$O$14,L107)-J107)/365.25,2)</f>
        <v>5.86</v>
      </c>
      <c r="AE107" t="str">
        <f t="shared" si="12"/>
        <v>5+ Yrs</v>
      </c>
      <c r="AF107" t="str">
        <f t="shared" si="13"/>
        <v>High Risk</v>
      </c>
    </row>
    <row r="108" spans="1:32" x14ac:dyDescent="0.45">
      <c r="A108" t="s">
        <v>436</v>
      </c>
      <c r="B108" t="s">
        <v>343</v>
      </c>
      <c r="C108" t="s">
        <v>61</v>
      </c>
      <c r="D108" t="s">
        <v>60</v>
      </c>
      <c r="E108" t="s">
        <v>251</v>
      </c>
      <c r="F108" t="s">
        <v>82</v>
      </c>
      <c r="G108" t="s">
        <v>252</v>
      </c>
      <c r="H108" t="s">
        <v>109</v>
      </c>
      <c r="I108" t="s">
        <v>110</v>
      </c>
      <c r="J108" s="26">
        <v>43883</v>
      </c>
      <c r="K108" t="s">
        <v>162</v>
      </c>
      <c r="L108" s="26"/>
      <c r="M108" t="s">
        <v>163</v>
      </c>
      <c r="N108" t="s">
        <v>98</v>
      </c>
      <c r="O108" s="27">
        <v>1162000</v>
      </c>
      <c r="P108">
        <v>4</v>
      </c>
      <c r="Q108" t="s">
        <v>164</v>
      </c>
      <c r="R108">
        <v>51</v>
      </c>
      <c r="S108" t="s">
        <v>253</v>
      </c>
      <c r="T108">
        <f t="shared" si="7"/>
        <v>10051</v>
      </c>
      <c r="U108" t="str">
        <f t="shared" si="8"/>
        <v>-HR</v>
      </c>
      <c r="V108" t="str">
        <f t="shared" si="9"/>
        <v>L2</v>
      </c>
      <c r="W108" t="str">
        <f>PROPER(TRIM(VLOOKUP(S108,Employee_Lookups!$I$4:$M$19,2,FALSE())))</f>
        <v>Nikhil Chatterjee</v>
      </c>
      <c r="X108" t="str">
        <f>VLOOKUP(C108,Employee_Lookups!$A$4:$G$9,4,FALSE())</f>
        <v>CC-505</v>
      </c>
      <c r="Y108" t="str">
        <f>INDEX(Employee_Lookups!$C$13:$C$17,MATCH(F108,Employee_Lookups!$A$13:$A$17,0))</f>
        <v>Band B (Mid)</v>
      </c>
      <c r="Z108" s="27">
        <f>_xlfn.XLOOKUP(F108,Employee_Lookups!$A$13:$A$17,Employee_Lookups!$E$13:$E$17,0)</f>
        <v>1100000</v>
      </c>
      <c r="AA108" s="28">
        <f>ROUND(O108/INDEX(Employee_Lookups!$E$13:$E$17,MATCH(F108,Employee_Lookups!$A$13:$A$17,0)),3)</f>
        <v>1.056</v>
      </c>
      <c r="AB108">
        <f t="shared" si="10"/>
        <v>2020</v>
      </c>
      <c r="AC108" t="str">
        <f t="shared" si="11"/>
        <v/>
      </c>
      <c r="AD108" s="28">
        <f>ROUND((IF(ISBLANK(L108),Employee_Lookups!$O$14,L108)-J108)/365.25,2)</f>
        <v>5.86</v>
      </c>
      <c r="AE108" t="str">
        <f t="shared" si="12"/>
        <v>5+ Yrs</v>
      </c>
      <c r="AF108" t="str">
        <f t="shared" si="13"/>
        <v>Low Risk</v>
      </c>
    </row>
    <row r="109" spans="1:32" x14ac:dyDescent="0.45">
      <c r="A109" t="s">
        <v>437</v>
      </c>
      <c r="B109" t="s">
        <v>438</v>
      </c>
      <c r="C109" t="s">
        <v>51</v>
      </c>
      <c r="D109" t="s">
        <v>50</v>
      </c>
      <c r="E109" t="s">
        <v>176</v>
      </c>
      <c r="F109" t="s">
        <v>82</v>
      </c>
      <c r="G109" t="s">
        <v>177</v>
      </c>
      <c r="H109" t="s">
        <v>106</v>
      </c>
      <c r="I109" t="s">
        <v>107</v>
      </c>
      <c r="J109" s="26">
        <v>43884</v>
      </c>
      <c r="K109" t="s">
        <v>170</v>
      </c>
      <c r="L109" s="26">
        <v>44490</v>
      </c>
      <c r="M109" t="s">
        <v>171</v>
      </c>
      <c r="N109" t="s">
        <v>95</v>
      </c>
      <c r="O109" s="27">
        <v>986000</v>
      </c>
      <c r="P109">
        <v>5</v>
      </c>
      <c r="Q109" t="s">
        <v>172</v>
      </c>
      <c r="R109">
        <v>45</v>
      </c>
      <c r="S109" t="s">
        <v>244</v>
      </c>
      <c r="T109">
        <f t="shared" si="7"/>
        <v>10064</v>
      </c>
      <c r="U109" t="str">
        <f t="shared" si="8"/>
        <v>ENG</v>
      </c>
      <c r="V109" t="str">
        <f t="shared" si="9"/>
        <v>L2</v>
      </c>
      <c r="W109" t="str">
        <f>PROPER(TRIM(VLOOKUP(S109,Employee_Lookups!$I$4:$M$19,2,FALSE())))</f>
        <v>Siddharth Nair</v>
      </c>
      <c r="X109" t="str">
        <f>VLOOKUP(C109,Employee_Lookups!$A$4:$G$9,4,FALSE())</f>
        <v>CC-101</v>
      </c>
      <c r="Y109" t="str">
        <f>INDEX(Employee_Lookups!$C$13:$C$17,MATCH(F109,Employee_Lookups!$A$13:$A$17,0))</f>
        <v>Band B (Mid)</v>
      </c>
      <c r="Z109" s="27">
        <f>_xlfn.XLOOKUP(F109,Employee_Lookups!$A$13:$A$17,Employee_Lookups!$E$13:$E$17,0)</f>
        <v>1100000</v>
      </c>
      <c r="AA109" s="28">
        <f>ROUND(O109/INDEX(Employee_Lookups!$E$13:$E$17,MATCH(F109,Employee_Lookups!$A$13:$A$17,0)),3)</f>
        <v>0.89600000000000002</v>
      </c>
      <c r="AB109">
        <f t="shared" si="10"/>
        <v>2020</v>
      </c>
      <c r="AC109">
        <f t="shared" si="11"/>
        <v>2021</v>
      </c>
      <c r="AD109" s="28">
        <f>ROUND((IF(ISBLANK(L109),Employee_Lookups!$O$14,L109)-J109)/365.25,2)</f>
        <v>1.66</v>
      </c>
      <c r="AE109" t="str">
        <f t="shared" si="12"/>
        <v>1 - 3 Yrs</v>
      </c>
      <c r="AF109" t="str">
        <f t="shared" si="13"/>
        <v>Exited</v>
      </c>
    </row>
    <row r="110" spans="1:32" x14ac:dyDescent="0.45">
      <c r="A110" t="s">
        <v>439</v>
      </c>
      <c r="B110" t="s">
        <v>440</v>
      </c>
      <c r="C110" t="s">
        <v>51</v>
      </c>
      <c r="D110" t="s">
        <v>50</v>
      </c>
      <c r="E110" t="s">
        <v>181</v>
      </c>
      <c r="F110" t="s">
        <v>81</v>
      </c>
      <c r="G110" t="s">
        <v>182</v>
      </c>
      <c r="H110" t="s">
        <v>109</v>
      </c>
      <c r="I110" t="s">
        <v>110</v>
      </c>
      <c r="J110" s="26">
        <v>43888</v>
      </c>
      <c r="K110" t="s">
        <v>162</v>
      </c>
      <c r="L110" s="26"/>
      <c r="M110" t="s">
        <v>163</v>
      </c>
      <c r="N110" t="s">
        <v>99</v>
      </c>
      <c r="O110" s="27">
        <v>780000</v>
      </c>
      <c r="P110">
        <v>3</v>
      </c>
      <c r="Q110" t="s">
        <v>164</v>
      </c>
      <c r="R110">
        <v>36</v>
      </c>
      <c r="S110" t="s">
        <v>197</v>
      </c>
      <c r="T110">
        <f t="shared" si="7"/>
        <v>10769</v>
      </c>
      <c r="U110" t="str">
        <f t="shared" si="8"/>
        <v>ENG</v>
      </c>
      <c r="V110" t="str">
        <f t="shared" si="9"/>
        <v>L1</v>
      </c>
      <c r="W110" t="str">
        <f>PROPER(TRIM(VLOOKUP(S110,Employee_Lookups!$I$4:$M$19,2,FALSE())))</f>
        <v>Rohan Verma</v>
      </c>
      <c r="X110" t="str">
        <f>VLOOKUP(C110,Employee_Lookups!$A$4:$G$9,4,FALSE())</f>
        <v>CC-101</v>
      </c>
      <c r="Y110" t="str">
        <f>INDEX(Employee_Lookups!$C$13:$C$17,MATCH(F110,Employee_Lookups!$A$13:$A$17,0))</f>
        <v>Band A (Entry)</v>
      </c>
      <c r="Z110" s="27">
        <f>_xlfn.XLOOKUP(F110,Employee_Lookups!$A$13:$A$17,Employee_Lookups!$E$13:$E$17,0)</f>
        <v>700000</v>
      </c>
      <c r="AA110" s="28">
        <f>ROUND(O110/INDEX(Employee_Lookups!$E$13:$E$17,MATCH(F110,Employee_Lookups!$A$13:$A$17,0)),3)</f>
        <v>1.1140000000000001</v>
      </c>
      <c r="AB110">
        <f t="shared" si="10"/>
        <v>2020</v>
      </c>
      <c r="AC110" t="str">
        <f t="shared" si="11"/>
        <v/>
      </c>
      <c r="AD110" s="28">
        <f>ROUND((IF(ISBLANK(L110),Employee_Lookups!$O$14,L110)-J110)/365.25,2)</f>
        <v>5.84</v>
      </c>
      <c r="AE110" t="str">
        <f t="shared" si="12"/>
        <v>5+ Yrs</v>
      </c>
      <c r="AF110" t="str">
        <f t="shared" si="13"/>
        <v>Low Risk</v>
      </c>
    </row>
    <row r="111" spans="1:32" x14ac:dyDescent="0.45">
      <c r="A111" t="s">
        <v>441</v>
      </c>
      <c r="B111" t="s">
        <v>442</v>
      </c>
      <c r="C111" t="s">
        <v>59</v>
      </c>
      <c r="D111" t="s">
        <v>58</v>
      </c>
      <c r="E111" t="s">
        <v>206</v>
      </c>
      <c r="F111" t="s">
        <v>81</v>
      </c>
      <c r="G111" t="s">
        <v>207</v>
      </c>
      <c r="H111" t="s">
        <v>111</v>
      </c>
      <c r="I111" t="s">
        <v>110</v>
      </c>
      <c r="J111" s="26">
        <v>43888</v>
      </c>
      <c r="K111" t="s">
        <v>162</v>
      </c>
      <c r="L111" s="26"/>
      <c r="M111" t="s">
        <v>163</v>
      </c>
      <c r="N111" t="s">
        <v>97</v>
      </c>
      <c r="O111" s="27">
        <v>792000</v>
      </c>
      <c r="P111">
        <v>2</v>
      </c>
      <c r="Q111" t="s">
        <v>164</v>
      </c>
      <c r="R111">
        <v>20</v>
      </c>
      <c r="S111" t="s">
        <v>214</v>
      </c>
      <c r="T111">
        <f t="shared" si="7"/>
        <v>11064</v>
      </c>
      <c r="U111" t="str">
        <f t="shared" si="8"/>
        <v>FIN</v>
      </c>
      <c r="V111" t="str">
        <f t="shared" si="9"/>
        <v>L1</v>
      </c>
      <c r="W111" t="str">
        <f>PROPER(TRIM(VLOOKUP(S111,Employee_Lookups!$I$4:$M$19,2,FALSE())))</f>
        <v>Aditya Gokhale</v>
      </c>
      <c r="X111" t="str">
        <f>VLOOKUP(C111,Employee_Lookups!$A$4:$G$9,4,FALSE())</f>
        <v>CC-404</v>
      </c>
      <c r="Y111" t="str">
        <f>INDEX(Employee_Lookups!$C$13:$C$17,MATCH(F111,Employee_Lookups!$A$13:$A$17,0))</f>
        <v>Band A (Entry)</v>
      </c>
      <c r="Z111" s="27">
        <f>_xlfn.XLOOKUP(F111,Employee_Lookups!$A$13:$A$17,Employee_Lookups!$E$13:$E$17,0)</f>
        <v>700000</v>
      </c>
      <c r="AA111" s="28">
        <f>ROUND(O111/INDEX(Employee_Lookups!$E$13:$E$17,MATCH(F111,Employee_Lookups!$A$13:$A$17,0)),3)</f>
        <v>1.131</v>
      </c>
      <c r="AB111">
        <f t="shared" si="10"/>
        <v>2020</v>
      </c>
      <c r="AC111" t="str">
        <f t="shared" si="11"/>
        <v/>
      </c>
      <c r="AD111" s="28">
        <f>ROUND((IF(ISBLANK(L111),Employee_Lookups!$O$14,L111)-J111)/365.25,2)</f>
        <v>5.84</v>
      </c>
      <c r="AE111" t="str">
        <f t="shared" si="12"/>
        <v>5+ Yrs</v>
      </c>
      <c r="AF111" t="str">
        <f t="shared" si="13"/>
        <v>Moderate Risk</v>
      </c>
    </row>
    <row r="112" spans="1:32" x14ac:dyDescent="0.45">
      <c r="A112" t="s">
        <v>443</v>
      </c>
      <c r="B112" t="s">
        <v>444</v>
      </c>
      <c r="C112" t="s">
        <v>59</v>
      </c>
      <c r="D112" t="s">
        <v>58</v>
      </c>
      <c r="E112" t="s">
        <v>206</v>
      </c>
      <c r="F112" t="s">
        <v>81</v>
      </c>
      <c r="G112" t="s">
        <v>207</v>
      </c>
      <c r="H112" t="s">
        <v>109</v>
      </c>
      <c r="I112" t="s">
        <v>110</v>
      </c>
      <c r="J112" s="26">
        <v>43895</v>
      </c>
      <c r="K112" t="s">
        <v>162</v>
      </c>
      <c r="L112" s="26"/>
      <c r="M112" t="s">
        <v>163</v>
      </c>
      <c r="N112" t="s">
        <v>95</v>
      </c>
      <c r="O112" s="27">
        <v>760000</v>
      </c>
      <c r="P112">
        <v>2</v>
      </c>
      <c r="Q112" t="s">
        <v>164</v>
      </c>
      <c r="R112">
        <v>13</v>
      </c>
      <c r="S112" t="s">
        <v>214</v>
      </c>
      <c r="T112">
        <f t="shared" si="7"/>
        <v>10500</v>
      </c>
      <c r="U112" t="str">
        <f t="shared" si="8"/>
        <v>FIN</v>
      </c>
      <c r="V112" t="str">
        <f t="shared" si="9"/>
        <v>L1</v>
      </c>
      <c r="W112" t="str">
        <f>PROPER(TRIM(VLOOKUP(S112,Employee_Lookups!$I$4:$M$19,2,FALSE())))</f>
        <v>Aditya Gokhale</v>
      </c>
      <c r="X112" t="str">
        <f>VLOOKUP(C112,Employee_Lookups!$A$4:$G$9,4,FALSE())</f>
        <v>CC-404</v>
      </c>
      <c r="Y112" t="str">
        <f>INDEX(Employee_Lookups!$C$13:$C$17,MATCH(F112,Employee_Lookups!$A$13:$A$17,0))</f>
        <v>Band A (Entry)</v>
      </c>
      <c r="Z112" s="27">
        <f>_xlfn.XLOOKUP(F112,Employee_Lookups!$A$13:$A$17,Employee_Lookups!$E$13:$E$17,0)</f>
        <v>700000</v>
      </c>
      <c r="AA112" s="28">
        <f>ROUND(O112/INDEX(Employee_Lookups!$E$13:$E$17,MATCH(F112,Employee_Lookups!$A$13:$A$17,0)),3)</f>
        <v>1.0860000000000001</v>
      </c>
      <c r="AB112">
        <f t="shared" si="10"/>
        <v>2020</v>
      </c>
      <c r="AC112" t="str">
        <f t="shared" si="11"/>
        <v/>
      </c>
      <c r="AD112" s="28">
        <f>ROUND((IF(ISBLANK(L112),Employee_Lookups!$O$14,L112)-J112)/365.25,2)</f>
        <v>5.82</v>
      </c>
      <c r="AE112" t="str">
        <f t="shared" si="12"/>
        <v>5+ Yrs</v>
      </c>
      <c r="AF112" t="str">
        <f t="shared" si="13"/>
        <v>Moderate Risk</v>
      </c>
    </row>
    <row r="113" spans="1:32" x14ac:dyDescent="0.45">
      <c r="A113" t="s">
        <v>445</v>
      </c>
      <c r="B113" t="s">
        <v>351</v>
      </c>
      <c r="C113" t="s">
        <v>53</v>
      </c>
      <c r="D113" t="s">
        <v>52</v>
      </c>
      <c r="E113" t="s">
        <v>322</v>
      </c>
      <c r="F113" t="s">
        <v>81</v>
      </c>
      <c r="G113" t="s">
        <v>323</v>
      </c>
      <c r="H113" t="s">
        <v>108</v>
      </c>
      <c r="I113" t="s">
        <v>107</v>
      </c>
      <c r="J113" s="26">
        <v>43900</v>
      </c>
      <c r="K113" t="s">
        <v>170</v>
      </c>
      <c r="L113" s="26">
        <v>44143</v>
      </c>
      <c r="M113" t="s">
        <v>171</v>
      </c>
      <c r="N113" t="s">
        <v>96</v>
      </c>
      <c r="O113" s="27">
        <v>627000</v>
      </c>
      <c r="P113">
        <v>2</v>
      </c>
      <c r="Q113" t="s">
        <v>172</v>
      </c>
      <c r="R113">
        <v>17</v>
      </c>
      <c r="S113" t="s">
        <v>237</v>
      </c>
      <c r="T113">
        <f t="shared" si="7"/>
        <v>10991</v>
      </c>
      <c r="U113" t="str">
        <f t="shared" si="8"/>
        <v>SAL</v>
      </c>
      <c r="V113" t="str">
        <f t="shared" si="9"/>
        <v>L1</v>
      </c>
      <c r="W113" t="str">
        <f>PROPER(TRIM(VLOOKUP(S113,Employee_Lookups!$I$4:$M$19,2,FALSE())))</f>
        <v>Karan Malhotra</v>
      </c>
      <c r="X113" t="str">
        <f>VLOOKUP(C113,Employee_Lookups!$A$4:$G$9,4,FALSE())</f>
        <v>CC-202</v>
      </c>
      <c r="Y113" t="str">
        <f>INDEX(Employee_Lookups!$C$13:$C$17,MATCH(F113,Employee_Lookups!$A$13:$A$17,0))</f>
        <v>Band A (Entry)</v>
      </c>
      <c r="Z113" s="27">
        <f>_xlfn.XLOOKUP(F113,Employee_Lookups!$A$13:$A$17,Employee_Lookups!$E$13:$E$17,0)</f>
        <v>700000</v>
      </c>
      <c r="AA113" s="28">
        <f>ROUND(O113/INDEX(Employee_Lookups!$E$13:$E$17,MATCH(F113,Employee_Lookups!$A$13:$A$17,0)),3)</f>
        <v>0.89600000000000002</v>
      </c>
      <c r="AB113">
        <f t="shared" si="10"/>
        <v>2020</v>
      </c>
      <c r="AC113">
        <f t="shared" si="11"/>
        <v>2020</v>
      </c>
      <c r="AD113" s="28">
        <f>ROUND((IF(ISBLANK(L113),Employee_Lookups!$O$14,L113)-J113)/365.25,2)</f>
        <v>0.67</v>
      </c>
      <c r="AE113" t="str">
        <f t="shared" si="12"/>
        <v>&lt; 1 Yr (New)</v>
      </c>
      <c r="AF113" t="str">
        <f t="shared" si="13"/>
        <v>Exited</v>
      </c>
    </row>
    <row r="114" spans="1:32" x14ac:dyDescent="0.45">
      <c r="A114" t="s">
        <v>446</v>
      </c>
      <c r="B114" t="s">
        <v>248</v>
      </c>
      <c r="C114" t="s">
        <v>51</v>
      </c>
      <c r="D114" t="s">
        <v>50</v>
      </c>
      <c r="E114" t="s">
        <v>176</v>
      </c>
      <c r="F114" t="s">
        <v>82</v>
      </c>
      <c r="G114" t="s">
        <v>177</v>
      </c>
      <c r="H114" t="s">
        <v>112</v>
      </c>
      <c r="I114" t="s">
        <v>113</v>
      </c>
      <c r="J114" s="26">
        <v>43904</v>
      </c>
      <c r="K114" t="s">
        <v>162</v>
      </c>
      <c r="L114" s="26"/>
      <c r="M114" t="s">
        <v>163</v>
      </c>
      <c r="N114" t="s">
        <v>99</v>
      </c>
      <c r="O114" s="27">
        <v>864000</v>
      </c>
      <c r="P114">
        <v>3</v>
      </c>
      <c r="Q114" t="s">
        <v>164</v>
      </c>
      <c r="R114">
        <v>46</v>
      </c>
      <c r="S114" t="s">
        <v>244</v>
      </c>
      <c r="T114">
        <f t="shared" si="7"/>
        <v>10909</v>
      </c>
      <c r="U114" t="str">
        <f t="shared" si="8"/>
        <v>ENG</v>
      </c>
      <c r="V114" t="str">
        <f t="shared" si="9"/>
        <v>L2</v>
      </c>
      <c r="W114" t="str">
        <f>PROPER(TRIM(VLOOKUP(S114,Employee_Lookups!$I$4:$M$19,2,FALSE())))</f>
        <v>Siddharth Nair</v>
      </c>
      <c r="X114" t="str">
        <f>VLOOKUP(C114,Employee_Lookups!$A$4:$G$9,4,FALSE())</f>
        <v>CC-101</v>
      </c>
      <c r="Y114" t="str">
        <f>INDEX(Employee_Lookups!$C$13:$C$17,MATCH(F114,Employee_Lookups!$A$13:$A$17,0))</f>
        <v>Band B (Mid)</v>
      </c>
      <c r="Z114" s="27">
        <f>_xlfn.XLOOKUP(F114,Employee_Lookups!$A$13:$A$17,Employee_Lookups!$E$13:$E$17,0)</f>
        <v>1100000</v>
      </c>
      <c r="AA114" s="28">
        <f>ROUND(O114/INDEX(Employee_Lookups!$E$13:$E$17,MATCH(F114,Employee_Lookups!$A$13:$A$17,0)),3)</f>
        <v>0.78500000000000003</v>
      </c>
      <c r="AB114">
        <f t="shared" si="10"/>
        <v>2020</v>
      </c>
      <c r="AC114" t="str">
        <f t="shared" si="11"/>
        <v/>
      </c>
      <c r="AD114" s="28">
        <f>ROUND((IF(ISBLANK(L114),Employee_Lookups!$O$14,L114)-J114)/365.25,2)</f>
        <v>5.8</v>
      </c>
      <c r="AE114" t="str">
        <f t="shared" si="12"/>
        <v>5+ Yrs</v>
      </c>
      <c r="AF114" t="str">
        <f t="shared" si="13"/>
        <v>Low Risk</v>
      </c>
    </row>
    <row r="115" spans="1:32" x14ac:dyDescent="0.45">
      <c r="A115" t="s">
        <v>447</v>
      </c>
      <c r="B115" t="s">
        <v>355</v>
      </c>
      <c r="C115" t="s">
        <v>51</v>
      </c>
      <c r="D115" t="s">
        <v>50</v>
      </c>
      <c r="E115" t="s">
        <v>181</v>
      </c>
      <c r="F115" t="s">
        <v>81</v>
      </c>
      <c r="G115" t="s">
        <v>182</v>
      </c>
      <c r="H115" t="s">
        <v>111</v>
      </c>
      <c r="I115" t="s">
        <v>110</v>
      </c>
      <c r="J115" s="26">
        <v>43906</v>
      </c>
      <c r="K115" t="s">
        <v>162</v>
      </c>
      <c r="L115" s="26"/>
      <c r="M115" t="s">
        <v>163</v>
      </c>
      <c r="N115" t="s">
        <v>97</v>
      </c>
      <c r="O115" s="27">
        <v>774000</v>
      </c>
      <c r="P115">
        <v>4</v>
      </c>
      <c r="Q115" t="s">
        <v>164</v>
      </c>
      <c r="R115">
        <v>32</v>
      </c>
      <c r="S115" t="s">
        <v>219</v>
      </c>
      <c r="T115">
        <f t="shared" si="7"/>
        <v>11239</v>
      </c>
      <c r="U115" t="str">
        <f t="shared" si="8"/>
        <v>ENG</v>
      </c>
      <c r="V115" t="str">
        <f t="shared" si="9"/>
        <v>L1</v>
      </c>
      <c r="W115" t="str">
        <f>PROPER(TRIM(VLOOKUP(S115,Employee_Lookups!$I$4:$M$19,2,FALSE())))</f>
        <v>Neha Kulkarni</v>
      </c>
      <c r="X115" t="str">
        <f>VLOOKUP(C115,Employee_Lookups!$A$4:$G$9,4,FALSE())</f>
        <v>CC-101</v>
      </c>
      <c r="Y115" t="str">
        <f>INDEX(Employee_Lookups!$C$13:$C$17,MATCH(F115,Employee_Lookups!$A$13:$A$17,0))</f>
        <v>Band A (Entry)</v>
      </c>
      <c r="Z115" s="27">
        <f>_xlfn.XLOOKUP(F115,Employee_Lookups!$A$13:$A$17,Employee_Lookups!$E$13:$E$17,0)</f>
        <v>700000</v>
      </c>
      <c r="AA115" s="28">
        <f>ROUND(O115/INDEX(Employee_Lookups!$E$13:$E$17,MATCH(F115,Employee_Lookups!$A$13:$A$17,0)),3)</f>
        <v>1.1060000000000001</v>
      </c>
      <c r="AB115">
        <f t="shared" si="10"/>
        <v>2020</v>
      </c>
      <c r="AC115" t="str">
        <f t="shared" si="11"/>
        <v/>
      </c>
      <c r="AD115" s="28">
        <f>ROUND((IF(ISBLANK(L115),Employee_Lookups!$O$14,L115)-J115)/365.25,2)</f>
        <v>5.79</v>
      </c>
      <c r="AE115" t="str">
        <f t="shared" si="12"/>
        <v>5+ Yrs</v>
      </c>
      <c r="AF115" t="str">
        <f t="shared" si="13"/>
        <v>Low Risk</v>
      </c>
    </row>
    <row r="116" spans="1:32" x14ac:dyDescent="0.45">
      <c r="A116" t="s">
        <v>448</v>
      </c>
      <c r="B116" t="s">
        <v>449</v>
      </c>
      <c r="C116" t="s">
        <v>59</v>
      </c>
      <c r="D116" t="s">
        <v>58</v>
      </c>
      <c r="E116" t="s">
        <v>206</v>
      </c>
      <c r="F116" t="s">
        <v>81</v>
      </c>
      <c r="G116" t="s">
        <v>207</v>
      </c>
      <c r="H116" t="s">
        <v>111</v>
      </c>
      <c r="I116" t="s">
        <v>110</v>
      </c>
      <c r="J116" s="26">
        <v>43912</v>
      </c>
      <c r="K116" t="s">
        <v>162</v>
      </c>
      <c r="L116" s="26"/>
      <c r="M116" t="s">
        <v>163</v>
      </c>
      <c r="N116" t="s">
        <v>97</v>
      </c>
      <c r="O116" s="27">
        <v>813000</v>
      </c>
      <c r="P116">
        <v>5</v>
      </c>
      <c r="Q116" t="s">
        <v>164</v>
      </c>
      <c r="R116">
        <v>27</v>
      </c>
      <c r="S116" t="s">
        <v>214</v>
      </c>
      <c r="T116">
        <f t="shared" si="7"/>
        <v>10536</v>
      </c>
      <c r="U116" t="str">
        <f t="shared" si="8"/>
        <v>FIN</v>
      </c>
      <c r="V116" t="str">
        <f t="shared" si="9"/>
        <v>L1</v>
      </c>
      <c r="W116" t="str">
        <f>PROPER(TRIM(VLOOKUP(S116,Employee_Lookups!$I$4:$M$19,2,FALSE())))</f>
        <v>Aditya Gokhale</v>
      </c>
      <c r="X116" t="str">
        <f>VLOOKUP(C116,Employee_Lookups!$A$4:$G$9,4,FALSE())</f>
        <v>CC-404</v>
      </c>
      <c r="Y116" t="str">
        <f>INDEX(Employee_Lookups!$C$13:$C$17,MATCH(F116,Employee_Lookups!$A$13:$A$17,0))</f>
        <v>Band A (Entry)</v>
      </c>
      <c r="Z116" s="27">
        <f>_xlfn.XLOOKUP(F116,Employee_Lookups!$A$13:$A$17,Employee_Lookups!$E$13:$E$17,0)</f>
        <v>700000</v>
      </c>
      <c r="AA116" s="28">
        <f>ROUND(O116/INDEX(Employee_Lookups!$E$13:$E$17,MATCH(F116,Employee_Lookups!$A$13:$A$17,0)),3)</f>
        <v>1.161</v>
      </c>
      <c r="AB116">
        <f t="shared" si="10"/>
        <v>2020</v>
      </c>
      <c r="AC116" t="str">
        <f t="shared" si="11"/>
        <v/>
      </c>
      <c r="AD116" s="28">
        <f>ROUND((IF(ISBLANK(L116),Employee_Lookups!$O$14,L116)-J116)/365.25,2)</f>
        <v>5.78</v>
      </c>
      <c r="AE116" t="str">
        <f t="shared" si="12"/>
        <v>5+ Yrs</v>
      </c>
      <c r="AF116" t="str">
        <f t="shared" si="13"/>
        <v>Low Risk</v>
      </c>
    </row>
    <row r="117" spans="1:32" x14ac:dyDescent="0.45">
      <c r="A117" t="s">
        <v>450</v>
      </c>
      <c r="B117" t="s">
        <v>451</v>
      </c>
      <c r="C117" t="s">
        <v>61</v>
      </c>
      <c r="D117" t="s">
        <v>60</v>
      </c>
      <c r="E117" t="s">
        <v>356</v>
      </c>
      <c r="F117" t="s">
        <v>81</v>
      </c>
      <c r="G117" t="s">
        <v>357</v>
      </c>
      <c r="H117" t="s">
        <v>109</v>
      </c>
      <c r="I117" t="s">
        <v>110</v>
      </c>
      <c r="J117" s="26">
        <v>43914</v>
      </c>
      <c r="K117" t="s">
        <v>162</v>
      </c>
      <c r="L117" s="26"/>
      <c r="M117" t="s">
        <v>163</v>
      </c>
      <c r="N117" t="s">
        <v>99</v>
      </c>
      <c r="O117" s="27">
        <v>828000</v>
      </c>
      <c r="P117">
        <v>2</v>
      </c>
      <c r="Q117" t="s">
        <v>164</v>
      </c>
      <c r="R117">
        <v>35</v>
      </c>
      <c r="S117" t="s">
        <v>253</v>
      </c>
      <c r="T117">
        <f t="shared" si="7"/>
        <v>10255</v>
      </c>
      <c r="U117" t="str">
        <f t="shared" si="8"/>
        <v>-HR</v>
      </c>
      <c r="V117" t="str">
        <f t="shared" si="9"/>
        <v>L1</v>
      </c>
      <c r="W117" t="str">
        <f>PROPER(TRIM(VLOOKUP(S117,Employee_Lookups!$I$4:$M$19,2,FALSE())))</f>
        <v>Nikhil Chatterjee</v>
      </c>
      <c r="X117" t="str">
        <f>VLOOKUP(C117,Employee_Lookups!$A$4:$G$9,4,FALSE())</f>
        <v>CC-505</v>
      </c>
      <c r="Y117" t="str">
        <f>INDEX(Employee_Lookups!$C$13:$C$17,MATCH(F117,Employee_Lookups!$A$13:$A$17,0))</f>
        <v>Band A (Entry)</v>
      </c>
      <c r="Z117" s="27">
        <f>_xlfn.XLOOKUP(F117,Employee_Lookups!$A$13:$A$17,Employee_Lookups!$E$13:$E$17,0)</f>
        <v>700000</v>
      </c>
      <c r="AA117" s="28">
        <f>ROUND(O117/INDEX(Employee_Lookups!$E$13:$E$17,MATCH(F117,Employee_Lookups!$A$13:$A$17,0)),3)</f>
        <v>1.1830000000000001</v>
      </c>
      <c r="AB117">
        <f t="shared" si="10"/>
        <v>2020</v>
      </c>
      <c r="AC117" t="str">
        <f t="shared" si="11"/>
        <v/>
      </c>
      <c r="AD117" s="28">
        <f>ROUND((IF(ISBLANK(L117),Employee_Lookups!$O$14,L117)-J117)/365.25,2)</f>
        <v>5.77</v>
      </c>
      <c r="AE117" t="str">
        <f t="shared" si="12"/>
        <v>5+ Yrs</v>
      </c>
      <c r="AF117" t="str">
        <f t="shared" si="13"/>
        <v>Moderate Risk</v>
      </c>
    </row>
    <row r="118" spans="1:32" x14ac:dyDescent="0.45">
      <c r="A118" t="s">
        <v>452</v>
      </c>
      <c r="B118" t="s">
        <v>453</v>
      </c>
      <c r="C118" t="s">
        <v>53</v>
      </c>
      <c r="D118" t="s">
        <v>52</v>
      </c>
      <c r="E118" t="s">
        <v>185</v>
      </c>
      <c r="F118" t="s">
        <v>82</v>
      </c>
      <c r="G118" t="s">
        <v>186</v>
      </c>
      <c r="H118" t="s">
        <v>108</v>
      </c>
      <c r="I118" t="s">
        <v>107</v>
      </c>
      <c r="J118" s="26">
        <v>43917</v>
      </c>
      <c r="K118" t="s">
        <v>162</v>
      </c>
      <c r="L118" s="26"/>
      <c r="M118" t="s">
        <v>163</v>
      </c>
      <c r="N118" t="s">
        <v>99</v>
      </c>
      <c r="O118" s="27">
        <v>851000</v>
      </c>
      <c r="P118">
        <v>3</v>
      </c>
      <c r="Q118" t="s">
        <v>164</v>
      </c>
      <c r="R118">
        <v>43</v>
      </c>
      <c r="S118" t="s">
        <v>194</v>
      </c>
      <c r="T118">
        <f t="shared" si="7"/>
        <v>10982</v>
      </c>
      <c r="U118" t="str">
        <f t="shared" si="8"/>
        <v>SAL</v>
      </c>
      <c r="V118" t="str">
        <f t="shared" si="9"/>
        <v>L2</v>
      </c>
      <c r="W118" t="str">
        <f>PROPER(TRIM(VLOOKUP(S118,Employee_Lookups!$I$4:$M$19,2,FALSE())))</f>
        <v>Vikramaditya Joshi</v>
      </c>
      <c r="X118" t="str">
        <f>VLOOKUP(C118,Employee_Lookups!$A$4:$G$9,4,FALSE())</f>
        <v>CC-202</v>
      </c>
      <c r="Y118" t="str">
        <f>INDEX(Employee_Lookups!$C$13:$C$17,MATCH(F118,Employee_Lookups!$A$13:$A$17,0))</f>
        <v>Band B (Mid)</v>
      </c>
      <c r="Z118" s="27">
        <f>_xlfn.XLOOKUP(F118,Employee_Lookups!$A$13:$A$17,Employee_Lookups!$E$13:$E$17,0)</f>
        <v>1100000</v>
      </c>
      <c r="AA118" s="28">
        <f>ROUND(O118/INDEX(Employee_Lookups!$E$13:$E$17,MATCH(F118,Employee_Lookups!$A$13:$A$17,0)),3)</f>
        <v>0.77400000000000002</v>
      </c>
      <c r="AB118">
        <f t="shared" si="10"/>
        <v>2020</v>
      </c>
      <c r="AC118" t="str">
        <f t="shared" si="11"/>
        <v/>
      </c>
      <c r="AD118" s="28">
        <f>ROUND((IF(ISBLANK(L118),Employee_Lookups!$O$14,L118)-J118)/365.25,2)</f>
        <v>5.76</v>
      </c>
      <c r="AE118" t="str">
        <f t="shared" si="12"/>
        <v>5+ Yrs</v>
      </c>
      <c r="AF118" t="str">
        <f t="shared" si="13"/>
        <v>Low Risk</v>
      </c>
    </row>
    <row r="119" spans="1:32" x14ac:dyDescent="0.45">
      <c r="A119" t="s">
        <v>454</v>
      </c>
      <c r="B119" t="s">
        <v>196</v>
      </c>
      <c r="C119" t="s">
        <v>57</v>
      </c>
      <c r="D119" t="s">
        <v>56</v>
      </c>
      <c r="E119" t="s">
        <v>455</v>
      </c>
      <c r="F119" t="s">
        <v>84</v>
      </c>
      <c r="G119" t="s">
        <v>456</v>
      </c>
      <c r="H119" t="s">
        <v>112</v>
      </c>
      <c r="I119" t="s">
        <v>113</v>
      </c>
      <c r="J119" s="26">
        <v>43917</v>
      </c>
      <c r="K119" t="s">
        <v>162</v>
      </c>
      <c r="L119" s="26"/>
      <c r="M119" t="s">
        <v>163</v>
      </c>
      <c r="N119" t="s">
        <v>96</v>
      </c>
      <c r="O119" s="27">
        <v>2400000</v>
      </c>
      <c r="P119">
        <v>4</v>
      </c>
      <c r="Q119" t="s">
        <v>164</v>
      </c>
      <c r="R119">
        <v>37</v>
      </c>
      <c r="S119" t="s">
        <v>224</v>
      </c>
      <c r="T119">
        <f t="shared" si="7"/>
        <v>11401</v>
      </c>
      <c r="U119" t="str">
        <f t="shared" si="8"/>
        <v>MKT</v>
      </c>
      <c r="V119" t="str">
        <f t="shared" si="9"/>
        <v>L4</v>
      </c>
      <c r="W119" t="str">
        <f>PROPER(TRIM(VLOOKUP(S119,Employee_Lookups!$I$4:$M$19,2,FALSE())))</f>
        <v>Tanvi Chitnis</v>
      </c>
      <c r="X119" t="str">
        <f>VLOOKUP(C119,Employee_Lookups!$A$4:$G$9,4,FALSE())</f>
        <v>CC-606</v>
      </c>
      <c r="Y119" t="str">
        <f>INDEX(Employee_Lookups!$C$13:$C$17,MATCH(F119,Employee_Lookups!$A$13:$A$17,0))</f>
        <v>Band D (Leadership)</v>
      </c>
      <c r="Z119" s="27">
        <f>_xlfn.XLOOKUP(F119,Employee_Lookups!$A$13:$A$17,Employee_Lookups!$E$13:$E$17,0)</f>
        <v>2750000</v>
      </c>
      <c r="AA119" s="28">
        <f>ROUND(O119/INDEX(Employee_Lookups!$E$13:$E$17,MATCH(F119,Employee_Lookups!$A$13:$A$17,0)),3)</f>
        <v>0.873</v>
      </c>
      <c r="AB119">
        <f t="shared" si="10"/>
        <v>2020</v>
      </c>
      <c r="AC119" t="str">
        <f t="shared" si="11"/>
        <v/>
      </c>
      <c r="AD119" s="28">
        <f>ROUND((IF(ISBLANK(L119),Employee_Lookups!$O$14,L119)-J119)/365.25,2)</f>
        <v>5.76</v>
      </c>
      <c r="AE119" t="str">
        <f t="shared" si="12"/>
        <v>5+ Yrs</v>
      </c>
      <c r="AF119" t="str">
        <f t="shared" si="13"/>
        <v>Low Risk</v>
      </c>
    </row>
    <row r="120" spans="1:32" x14ac:dyDescent="0.45">
      <c r="A120" t="s">
        <v>457</v>
      </c>
      <c r="B120" t="s">
        <v>458</v>
      </c>
      <c r="C120" t="s">
        <v>53</v>
      </c>
      <c r="D120" t="s">
        <v>52</v>
      </c>
      <c r="E120" t="s">
        <v>185</v>
      </c>
      <c r="F120" t="s">
        <v>82</v>
      </c>
      <c r="G120" t="s">
        <v>186</v>
      </c>
      <c r="H120" t="s">
        <v>108</v>
      </c>
      <c r="I120" t="s">
        <v>107</v>
      </c>
      <c r="J120" s="26">
        <v>43918</v>
      </c>
      <c r="K120" t="s">
        <v>162</v>
      </c>
      <c r="L120" s="26"/>
      <c r="M120" t="s">
        <v>163</v>
      </c>
      <c r="N120" t="s">
        <v>95</v>
      </c>
      <c r="O120" s="27">
        <v>1171000</v>
      </c>
      <c r="P120">
        <v>1</v>
      </c>
      <c r="Q120" t="s">
        <v>172</v>
      </c>
      <c r="R120">
        <v>26</v>
      </c>
      <c r="S120" t="s">
        <v>237</v>
      </c>
      <c r="T120">
        <f t="shared" si="7"/>
        <v>10188</v>
      </c>
      <c r="U120" t="str">
        <f t="shared" si="8"/>
        <v>SAL</v>
      </c>
      <c r="V120" t="str">
        <f t="shared" si="9"/>
        <v>L2</v>
      </c>
      <c r="W120" t="str">
        <f>PROPER(TRIM(VLOOKUP(S120,Employee_Lookups!$I$4:$M$19,2,FALSE())))</f>
        <v>Karan Malhotra</v>
      </c>
      <c r="X120" t="str">
        <f>VLOOKUP(C120,Employee_Lookups!$A$4:$G$9,4,FALSE())</f>
        <v>CC-202</v>
      </c>
      <c r="Y120" t="str">
        <f>INDEX(Employee_Lookups!$C$13:$C$17,MATCH(F120,Employee_Lookups!$A$13:$A$17,0))</f>
        <v>Band B (Mid)</v>
      </c>
      <c r="Z120" s="27">
        <f>_xlfn.XLOOKUP(F120,Employee_Lookups!$A$13:$A$17,Employee_Lookups!$E$13:$E$17,0)</f>
        <v>1100000</v>
      </c>
      <c r="AA120" s="28">
        <f>ROUND(O120/INDEX(Employee_Lookups!$E$13:$E$17,MATCH(F120,Employee_Lookups!$A$13:$A$17,0)),3)</f>
        <v>1.0649999999999999</v>
      </c>
      <c r="AB120">
        <f t="shared" si="10"/>
        <v>2020</v>
      </c>
      <c r="AC120" t="str">
        <f t="shared" si="11"/>
        <v/>
      </c>
      <c r="AD120" s="28">
        <f>ROUND((IF(ISBLANK(L120),Employee_Lookups!$O$14,L120)-J120)/365.25,2)</f>
        <v>5.76</v>
      </c>
      <c r="AE120" t="str">
        <f t="shared" si="12"/>
        <v>5+ Yrs</v>
      </c>
      <c r="AF120" t="str">
        <f t="shared" si="13"/>
        <v>Moderate Risk</v>
      </c>
    </row>
    <row r="121" spans="1:32" x14ac:dyDescent="0.45">
      <c r="A121" t="s">
        <v>459</v>
      </c>
      <c r="B121" t="s">
        <v>460</v>
      </c>
      <c r="C121" t="s">
        <v>53</v>
      </c>
      <c r="D121" t="s">
        <v>52</v>
      </c>
      <c r="E121" t="s">
        <v>192</v>
      </c>
      <c r="F121" t="s">
        <v>83</v>
      </c>
      <c r="G121" t="s">
        <v>193</v>
      </c>
      <c r="H121" t="s">
        <v>106</v>
      </c>
      <c r="I121" t="s">
        <v>107</v>
      </c>
      <c r="J121" s="26">
        <v>43918</v>
      </c>
      <c r="K121" t="s">
        <v>162</v>
      </c>
      <c r="L121" s="26"/>
      <c r="M121" t="s">
        <v>163</v>
      </c>
      <c r="N121" t="s">
        <v>99</v>
      </c>
      <c r="O121" s="27">
        <v>1635000</v>
      </c>
      <c r="P121">
        <v>5</v>
      </c>
      <c r="Q121" t="s">
        <v>172</v>
      </c>
      <c r="R121">
        <v>49</v>
      </c>
      <c r="S121" t="s">
        <v>189</v>
      </c>
      <c r="T121">
        <f t="shared" si="7"/>
        <v>11130</v>
      </c>
      <c r="U121" t="str">
        <f t="shared" si="8"/>
        <v>SAL</v>
      </c>
      <c r="V121" t="str">
        <f t="shared" si="9"/>
        <v>L3</v>
      </c>
      <c r="W121" t="str">
        <f>PROPER(TRIM(VLOOKUP(S121,Employee_Lookups!$I$4:$M$19,2,FALSE())))</f>
        <v>Priya Sharma</v>
      </c>
      <c r="X121" t="str">
        <f>VLOOKUP(C121,Employee_Lookups!$A$4:$G$9,4,FALSE())</f>
        <v>CC-202</v>
      </c>
      <c r="Y121" t="str">
        <f>INDEX(Employee_Lookups!$C$13:$C$17,MATCH(F121,Employee_Lookups!$A$13:$A$17,0))</f>
        <v>Band C (Senior)</v>
      </c>
      <c r="Z121" s="27">
        <f>_xlfn.XLOOKUP(F121,Employee_Lookups!$A$13:$A$17,Employee_Lookups!$E$13:$E$17,0)</f>
        <v>1725000</v>
      </c>
      <c r="AA121" s="28">
        <f>ROUND(O121/INDEX(Employee_Lookups!$E$13:$E$17,MATCH(F121,Employee_Lookups!$A$13:$A$17,0)),3)</f>
        <v>0.94799999999999995</v>
      </c>
      <c r="AB121">
        <f t="shared" si="10"/>
        <v>2020</v>
      </c>
      <c r="AC121" t="str">
        <f t="shared" si="11"/>
        <v/>
      </c>
      <c r="AD121" s="28">
        <f>ROUND((IF(ISBLANK(L121),Employee_Lookups!$O$14,L121)-J121)/365.25,2)</f>
        <v>5.76</v>
      </c>
      <c r="AE121" t="str">
        <f t="shared" si="12"/>
        <v>5+ Yrs</v>
      </c>
      <c r="AF121" t="str">
        <f t="shared" si="13"/>
        <v>High Risk</v>
      </c>
    </row>
    <row r="122" spans="1:32" x14ac:dyDescent="0.45">
      <c r="A122" t="s">
        <v>461</v>
      </c>
      <c r="B122" t="s">
        <v>462</v>
      </c>
      <c r="C122" t="s">
        <v>57</v>
      </c>
      <c r="D122" t="s">
        <v>56</v>
      </c>
      <c r="E122" t="s">
        <v>160</v>
      </c>
      <c r="F122" t="s">
        <v>81</v>
      </c>
      <c r="G122" t="s">
        <v>161</v>
      </c>
      <c r="H122" t="s">
        <v>108</v>
      </c>
      <c r="I122" t="s">
        <v>107</v>
      </c>
      <c r="J122" s="26">
        <v>43922</v>
      </c>
      <c r="K122" t="s">
        <v>187</v>
      </c>
      <c r="L122" s="26">
        <v>44959</v>
      </c>
      <c r="M122" t="s">
        <v>282</v>
      </c>
      <c r="N122" t="s">
        <v>99</v>
      </c>
      <c r="O122" s="27">
        <v>819000</v>
      </c>
      <c r="P122">
        <v>3</v>
      </c>
      <c r="Q122" t="s">
        <v>164</v>
      </c>
      <c r="R122">
        <v>18</v>
      </c>
      <c r="S122" t="s">
        <v>224</v>
      </c>
      <c r="T122">
        <f t="shared" si="7"/>
        <v>11087</v>
      </c>
      <c r="U122" t="str">
        <f t="shared" si="8"/>
        <v>MKT</v>
      </c>
      <c r="V122" t="str">
        <f t="shared" si="9"/>
        <v>L1</v>
      </c>
      <c r="W122" t="str">
        <f>PROPER(TRIM(VLOOKUP(S122,Employee_Lookups!$I$4:$M$19,2,FALSE())))</f>
        <v>Tanvi Chitnis</v>
      </c>
      <c r="X122" t="str">
        <f>VLOOKUP(C122,Employee_Lookups!$A$4:$G$9,4,FALSE())</f>
        <v>CC-606</v>
      </c>
      <c r="Y122" t="str">
        <f>INDEX(Employee_Lookups!$C$13:$C$17,MATCH(F122,Employee_Lookups!$A$13:$A$17,0))</f>
        <v>Band A (Entry)</v>
      </c>
      <c r="Z122" s="27">
        <f>_xlfn.XLOOKUP(F122,Employee_Lookups!$A$13:$A$17,Employee_Lookups!$E$13:$E$17,0)</f>
        <v>700000</v>
      </c>
      <c r="AA122" s="28">
        <f>ROUND(O122/INDEX(Employee_Lookups!$E$13:$E$17,MATCH(F122,Employee_Lookups!$A$13:$A$17,0)),3)</f>
        <v>1.17</v>
      </c>
      <c r="AB122">
        <f t="shared" si="10"/>
        <v>2020</v>
      </c>
      <c r="AC122">
        <f t="shared" si="11"/>
        <v>2023</v>
      </c>
      <c r="AD122" s="28">
        <f>ROUND((IF(ISBLANK(L122),Employee_Lookups!$O$14,L122)-J122)/365.25,2)</f>
        <v>2.84</v>
      </c>
      <c r="AE122" t="str">
        <f t="shared" si="12"/>
        <v>1 - 3 Yrs</v>
      </c>
      <c r="AF122" t="str">
        <f t="shared" si="13"/>
        <v>Exited</v>
      </c>
    </row>
    <row r="123" spans="1:32" x14ac:dyDescent="0.45">
      <c r="A123" t="s">
        <v>463</v>
      </c>
      <c r="B123" t="s">
        <v>464</v>
      </c>
      <c r="C123" t="s">
        <v>51</v>
      </c>
      <c r="D123" t="s">
        <v>50</v>
      </c>
      <c r="E123" t="s">
        <v>217</v>
      </c>
      <c r="F123" t="s">
        <v>83</v>
      </c>
      <c r="G123" t="s">
        <v>218</v>
      </c>
      <c r="H123" t="s">
        <v>106</v>
      </c>
      <c r="I123" t="s">
        <v>107</v>
      </c>
      <c r="J123" s="26">
        <v>43924</v>
      </c>
      <c r="K123" t="s">
        <v>162</v>
      </c>
      <c r="L123" s="26"/>
      <c r="M123" t="s">
        <v>163</v>
      </c>
      <c r="N123" t="s">
        <v>98</v>
      </c>
      <c r="O123" s="27">
        <v>1359000</v>
      </c>
      <c r="P123">
        <v>3</v>
      </c>
      <c r="Q123" t="s">
        <v>164</v>
      </c>
      <c r="R123">
        <v>50</v>
      </c>
      <c r="S123" t="s">
        <v>244</v>
      </c>
      <c r="T123">
        <f t="shared" si="7"/>
        <v>10799</v>
      </c>
      <c r="U123" t="str">
        <f t="shared" si="8"/>
        <v>ENG</v>
      </c>
      <c r="V123" t="str">
        <f t="shared" si="9"/>
        <v>L3</v>
      </c>
      <c r="W123" t="str">
        <f>PROPER(TRIM(VLOOKUP(S123,Employee_Lookups!$I$4:$M$19,2,FALSE())))</f>
        <v>Siddharth Nair</v>
      </c>
      <c r="X123" t="str">
        <f>VLOOKUP(C123,Employee_Lookups!$A$4:$G$9,4,FALSE())</f>
        <v>CC-101</v>
      </c>
      <c r="Y123" t="str">
        <f>INDEX(Employee_Lookups!$C$13:$C$17,MATCH(F123,Employee_Lookups!$A$13:$A$17,0))</f>
        <v>Band C (Senior)</v>
      </c>
      <c r="Z123" s="27">
        <f>_xlfn.XLOOKUP(F123,Employee_Lookups!$A$13:$A$17,Employee_Lookups!$E$13:$E$17,0)</f>
        <v>1725000</v>
      </c>
      <c r="AA123" s="28">
        <f>ROUND(O123/INDEX(Employee_Lookups!$E$13:$E$17,MATCH(F123,Employee_Lookups!$A$13:$A$17,0)),3)</f>
        <v>0.78800000000000003</v>
      </c>
      <c r="AB123">
        <f t="shared" si="10"/>
        <v>2020</v>
      </c>
      <c r="AC123" t="str">
        <f t="shared" si="11"/>
        <v/>
      </c>
      <c r="AD123" s="28">
        <f>ROUND((IF(ISBLANK(L123),Employee_Lookups!$O$14,L123)-J123)/365.25,2)</f>
        <v>5.74</v>
      </c>
      <c r="AE123" t="str">
        <f t="shared" si="12"/>
        <v>5+ Yrs</v>
      </c>
      <c r="AF123" t="str">
        <f t="shared" si="13"/>
        <v>Low Risk</v>
      </c>
    </row>
    <row r="124" spans="1:32" x14ac:dyDescent="0.45">
      <c r="A124" t="s">
        <v>465</v>
      </c>
      <c r="B124" t="s">
        <v>466</v>
      </c>
      <c r="C124" t="s">
        <v>53</v>
      </c>
      <c r="D124" t="s">
        <v>52</v>
      </c>
      <c r="E124" t="s">
        <v>185</v>
      </c>
      <c r="F124" t="s">
        <v>82</v>
      </c>
      <c r="G124" t="s">
        <v>186</v>
      </c>
      <c r="H124" t="s">
        <v>106</v>
      </c>
      <c r="I124" t="s">
        <v>107</v>
      </c>
      <c r="J124" s="26">
        <v>43927</v>
      </c>
      <c r="K124" t="s">
        <v>162</v>
      </c>
      <c r="L124" s="26"/>
      <c r="M124" t="s">
        <v>163</v>
      </c>
      <c r="N124" t="s">
        <v>99</v>
      </c>
      <c r="O124" s="27">
        <v>1136000</v>
      </c>
      <c r="P124">
        <v>4</v>
      </c>
      <c r="Q124" t="s">
        <v>172</v>
      </c>
      <c r="R124">
        <v>44</v>
      </c>
      <c r="S124" t="s">
        <v>189</v>
      </c>
      <c r="T124">
        <f t="shared" si="7"/>
        <v>11205</v>
      </c>
      <c r="U124" t="str">
        <f t="shared" si="8"/>
        <v>SAL</v>
      </c>
      <c r="V124" t="str">
        <f t="shared" si="9"/>
        <v>L2</v>
      </c>
      <c r="W124" t="str">
        <f>PROPER(TRIM(VLOOKUP(S124,Employee_Lookups!$I$4:$M$19,2,FALSE())))</f>
        <v>Priya Sharma</v>
      </c>
      <c r="X124" t="str">
        <f>VLOOKUP(C124,Employee_Lookups!$A$4:$G$9,4,FALSE())</f>
        <v>CC-202</v>
      </c>
      <c r="Y124" t="str">
        <f>INDEX(Employee_Lookups!$C$13:$C$17,MATCH(F124,Employee_Lookups!$A$13:$A$17,0))</f>
        <v>Band B (Mid)</v>
      </c>
      <c r="Z124" s="27">
        <f>_xlfn.XLOOKUP(F124,Employee_Lookups!$A$13:$A$17,Employee_Lookups!$E$13:$E$17,0)</f>
        <v>1100000</v>
      </c>
      <c r="AA124" s="28">
        <f>ROUND(O124/INDEX(Employee_Lookups!$E$13:$E$17,MATCH(F124,Employee_Lookups!$A$13:$A$17,0)),3)</f>
        <v>1.0329999999999999</v>
      </c>
      <c r="AB124">
        <f t="shared" si="10"/>
        <v>2020</v>
      </c>
      <c r="AC124" t="str">
        <f t="shared" si="11"/>
        <v/>
      </c>
      <c r="AD124" s="28">
        <f>ROUND((IF(ISBLANK(L124),Employee_Lookups!$O$14,L124)-J124)/365.25,2)</f>
        <v>5.74</v>
      </c>
      <c r="AE124" t="str">
        <f t="shared" si="12"/>
        <v>5+ Yrs</v>
      </c>
      <c r="AF124" t="str">
        <f t="shared" si="13"/>
        <v>High Risk</v>
      </c>
    </row>
    <row r="125" spans="1:32" x14ac:dyDescent="0.45">
      <c r="A125" t="s">
        <v>467</v>
      </c>
      <c r="B125" t="s">
        <v>468</v>
      </c>
      <c r="C125" t="s">
        <v>51</v>
      </c>
      <c r="D125" t="s">
        <v>50</v>
      </c>
      <c r="E125" t="s">
        <v>176</v>
      </c>
      <c r="F125" t="s">
        <v>82</v>
      </c>
      <c r="G125" t="s">
        <v>177</v>
      </c>
      <c r="H125" t="s">
        <v>106</v>
      </c>
      <c r="I125" t="s">
        <v>107</v>
      </c>
      <c r="J125" s="26">
        <v>43932</v>
      </c>
      <c r="K125" t="s">
        <v>162</v>
      </c>
      <c r="L125" s="26"/>
      <c r="M125" t="s">
        <v>163</v>
      </c>
      <c r="N125" t="s">
        <v>96</v>
      </c>
      <c r="O125" s="27">
        <v>1265000</v>
      </c>
      <c r="P125">
        <v>3</v>
      </c>
      <c r="Q125" t="s">
        <v>164</v>
      </c>
      <c r="R125">
        <v>52</v>
      </c>
      <c r="S125" t="s">
        <v>219</v>
      </c>
      <c r="T125">
        <f t="shared" si="7"/>
        <v>11418</v>
      </c>
      <c r="U125" t="str">
        <f t="shared" si="8"/>
        <v>ENG</v>
      </c>
      <c r="V125" t="str">
        <f t="shared" si="9"/>
        <v>L2</v>
      </c>
      <c r="W125" t="str">
        <f>PROPER(TRIM(VLOOKUP(S125,Employee_Lookups!$I$4:$M$19,2,FALSE())))</f>
        <v>Neha Kulkarni</v>
      </c>
      <c r="X125" t="str">
        <f>VLOOKUP(C125,Employee_Lookups!$A$4:$G$9,4,FALSE())</f>
        <v>CC-101</v>
      </c>
      <c r="Y125" t="str">
        <f>INDEX(Employee_Lookups!$C$13:$C$17,MATCH(F125,Employee_Lookups!$A$13:$A$17,0))</f>
        <v>Band B (Mid)</v>
      </c>
      <c r="Z125" s="27">
        <f>_xlfn.XLOOKUP(F125,Employee_Lookups!$A$13:$A$17,Employee_Lookups!$E$13:$E$17,0)</f>
        <v>1100000</v>
      </c>
      <c r="AA125" s="28">
        <f>ROUND(O125/INDEX(Employee_Lookups!$E$13:$E$17,MATCH(F125,Employee_Lookups!$A$13:$A$17,0)),3)</f>
        <v>1.1499999999999999</v>
      </c>
      <c r="AB125">
        <f t="shared" si="10"/>
        <v>2020</v>
      </c>
      <c r="AC125" t="str">
        <f t="shared" si="11"/>
        <v/>
      </c>
      <c r="AD125" s="28">
        <f>ROUND((IF(ISBLANK(L125),Employee_Lookups!$O$14,L125)-J125)/365.25,2)</f>
        <v>5.72</v>
      </c>
      <c r="AE125" t="str">
        <f t="shared" si="12"/>
        <v>5+ Yrs</v>
      </c>
      <c r="AF125" t="str">
        <f t="shared" si="13"/>
        <v>Low Risk</v>
      </c>
    </row>
    <row r="126" spans="1:32" x14ac:dyDescent="0.45">
      <c r="A126" t="s">
        <v>469</v>
      </c>
      <c r="B126" t="s">
        <v>470</v>
      </c>
      <c r="C126" t="s">
        <v>57</v>
      </c>
      <c r="D126" t="s">
        <v>56</v>
      </c>
      <c r="E126" t="s">
        <v>222</v>
      </c>
      <c r="F126" t="s">
        <v>82</v>
      </c>
      <c r="G126" t="s">
        <v>223</v>
      </c>
      <c r="H126" t="s">
        <v>106</v>
      </c>
      <c r="I126" t="s">
        <v>107</v>
      </c>
      <c r="J126" s="26">
        <v>43933</v>
      </c>
      <c r="K126" t="s">
        <v>162</v>
      </c>
      <c r="L126" s="26"/>
      <c r="M126" t="s">
        <v>163</v>
      </c>
      <c r="N126" t="s">
        <v>99</v>
      </c>
      <c r="O126" s="27">
        <v>946000</v>
      </c>
      <c r="P126">
        <v>3</v>
      </c>
      <c r="Q126" t="s">
        <v>172</v>
      </c>
      <c r="R126">
        <v>27</v>
      </c>
      <c r="S126" t="s">
        <v>165</v>
      </c>
      <c r="T126">
        <f t="shared" si="7"/>
        <v>11275</v>
      </c>
      <c r="U126" t="str">
        <f t="shared" si="8"/>
        <v>MKT</v>
      </c>
      <c r="V126" t="str">
        <f t="shared" si="9"/>
        <v>L2</v>
      </c>
      <c r="W126" t="str">
        <f>PROPER(TRIM(VLOOKUP(S126,Employee_Lookups!$I$4:$M$19,2,FALSE())))</f>
        <v>Arjun Sengupta</v>
      </c>
      <c r="X126" t="str">
        <f>VLOOKUP(C126,Employee_Lookups!$A$4:$G$9,4,FALSE())</f>
        <v>CC-606</v>
      </c>
      <c r="Y126" t="str">
        <f>INDEX(Employee_Lookups!$C$13:$C$17,MATCH(F126,Employee_Lookups!$A$13:$A$17,0))</f>
        <v>Band B (Mid)</v>
      </c>
      <c r="Z126" s="27">
        <f>_xlfn.XLOOKUP(F126,Employee_Lookups!$A$13:$A$17,Employee_Lookups!$E$13:$E$17,0)</f>
        <v>1100000</v>
      </c>
      <c r="AA126" s="28">
        <f>ROUND(O126/INDEX(Employee_Lookups!$E$13:$E$17,MATCH(F126,Employee_Lookups!$A$13:$A$17,0)),3)</f>
        <v>0.86</v>
      </c>
      <c r="AB126">
        <f t="shared" si="10"/>
        <v>2020</v>
      </c>
      <c r="AC126" t="str">
        <f t="shared" si="11"/>
        <v/>
      </c>
      <c r="AD126" s="28">
        <f>ROUND((IF(ISBLANK(L126),Employee_Lookups!$O$14,L126)-J126)/365.25,2)</f>
        <v>5.72</v>
      </c>
      <c r="AE126" t="str">
        <f t="shared" si="12"/>
        <v>5+ Yrs</v>
      </c>
      <c r="AF126" t="str">
        <f t="shared" si="13"/>
        <v>High Risk</v>
      </c>
    </row>
    <row r="127" spans="1:32" x14ac:dyDescent="0.45">
      <c r="A127" t="s">
        <v>471</v>
      </c>
      <c r="B127" t="s">
        <v>472</v>
      </c>
      <c r="C127" t="s">
        <v>53</v>
      </c>
      <c r="D127" t="s">
        <v>52</v>
      </c>
      <c r="E127" t="s">
        <v>322</v>
      </c>
      <c r="F127" t="s">
        <v>81</v>
      </c>
      <c r="G127" t="s">
        <v>323</v>
      </c>
      <c r="H127" t="s">
        <v>106</v>
      </c>
      <c r="I127" t="s">
        <v>107</v>
      </c>
      <c r="J127" s="26">
        <v>43934</v>
      </c>
      <c r="K127" t="s">
        <v>170</v>
      </c>
      <c r="L127" s="26">
        <v>44120</v>
      </c>
      <c r="M127" t="s">
        <v>171</v>
      </c>
      <c r="N127" t="s">
        <v>98</v>
      </c>
      <c r="O127" s="27">
        <v>582000</v>
      </c>
      <c r="P127">
        <v>3</v>
      </c>
      <c r="Q127" t="s">
        <v>164</v>
      </c>
      <c r="R127">
        <v>45</v>
      </c>
      <c r="S127" t="s">
        <v>189</v>
      </c>
      <c r="T127">
        <f t="shared" si="7"/>
        <v>10126</v>
      </c>
      <c r="U127" t="str">
        <f t="shared" si="8"/>
        <v>SAL</v>
      </c>
      <c r="V127" t="str">
        <f t="shared" si="9"/>
        <v>L1</v>
      </c>
      <c r="W127" t="str">
        <f>PROPER(TRIM(VLOOKUP(S127,Employee_Lookups!$I$4:$M$19,2,FALSE())))</f>
        <v>Priya Sharma</v>
      </c>
      <c r="X127" t="str">
        <f>VLOOKUP(C127,Employee_Lookups!$A$4:$G$9,4,FALSE())</f>
        <v>CC-202</v>
      </c>
      <c r="Y127" t="str">
        <f>INDEX(Employee_Lookups!$C$13:$C$17,MATCH(F127,Employee_Lookups!$A$13:$A$17,0))</f>
        <v>Band A (Entry)</v>
      </c>
      <c r="Z127" s="27">
        <f>_xlfn.XLOOKUP(F127,Employee_Lookups!$A$13:$A$17,Employee_Lookups!$E$13:$E$17,0)</f>
        <v>700000</v>
      </c>
      <c r="AA127" s="28">
        <f>ROUND(O127/INDEX(Employee_Lookups!$E$13:$E$17,MATCH(F127,Employee_Lookups!$A$13:$A$17,0)),3)</f>
        <v>0.83099999999999996</v>
      </c>
      <c r="AB127">
        <f t="shared" si="10"/>
        <v>2020</v>
      </c>
      <c r="AC127">
        <f t="shared" si="11"/>
        <v>2020</v>
      </c>
      <c r="AD127" s="28">
        <f>ROUND((IF(ISBLANK(L127),Employee_Lookups!$O$14,L127)-J127)/365.25,2)</f>
        <v>0.51</v>
      </c>
      <c r="AE127" t="str">
        <f t="shared" si="12"/>
        <v>&lt; 1 Yr (New)</v>
      </c>
      <c r="AF127" t="str">
        <f t="shared" si="13"/>
        <v>Exited</v>
      </c>
    </row>
    <row r="128" spans="1:32" x14ac:dyDescent="0.45">
      <c r="A128" t="s">
        <v>473</v>
      </c>
      <c r="B128" t="s">
        <v>474</v>
      </c>
      <c r="C128" t="s">
        <v>55</v>
      </c>
      <c r="D128" t="s">
        <v>54</v>
      </c>
      <c r="E128" t="s">
        <v>229</v>
      </c>
      <c r="F128" t="s">
        <v>82</v>
      </c>
      <c r="G128" t="s">
        <v>230</v>
      </c>
      <c r="H128" t="s">
        <v>111</v>
      </c>
      <c r="I128" t="s">
        <v>110</v>
      </c>
      <c r="J128" s="26">
        <v>43938</v>
      </c>
      <c r="K128" t="s">
        <v>162</v>
      </c>
      <c r="L128" s="26"/>
      <c r="M128" t="s">
        <v>163</v>
      </c>
      <c r="N128" t="s">
        <v>99</v>
      </c>
      <c r="O128" s="27">
        <v>1301000</v>
      </c>
      <c r="P128">
        <v>2</v>
      </c>
      <c r="Q128" t="s">
        <v>172</v>
      </c>
      <c r="R128">
        <v>29</v>
      </c>
      <c r="S128" t="s">
        <v>274</v>
      </c>
      <c r="T128">
        <f t="shared" si="7"/>
        <v>10055</v>
      </c>
      <c r="U128" t="str">
        <f t="shared" si="8"/>
        <v>OPS</v>
      </c>
      <c r="V128" t="str">
        <f t="shared" si="9"/>
        <v>L2</v>
      </c>
      <c r="W128" t="str">
        <f>PROPER(TRIM(VLOOKUP(S128,Employee_Lookups!$I$4:$M$19,2,FALSE())))</f>
        <v>Meera Krishnan</v>
      </c>
      <c r="X128" t="str">
        <f>VLOOKUP(C128,Employee_Lookups!$A$4:$G$9,4,FALSE())</f>
        <v>CC-303</v>
      </c>
      <c r="Y128" t="str">
        <f>INDEX(Employee_Lookups!$C$13:$C$17,MATCH(F128,Employee_Lookups!$A$13:$A$17,0))</f>
        <v>Band B (Mid)</v>
      </c>
      <c r="Z128" s="27">
        <f>_xlfn.XLOOKUP(F128,Employee_Lookups!$A$13:$A$17,Employee_Lookups!$E$13:$E$17,0)</f>
        <v>1100000</v>
      </c>
      <c r="AA128" s="28">
        <f>ROUND(O128/INDEX(Employee_Lookups!$E$13:$E$17,MATCH(F128,Employee_Lookups!$A$13:$A$17,0)),3)</f>
        <v>1.1830000000000001</v>
      </c>
      <c r="AB128">
        <f t="shared" si="10"/>
        <v>2020</v>
      </c>
      <c r="AC128" t="str">
        <f t="shared" si="11"/>
        <v/>
      </c>
      <c r="AD128" s="28">
        <f>ROUND((IF(ISBLANK(L128),Employee_Lookups!$O$14,L128)-J128)/365.25,2)</f>
        <v>5.71</v>
      </c>
      <c r="AE128" t="str">
        <f t="shared" si="12"/>
        <v>5+ Yrs</v>
      </c>
      <c r="AF128" t="str">
        <f t="shared" si="13"/>
        <v>Moderate Risk</v>
      </c>
    </row>
    <row r="129" spans="1:32" x14ac:dyDescent="0.45">
      <c r="A129" t="s">
        <v>475</v>
      </c>
      <c r="B129" t="s">
        <v>429</v>
      </c>
      <c r="C129" t="s">
        <v>55</v>
      </c>
      <c r="D129" t="s">
        <v>54</v>
      </c>
      <c r="E129" t="s">
        <v>277</v>
      </c>
      <c r="F129" t="s">
        <v>81</v>
      </c>
      <c r="G129" t="s">
        <v>278</v>
      </c>
      <c r="H129" t="s">
        <v>111</v>
      </c>
      <c r="I129" t="s">
        <v>110</v>
      </c>
      <c r="J129" s="26">
        <v>43939</v>
      </c>
      <c r="K129" t="s">
        <v>187</v>
      </c>
      <c r="L129" s="26">
        <v>45944</v>
      </c>
      <c r="M129" t="s">
        <v>269</v>
      </c>
      <c r="N129" t="s">
        <v>99</v>
      </c>
      <c r="O129" s="27">
        <v>776000</v>
      </c>
      <c r="P129">
        <v>3</v>
      </c>
      <c r="Q129" t="s">
        <v>164</v>
      </c>
      <c r="R129">
        <v>40</v>
      </c>
      <c r="S129" t="s">
        <v>262</v>
      </c>
      <c r="T129">
        <f t="shared" si="7"/>
        <v>11441</v>
      </c>
      <c r="U129" t="str">
        <f t="shared" si="8"/>
        <v>OPS</v>
      </c>
      <c r="V129" t="str">
        <f t="shared" si="9"/>
        <v>L1</v>
      </c>
      <c r="W129" t="str">
        <f>PROPER(TRIM(VLOOKUP(S129,Employee_Lookups!$I$4:$M$19,2,FALSE())))</f>
        <v>Ananya Iyer</v>
      </c>
      <c r="X129" t="str">
        <f>VLOOKUP(C129,Employee_Lookups!$A$4:$G$9,4,FALSE())</f>
        <v>CC-303</v>
      </c>
      <c r="Y129" t="str">
        <f>INDEX(Employee_Lookups!$C$13:$C$17,MATCH(F129,Employee_Lookups!$A$13:$A$17,0))</f>
        <v>Band A (Entry)</v>
      </c>
      <c r="Z129" s="27">
        <f>_xlfn.XLOOKUP(F129,Employee_Lookups!$A$13:$A$17,Employee_Lookups!$E$13:$E$17,0)</f>
        <v>700000</v>
      </c>
      <c r="AA129" s="28">
        <f>ROUND(O129/INDEX(Employee_Lookups!$E$13:$E$17,MATCH(F129,Employee_Lookups!$A$13:$A$17,0)),3)</f>
        <v>1.109</v>
      </c>
      <c r="AB129">
        <f t="shared" si="10"/>
        <v>2020</v>
      </c>
      <c r="AC129">
        <f t="shared" si="11"/>
        <v>2025</v>
      </c>
      <c r="AD129" s="28">
        <f>ROUND((IF(ISBLANK(L129),Employee_Lookups!$O$14,L129)-J129)/365.25,2)</f>
        <v>5.49</v>
      </c>
      <c r="AE129" t="str">
        <f t="shared" si="12"/>
        <v>5+ Yrs</v>
      </c>
      <c r="AF129" t="str">
        <f t="shared" si="13"/>
        <v>Exited</v>
      </c>
    </row>
    <row r="130" spans="1:32" x14ac:dyDescent="0.45">
      <c r="A130" t="s">
        <v>476</v>
      </c>
      <c r="B130" t="s">
        <v>477</v>
      </c>
      <c r="C130" t="s">
        <v>51</v>
      </c>
      <c r="D130" t="s">
        <v>50</v>
      </c>
      <c r="E130" t="s">
        <v>217</v>
      </c>
      <c r="F130" t="s">
        <v>83</v>
      </c>
      <c r="G130" t="s">
        <v>218</v>
      </c>
      <c r="H130" t="s">
        <v>111</v>
      </c>
      <c r="I130" t="s">
        <v>110</v>
      </c>
      <c r="J130" s="26">
        <v>43946</v>
      </c>
      <c r="K130" t="s">
        <v>162</v>
      </c>
      <c r="L130" s="26"/>
      <c r="M130" t="s">
        <v>163</v>
      </c>
      <c r="N130" t="s">
        <v>97</v>
      </c>
      <c r="O130" s="27">
        <v>1899000</v>
      </c>
      <c r="P130">
        <v>5</v>
      </c>
      <c r="Q130" t="s">
        <v>164</v>
      </c>
      <c r="R130">
        <v>37</v>
      </c>
      <c r="S130" t="s">
        <v>197</v>
      </c>
      <c r="T130">
        <f t="shared" ref="T130:T193" si="14">VALUE(MID(A130,5,5))</f>
        <v>11377</v>
      </c>
      <c r="U130" t="str">
        <f t="shared" ref="U130:U193" si="15">LEFT(E130,3)</f>
        <v>ENG</v>
      </c>
      <c r="V130" t="str">
        <f t="shared" ref="V130:V193" si="16">RIGHT(E130,2)</f>
        <v>L3</v>
      </c>
      <c r="W130" t="str">
        <f>PROPER(TRIM(VLOOKUP(S130,Employee_Lookups!$I$4:$M$19,2,FALSE())))</f>
        <v>Rohan Verma</v>
      </c>
      <c r="X130" t="str">
        <f>VLOOKUP(C130,Employee_Lookups!$A$4:$G$9,4,FALSE())</f>
        <v>CC-101</v>
      </c>
      <c r="Y130" t="str">
        <f>INDEX(Employee_Lookups!$C$13:$C$17,MATCH(F130,Employee_Lookups!$A$13:$A$17,0))</f>
        <v>Band C (Senior)</v>
      </c>
      <c r="Z130" s="27">
        <f>_xlfn.XLOOKUP(F130,Employee_Lookups!$A$13:$A$17,Employee_Lookups!$E$13:$E$17,0)</f>
        <v>1725000</v>
      </c>
      <c r="AA130" s="28">
        <f>ROUND(O130/INDEX(Employee_Lookups!$E$13:$E$17,MATCH(F130,Employee_Lookups!$A$13:$A$17,0)),3)</f>
        <v>1.101</v>
      </c>
      <c r="AB130">
        <f t="shared" ref="AB130:AB193" si="17">YEAR(J130)</f>
        <v>2020</v>
      </c>
      <c r="AC130" t="str">
        <f t="shared" ref="AC130:AC193" si="18">IF(ISBLANK(L130),"",YEAR(L130))</f>
        <v/>
      </c>
      <c r="AD130" s="28">
        <f>ROUND((IF(ISBLANK(L130),Employee_Lookups!$O$14,L130)-J130)/365.25,2)</f>
        <v>5.68</v>
      </c>
      <c r="AE130" t="str">
        <f t="shared" ref="AE130:AE193" si="19">IF(AD130&lt;1,"&lt; 1 Yr (New)",IF(AD130&lt;3,"1 - 3 Yrs",IF(AD130&lt;5,"3 - 5 Yrs","5+ Yrs")))</f>
        <v>5+ Yrs</v>
      </c>
      <c r="AF130" t="str">
        <f t="shared" ref="AF130:AF193" si="20">IF(K130&lt;&gt;"Active","Exited",IF(AND(Q130="Yes",OR(P130&gt;=4,AA130&lt;0.95)),"High Risk",IF(OR(Q130="Yes",AND(NOT(ISBLANK(P130)),P130&lt;=2)),"Moderate Risk","Low Risk")))</f>
        <v>Low Risk</v>
      </c>
    </row>
    <row r="131" spans="1:32" x14ac:dyDescent="0.45">
      <c r="A131" t="s">
        <v>478</v>
      </c>
      <c r="B131" t="s">
        <v>479</v>
      </c>
      <c r="C131" t="s">
        <v>61</v>
      </c>
      <c r="D131" t="s">
        <v>60</v>
      </c>
      <c r="E131" t="s">
        <v>356</v>
      </c>
      <c r="F131" t="s">
        <v>81</v>
      </c>
      <c r="G131" t="s">
        <v>357</v>
      </c>
      <c r="H131" t="s">
        <v>106</v>
      </c>
      <c r="I131" t="s">
        <v>107</v>
      </c>
      <c r="J131" s="26">
        <v>43952</v>
      </c>
      <c r="K131" t="s">
        <v>162</v>
      </c>
      <c r="L131" s="26"/>
      <c r="M131" t="s">
        <v>163</v>
      </c>
      <c r="N131" t="s">
        <v>99</v>
      </c>
      <c r="O131" s="27">
        <v>807000</v>
      </c>
      <c r="P131">
        <v>3</v>
      </c>
      <c r="Q131" t="s">
        <v>164</v>
      </c>
      <c r="R131">
        <v>33</v>
      </c>
      <c r="S131" t="s">
        <v>319</v>
      </c>
      <c r="T131">
        <f t="shared" si="14"/>
        <v>11313</v>
      </c>
      <c r="U131" t="str">
        <f t="shared" si="15"/>
        <v>-HR</v>
      </c>
      <c r="V131" t="str">
        <f t="shared" si="16"/>
        <v>L1</v>
      </c>
      <c r="W131" t="str">
        <f>PROPER(TRIM(VLOOKUP(S131,Employee_Lookups!$I$4:$M$19,2,FALSE())))</f>
        <v>Kavita Menon</v>
      </c>
      <c r="X131" t="str">
        <f>VLOOKUP(C131,Employee_Lookups!$A$4:$G$9,4,FALSE())</f>
        <v>CC-505</v>
      </c>
      <c r="Y131" t="str">
        <f>INDEX(Employee_Lookups!$C$13:$C$17,MATCH(F131,Employee_Lookups!$A$13:$A$17,0))</f>
        <v>Band A (Entry)</v>
      </c>
      <c r="Z131" s="27">
        <f>_xlfn.XLOOKUP(F131,Employee_Lookups!$A$13:$A$17,Employee_Lookups!$E$13:$E$17,0)</f>
        <v>700000</v>
      </c>
      <c r="AA131" s="28">
        <f>ROUND(O131/INDEX(Employee_Lookups!$E$13:$E$17,MATCH(F131,Employee_Lookups!$A$13:$A$17,0)),3)</f>
        <v>1.153</v>
      </c>
      <c r="AB131">
        <f t="shared" si="17"/>
        <v>2020</v>
      </c>
      <c r="AC131" t="str">
        <f t="shared" si="18"/>
        <v/>
      </c>
      <c r="AD131" s="28">
        <f>ROUND((IF(ISBLANK(L131),Employee_Lookups!$O$14,L131)-J131)/365.25,2)</f>
        <v>5.67</v>
      </c>
      <c r="AE131" t="str">
        <f t="shared" si="19"/>
        <v>5+ Yrs</v>
      </c>
      <c r="AF131" t="str">
        <f t="shared" si="20"/>
        <v>Low Risk</v>
      </c>
    </row>
    <row r="132" spans="1:32" x14ac:dyDescent="0.45">
      <c r="A132" t="s">
        <v>480</v>
      </c>
      <c r="B132" t="s">
        <v>481</v>
      </c>
      <c r="C132" t="s">
        <v>53</v>
      </c>
      <c r="D132" t="s">
        <v>52</v>
      </c>
      <c r="E132" t="s">
        <v>322</v>
      </c>
      <c r="F132" t="s">
        <v>81</v>
      </c>
      <c r="G132" t="s">
        <v>323</v>
      </c>
      <c r="H132" t="s">
        <v>106</v>
      </c>
      <c r="I132" t="s">
        <v>107</v>
      </c>
      <c r="J132" s="26">
        <v>43953</v>
      </c>
      <c r="K132" t="s">
        <v>187</v>
      </c>
      <c r="L132" s="26">
        <v>44159</v>
      </c>
      <c r="M132" t="s">
        <v>213</v>
      </c>
      <c r="N132" t="s">
        <v>99</v>
      </c>
      <c r="O132" s="27">
        <v>723000</v>
      </c>
      <c r="P132">
        <v>5</v>
      </c>
      <c r="Q132" t="s">
        <v>164</v>
      </c>
      <c r="R132">
        <v>35</v>
      </c>
      <c r="S132" t="s">
        <v>237</v>
      </c>
      <c r="T132">
        <f t="shared" si="14"/>
        <v>10647</v>
      </c>
      <c r="U132" t="str">
        <f t="shared" si="15"/>
        <v>SAL</v>
      </c>
      <c r="V132" t="str">
        <f t="shared" si="16"/>
        <v>L1</v>
      </c>
      <c r="W132" t="str">
        <f>PROPER(TRIM(VLOOKUP(S132,Employee_Lookups!$I$4:$M$19,2,FALSE())))</f>
        <v>Karan Malhotra</v>
      </c>
      <c r="X132" t="str">
        <f>VLOOKUP(C132,Employee_Lookups!$A$4:$G$9,4,FALSE())</f>
        <v>CC-202</v>
      </c>
      <c r="Y132" t="str">
        <f>INDEX(Employee_Lookups!$C$13:$C$17,MATCH(F132,Employee_Lookups!$A$13:$A$17,0))</f>
        <v>Band A (Entry)</v>
      </c>
      <c r="Z132" s="27">
        <f>_xlfn.XLOOKUP(F132,Employee_Lookups!$A$13:$A$17,Employee_Lookups!$E$13:$E$17,0)</f>
        <v>700000</v>
      </c>
      <c r="AA132" s="28">
        <f>ROUND(O132/INDEX(Employee_Lookups!$E$13:$E$17,MATCH(F132,Employee_Lookups!$A$13:$A$17,0)),3)</f>
        <v>1.0329999999999999</v>
      </c>
      <c r="AB132">
        <f t="shared" si="17"/>
        <v>2020</v>
      </c>
      <c r="AC132">
        <f t="shared" si="18"/>
        <v>2020</v>
      </c>
      <c r="AD132" s="28">
        <f>ROUND((IF(ISBLANK(L132),Employee_Lookups!$O$14,L132)-J132)/365.25,2)</f>
        <v>0.56000000000000005</v>
      </c>
      <c r="AE132" t="str">
        <f t="shared" si="19"/>
        <v>&lt; 1 Yr (New)</v>
      </c>
      <c r="AF132" t="str">
        <f t="shared" si="20"/>
        <v>Exited</v>
      </c>
    </row>
    <row r="133" spans="1:32" x14ac:dyDescent="0.45">
      <c r="A133" t="s">
        <v>482</v>
      </c>
      <c r="B133" t="s">
        <v>483</v>
      </c>
      <c r="C133" t="s">
        <v>61</v>
      </c>
      <c r="D133" t="s">
        <v>60</v>
      </c>
      <c r="E133" t="s">
        <v>484</v>
      </c>
      <c r="F133" t="s">
        <v>83</v>
      </c>
      <c r="G133" t="s">
        <v>485</v>
      </c>
      <c r="H133" t="s">
        <v>106</v>
      </c>
      <c r="I133" t="s">
        <v>107</v>
      </c>
      <c r="J133" s="26">
        <v>43953</v>
      </c>
      <c r="K133" t="s">
        <v>162</v>
      </c>
      <c r="L133" s="26"/>
      <c r="M133" t="s">
        <v>163</v>
      </c>
      <c r="N133" t="s">
        <v>97</v>
      </c>
      <c r="O133" s="27">
        <v>1780000</v>
      </c>
      <c r="P133">
        <v>4</v>
      </c>
      <c r="Q133" t="s">
        <v>164</v>
      </c>
      <c r="R133">
        <v>0</v>
      </c>
      <c r="S133" t="s">
        <v>253</v>
      </c>
      <c r="T133">
        <f t="shared" si="14"/>
        <v>10875</v>
      </c>
      <c r="U133" t="str">
        <f t="shared" si="15"/>
        <v>-HR</v>
      </c>
      <c r="V133" t="str">
        <f t="shared" si="16"/>
        <v>L3</v>
      </c>
      <c r="W133" t="str">
        <f>PROPER(TRIM(VLOOKUP(S133,Employee_Lookups!$I$4:$M$19,2,FALSE())))</f>
        <v>Nikhil Chatterjee</v>
      </c>
      <c r="X133" t="str">
        <f>VLOOKUP(C133,Employee_Lookups!$A$4:$G$9,4,FALSE())</f>
        <v>CC-505</v>
      </c>
      <c r="Y133" t="str">
        <f>INDEX(Employee_Lookups!$C$13:$C$17,MATCH(F133,Employee_Lookups!$A$13:$A$17,0))</f>
        <v>Band C (Senior)</v>
      </c>
      <c r="Z133" s="27">
        <f>_xlfn.XLOOKUP(F133,Employee_Lookups!$A$13:$A$17,Employee_Lookups!$E$13:$E$17,0)</f>
        <v>1725000</v>
      </c>
      <c r="AA133" s="28">
        <f>ROUND(O133/INDEX(Employee_Lookups!$E$13:$E$17,MATCH(F133,Employee_Lookups!$A$13:$A$17,0)),3)</f>
        <v>1.032</v>
      </c>
      <c r="AB133">
        <f t="shared" si="17"/>
        <v>2020</v>
      </c>
      <c r="AC133" t="str">
        <f t="shared" si="18"/>
        <v/>
      </c>
      <c r="AD133" s="28">
        <f>ROUND((IF(ISBLANK(L133),Employee_Lookups!$O$14,L133)-J133)/365.25,2)</f>
        <v>5.66</v>
      </c>
      <c r="AE133" t="str">
        <f t="shared" si="19"/>
        <v>5+ Yrs</v>
      </c>
      <c r="AF133" t="str">
        <f t="shared" si="20"/>
        <v>Low Risk</v>
      </c>
    </row>
    <row r="134" spans="1:32" x14ac:dyDescent="0.45">
      <c r="A134" t="s">
        <v>486</v>
      </c>
      <c r="B134" t="s">
        <v>487</v>
      </c>
      <c r="C134" t="s">
        <v>51</v>
      </c>
      <c r="D134" t="s">
        <v>50</v>
      </c>
      <c r="E134" t="s">
        <v>176</v>
      </c>
      <c r="F134" t="s">
        <v>82</v>
      </c>
      <c r="G134" t="s">
        <v>177</v>
      </c>
      <c r="H134" t="s">
        <v>109</v>
      </c>
      <c r="I134" t="s">
        <v>110</v>
      </c>
      <c r="J134" s="26">
        <v>43962</v>
      </c>
      <c r="K134" t="s">
        <v>162</v>
      </c>
      <c r="L134" s="26"/>
      <c r="M134" t="s">
        <v>163</v>
      </c>
      <c r="N134" t="s">
        <v>96</v>
      </c>
      <c r="O134" s="27">
        <v>1304000</v>
      </c>
      <c r="P134">
        <v>3</v>
      </c>
      <c r="Q134" t="s">
        <v>164</v>
      </c>
      <c r="R134">
        <v>36</v>
      </c>
      <c r="S134" t="s">
        <v>178</v>
      </c>
      <c r="T134">
        <f t="shared" si="14"/>
        <v>10684</v>
      </c>
      <c r="U134" t="str">
        <f t="shared" si="15"/>
        <v>ENG</v>
      </c>
      <c r="V134" t="str">
        <f t="shared" si="16"/>
        <v>L2</v>
      </c>
      <c r="W134" t="str">
        <f>PROPER(TRIM(VLOOKUP(S134,Employee_Lookups!$I$4:$M$19,2,FALSE())))</f>
        <v>Aarav Deshmukh</v>
      </c>
      <c r="X134" t="str">
        <f>VLOOKUP(C134,Employee_Lookups!$A$4:$G$9,4,FALSE())</f>
        <v>CC-101</v>
      </c>
      <c r="Y134" t="str">
        <f>INDEX(Employee_Lookups!$C$13:$C$17,MATCH(F134,Employee_Lookups!$A$13:$A$17,0))</f>
        <v>Band B (Mid)</v>
      </c>
      <c r="Z134" s="27">
        <f>_xlfn.XLOOKUP(F134,Employee_Lookups!$A$13:$A$17,Employee_Lookups!$E$13:$E$17,0)</f>
        <v>1100000</v>
      </c>
      <c r="AA134" s="28">
        <f>ROUND(O134/INDEX(Employee_Lookups!$E$13:$E$17,MATCH(F134,Employee_Lookups!$A$13:$A$17,0)),3)</f>
        <v>1.1850000000000001</v>
      </c>
      <c r="AB134">
        <f t="shared" si="17"/>
        <v>2020</v>
      </c>
      <c r="AC134" t="str">
        <f t="shared" si="18"/>
        <v/>
      </c>
      <c r="AD134" s="28">
        <f>ROUND((IF(ISBLANK(L134),Employee_Lookups!$O$14,L134)-J134)/365.25,2)</f>
        <v>5.64</v>
      </c>
      <c r="AE134" t="str">
        <f t="shared" si="19"/>
        <v>5+ Yrs</v>
      </c>
      <c r="AF134" t="str">
        <f t="shared" si="20"/>
        <v>Low Risk</v>
      </c>
    </row>
    <row r="135" spans="1:32" x14ac:dyDescent="0.45">
      <c r="A135" t="s">
        <v>488</v>
      </c>
      <c r="B135" t="s">
        <v>444</v>
      </c>
      <c r="C135" t="s">
        <v>51</v>
      </c>
      <c r="D135" t="s">
        <v>50</v>
      </c>
      <c r="E135" t="s">
        <v>217</v>
      </c>
      <c r="F135" t="s">
        <v>83</v>
      </c>
      <c r="G135" t="s">
        <v>218</v>
      </c>
      <c r="H135" t="s">
        <v>108</v>
      </c>
      <c r="I135" t="s">
        <v>107</v>
      </c>
      <c r="J135" s="26">
        <v>43972</v>
      </c>
      <c r="K135" t="s">
        <v>162</v>
      </c>
      <c r="L135" s="26"/>
      <c r="M135" t="s">
        <v>163</v>
      </c>
      <c r="N135" t="s">
        <v>99</v>
      </c>
      <c r="O135" s="27">
        <v>1527000</v>
      </c>
      <c r="P135">
        <v>2</v>
      </c>
      <c r="Q135" t="s">
        <v>164</v>
      </c>
      <c r="R135">
        <v>21</v>
      </c>
      <c r="S135" t="s">
        <v>178</v>
      </c>
      <c r="T135">
        <f t="shared" si="14"/>
        <v>10261</v>
      </c>
      <c r="U135" t="str">
        <f t="shared" si="15"/>
        <v>ENG</v>
      </c>
      <c r="V135" t="str">
        <f t="shared" si="16"/>
        <v>L3</v>
      </c>
      <c r="W135" t="str">
        <f>PROPER(TRIM(VLOOKUP(S135,Employee_Lookups!$I$4:$M$19,2,FALSE())))</f>
        <v>Aarav Deshmukh</v>
      </c>
      <c r="X135" t="str">
        <f>VLOOKUP(C135,Employee_Lookups!$A$4:$G$9,4,FALSE())</f>
        <v>CC-101</v>
      </c>
      <c r="Y135" t="str">
        <f>INDEX(Employee_Lookups!$C$13:$C$17,MATCH(F135,Employee_Lookups!$A$13:$A$17,0))</f>
        <v>Band C (Senior)</v>
      </c>
      <c r="Z135" s="27">
        <f>_xlfn.XLOOKUP(F135,Employee_Lookups!$A$13:$A$17,Employee_Lookups!$E$13:$E$17,0)</f>
        <v>1725000</v>
      </c>
      <c r="AA135" s="28">
        <f>ROUND(O135/INDEX(Employee_Lookups!$E$13:$E$17,MATCH(F135,Employee_Lookups!$A$13:$A$17,0)),3)</f>
        <v>0.88500000000000001</v>
      </c>
      <c r="AB135">
        <f t="shared" si="17"/>
        <v>2020</v>
      </c>
      <c r="AC135" t="str">
        <f t="shared" si="18"/>
        <v/>
      </c>
      <c r="AD135" s="28">
        <f>ROUND((IF(ISBLANK(L135),Employee_Lookups!$O$14,L135)-J135)/365.25,2)</f>
        <v>5.61</v>
      </c>
      <c r="AE135" t="str">
        <f t="shared" si="19"/>
        <v>5+ Yrs</v>
      </c>
      <c r="AF135" t="str">
        <f t="shared" si="20"/>
        <v>Moderate Risk</v>
      </c>
    </row>
    <row r="136" spans="1:32" x14ac:dyDescent="0.45">
      <c r="A136" t="s">
        <v>489</v>
      </c>
      <c r="B136" t="s">
        <v>490</v>
      </c>
      <c r="C136" t="s">
        <v>51</v>
      </c>
      <c r="D136" t="s">
        <v>50</v>
      </c>
      <c r="E136" t="s">
        <v>181</v>
      </c>
      <c r="F136" t="s">
        <v>81</v>
      </c>
      <c r="G136" t="s">
        <v>182</v>
      </c>
      <c r="H136" t="s">
        <v>108</v>
      </c>
      <c r="I136" t="s">
        <v>107</v>
      </c>
      <c r="J136" s="26">
        <v>43973</v>
      </c>
      <c r="K136" t="s">
        <v>187</v>
      </c>
      <c r="L136" s="26">
        <v>45446</v>
      </c>
      <c r="M136" t="s">
        <v>269</v>
      </c>
      <c r="N136" t="s">
        <v>95</v>
      </c>
      <c r="O136" s="27">
        <v>843000</v>
      </c>
      <c r="P136">
        <v>4</v>
      </c>
      <c r="Q136" t="s">
        <v>172</v>
      </c>
      <c r="R136">
        <v>26</v>
      </c>
      <c r="S136" t="s">
        <v>244</v>
      </c>
      <c r="T136">
        <f t="shared" si="14"/>
        <v>11260</v>
      </c>
      <c r="U136" t="str">
        <f t="shared" si="15"/>
        <v>ENG</v>
      </c>
      <c r="V136" t="str">
        <f t="shared" si="16"/>
        <v>L1</v>
      </c>
      <c r="W136" t="str">
        <f>PROPER(TRIM(VLOOKUP(S136,Employee_Lookups!$I$4:$M$19,2,FALSE())))</f>
        <v>Siddharth Nair</v>
      </c>
      <c r="X136" t="str">
        <f>VLOOKUP(C136,Employee_Lookups!$A$4:$G$9,4,FALSE())</f>
        <v>CC-101</v>
      </c>
      <c r="Y136" t="str">
        <f>INDEX(Employee_Lookups!$C$13:$C$17,MATCH(F136,Employee_Lookups!$A$13:$A$17,0))</f>
        <v>Band A (Entry)</v>
      </c>
      <c r="Z136" s="27">
        <f>_xlfn.XLOOKUP(F136,Employee_Lookups!$A$13:$A$17,Employee_Lookups!$E$13:$E$17,0)</f>
        <v>700000</v>
      </c>
      <c r="AA136" s="28">
        <f>ROUND(O136/INDEX(Employee_Lookups!$E$13:$E$17,MATCH(F136,Employee_Lookups!$A$13:$A$17,0)),3)</f>
        <v>1.204</v>
      </c>
      <c r="AB136">
        <f t="shared" si="17"/>
        <v>2020</v>
      </c>
      <c r="AC136">
        <f t="shared" si="18"/>
        <v>2024</v>
      </c>
      <c r="AD136" s="28">
        <f>ROUND((IF(ISBLANK(L136),Employee_Lookups!$O$14,L136)-J136)/365.25,2)</f>
        <v>4.03</v>
      </c>
      <c r="AE136" t="str">
        <f t="shared" si="19"/>
        <v>3 - 5 Yrs</v>
      </c>
      <c r="AF136" t="str">
        <f t="shared" si="20"/>
        <v>Exited</v>
      </c>
    </row>
    <row r="137" spans="1:32" x14ac:dyDescent="0.45">
      <c r="A137" t="s">
        <v>491</v>
      </c>
      <c r="B137" t="s">
        <v>419</v>
      </c>
      <c r="C137" t="s">
        <v>61</v>
      </c>
      <c r="D137" t="s">
        <v>60</v>
      </c>
      <c r="E137" t="s">
        <v>356</v>
      </c>
      <c r="F137" t="s">
        <v>81</v>
      </c>
      <c r="G137" t="s">
        <v>357</v>
      </c>
      <c r="H137" t="s">
        <v>106</v>
      </c>
      <c r="I137" t="s">
        <v>107</v>
      </c>
      <c r="J137" s="26">
        <v>43986</v>
      </c>
      <c r="K137" t="s">
        <v>187</v>
      </c>
      <c r="L137" s="26">
        <v>44060</v>
      </c>
      <c r="M137" t="s">
        <v>269</v>
      </c>
      <c r="N137" t="s">
        <v>99</v>
      </c>
      <c r="O137" s="27">
        <v>700000</v>
      </c>
      <c r="P137">
        <v>3</v>
      </c>
      <c r="Q137" t="s">
        <v>172</v>
      </c>
      <c r="R137">
        <v>38</v>
      </c>
      <c r="S137" t="s">
        <v>253</v>
      </c>
      <c r="T137">
        <f t="shared" si="14"/>
        <v>11227</v>
      </c>
      <c r="U137" t="str">
        <f t="shared" si="15"/>
        <v>-HR</v>
      </c>
      <c r="V137" t="str">
        <f t="shared" si="16"/>
        <v>L1</v>
      </c>
      <c r="W137" t="str">
        <f>PROPER(TRIM(VLOOKUP(S137,Employee_Lookups!$I$4:$M$19,2,FALSE())))</f>
        <v>Nikhil Chatterjee</v>
      </c>
      <c r="X137" t="str">
        <f>VLOOKUP(C137,Employee_Lookups!$A$4:$G$9,4,FALSE())</f>
        <v>CC-505</v>
      </c>
      <c r="Y137" t="str">
        <f>INDEX(Employee_Lookups!$C$13:$C$17,MATCH(F137,Employee_Lookups!$A$13:$A$17,0))</f>
        <v>Band A (Entry)</v>
      </c>
      <c r="Z137" s="27">
        <f>_xlfn.XLOOKUP(F137,Employee_Lookups!$A$13:$A$17,Employee_Lookups!$E$13:$E$17,0)</f>
        <v>700000</v>
      </c>
      <c r="AA137" s="28">
        <f>ROUND(O137/INDEX(Employee_Lookups!$E$13:$E$17,MATCH(F137,Employee_Lookups!$A$13:$A$17,0)),3)</f>
        <v>1</v>
      </c>
      <c r="AB137">
        <f t="shared" si="17"/>
        <v>2020</v>
      </c>
      <c r="AC137">
        <f t="shared" si="18"/>
        <v>2020</v>
      </c>
      <c r="AD137" s="28">
        <f>ROUND((IF(ISBLANK(L137),Employee_Lookups!$O$14,L137)-J137)/365.25,2)</f>
        <v>0.2</v>
      </c>
      <c r="AE137" t="str">
        <f t="shared" si="19"/>
        <v>&lt; 1 Yr (New)</v>
      </c>
      <c r="AF137" t="str">
        <f t="shared" si="20"/>
        <v>Exited</v>
      </c>
    </row>
    <row r="138" spans="1:32" x14ac:dyDescent="0.45">
      <c r="A138" t="s">
        <v>492</v>
      </c>
      <c r="B138" t="s">
        <v>493</v>
      </c>
      <c r="C138" t="s">
        <v>59</v>
      </c>
      <c r="D138" t="s">
        <v>58</v>
      </c>
      <c r="E138" t="s">
        <v>287</v>
      </c>
      <c r="F138" t="s">
        <v>83</v>
      </c>
      <c r="G138" t="s">
        <v>288</v>
      </c>
      <c r="H138" t="s">
        <v>108</v>
      </c>
      <c r="I138" t="s">
        <v>107</v>
      </c>
      <c r="J138" s="26">
        <v>43992</v>
      </c>
      <c r="K138" t="s">
        <v>162</v>
      </c>
      <c r="L138" s="26"/>
      <c r="M138" t="s">
        <v>163</v>
      </c>
      <c r="N138" t="s">
        <v>99</v>
      </c>
      <c r="O138" s="27">
        <v>1831000</v>
      </c>
      <c r="P138">
        <v>3</v>
      </c>
      <c r="Q138" t="s">
        <v>164</v>
      </c>
      <c r="R138">
        <v>28</v>
      </c>
      <c r="S138" t="s">
        <v>208</v>
      </c>
      <c r="T138">
        <f t="shared" si="14"/>
        <v>10256</v>
      </c>
      <c r="U138" t="str">
        <f t="shared" si="15"/>
        <v>FIN</v>
      </c>
      <c r="V138" t="str">
        <f t="shared" si="16"/>
        <v>L3</v>
      </c>
      <c r="W138" t="str">
        <f>PROPER(TRIM(VLOOKUP(S138,Employee_Lookups!$I$4:$M$19,2,FALSE())))</f>
        <v>Rajeshwari Rao</v>
      </c>
      <c r="X138" t="str">
        <f>VLOOKUP(C138,Employee_Lookups!$A$4:$G$9,4,FALSE())</f>
        <v>CC-404</v>
      </c>
      <c r="Y138" t="str">
        <f>INDEX(Employee_Lookups!$C$13:$C$17,MATCH(F138,Employee_Lookups!$A$13:$A$17,0))</f>
        <v>Band C (Senior)</v>
      </c>
      <c r="Z138" s="27">
        <f>_xlfn.XLOOKUP(F138,Employee_Lookups!$A$13:$A$17,Employee_Lookups!$E$13:$E$17,0)</f>
        <v>1725000</v>
      </c>
      <c r="AA138" s="28">
        <f>ROUND(O138/INDEX(Employee_Lookups!$E$13:$E$17,MATCH(F138,Employee_Lookups!$A$13:$A$17,0)),3)</f>
        <v>1.0609999999999999</v>
      </c>
      <c r="AB138">
        <f t="shared" si="17"/>
        <v>2020</v>
      </c>
      <c r="AC138" t="str">
        <f t="shared" si="18"/>
        <v/>
      </c>
      <c r="AD138" s="28">
        <f>ROUND((IF(ISBLANK(L138),Employee_Lookups!$O$14,L138)-J138)/365.25,2)</f>
        <v>5.56</v>
      </c>
      <c r="AE138" t="str">
        <f t="shared" si="19"/>
        <v>5+ Yrs</v>
      </c>
      <c r="AF138" t="str">
        <f t="shared" si="20"/>
        <v>Low Risk</v>
      </c>
    </row>
    <row r="139" spans="1:32" x14ac:dyDescent="0.45">
      <c r="A139" t="s">
        <v>494</v>
      </c>
      <c r="B139" t="s">
        <v>495</v>
      </c>
      <c r="C139" t="s">
        <v>57</v>
      </c>
      <c r="D139" t="s">
        <v>56</v>
      </c>
      <c r="E139" t="s">
        <v>160</v>
      </c>
      <c r="F139" t="s">
        <v>81</v>
      </c>
      <c r="G139" t="s">
        <v>161</v>
      </c>
      <c r="H139" t="s">
        <v>108</v>
      </c>
      <c r="I139" t="s">
        <v>107</v>
      </c>
      <c r="J139" s="26">
        <v>43995</v>
      </c>
      <c r="K139" t="s">
        <v>162</v>
      </c>
      <c r="L139" s="26"/>
      <c r="M139" t="s">
        <v>163</v>
      </c>
      <c r="N139" t="s">
        <v>97</v>
      </c>
      <c r="O139" s="27">
        <v>782000</v>
      </c>
      <c r="P139">
        <v>3</v>
      </c>
      <c r="Q139" t="s">
        <v>172</v>
      </c>
      <c r="R139">
        <v>10</v>
      </c>
      <c r="S139" t="s">
        <v>224</v>
      </c>
      <c r="T139">
        <f t="shared" si="14"/>
        <v>10540</v>
      </c>
      <c r="U139" t="str">
        <f t="shared" si="15"/>
        <v>MKT</v>
      </c>
      <c r="V139" t="str">
        <f t="shared" si="16"/>
        <v>L1</v>
      </c>
      <c r="W139" t="str">
        <f>PROPER(TRIM(VLOOKUP(S139,Employee_Lookups!$I$4:$M$19,2,FALSE())))</f>
        <v>Tanvi Chitnis</v>
      </c>
      <c r="X139" t="str">
        <f>VLOOKUP(C139,Employee_Lookups!$A$4:$G$9,4,FALSE())</f>
        <v>CC-606</v>
      </c>
      <c r="Y139" t="str">
        <f>INDEX(Employee_Lookups!$C$13:$C$17,MATCH(F139,Employee_Lookups!$A$13:$A$17,0))</f>
        <v>Band A (Entry)</v>
      </c>
      <c r="Z139" s="27">
        <f>_xlfn.XLOOKUP(F139,Employee_Lookups!$A$13:$A$17,Employee_Lookups!$E$13:$E$17,0)</f>
        <v>700000</v>
      </c>
      <c r="AA139" s="28">
        <f>ROUND(O139/INDEX(Employee_Lookups!$E$13:$E$17,MATCH(F139,Employee_Lookups!$A$13:$A$17,0)),3)</f>
        <v>1.117</v>
      </c>
      <c r="AB139">
        <f t="shared" si="17"/>
        <v>2020</v>
      </c>
      <c r="AC139" t="str">
        <f t="shared" si="18"/>
        <v/>
      </c>
      <c r="AD139" s="28">
        <f>ROUND((IF(ISBLANK(L139),Employee_Lookups!$O$14,L139)-J139)/365.25,2)</f>
        <v>5.55</v>
      </c>
      <c r="AE139" t="str">
        <f t="shared" si="19"/>
        <v>5+ Yrs</v>
      </c>
      <c r="AF139" t="str">
        <f t="shared" si="20"/>
        <v>Moderate Risk</v>
      </c>
    </row>
    <row r="140" spans="1:32" x14ac:dyDescent="0.45">
      <c r="A140" t="s">
        <v>496</v>
      </c>
      <c r="B140" t="s">
        <v>497</v>
      </c>
      <c r="C140" t="s">
        <v>51</v>
      </c>
      <c r="D140" t="s">
        <v>50</v>
      </c>
      <c r="E140" t="s">
        <v>181</v>
      </c>
      <c r="F140" t="s">
        <v>81</v>
      </c>
      <c r="G140" t="s">
        <v>182</v>
      </c>
      <c r="H140" t="s">
        <v>106</v>
      </c>
      <c r="I140" t="s">
        <v>107</v>
      </c>
      <c r="J140" s="26">
        <v>43996</v>
      </c>
      <c r="K140" t="s">
        <v>162</v>
      </c>
      <c r="L140" s="26"/>
      <c r="M140" t="s">
        <v>163</v>
      </c>
      <c r="N140" t="s">
        <v>96</v>
      </c>
      <c r="O140" s="27">
        <v>679000</v>
      </c>
      <c r="P140">
        <v>4</v>
      </c>
      <c r="Q140" t="s">
        <v>164</v>
      </c>
      <c r="R140">
        <v>40</v>
      </c>
      <c r="S140" t="s">
        <v>197</v>
      </c>
      <c r="T140">
        <f t="shared" si="14"/>
        <v>10640</v>
      </c>
      <c r="U140" t="str">
        <f t="shared" si="15"/>
        <v>ENG</v>
      </c>
      <c r="V140" t="str">
        <f t="shared" si="16"/>
        <v>L1</v>
      </c>
      <c r="W140" t="str">
        <f>PROPER(TRIM(VLOOKUP(S140,Employee_Lookups!$I$4:$M$19,2,FALSE())))</f>
        <v>Rohan Verma</v>
      </c>
      <c r="X140" t="str">
        <f>VLOOKUP(C140,Employee_Lookups!$A$4:$G$9,4,FALSE())</f>
        <v>CC-101</v>
      </c>
      <c r="Y140" t="str">
        <f>INDEX(Employee_Lookups!$C$13:$C$17,MATCH(F140,Employee_Lookups!$A$13:$A$17,0))</f>
        <v>Band A (Entry)</v>
      </c>
      <c r="Z140" s="27">
        <f>_xlfn.XLOOKUP(F140,Employee_Lookups!$A$13:$A$17,Employee_Lookups!$E$13:$E$17,0)</f>
        <v>700000</v>
      </c>
      <c r="AA140" s="28">
        <f>ROUND(O140/INDEX(Employee_Lookups!$E$13:$E$17,MATCH(F140,Employee_Lookups!$A$13:$A$17,0)),3)</f>
        <v>0.97</v>
      </c>
      <c r="AB140">
        <f t="shared" si="17"/>
        <v>2020</v>
      </c>
      <c r="AC140" t="str">
        <f t="shared" si="18"/>
        <v/>
      </c>
      <c r="AD140" s="28">
        <f>ROUND((IF(ISBLANK(L140),Employee_Lookups!$O$14,L140)-J140)/365.25,2)</f>
        <v>5.55</v>
      </c>
      <c r="AE140" t="str">
        <f t="shared" si="19"/>
        <v>5+ Yrs</v>
      </c>
      <c r="AF140" t="str">
        <f t="shared" si="20"/>
        <v>Low Risk</v>
      </c>
    </row>
    <row r="141" spans="1:32" x14ac:dyDescent="0.45">
      <c r="A141" t="s">
        <v>498</v>
      </c>
      <c r="B141" t="s">
        <v>499</v>
      </c>
      <c r="C141" t="s">
        <v>59</v>
      </c>
      <c r="D141" t="s">
        <v>58</v>
      </c>
      <c r="E141" t="s">
        <v>211</v>
      </c>
      <c r="F141" t="s">
        <v>82</v>
      </c>
      <c r="G141" t="s">
        <v>212</v>
      </c>
      <c r="H141" t="s">
        <v>106</v>
      </c>
      <c r="I141" t="s">
        <v>107</v>
      </c>
      <c r="J141" s="26">
        <v>44002</v>
      </c>
      <c r="K141" t="s">
        <v>162</v>
      </c>
      <c r="L141" s="26"/>
      <c r="M141" t="s">
        <v>163</v>
      </c>
      <c r="N141" t="s">
        <v>97</v>
      </c>
      <c r="O141" s="27">
        <v>1046000</v>
      </c>
      <c r="P141">
        <v>4</v>
      </c>
      <c r="Q141" t="s">
        <v>172</v>
      </c>
      <c r="R141">
        <v>26</v>
      </c>
      <c r="S141" t="s">
        <v>208</v>
      </c>
      <c r="T141">
        <f t="shared" si="14"/>
        <v>10237</v>
      </c>
      <c r="U141" t="str">
        <f t="shared" si="15"/>
        <v>FIN</v>
      </c>
      <c r="V141" t="str">
        <f t="shared" si="16"/>
        <v>L2</v>
      </c>
      <c r="W141" t="str">
        <f>PROPER(TRIM(VLOOKUP(S141,Employee_Lookups!$I$4:$M$19,2,FALSE())))</f>
        <v>Rajeshwari Rao</v>
      </c>
      <c r="X141" t="str">
        <f>VLOOKUP(C141,Employee_Lookups!$A$4:$G$9,4,FALSE())</f>
        <v>CC-404</v>
      </c>
      <c r="Y141" t="str">
        <f>INDEX(Employee_Lookups!$C$13:$C$17,MATCH(F141,Employee_Lookups!$A$13:$A$17,0))</f>
        <v>Band B (Mid)</v>
      </c>
      <c r="Z141" s="27">
        <f>_xlfn.XLOOKUP(F141,Employee_Lookups!$A$13:$A$17,Employee_Lookups!$E$13:$E$17,0)</f>
        <v>1100000</v>
      </c>
      <c r="AA141" s="28">
        <f>ROUND(O141/INDEX(Employee_Lookups!$E$13:$E$17,MATCH(F141,Employee_Lookups!$A$13:$A$17,0)),3)</f>
        <v>0.95099999999999996</v>
      </c>
      <c r="AB141">
        <f t="shared" si="17"/>
        <v>2020</v>
      </c>
      <c r="AC141" t="str">
        <f t="shared" si="18"/>
        <v/>
      </c>
      <c r="AD141" s="28">
        <f>ROUND((IF(ISBLANK(L141),Employee_Lookups!$O$14,L141)-J141)/365.25,2)</f>
        <v>5.53</v>
      </c>
      <c r="AE141" t="str">
        <f t="shared" si="19"/>
        <v>5+ Yrs</v>
      </c>
      <c r="AF141" t="str">
        <f t="shared" si="20"/>
        <v>High Risk</v>
      </c>
    </row>
    <row r="142" spans="1:32" x14ac:dyDescent="0.45">
      <c r="A142" t="s">
        <v>500</v>
      </c>
      <c r="B142" t="s">
        <v>501</v>
      </c>
      <c r="C142" t="s">
        <v>53</v>
      </c>
      <c r="D142" t="s">
        <v>52</v>
      </c>
      <c r="E142" t="s">
        <v>322</v>
      </c>
      <c r="F142" t="s">
        <v>81</v>
      </c>
      <c r="G142" t="s">
        <v>323</v>
      </c>
      <c r="H142" t="s">
        <v>108</v>
      </c>
      <c r="I142" t="s">
        <v>107</v>
      </c>
      <c r="J142" s="26">
        <v>44005</v>
      </c>
      <c r="K142" t="s">
        <v>187</v>
      </c>
      <c r="L142" s="26">
        <v>45454</v>
      </c>
      <c r="M142" t="s">
        <v>282</v>
      </c>
      <c r="N142" t="s">
        <v>98</v>
      </c>
      <c r="O142" s="27">
        <v>598000</v>
      </c>
      <c r="P142">
        <v>3</v>
      </c>
      <c r="Q142" t="s">
        <v>172</v>
      </c>
      <c r="R142">
        <v>58</v>
      </c>
      <c r="S142" t="s">
        <v>194</v>
      </c>
      <c r="T142">
        <f t="shared" si="14"/>
        <v>10473</v>
      </c>
      <c r="U142" t="str">
        <f t="shared" si="15"/>
        <v>SAL</v>
      </c>
      <c r="V142" t="str">
        <f t="shared" si="16"/>
        <v>L1</v>
      </c>
      <c r="W142" t="str">
        <f>PROPER(TRIM(VLOOKUP(S142,Employee_Lookups!$I$4:$M$19,2,FALSE())))</f>
        <v>Vikramaditya Joshi</v>
      </c>
      <c r="X142" t="str">
        <f>VLOOKUP(C142,Employee_Lookups!$A$4:$G$9,4,FALSE())</f>
        <v>CC-202</v>
      </c>
      <c r="Y142" t="str">
        <f>INDEX(Employee_Lookups!$C$13:$C$17,MATCH(F142,Employee_Lookups!$A$13:$A$17,0))</f>
        <v>Band A (Entry)</v>
      </c>
      <c r="Z142" s="27">
        <f>_xlfn.XLOOKUP(F142,Employee_Lookups!$A$13:$A$17,Employee_Lookups!$E$13:$E$17,0)</f>
        <v>700000</v>
      </c>
      <c r="AA142" s="28">
        <f>ROUND(O142/INDEX(Employee_Lookups!$E$13:$E$17,MATCH(F142,Employee_Lookups!$A$13:$A$17,0)),3)</f>
        <v>0.85399999999999998</v>
      </c>
      <c r="AB142">
        <f t="shared" si="17"/>
        <v>2020</v>
      </c>
      <c r="AC142">
        <f t="shared" si="18"/>
        <v>2024</v>
      </c>
      <c r="AD142" s="28">
        <f>ROUND((IF(ISBLANK(L142),Employee_Lookups!$O$14,L142)-J142)/365.25,2)</f>
        <v>3.97</v>
      </c>
      <c r="AE142" t="str">
        <f t="shared" si="19"/>
        <v>3 - 5 Yrs</v>
      </c>
      <c r="AF142" t="str">
        <f t="shared" si="20"/>
        <v>Exited</v>
      </c>
    </row>
    <row r="143" spans="1:32" x14ac:dyDescent="0.45">
      <c r="A143" t="s">
        <v>502</v>
      </c>
      <c r="B143" t="s">
        <v>503</v>
      </c>
      <c r="C143" t="s">
        <v>57</v>
      </c>
      <c r="D143" t="s">
        <v>56</v>
      </c>
      <c r="E143" t="s">
        <v>222</v>
      </c>
      <c r="F143" t="s">
        <v>82</v>
      </c>
      <c r="G143" t="s">
        <v>223</v>
      </c>
      <c r="H143" t="s">
        <v>106</v>
      </c>
      <c r="I143" t="s">
        <v>107</v>
      </c>
      <c r="J143" s="26">
        <v>44005</v>
      </c>
      <c r="K143" t="s">
        <v>162</v>
      </c>
      <c r="L143" s="26"/>
      <c r="M143" t="s">
        <v>163</v>
      </c>
      <c r="N143" t="s">
        <v>95</v>
      </c>
      <c r="O143" s="27">
        <v>1118000</v>
      </c>
      <c r="P143">
        <v>3</v>
      </c>
      <c r="Q143" t="s">
        <v>164</v>
      </c>
      <c r="R143">
        <v>25</v>
      </c>
      <c r="S143" t="s">
        <v>224</v>
      </c>
      <c r="T143">
        <f t="shared" si="14"/>
        <v>10324</v>
      </c>
      <c r="U143" t="str">
        <f t="shared" si="15"/>
        <v>MKT</v>
      </c>
      <c r="V143" t="str">
        <f t="shared" si="16"/>
        <v>L2</v>
      </c>
      <c r="W143" t="str">
        <f>PROPER(TRIM(VLOOKUP(S143,Employee_Lookups!$I$4:$M$19,2,FALSE())))</f>
        <v>Tanvi Chitnis</v>
      </c>
      <c r="X143" t="str">
        <f>VLOOKUP(C143,Employee_Lookups!$A$4:$G$9,4,FALSE())</f>
        <v>CC-606</v>
      </c>
      <c r="Y143" t="str">
        <f>INDEX(Employee_Lookups!$C$13:$C$17,MATCH(F143,Employee_Lookups!$A$13:$A$17,0))</f>
        <v>Band B (Mid)</v>
      </c>
      <c r="Z143" s="27">
        <f>_xlfn.XLOOKUP(F143,Employee_Lookups!$A$13:$A$17,Employee_Lookups!$E$13:$E$17,0)</f>
        <v>1100000</v>
      </c>
      <c r="AA143" s="28">
        <f>ROUND(O143/INDEX(Employee_Lookups!$E$13:$E$17,MATCH(F143,Employee_Lookups!$A$13:$A$17,0)),3)</f>
        <v>1.016</v>
      </c>
      <c r="AB143">
        <f t="shared" si="17"/>
        <v>2020</v>
      </c>
      <c r="AC143" t="str">
        <f t="shared" si="18"/>
        <v/>
      </c>
      <c r="AD143" s="28">
        <f>ROUND((IF(ISBLANK(L143),Employee_Lookups!$O$14,L143)-J143)/365.25,2)</f>
        <v>5.52</v>
      </c>
      <c r="AE143" t="str">
        <f t="shared" si="19"/>
        <v>5+ Yrs</v>
      </c>
      <c r="AF143" t="str">
        <f t="shared" si="20"/>
        <v>Low Risk</v>
      </c>
    </row>
    <row r="144" spans="1:32" x14ac:dyDescent="0.45">
      <c r="A144" t="s">
        <v>504</v>
      </c>
      <c r="B144" t="s">
        <v>505</v>
      </c>
      <c r="C144" t="s">
        <v>53</v>
      </c>
      <c r="D144" t="s">
        <v>52</v>
      </c>
      <c r="E144" t="s">
        <v>200</v>
      </c>
      <c r="F144" t="s">
        <v>84</v>
      </c>
      <c r="G144" t="s">
        <v>201</v>
      </c>
      <c r="H144" t="s">
        <v>108</v>
      </c>
      <c r="I144" t="s">
        <v>107</v>
      </c>
      <c r="J144" s="26">
        <v>44009</v>
      </c>
      <c r="K144" t="s">
        <v>162</v>
      </c>
      <c r="L144" s="26"/>
      <c r="M144" t="s">
        <v>163</v>
      </c>
      <c r="N144" t="s">
        <v>97</v>
      </c>
      <c r="O144" s="27">
        <v>2616000</v>
      </c>
      <c r="P144">
        <v>4</v>
      </c>
      <c r="Q144" t="s">
        <v>164</v>
      </c>
      <c r="R144">
        <v>26</v>
      </c>
      <c r="S144" t="s">
        <v>189</v>
      </c>
      <c r="T144">
        <f t="shared" si="14"/>
        <v>10442</v>
      </c>
      <c r="U144" t="str">
        <f t="shared" si="15"/>
        <v>SAL</v>
      </c>
      <c r="V144" t="str">
        <f t="shared" si="16"/>
        <v>L4</v>
      </c>
      <c r="W144" t="str">
        <f>PROPER(TRIM(VLOOKUP(S144,Employee_Lookups!$I$4:$M$19,2,FALSE())))</f>
        <v>Priya Sharma</v>
      </c>
      <c r="X144" t="str">
        <f>VLOOKUP(C144,Employee_Lookups!$A$4:$G$9,4,FALSE())</f>
        <v>CC-202</v>
      </c>
      <c r="Y144" t="str">
        <f>INDEX(Employee_Lookups!$C$13:$C$17,MATCH(F144,Employee_Lookups!$A$13:$A$17,0))</f>
        <v>Band D (Leadership)</v>
      </c>
      <c r="Z144" s="27">
        <f>_xlfn.XLOOKUP(F144,Employee_Lookups!$A$13:$A$17,Employee_Lookups!$E$13:$E$17,0)</f>
        <v>2750000</v>
      </c>
      <c r="AA144" s="28">
        <f>ROUND(O144/INDEX(Employee_Lookups!$E$13:$E$17,MATCH(F144,Employee_Lookups!$A$13:$A$17,0)),3)</f>
        <v>0.95099999999999996</v>
      </c>
      <c r="AB144">
        <f t="shared" si="17"/>
        <v>2020</v>
      </c>
      <c r="AC144" t="str">
        <f t="shared" si="18"/>
        <v/>
      </c>
      <c r="AD144" s="28">
        <f>ROUND((IF(ISBLANK(L144),Employee_Lookups!$O$14,L144)-J144)/365.25,2)</f>
        <v>5.51</v>
      </c>
      <c r="AE144" t="str">
        <f t="shared" si="19"/>
        <v>5+ Yrs</v>
      </c>
      <c r="AF144" t="str">
        <f t="shared" si="20"/>
        <v>Low Risk</v>
      </c>
    </row>
    <row r="145" spans="1:32" x14ac:dyDescent="0.45">
      <c r="A145" t="s">
        <v>506</v>
      </c>
      <c r="B145" t="s">
        <v>507</v>
      </c>
      <c r="C145" t="s">
        <v>51</v>
      </c>
      <c r="D145" t="s">
        <v>50</v>
      </c>
      <c r="E145" t="s">
        <v>181</v>
      </c>
      <c r="F145" t="s">
        <v>81</v>
      </c>
      <c r="G145" t="s">
        <v>182</v>
      </c>
      <c r="H145" t="s">
        <v>106</v>
      </c>
      <c r="I145" t="s">
        <v>107</v>
      </c>
      <c r="J145" s="26">
        <v>44014</v>
      </c>
      <c r="K145" t="s">
        <v>162</v>
      </c>
      <c r="L145" s="26"/>
      <c r="M145" t="s">
        <v>163</v>
      </c>
      <c r="N145" t="s">
        <v>98</v>
      </c>
      <c r="O145" s="27">
        <v>718000</v>
      </c>
      <c r="P145">
        <v>3</v>
      </c>
      <c r="Q145" t="s">
        <v>172</v>
      </c>
      <c r="R145">
        <v>29</v>
      </c>
      <c r="S145" t="s">
        <v>244</v>
      </c>
      <c r="T145">
        <f t="shared" si="14"/>
        <v>10700</v>
      </c>
      <c r="U145" t="str">
        <f t="shared" si="15"/>
        <v>ENG</v>
      </c>
      <c r="V145" t="str">
        <f t="shared" si="16"/>
        <v>L1</v>
      </c>
      <c r="W145" t="str">
        <f>PROPER(TRIM(VLOOKUP(S145,Employee_Lookups!$I$4:$M$19,2,FALSE())))</f>
        <v>Siddharth Nair</v>
      </c>
      <c r="X145" t="str">
        <f>VLOOKUP(C145,Employee_Lookups!$A$4:$G$9,4,FALSE())</f>
        <v>CC-101</v>
      </c>
      <c r="Y145" t="str">
        <f>INDEX(Employee_Lookups!$C$13:$C$17,MATCH(F145,Employee_Lookups!$A$13:$A$17,0))</f>
        <v>Band A (Entry)</v>
      </c>
      <c r="Z145" s="27">
        <f>_xlfn.XLOOKUP(F145,Employee_Lookups!$A$13:$A$17,Employee_Lookups!$E$13:$E$17,0)</f>
        <v>700000</v>
      </c>
      <c r="AA145" s="28">
        <f>ROUND(O145/INDEX(Employee_Lookups!$E$13:$E$17,MATCH(F145,Employee_Lookups!$A$13:$A$17,0)),3)</f>
        <v>1.026</v>
      </c>
      <c r="AB145">
        <f t="shared" si="17"/>
        <v>2020</v>
      </c>
      <c r="AC145" t="str">
        <f t="shared" si="18"/>
        <v/>
      </c>
      <c r="AD145" s="28">
        <f>ROUND((IF(ISBLANK(L145),Employee_Lookups!$O$14,L145)-J145)/365.25,2)</f>
        <v>5.5</v>
      </c>
      <c r="AE145" t="str">
        <f t="shared" si="19"/>
        <v>5+ Yrs</v>
      </c>
      <c r="AF145" t="str">
        <f t="shared" si="20"/>
        <v>Moderate Risk</v>
      </c>
    </row>
    <row r="146" spans="1:32" x14ac:dyDescent="0.45">
      <c r="A146" t="s">
        <v>508</v>
      </c>
      <c r="B146" t="s">
        <v>509</v>
      </c>
      <c r="C146" t="s">
        <v>59</v>
      </c>
      <c r="D146" t="s">
        <v>58</v>
      </c>
      <c r="E146" t="s">
        <v>206</v>
      </c>
      <c r="F146" t="s">
        <v>81</v>
      </c>
      <c r="G146" t="s">
        <v>207</v>
      </c>
      <c r="H146" t="s">
        <v>106</v>
      </c>
      <c r="I146" t="s">
        <v>107</v>
      </c>
      <c r="J146" s="26">
        <v>44015</v>
      </c>
      <c r="K146" t="s">
        <v>162</v>
      </c>
      <c r="L146" s="26"/>
      <c r="M146" t="s">
        <v>163</v>
      </c>
      <c r="N146" t="s">
        <v>95</v>
      </c>
      <c r="O146" s="27">
        <v>743000</v>
      </c>
      <c r="P146">
        <v>3</v>
      </c>
      <c r="Q146" t="s">
        <v>164</v>
      </c>
      <c r="R146">
        <v>30</v>
      </c>
      <c r="S146" t="s">
        <v>214</v>
      </c>
      <c r="T146">
        <f t="shared" si="14"/>
        <v>10772</v>
      </c>
      <c r="U146" t="str">
        <f t="shared" si="15"/>
        <v>FIN</v>
      </c>
      <c r="V146" t="str">
        <f t="shared" si="16"/>
        <v>L1</v>
      </c>
      <c r="W146" t="str">
        <f>PROPER(TRIM(VLOOKUP(S146,Employee_Lookups!$I$4:$M$19,2,FALSE())))</f>
        <v>Aditya Gokhale</v>
      </c>
      <c r="X146" t="str">
        <f>VLOOKUP(C146,Employee_Lookups!$A$4:$G$9,4,FALSE())</f>
        <v>CC-404</v>
      </c>
      <c r="Y146" t="str">
        <f>INDEX(Employee_Lookups!$C$13:$C$17,MATCH(F146,Employee_Lookups!$A$13:$A$17,0))</f>
        <v>Band A (Entry)</v>
      </c>
      <c r="Z146" s="27">
        <f>_xlfn.XLOOKUP(F146,Employee_Lookups!$A$13:$A$17,Employee_Lookups!$E$13:$E$17,0)</f>
        <v>700000</v>
      </c>
      <c r="AA146" s="28">
        <f>ROUND(O146/INDEX(Employee_Lookups!$E$13:$E$17,MATCH(F146,Employee_Lookups!$A$13:$A$17,0)),3)</f>
        <v>1.0609999999999999</v>
      </c>
      <c r="AB146">
        <f t="shared" si="17"/>
        <v>2020</v>
      </c>
      <c r="AC146" t="str">
        <f t="shared" si="18"/>
        <v/>
      </c>
      <c r="AD146" s="28">
        <f>ROUND((IF(ISBLANK(L146),Employee_Lookups!$O$14,L146)-J146)/365.25,2)</f>
        <v>5.49</v>
      </c>
      <c r="AE146" t="str">
        <f t="shared" si="19"/>
        <v>5+ Yrs</v>
      </c>
      <c r="AF146" t="str">
        <f t="shared" si="20"/>
        <v>Low Risk</v>
      </c>
    </row>
    <row r="147" spans="1:32" x14ac:dyDescent="0.45">
      <c r="A147" t="s">
        <v>510</v>
      </c>
      <c r="B147" t="s">
        <v>511</v>
      </c>
      <c r="C147" t="s">
        <v>51</v>
      </c>
      <c r="D147" t="s">
        <v>50</v>
      </c>
      <c r="E147" t="s">
        <v>176</v>
      </c>
      <c r="F147" t="s">
        <v>82</v>
      </c>
      <c r="G147" t="s">
        <v>177</v>
      </c>
      <c r="H147" t="s">
        <v>108</v>
      </c>
      <c r="I147" t="s">
        <v>107</v>
      </c>
      <c r="J147" s="26">
        <v>44017</v>
      </c>
      <c r="K147" t="s">
        <v>162</v>
      </c>
      <c r="L147" s="26"/>
      <c r="M147" t="s">
        <v>163</v>
      </c>
      <c r="N147" t="s">
        <v>99</v>
      </c>
      <c r="O147" s="27">
        <v>1056000</v>
      </c>
      <c r="P147">
        <v>4</v>
      </c>
      <c r="Q147" t="s">
        <v>172</v>
      </c>
      <c r="R147">
        <v>35</v>
      </c>
      <c r="S147" t="s">
        <v>197</v>
      </c>
      <c r="T147">
        <f t="shared" si="14"/>
        <v>10122</v>
      </c>
      <c r="U147" t="str">
        <f t="shared" si="15"/>
        <v>ENG</v>
      </c>
      <c r="V147" t="str">
        <f t="shared" si="16"/>
        <v>L2</v>
      </c>
      <c r="W147" t="str">
        <f>PROPER(TRIM(VLOOKUP(S147,Employee_Lookups!$I$4:$M$19,2,FALSE())))</f>
        <v>Rohan Verma</v>
      </c>
      <c r="X147" t="str">
        <f>VLOOKUP(C147,Employee_Lookups!$A$4:$G$9,4,FALSE())</f>
        <v>CC-101</v>
      </c>
      <c r="Y147" t="str">
        <f>INDEX(Employee_Lookups!$C$13:$C$17,MATCH(F147,Employee_Lookups!$A$13:$A$17,0))</f>
        <v>Band B (Mid)</v>
      </c>
      <c r="Z147" s="27">
        <f>_xlfn.XLOOKUP(F147,Employee_Lookups!$A$13:$A$17,Employee_Lookups!$E$13:$E$17,0)</f>
        <v>1100000</v>
      </c>
      <c r="AA147" s="28">
        <f>ROUND(O147/INDEX(Employee_Lookups!$E$13:$E$17,MATCH(F147,Employee_Lookups!$A$13:$A$17,0)),3)</f>
        <v>0.96</v>
      </c>
      <c r="AB147">
        <f t="shared" si="17"/>
        <v>2020</v>
      </c>
      <c r="AC147" t="str">
        <f t="shared" si="18"/>
        <v/>
      </c>
      <c r="AD147" s="28">
        <f>ROUND((IF(ISBLANK(L147),Employee_Lookups!$O$14,L147)-J147)/365.25,2)</f>
        <v>5.49</v>
      </c>
      <c r="AE147" t="str">
        <f t="shared" si="19"/>
        <v>5+ Yrs</v>
      </c>
      <c r="AF147" t="str">
        <f t="shared" si="20"/>
        <v>High Risk</v>
      </c>
    </row>
    <row r="148" spans="1:32" x14ac:dyDescent="0.45">
      <c r="A148" t="s">
        <v>512</v>
      </c>
      <c r="B148" t="s">
        <v>513</v>
      </c>
      <c r="C148" t="s">
        <v>59</v>
      </c>
      <c r="D148" t="s">
        <v>58</v>
      </c>
      <c r="E148" t="s">
        <v>211</v>
      </c>
      <c r="F148" t="s">
        <v>82</v>
      </c>
      <c r="G148" t="s">
        <v>212</v>
      </c>
      <c r="H148" t="s">
        <v>106</v>
      </c>
      <c r="I148" t="s">
        <v>107</v>
      </c>
      <c r="J148" s="26">
        <v>44020</v>
      </c>
      <c r="K148" t="s">
        <v>187</v>
      </c>
      <c r="L148" s="26">
        <v>44967</v>
      </c>
      <c r="M148" t="s">
        <v>269</v>
      </c>
      <c r="N148" t="s">
        <v>95</v>
      </c>
      <c r="O148" s="27">
        <v>1019000</v>
      </c>
      <c r="P148">
        <v>3</v>
      </c>
      <c r="Q148" t="s">
        <v>164</v>
      </c>
      <c r="R148">
        <v>16</v>
      </c>
      <c r="S148" t="s">
        <v>214</v>
      </c>
      <c r="T148">
        <f t="shared" si="14"/>
        <v>10985</v>
      </c>
      <c r="U148" t="str">
        <f t="shared" si="15"/>
        <v>FIN</v>
      </c>
      <c r="V148" t="str">
        <f t="shared" si="16"/>
        <v>L2</v>
      </c>
      <c r="W148" t="str">
        <f>PROPER(TRIM(VLOOKUP(S148,Employee_Lookups!$I$4:$M$19,2,FALSE())))</f>
        <v>Aditya Gokhale</v>
      </c>
      <c r="X148" t="str">
        <f>VLOOKUP(C148,Employee_Lookups!$A$4:$G$9,4,FALSE())</f>
        <v>CC-404</v>
      </c>
      <c r="Y148" t="str">
        <f>INDEX(Employee_Lookups!$C$13:$C$17,MATCH(F148,Employee_Lookups!$A$13:$A$17,0))</f>
        <v>Band B (Mid)</v>
      </c>
      <c r="Z148" s="27">
        <f>_xlfn.XLOOKUP(F148,Employee_Lookups!$A$13:$A$17,Employee_Lookups!$E$13:$E$17,0)</f>
        <v>1100000</v>
      </c>
      <c r="AA148" s="28">
        <f>ROUND(O148/INDEX(Employee_Lookups!$E$13:$E$17,MATCH(F148,Employee_Lookups!$A$13:$A$17,0)),3)</f>
        <v>0.92600000000000005</v>
      </c>
      <c r="AB148">
        <f t="shared" si="17"/>
        <v>2020</v>
      </c>
      <c r="AC148">
        <f t="shared" si="18"/>
        <v>2023</v>
      </c>
      <c r="AD148" s="28">
        <f>ROUND((IF(ISBLANK(L148),Employee_Lookups!$O$14,L148)-J148)/365.25,2)</f>
        <v>2.59</v>
      </c>
      <c r="AE148" t="str">
        <f t="shared" si="19"/>
        <v>1 - 3 Yrs</v>
      </c>
      <c r="AF148" t="str">
        <f t="shared" si="20"/>
        <v>Exited</v>
      </c>
    </row>
    <row r="149" spans="1:32" x14ac:dyDescent="0.45">
      <c r="A149" t="s">
        <v>514</v>
      </c>
      <c r="B149" t="s">
        <v>515</v>
      </c>
      <c r="C149" t="s">
        <v>59</v>
      </c>
      <c r="D149" t="s">
        <v>58</v>
      </c>
      <c r="E149" t="s">
        <v>206</v>
      </c>
      <c r="F149" t="s">
        <v>81</v>
      </c>
      <c r="G149" t="s">
        <v>207</v>
      </c>
      <c r="H149" t="s">
        <v>108</v>
      </c>
      <c r="I149" t="s">
        <v>107</v>
      </c>
      <c r="J149" s="26">
        <v>44023</v>
      </c>
      <c r="K149" t="s">
        <v>187</v>
      </c>
      <c r="L149" s="26">
        <v>45870</v>
      </c>
      <c r="M149" t="s">
        <v>269</v>
      </c>
      <c r="N149" t="s">
        <v>98</v>
      </c>
      <c r="O149" s="27">
        <v>836000</v>
      </c>
      <c r="P149">
        <v>4</v>
      </c>
      <c r="Q149" t="s">
        <v>164</v>
      </c>
      <c r="R149">
        <v>18</v>
      </c>
      <c r="S149" t="s">
        <v>214</v>
      </c>
      <c r="T149">
        <f t="shared" si="14"/>
        <v>11438</v>
      </c>
      <c r="U149" t="str">
        <f t="shared" si="15"/>
        <v>FIN</v>
      </c>
      <c r="V149" t="str">
        <f t="shared" si="16"/>
        <v>L1</v>
      </c>
      <c r="W149" t="str">
        <f>PROPER(TRIM(VLOOKUP(S149,Employee_Lookups!$I$4:$M$19,2,FALSE())))</f>
        <v>Aditya Gokhale</v>
      </c>
      <c r="X149" t="str">
        <f>VLOOKUP(C149,Employee_Lookups!$A$4:$G$9,4,FALSE())</f>
        <v>CC-404</v>
      </c>
      <c r="Y149" t="str">
        <f>INDEX(Employee_Lookups!$C$13:$C$17,MATCH(F149,Employee_Lookups!$A$13:$A$17,0))</f>
        <v>Band A (Entry)</v>
      </c>
      <c r="Z149" s="27">
        <f>_xlfn.XLOOKUP(F149,Employee_Lookups!$A$13:$A$17,Employee_Lookups!$E$13:$E$17,0)</f>
        <v>700000</v>
      </c>
      <c r="AA149" s="28">
        <f>ROUND(O149/INDEX(Employee_Lookups!$E$13:$E$17,MATCH(F149,Employee_Lookups!$A$13:$A$17,0)),3)</f>
        <v>1.194</v>
      </c>
      <c r="AB149">
        <f t="shared" si="17"/>
        <v>2020</v>
      </c>
      <c r="AC149">
        <f t="shared" si="18"/>
        <v>2025</v>
      </c>
      <c r="AD149" s="28">
        <f>ROUND((IF(ISBLANK(L149),Employee_Lookups!$O$14,L149)-J149)/365.25,2)</f>
        <v>5.0599999999999996</v>
      </c>
      <c r="AE149" t="str">
        <f t="shared" si="19"/>
        <v>5+ Yrs</v>
      </c>
      <c r="AF149" t="str">
        <f t="shared" si="20"/>
        <v>Exited</v>
      </c>
    </row>
    <row r="150" spans="1:32" x14ac:dyDescent="0.45">
      <c r="A150" t="s">
        <v>516</v>
      </c>
      <c r="B150" t="s">
        <v>228</v>
      </c>
      <c r="C150" t="s">
        <v>59</v>
      </c>
      <c r="D150" t="s">
        <v>58</v>
      </c>
      <c r="E150" t="s">
        <v>211</v>
      </c>
      <c r="F150" t="s">
        <v>82</v>
      </c>
      <c r="G150" t="s">
        <v>212</v>
      </c>
      <c r="H150" t="s">
        <v>108</v>
      </c>
      <c r="I150" t="s">
        <v>107</v>
      </c>
      <c r="J150" s="26">
        <v>44024</v>
      </c>
      <c r="K150" t="s">
        <v>187</v>
      </c>
      <c r="L150" s="26">
        <v>44231</v>
      </c>
      <c r="M150" t="s">
        <v>269</v>
      </c>
      <c r="N150" t="s">
        <v>98</v>
      </c>
      <c r="O150" s="27">
        <v>1198000</v>
      </c>
      <c r="P150">
        <v>4</v>
      </c>
      <c r="Q150" t="s">
        <v>172</v>
      </c>
      <c r="R150">
        <v>18</v>
      </c>
      <c r="S150" t="s">
        <v>214</v>
      </c>
      <c r="T150">
        <f t="shared" si="14"/>
        <v>11432</v>
      </c>
      <c r="U150" t="str">
        <f t="shared" si="15"/>
        <v>FIN</v>
      </c>
      <c r="V150" t="str">
        <f t="shared" si="16"/>
        <v>L2</v>
      </c>
      <c r="W150" t="str">
        <f>PROPER(TRIM(VLOOKUP(S150,Employee_Lookups!$I$4:$M$19,2,FALSE())))</f>
        <v>Aditya Gokhale</v>
      </c>
      <c r="X150" t="str">
        <f>VLOOKUP(C150,Employee_Lookups!$A$4:$G$9,4,FALSE())</f>
        <v>CC-404</v>
      </c>
      <c r="Y150" t="str">
        <f>INDEX(Employee_Lookups!$C$13:$C$17,MATCH(F150,Employee_Lookups!$A$13:$A$17,0))</f>
        <v>Band B (Mid)</v>
      </c>
      <c r="Z150" s="27">
        <f>_xlfn.XLOOKUP(F150,Employee_Lookups!$A$13:$A$17,Employee_Lookups!$E$13:$E$17,0)</f>
        <v>1100000</v>
      </c>
      <c r="AA150" s="28">
        <f>ROUND(O150/INDEX(Employee_Lookups!$E$13:$E$17,MATCH(F150,Employee_Lookups!$A$13:$A$17,0)),3)</f>
        <v>1.089</v>
      </c>
      <c r="AB150">
        <f t="shared" si="17"/>
        <v>2020</v>
      </c>
      <c r="AC150">
        <f t="shared" si="18"/>
        <v>2021</v>
      </c>
      <c r="AD150" s="28">
        <f>ROUND((IF(ISBLANK(L150),Employee_Lookups!$O$14,L150)-J150)/365.25,2)</f>
        <v>0.56999999999999995</v>
      </c>
      <c r="AE150" t="str">
        <f t="shared" si="19"/>
        <v>&lt; 1 Yr (New)</v>
      </c>
      <c r="AF150" t="str">
        <f t="shared" si="20"/>
        <v>Exited</v>
      </c>
    </row>
    <row r="151" spans="1:32" x14ac:dyDescent="0.45">
      <c r="A151" t="s">
        <v>517</v>
      </c>
      <c r="B151" t="s">
        <v>518</v>
      </c>
      <c r="C151" t="s">
        <v>55</v>
      </c>
      <c r="D151" t="s">
        <v>54</v>
      </c>
      <c r="E151" t="s">
        <v>168</v>
      </c>
      <c r="F151" t="s">
        <v>84</v>
      </c>
      <c r="G151" t="s">
        <v>169</v>
      </c>
      <c r="H151" t="s">
        <v>106</v>
      </c>
      <c r="I151" t="s">
        <v>107</v>
      </c>
      <c r="J151" s="26">
        <v>44032</v>
      </c>
      <c r="K151" t="s">
        <v>162</v>
      </c>
      <c r="L151" s="26"/>
      <c r="M151" t="s">
        <v>163</v>
      </c>
      <c r="N151" t="s">
        <v>95</v>
      </c>
      <c r="O151" s="27">
        <v>2542000</v>
      </c>
      <c r="P151">
        <v>3</v>
      </c>
      <c r="Q151" t="s">
        <v>164</v>
      </c>
      <c r="R151">
        <v>42</v>
      </c>
      <c r="S151" t="s">
        <v>173</v>
      </c>
      <c r="T151">
        <f t="shared" si="14"/>
        <v>11023</v>
      </c>
      <c r="U151" t="str">
        <f t="shared" si="15"/>
        <v>OPS</v>
      </c>
      <c r="V151" t="str">
        <f t="shared" si="16"/>
        <v>L4</v>
      </c>
      <c r="W151" t="str">
        <f>PROPER(TRIM(VLOOKUP(S151,Employee_Lookups!$I$4:$M$19,2,FALSE())))</f>
        <v>Deepak Patil</v>
      </c>
      <c r="X151" t="str">
        <f>VLOOKUP(C151,Employee_Lookups!$A$4:$G$9,4,FALSE())</f>
        <v>CC-303</v>
      </c>
      <c r="Y151" t="str">
        <f>INDEX(Employee_Lookups!$C$13:$C$17,MATCH(F151,Employee_Lookups!$A$13:$A$17,0))</f>
        <v>Band D (Leadership)</v>
      </c>
      <c r="Z151" s="27">
        <f>_xlfn.XLOOKUP(F151,Employee_Lookups!$A$13:$A$17,Employee_Lookups!$E$13:$E$17,0)</f>
        <v>2750000</v>
      </c>
      <c r="AA151" s="28">
        <f>ROUND(O151/INDEX(Employee_Lookups!$E$13:$E$17,MATCH(F151,Employee_Lookups!$A$13:$A$17,0)),3)</f>
        <v>0.92400000000000004</v>
      </c>
      <c r="AB151">
        <f t="shared" si="17"/>
        <v>2020</v>
      </c>
      <c r="AC151" t="str">
        <f t="shared" si="18"/>
        <v/>
      </c>
      <c r="AD151" s="28">
        <f>ROUND((IF(ISBLANK(L151),Employee_Lookups!$O$14,L151)-J151)/365.25,2)</f>
        <v>5.45</v>
      </c>
      <c r="AE151" t="str">
        <f t="shared" si="19"/>
        <v>5+ Yrs</v>
      </c>
      <c r="AF151" t="str">
        <f t="shared" si="20"/>
        <v>Low Risk</v>
      </c>
    </row>
    <row r="152" spans="1:32" x14ac:dyDescent="0.45">
      <c r="A152" t="s">
        <v>519</v>
      </c>
      <c r="B152" t="s">
        <v>520</v>
      </c>
      <c r="C152" t="s">
        <v>59</v>
      </c>
      <c r="D152" t="s">
        <v>58</v>
      </c>
      <c r="E152" t="s">
        <v>206</v>
      </c>
      <c r="F152" t="s">
        <v>81</v>
      </c>
      <c r="G152" t="s">
        <v>207</v>
      </c>
      <c r="H152" t="s">
        <v>106</v>
      </c>
      <c r="I152" t="s">
        <v>107</v>
      </c>
      <c r="J152" s="26">
        <v>44034</v>
      </c>
      <c r="K152" t="s">
        <v>162</v>
      </c>
      <c r="L152" s="26"/>
      <c r="M152" t="s">
        <v>163</v>
      </c>
      <c r="N152" t="s">
        <v>99</v>
      </c>
      <c r="O152" s="27">
        <v>653000</v>
      </c>
      <c r="P152">
        <v>3</v>
      </c>
      <c r="Q152" t="s">
        <v>164</v>
      </c>
      <c r="R152">
        <v>30</v>
      </c>
      <c r="S152" t="s">
        <v>214</v>
      </c>
      <c r="T152">
        <f t="shared" si="14"/>
        <v>10466</v>
      </c>
      <c r="U152" t="str">
        <f t="shared" si="15"/>
        <v>FIN</v>
      </c>
      <c r="V152" t="str">
        <f t="shared" si="16"/>
        <v>L1</v>
      </c>
      <c r="W152" t="str">
        <f>PROPER(TRIM(VLOOKUP(S152,Employee_Lookups!$I$4:$M$19,2,FALSE())))</f>
        <v>Aditya Gokhale</v>
      </c>
      <c r="X152" t="str">
        <f>VLOOKUP(C152,Employee_Lookups!$A$4:$G$9,4,FALSE())</f>
        <v>CC-404</v>
      </c>
      <c r="Y152" t="str">
        <f>INDEX(Employee_Lookups!$C$13:$C$17,MATCH(F152,Employee_Lookups!$A$13:$A$17,0))</f>
        <v>Band A (Entry)</v>
      </c>
      <c r="Z152" s="27">
        <f>_xlfn.XLOOKUP(F152,Employee_Lookups!$A$13:$A$17,Employee_Lookups!$E$13:$E$17,0)</f>
        <v>700000</v>
      </c>
      <c r="AA152" s="28">
        <f>ROUND(O152/INDEX(Employee_Lookups!$E$13:$E$17,MATCH(F152,Employee_Lookups!$A$13:$A$17,0)),3)</f>
        <v>0.93300000000000005</v>
      </c>
      <c r="AB152">
        <f t="shared" si="17"/>
        <v>2020</v>
      </c>
      <c r="AC152" t="str">
        <f t="shared" si="18"/>
        <v/>
      </c>
      <c r="AD152" s="28">
        <f>ROUND((IF(ISBLANK(L152),Employee_Lookups!$O$14,L152)-J152)/365.25,2)</f>
        <v>5.44</v>
      </c>
      <c r="AE152" t="str">
        <f t="shared" si="19"/>
        <v>5+ Yrs</v>
      </c>
      <c r="AF152" t="str">
        <f t="shared" si="20"/>
        <v>Low Risk</v>
      </c>
    </row>
    <row r="153" spans="1:32" x14ac:dyDescent="0.45">
      <c r="A153" t="s">
        <v>521</v>
      </c>
      <c r="B153" t="s">
        <v>522</v>
      </c>
      <c r="C153" t="s">
        <v>59</v>
      </c>
      <c r="D153" t="s">
        <v>58</v>
      </c>
      <c r="E153" t="s">
        <v>206</v>
      </c>
      <c r="F153" t="s">
        <v>81</v>
      </c>
      <c r="G153" t="s">
        <v>207</v>
      </c>
      <c r="H153" t="s">
        <v>109</v>
      </c>
      <c r="I153" t="s">
        <v>110</v>
      </c>
      <c r="J153" s="26">
        <v>44045</v>
      </c>
      <c r="K153" t="s">
        <v>187</v>
      </c>
      <c r="L153" s="26">
        <v>45578</v>
      </c>
      <c r="M153" t="s">
        <v>282</v>
      </c>
      <c r="N153" t="s">
        <v>95</v>
      </c>
      <c r="O153" s="27">
        <v>604000</v>
      </c>
      <c r="P153">
        <v>3</v>
      </c>
      <c r="Q153" t="s">
        <v>172</v>
      </c>
      <c r="R153">
        <v>36</v>
      </c>
      <c r="S153" t="s">
        <v>208</v>
      </c>
      <c r="T153">
        <f t="shared" si="14"/>
        <v>10270</v>
      </c>
      <c r="U153" t="str">
        <f t="shared" si="15"/>
        <v>FIN</v>
      </c>
      <c r="V153" t="str">
        <f t="shared" si="16"/>
        <v>L1</v>
      </c>
      <c r="W153" t="str">
        <f>PROPER(TRIM(VLOOKUP(S153,Employee_Lookups!$I$4:$M$19,2,FALSE())))</f>
        <v>Rajeshwari Rao</v>
      </c>
      <c r="X153" t="str">
        <f>VLOOKUP(C153,Employee_Lookups!$A$4:$G$9,4,FALSE())</f>
        <v>CC-404</v>
      </c>
      <c r="Y153" t="str">
        <f>INDEX(Employee_Lookups!$C$13:$C$17,MATCH(F153,Employee_Lookups!$A$13:$A$17,0))</f>
        <v>Band A (Entry)</v>
      </c>
      <c r="Z153" s="27">
        <f>_xlfn.XLOOKUP(F153,Employee_Lookups!$A$13:$A$17,Employee_Lookups!$E$13:$E$17,0)</f>
        <v>700000</v>
      </c>
      <c r="AA153" s="28">
        <f>ROUND(O153/INDEX(Employee_Lookups!$E$13:$E$17,MATCH(F153,Employee_Lookups!$A$13:$A$17,0)),3)</f>
        <v>0.86299999999999999</v>
      </c>
      <c r="AB153">
        <f t="shared" si="17"/>
        <v>2020</v>
      </c>
      <c r="AC153">
        <f t="shared" si="18"/>
        <v>2024</v>
      </c>
      <c r="AD153" s="28">
        <f>ROUND((IF(ISBLANK(L153),Employee_Lookups!$O$14,L153)-J153)/365.25,2)</f>
        <v>4.2</v>
      </c>
      <c r="AE153" t="str">
        <f t="shared" si="19"/>
        <v>3 - 5 Yrs</v>
      </c>
      <c r="AF153" t="str">
        <f t="shared" si="20"/>
        <v>Exited</v>
      </c>
    </row>
    <row r="154" spans="1:32" x14ac:dyDescent="0.45">
      <c r="A154" t="s">
        <v>523</v>
      </c>
      <c r="B154" t="s">
        <v>524</v>
      </c>
      <c r="C154" t="s">
        <v>53</v>
      </c>
      <c r="D154" t="s">
        <v>52</v>
      </c>
      <c r="E154" t="s">
        <v>185</v>
      </c>
      <c r="F154" t="s">
        <v>82</v>
      </c>
      <c r="G154" t="s">
        <v>186</v>
      </c>
      <c r="H154" t="s">
        <v>109</v>
      </c>
      <c r="I154" t="s">
        <v>110</v>
      </c>
      <c r="J154" s="26">
        <v>44053</v>
      </c>
      <c r="K154" t="s">
        <v>187</v>
      </c>
      <c r="L154" s="26">
        <v>44146</v>
      </c>
      <c r="M154" t="s">
        <v>282</v>
      </c>
      <c r="N154" t="s">
        <v>99</v>
      </c>
      <c r="O154" s="27">
        <v>1288000</v>
      </c>
      <c r="P154">
        <v>3</v>
      </c>
      <c r="Q154" t="s">
        <v>164</v>
      </c>
      <c r="R154">
        <v>28</v>
      </c>
      <c r="S154" t="s">
        <v>189</v>
      </c>
      <c r="T154">
        <f t="shared" si="14"/>
        <v>11392</v>
      </c>
      <c r="U154" t="str">
        <f t="shared" si="15"/>
        <v>SAL</v>
      </c>
      <c r="V154" t="str">
        <f t="shared" si="16"/>
        <v>L2</v>
      </c>
      <c r="W154" t="str">
        <f>PROPER(TRIM(VLOOKUP(S154,Employee_Lookups!$I$4:$M$19,2,FALSE())))</f>
        <v>Priya Sharma</v>
      </c>
      <c r="X154" t="str">
        <f>VLOOKUP(C154,Employee_Lookups!$A$4:$G$9,4,FALSE())</f>
        <v>CC-202</v>
      </c>
      <c r="Y154" t="str">
        <f>INDEX(Employee_Lookups!$C$13:$C$17,MATCH(F154,Employee_Lookups!$A$13:$A$17,0))</f>
        <v>Band B (Mid)</v>
      </c>
      <c r="Z154" s="27">
        <f>_xlfn.XLOOKUP(F154,Employee_Lookups!$A$13:$A$17,Employee_Lookups!$E$13:$E$17,0)</f>
        <v>1100000</v>
      </c>
      <c r="AA154" s="28">
        <f>ROUND(O154/INDEX(Employee_Lookups!$E$13:$E$17,MATCH(F154,Employee_Lookups!$A$13:$A$17,0)),3)</f>
        <v>1.171</v>
      </c>
      <c r="AB154">
        <f t="shared" si="17"/>
        <v>2020</v>
      </c>
      <c r="AC154">
        <f t="shared" si="18"/>
        <v>2020</v>
      </c>
      <c r="AD154" s="28">
        <f>ROUND((IF(ISBLANK(L154),Employee_Lookups!$O$14,L154)-J154)/365.25,2)</f>
        <v>0.25</v>
      </c>
      <c r="AE154" t="str">
        <f t="shared" si="19"/>
        <v>&lt; 1 Yr (New)</v>
      </c>
      <c r="AF154" t="str">
        <f t="shared" si="20"/>
        <v>Exited</v>
      </c>
    </row>
    <row r="155" spans="1:32" x14ac:dyDescent="0.45">
      <c r="A155" t="s">
        <v>525</v>
      </c>
      <c r="B155" t="s">
        <v>526</v>
      </c>
      <c r="C155" t="s">
        <v>61</v>
      </c>
      <c r="D155" t="s">
        <v>60</v>
      </c>
      <c r="E155" t="s">
        <v>251</v>
      </c>
      <c r="F155" t="s">
        <v>82</v>
      </c>
      <c r="G155" t="s">
        <v>252</v>
      </c>
      <c r="H155" t="s">
        <v>111</v>
      </c>
      <c r="I155" t="s">
        <v>110</v>
      </c>
      <c r="J155" s="26">
        <v>44056</v>
      </c>
      <c r="K155" t="s">
        <v>162</v>
      </c>
      <c r="L155" s="26"/>
      <c r="M155" t="s">
        <v>163</v>
      </c>
      <c r="N155" t="s">
        <v>95</v>
      </c>
      <c r="O155" s="27">
        <v>1237000</v>
      </c>
      <c r="P155">
        <v>3</v>
      </c>
      <c r="Q155" t="s">
        <v>164</v>
      </c>
      <c r="R155">
        <v>41</v>
      </c>
      <c r="S155" t="s">
        <v>253</v>
      </c>
      <c r="T155">
        <f t="shared" si="14"/>
        <v>10680</v>
      </c>
      <c r="U155" t="str">
        <f t="shared" si="15"/>
        <v>-HR</v>
      </c>
      <c r="V155" t="str">
        <f t="shared" si="16"/>
        <v>L2</v>
      </c>
      <c r="W155" t="str">
        <f>PROPER(TRIM(VLOOKUP(S155,Employee_Lookups!$I$4:$M$19,2,FALSE())))</f>
        <v>Nikhil Chatterjee</v>
      </c>
      <c r="X155" t="str">
        <f>VLOOKUP(C155,Employee_Lookups!$A$4:$G$9,4,FALSE())</f>
        <v>CC-505</v>
      </c>
      <c r="Y155" t="str">
        <f>INDEX(Employee_Lookups!$C$13:$C$17,MATCH(F155,Employee_Lookups!$A$13:$A$17,0))</f>
        <v>Band B (Mid)</v>
      </c>
      <c r="Z155" s="27">
        <f>_xlfn.XLOOKUP(F155,Employee_Lookups!$A$13:$A$17,Employee_Lookups!$E$13:$E$17,0)</f>
        <v>1100000</v>
      </c>
      <c r="AA155" s="28">
        <f>ROUND(O155/INDEX(Employee_Lookups!$E$13:$E$17,MATCH(F155,Employee_Lookups!$A$13:$A$17,0)),3)</f>
        <v>1.125</v>
      </c>
      <c r="AB155">
        <f t="shared" si="17"/>
        <v>2020</v>
      </c>
      <c r="AC155" t="str">
        <f t="shared" si="18"/>
        <v/>
      </c>
      <c r="AD155" s="28">
        <f>ROUND((IF(ISBLANK(L155),Employee_Lookups!$O$14,L155)-J155)/365.25,2)</f>
        <v>5.38</v>
      </c>
      <c r="AE155" t="str">
        <f t="shared" si="19"/>
        <v>5+ Yrs</v>
      </c>
      <c r="AF155" t="str">
        <f t="shared" si="20"/>
        <v>Low Risk</v>
      </c>
    </row>
    <row r="156" spans="1:32" x14ac:dyDescent="0.45">
      <c r="A156" t="s">
        <v>527</v>
      </c>
      <c r="B156" t="s">
        <v>528</v>
      </c>
      <c r="C156" t="s">
        <v>53</v>
      </c>
      <c r="D156" t="s">
        <v>52</v>
      </c>
      <c r="E156" t="s">
        <v>280</v>
      </c>
      <c r="F156" t="s">
        <v>85</v>
      </c>
      <c r="G156" t="s">
        <v>281</v>
      </c>
      <c r="H156" t="s">
        <v>108</v>
      </c>
      <c r="I156" t="s">
        <v>107</v>
      </c>
      <c r="J156" s="26">
        <v>44061</v>
      </c>
      <c r="K156" t="s">
        <v>162</v>
      </c>
      <c r="L156" s="26"/>
      <c r="M156" t="s">
        <v>163</v>
      </c>
      <c r="N156" t="s">
        <v>99</v>
      </c>
      <c r="O156" s="27">
        <v>4166000</v>
      </c>
      <c r="P156">
        <v>2</v>
      </c>
      <c r="Q156" t="s">
        <v>164</v>
      </c>
      <c r="R156">
        <v>6</v>
      </c>
      <c r="S156" t="s">
        <v>189</v>
      </c>
      <c r="T156">
        <f t="shared" si="14"/>
        <v>10086</v>
      </c>
      <c r="U156" t="str">
        <f t="shared" si="15"/>
        <v>SAL</v>
      </c>
      <c r="V156" t="str">
        <f t="shared" si="16"/>
        <v>L5</v>
      </c>
      <c r="W156" t="str">
        <f>PROPER(TRIM(VLOOKUP(S156,Employee_Lookups!$I$4:$M$19,2,FALSE())))</f>
        <v>Priya Sharma</v>
      </c>
      <c r="X156" t="str">
        <f>VLOOKUP(C156,Employee_Lookups!$A$4:$G$9,4,FALSE())</f>
        <v>CC-202</v>
      </c>
      <c r="Y156" t="str">
        <f>INDEX(Employee_Lookups!$C$13:$C$17,MATCH(F156,Employee_Lookups!$A$13:$A$17,0))</f>
        <v>Band E (Executive)</v>
      </c>
      <c r="Z156" s="27">
        <f>_xlfn.XLOOKUP(F156,Employee_Lookups!$A$13:$A$17,Employee_Lookups!$E$13:$E$17,0)</f>
        <v>4300000</v>
      </c>
      <c r="AA156" s="28">
        <f>ROUND(O156/INDEX(Employee_Lookups!$E$13:$E$17,MATCH(F156,Employee_Lookups!$A$13:$A$17,0)),3)</f>
        <v>0.96899999999999997</v>
      </c>
      <c r="AB156">
        <f t="shared" si="17"/>
        <v>2020</v>
      </c>
      <c r="AC156" t="str">
        <f t="shared" si="18"/>
        <v/>
      </c>
      <c r="AD156" s="28">
        <f>ROUND((IF(ISBLANK(L156),Employee_Lookups!$O$14,L156)-J156)/365.25,2)</f>
        <v>5.37</v>
      </c>
      <c r="AE156" t="str">
        <f t="shared" si="19"/>
        <v>5+ Yrs</v>
      </c>
      <c r="AF156" t="str">
        <f t="shared" si="20"/>
        <v>Moderate Risk</v>
      </c>
    </row>
    <row r="157" spans="1:32" x14ac:dyDescent="0.45">
      <c r="A157" t="s">
        <v>529</v>
      </c>
      <c r="B157" t="s">
        <v>477</v>
      </c>
      <c r="C157" t="s">
        <v>59</v>
      </c>
      <c r="D157" t="s">
        <v>58</v>
      </c>
      <c r="E157" t="s">
        <v>287</v>
      </c>
      <c r="F157" t="s">
        <v>83</v>
      </c>
      <c r="G157" t="s">
        <v>288</v>
      </c>
      <c r="H157" t="s">
        <v>108</v>
      </c>
      <c r="I157" t="s">
        <v>107</v>
      </c>
      <c r="J157" s="26">
        <v>44062</v>
      </c>
      <c r="K157" t="s">
        <v>162</v>
      </c>
      <c r="L157" s="26"/>
      <c r="M157" t="s">
        <v>163</v>
      </c>
      <c r="N157" t="s">
        <v>95</v>
      </c>
      <c r="O157" s="27">
        <v>1571000</v>
      </c>
      <c r="P157">
        <v>5</v>
      </c>
      <c r="Q157" t="s">
        <v>172</v>
      </c>
      <c r="R157">
        <v>41</v>
      </c>
      <c r="S157" t="s">
        <v>208</v>
      </c>
      <c r="T157">
        <f t="shared" si="14"/>
        <v>10944</v>
      </c>
      <c r="U157" t="str">
        <f t="shared" si="15"/>
        <v>FIN</v>
      </c>
      <c r="V157" t="str">
        <f t="shared" si="16"/>
        <v>L3</v>
      </c>
      <c r="W157" t="str">
        <f>PROPER(TRIM(VLOOKUP(S157,Employee_Lookups!$I$4:$M$19,2,FALSE())))</f>
        <v>Rajeshwari Rao</v>
      </c>
      <c r="X157" t="str">
        <f>VLOOKUP(C157,Employee_Lookups!$A$4:$G$9,4,FALSE())</f>
        <v>CC-404</v>
      </c>
      <c r="Y157" t="str">
        <f>INDEX(Employee_Lookups!$C$13:$C$17,MATCH(F157,Employee_Lookups!$A$13:$A$17,0))</f>
        <v>Band C (Senior)</v>
      </c>
      <c r="Z157" s="27">
        <f>_xlfn.XLOOKUP(F157,Employee_Lookups!$A$13:$A$17,Employee_Lookups!$E$13:$E$17,0)</f>
        <v>1725000</v>
      </c>
      <c r="AA157" s="28">
        <f>ROUND(O157/INDEX(Employee_Lookups!$E$13:$E$17,MATCH(F157,Employee_Lookups!$A$13:$A$17,0)),3)</f>
        <v>0.91100000000000003</v>
      </c>
      <c r="AB157">
        <f t="shared" si="17"/>
        <v>2020</v>
      </c>
      <c r="AC157" t="str">
        <f t="shared" si="18"/>
        <v/>
      </c>
      <c r="AD157" s="28">
        <f>ROUND((IF(ISBLANK(L157),Employee_Lookups!$O$14,L157)-J157)/365.25,2)</f>
        <v>5.37</v>
      </c>
      <c r="AE157" t="str">
        <f t="shared" si="19"/>
        <v>5+ Yrs</v>
      </c>
      <c r="AF157" t="str">
        <f t="shared" si="20"/>
        <v>High Risk</v>
      </c>
    </row>
    <row r="158" spans="1:32" x14ac:dyDescent="0.45">
      <c r="A158" t="s">
        <v>530</v>
      </c>
      <c r="B158" t="s">
        <v>531</v>
      </c>
      <c r="C158" t="s">
        <v>51</v>
      </c>
      <c r="D158" t="s">
        <v>50</v>
      </c>
      <c r="E158" t="s">
        <v>217</v>
      </c>
      <c r="F158" t="s">
        <v>83</v>
      </c>
      <c r="G158" t="s">
        <v>218</v>
      </c>
      <c r="H158" t="s">
        <v>112</v>
      </c>
      <c r="I158" t="s">
        <v>113</v>
      </c>
      <c r="J158" s="26">
        <v>44070</v>
      </c>
      <c r="K158" t="s">
        <v>162</v>
      </c>
      <c r="L158" s="26"/>
      <c r="M158" t="s">
        <v>163</v>
      </c>
      <c r="N158" t="s">
        <v>96</v>
      </c>
      <c r="O158" s="27">
        <v>2081000</v>
      </c>
      <c r="P158">
        <v>5</v>
      </c>
      <c r="Q158" t="s">
        <v>164</v>
      </c>
      <c r="R158">
        <v>31</v>
      </c>
      <c r="S158" t="s">
        <v>244</v>
      </c>
      <c r="T158">
        <f t="shared" si="14"/>
        <v>10956</v>
      </c>
      <c r="U158" t="str">
        <f t="shared" si="15"/>
        <v>ENG</v>
      </c>
      <c r="V158" t="str">
        <f t="shared" si="16"/>
        <v>L3</v>
      </c>
      <c r="W158" t="str">
        <f>PROPER(TRIM(VLOOKUP(S158,Employee_Lookups!$I$4:$M$19,2,FALSE())))</f>
        <v>Siddharth Nair</v>
      </c>
      <c r="X158" t="str">
        <f>VLOOKUP(C158,Employee_Lookups!$A$4:$G$9,4,FALSE())</f>
        <v>CC-101</v>
      </c>
      <c r="Y158" t="str">
        <f>INDEX(Employee_Lookups!$C$13:$C$17,MATCH(F158,Employee_Lookups!$A$13:$A$17,0))</f>
        <v>Band C (Senior)</v>
      </c>
      <c r="Z158" s="27">
        <f>_xlfn.XLOOKUP(F158,Employee_Lookups!$A$13:$A$17,Employee_Lookups!$E$13:$E$17,0)</f>
        <v>1725000</v>
      </c>
      <c r="AA158" s="28">
        <f>ROUND(O158/INDEX(Employee_Lookups!$E$13:$E$17,MATCH(F158,Employee_Lookups!$A$13:$A$17,0)),3)</f>
        <v>1.206</v>
      </c>
      <c r="AB158">
        <f t="shared" si="17"/>
        <v>2020</v>
      </c>
      <c r="AC158" t="str">
        <f t="shared" si="18"/>
        <v/>
      </c>
      <c r="AD158" s="28">
        <f>ROUND((IF(ISBLANK(L158),Employee_Lookups!$O$14,L158)-J158)/365.25,2)</f>
        <v>5.34</v>
      </c>
      <c r="AE158" t="str">
        <f t="shared" si="19"/>
        <v>5+ Yrs</v>
      </c>
      <c r="AF158" t="str">
        <f t="shared" si="20"/>
        <v>Low Risk</v>
      </c>
    </row>
    <row r="159" spans="1:32" x14ac:dyDescent="0.45">
      <c r="A159" t="s">
        <v>532</v>
      </c>
      <c r="B159" t="s">
        <v>533</v>
      </c>
      <c r="C159" t="s">
        <v>51</v>
      </c>
      <c r="D159" t="s">
        <v>50</v>
      </c>
      <c r="E159" t="s">
        <v>181</v>
      </c>
      <c r="F159" t="s">
        <v>81</v>
      </c>
      <c r="G159" t="s">
        <v>182</v>
      </c>
      <c r="H159" t="s">
        <v>108</v>
      </c>
      <c r="I159" t="s">
        <v>107</v>
      </c>
      <c r="J159" s="26">
        <v>44075</v>
      </c>
      <c r="K159" t="s">
        <v>187</v>
      </c>
      <c r="L159" s="26">
        <v>44311</v>
      </c>
      <c r="M159" t="s">
        <v>213</v>
      </c>
      <c r="N159" t="s">
        <v>95</v>
      </c>
      <c r="O159" s="27">
        <v>748000</v>
      </c>
      <c r="P159">
        <v>3</v>
      </c>
      <c r="Q159" t="s">
        <v>172</v>
      </c>
      <c r="R159">
        <v>29</v>
      </c>
      <c r="S159" t="s">
        <v>178</v>
      </c>
      <c r="T159">
        <f t="shared" si="14"/>
        <v>10936</v>
      </c>
      <c r="U159" t="str">
        <f t="shared" si="15"/>
        <v>ENG</v>
      </c>
      <c r="V159" t="str">
        <f t="shared" si="16"/>
        <v>L1</v>
      </c>
      <c r="W159" t="str">
        <f>PROPER(TRIM(VLOOKUP(S159,Employee_Lookups!$I$4:$M$19,2,FALSE())))</f>
        <v>Aarav Deshmukh</v>
      </c>
      <c r="X159" t="str">
        <f>VLOOKUP(C159,Employee_Lookups!$A$4:$G$9,4,FALSE())</f>
        <v>CC-101</v>
      </c>
      <c r="Y159" t="str">
        <f>INDEX(Employee_Lookups!$C$13:$C$17,MATCH(F159,Employee_Lookups!$A$13:$A$17,0))</f>
        <v>Band A (Entry)</v>
      </c>
      <c r="Z159" s="27">
        <f>_xlfn.XLOOKUP(F159,Employee_Lookups!$A$13:$A$17,Employee_Lookups!$E$13:$E$17,0)</f>
        <v>700000</v>
      </c>
      <c r="AA159" s="28">
        <f>ROUND(O159/INDEX(Employee_Lookups!$E$13:$E$17,MATCH(F159,Employee_Lookups!$A$13:$A$17,0)),3)</f>
        <v>1.069</v>
      </c>
      <c r="AB159">
        <f t="shared" si="17"/>
        <v>2020</v>
      </c>
      <c r="AC159">
        <f t="shared" si="18"/>
        <v>2021</v>
      </c>
      <c r="AD159" s="28">
        <f>ROUND((IF(ISBLANK(L159),Employee_Lookups!$O$14,L159)-J159)/365.25,2)</f>
        <v>0.65</v>
      </c>
      <c r="AE159" t="str">
        <f t="shared" si="19"/>
        <v>&lt; 1 Yr (New)</v>
      </c>
      <c r="AF159" t="str">
        <f t="shared" si="20"/>
        <v>Exited</v>
      </c>
    </row>
    <row r="160" spans="1:32" x14ac:dyDescent="0.45">
      <c r="A160" t="s">
        <v>534</v>
      </c>
      <c r="B160" t="s">
        <v>535</v>
      </c>
      <c r="C160" t="s">
        <v>51</v>
      </c>
      <c r="D160" t="s">
        <v>50</v>
      </c>
      <c r="E160" t="s">
        <v>176</v>
      </c>
      <c r="F160" t="s">
        <v>82</v>
      </c>
      <c r="G160" t="s">
        <v>177</v>
      </c>
      <c r="H160" t="s">
        <v>108</v>
      </c>
      <c r="I160" t="s">
        <v>107</v>
      </c>
      <c r="J160" s="26">
        <v>44077</v>
      </c>
      <c r="K160" t="s">
        <v>162</v>
      </c>
      <c r="L160" s="26"/>
      <c r="M160" t="s">
        <v>163</v>
      </c>
      <c r="N160" t="s">
        <v>97</v>
      </c>
      <c r="O160" s="27">
        <v>1242000</v>
      </c>
      <c r="P160">
        <v>3</v>
      </c>
      <c r="Q160" t="s">
        <v>164</v>
      </c>
      <c r="R160">
        <v>33</v>
      </c>
      <c r="S160" t="s">
        <v>197</v>
      </c>
      <c r="T160">
        <f t="shared" si="14"/>
        <v>10312</v>
      </c>
      <c r="U160" t="str">
        <f t="shared" si="15"/>
        <v>ENG</v>
      </c>
      <c r="V160" t="str">
        <f t="shared" si="16"/>
        <v>L2</v>
      </c>
      <c r="W160" t="str">
        <f>PROPER(TRIM(VLOOKUP(S160,Employee_Lookups!$I$4:$M$19,2,FALSE())))</f>
        <v>Rohan Verma</v>
      </c>
      <c r="X160" t="str">
        <f>VLOOKUP(C160,Employee_Lookups!$A$4:$G$9,4,FALSE())</f>
        <v>CC-101</v>
      </c>
      <c r="Y160" t="str">
        <f>INDEX(Employee_Lookups!$C$13:$C$17,MATCH(F160,Employee_Lookups!$A$13:$A$17,0))</f>
        <v>Band B (Mid)</v>
      </c>
      <c r="Z160" s="27">
        <f>_xlfn.XLOOKUP(F160,Employee_Lookups!$A$13:$A$17,Employee_Lookups!$E$13:$E$17,0)</f>
        <v>1100000</v>
      </c>
      <c r="AA160" s="28">
        <f>ROUND(O160/INDEX(Employee_Lookups!$E$13:$E$17,MATCH(F160,Employee_Lookups!$A$13:$A$17,0)),3)</f>
        <v>1.129</v>
      </c>
      <c r="AB160">
        <f t="shared" si="17"/>
        <v>2020</v>
      </c>
      <c r="AC160" t="str">
        <f t="shared" si="18"/>
        <v/>
      </c>
      <c r="AD160" s="28">
        <f>ROUND((IF(ISBLANK(L160),Employee_Lookups!$O$14,L160)-J160)/365.25,2)</f>
        <v>5.33</v>
      </c>
      <c r="AE160" t="str">
        <f t="shared" si="19"/>
        <v>5+ Yrs</v>
      </c>
      <c r="AF160" t="str">
        <f t="shared" si="20"/>
        <v>Low Risk</v>
      </c>
    </row>
    <row r="161" spans="1:32" x14ac:dyDescent="0.45">
      <c r="A161" t="s">
        <v>536</v>
      </c>
      <c r="B161" t="s">
        <v>335</v>
      </c>
      <c r="C161" t="s">
        <v>55</v>
      </c>
      <c r="D161" t="s">
        <v>54</v>
      </c>
      <c r="E161" t="s">
        <v>537</v>
      </c>
      <c r="F161" t="s">
        <v>85</v>
      </c>
      <c r="G161" t="s">
        <v>538</v>
      </c>
      <c r="H161" t="s">
        <v>106</v>
      </c>
      <c r="I161" t="s">
        <v>107</v>
      </c>
      <c r="J161" s="26">
        <v>44081</v>
      </c>
      <c r="K161" t="s">
        <v>162</v>
      </c>
      <c r="L161" s="26"/>
      <c r="M161" t="s">
        <v>163</v>
      </c>
      <c r="N161" t="s">
        <v>99</v>
      </c>
      <c r="O161" s="27">
        <v>4221000</v>
      </c>
      <c r="P161">
        <v>3</v>
      </c>
      <c r="Q161" t="s">
        <v>164</v>
      </c>
      <c r="R161">
        <v>48</v>
      </c>
      <c r="S161" t="s">
        <v>274</v>
      </c>
      <c r="T161">
        <f t="shared" si="14"/>
        <v>10490</v>
      </c>
      <c r="U161" t="str">
        <f t="shared" si="15"/>
        <v>OPS</v>
      </c>
      <c r="V161" t="str">
        <f t="shared" si="16"/>
        <v>L5</v>
      </c>
      <c r="W161" t="str">
        <f>PROPER(TRIM(VLOOKUP(S161,Employee_Lookups!$I$4:$M$19,2,FALSE())))</f>
        <v>Meera Krishnan</v>
      </c>
      <c r="X161" t="str">
        <f>VLOOKUP(C161,Employee_Lookups!$A$4:$G$9,4,FALSE())</f>
        <v>CC-303</v>
      </c>
      <c r="Y161" t="str">
        <f>INDEX(Employee_Lookups!$C$13:$C$17,MATCH(F161,Employee_Lookups!$A$13:$A$17,0))</f>
        <v>Band E (Executive)</v>
      </c>
      <c r="Z161" s="27">
        <f>_xlfn.XLOOKUP(F161,Employee_Lookups!$A$13:$A$17,Employee_Lookups!$E$13:$E$17,0)</f>
        <v>4300000</v>
      </c>
      <c r="AA161" s="28">
        <f>ROUND(O161/INDEX(Employee_Lookups!$E$13:$E$17,MATCH(F161,Employee_Lookups!$A$13:$A$17,0)),3)</f>
        <v>0.98199999999999998</v>
      </c>
      <c r="AB161">
        <f t="shared" si="17"/>
        <v>2020</v>
      </c>
      <c r="AC161" t="str">
        <f t="shared" si="18"/>
        <v/>
      </c>
      <c r="AD161" s="28">
        <f>ROUND((IF(ISBLANK(L161),Employee_Lookups!$O$14,L161)-J161)/365.25,2)</f>
        <v>5.31</v>
      </c>
      <c r="AE161" t="str">
        <f t="shared" si="19"/>
        <v>5+ Yrs</v>
      </c>
      <c r="AF161" t="str">
        <f t="shared" si="20"/>
        <v>Low Risk</v>
      </c>
    </row>
    <row r="162" spans="1:32" x14ac:dyDescent="0.45">
      <c r="A162" t="s">
        <v>539</v>
      </c>
      <c r="B162" t="s">
        <v>540</v>
      </c>
      <c r="C162" t="s">
        <v>51</v>
      </c>
      <c r="D162" t="s">
        <v>50</v>
      </c>
      <c r="E162" t="s">
        <v>181</v>
      </c>
      <c r="F162" t="s">
        <v>81</v>
      </c>
      <c r="G162" t="s">
        <v>182</v>
      </c>
      <c r="H162" t="s">
        <v>109</v>
      </c>
      <c r="I162" t="s">
        <v>110</v>
      </c>
      <c r="J162" s="26">
        <v>44083</v>
      </c>
      <c r="K162" t="s">
        <v>162</v>
      </c>
      <c r="L162" s="26"/>
      <c r="M162" t="s">
        <v>163</v>
      </c>
      <c r="N162" t="s">
        <v>99</v>
      </c>
      <c r="O162" s="27">
        <v>626000</v>
      </c>
      <c r="P162">
        <v>2</v>
      </c>
      <c r="Q162" t="s">
        <v>164</v>
      </c>
      <c r="R162">
        <v>24</v>
      </c>
      <c r="S162" t="s">
        <v>197</v>
      </c>
      <c r="T162">
        <f t="shared" si="14"/>
        <v>11341</v>
      </c>
      <c r="U162" t="str">
        <f t="shared" si="15"/>
        <v>ENG</v>
      </c>
      <c r="V162" t="str">
        <f t="shared" si="16"/>
        <v>L1</v>
      </c>
      <c r="W162" t="str">
        <f>PROPER(TRIM(VLOOKUP(S162,Employee_Lookups!$I$4:$M$19,2,FALSE())))</f>
        <v>Rohan Verma</v>
      </c>
      <c r="X162" t="str">
        <f>VLOOKUP(C162,Employee_Lookups!$A$4:$G$9,4,FALSE())</f>
        <v>CC-101</v>
      </c>
      <c r="Y162" t="str">
        <f>INDEX(Employee_Lookups!$C$13:$C$17,MATCH(F162,Employee_Lookups!$A$13:$A$17,0))</f>
        <v>Band A (Entry)</v>
      </c>
      <c r="Z162" s="27">
        <f>_xlfn.XLOOKUP(F162,Employee_Lookups!$A$13:$A$17,Employee_Lookups!$E$13:$E$17,0)</f>
        <v>700000</v>
      </c>
      <c r="AA162" s="28">
        <f>ROUND(O162/INDEX(Employee_Lookups!$E$13:$E$17,MATCH(F162,Employee_Lookups!$A$13:$A$17,0)),3)</f>
        <v>0.89400000000000002</v>
      </c>
      <c r="AB162">
        <f t="shared" si="17"/>
        <v>2020</v>
      </c>
      <c r="AC162" t="str">
        <f t="shared" si="18"/>
        <v/>
      </c>
      <c r="AD162" s="28">
        <f>ROUND((IF(ISBLANK(L162),Employee_Lookups!$O$14,L162)-J162)/365.25,2)</f>
        <v>5.31</v>
      </c>
      <c r="AE162" t="str">
        <f t="shared" si="19"/>
        <v>5+ Yrs</v>
      </c>
      <c r="AF162" t="str">
        <f t="shared" si="20"/>
        <v>Moderate Risk</v>
      </c>
    </row>
    <row r="163" spans="1:32" x14ac:dyDescent="0.45">
      <c r="A163" t="s">
        <v>541</v>
      </c>
      <c r="B163" t="s">
        <v>196</v>
      </c>
      <c r="C163" t="s">
        <v>57</v>
      </c>
      <c r="D163" t="s">
        <v>56</v>
      </c>
      <c r="E163" t="s">
        <v>222</v>
      </c>
      <c r="F163" t="s">
        <v>82</v>
      </c>
      <c r="G163" t="s">
        <v>223</v>
      </c>
      <c r="H163" t="s">
        <v>111</v>
      </c>
      <c r="I163" t="s">
        <v>110</v>
      </c>
      <c r="J163" s="26">
        <v>44084</v>
      </c>
      <c r="K163" t="s">
        <v>162</v>
      </c>
      <c r="L163" s="26"/>
      <c r="M163" t="s">
        <v>163</v>
      </c>
      <c r="N163" t="s">
        <v>97</v>
      </c>
      <c r="O163" s="27">
        <v>1047000</v>
      </c>
      <c r="P163">
        <v>4</v>
      </c>
      <c r="Q163" t="s">
        <v>172</v>
      </c>
      <c r="R163">
        <v>16</v>
      </c>
      <c r="S163" t="s">
        <v>224</v>
      </c>
      <c r="T163">
        <f t="shared" si="14"/>
        <v>11410</v>
      </c>
      <c r="U163" t="str">
        <f t="shared" si="15"/>
        <v>MKT</v>
      </c>
      <c r="V163" t="str">
        <f t="shared" si="16"/>
        <v>L2</v>
      </c>
      <c r="W163" t="str">
        <f>PROPER(TRIM(VLOOKUP(S163,Employee_Lookups!$I$4:$M$19,2,FALSE())))</f>
        <v>Tanvi Chitnis</v>
      </c>
      <c r="X163" t="str">
        <f>VLOOKUP(C163,Employee_Lookups!$A$4:$G$9,4,FALSE())</f>
        <v>CC-606</v>
      </c>
      <c r="Y163" t="str">
        <f>INDEX(Employee_Lookups!$C$13:$C$17,MATCH(F163,Employee_Lookups!$A$13:$A$17,0))</f>
        <v>Band B (Mid)</v>
      </c>
      <c r="Z163" s="27">
        <f>_xlfn.XLOOKUP(F163,Employee_Lookups!$A$13:$A$17,Employee_Lookups!$E$13:$E$17,0)</f>
        <v>1100000</v>
      </c>
      <c r="AA163" s="28">
        <f>ROUND(O163/INDEX(Employee_Lookups!$E$13:$E$17,MATCH(F163,Employee_Lookups!$A$13:$A$17,0)),3)</f>
        <v>0.95199999999999996</v>
      </c>
      <c r="AB163">
        <f t="shared" si="17"/>
        <v>2020</v>
      </c>
      <c r="AC163" t="str">
        <f t="shared" si="18"/>
        <v/>
      </c>
      <c r="AD163" s="28">
        <f>ROUND((IF(ISBLANK(L163),Employee_Lookups!$O$14,L163)-J163)/365.25,2)</f>
        <v>5.31</v>
      </c>
      <c r="AE163" t="str">
        <f t="shared" si="19"/>
        <v>5+ Yrs</v>
      </c>
      <c r="AF163" t="str">
        <f t="shared" si="20"/>
        <v>High Risk</v>
      </c>
    </row>
    <row r="164" spans="1:32" x14ac:dyDescent="0.45">
      <c r="A164" t="s">
        <v>542</v>
      </c>
      <c r="B164" t="s">
        <v>481</v>
      </c>
      <c r="C164" t="s">
        <v>55</v>
      </c>
      <c r="D164" t="s">
        <v>54</v>
      </c>
      <c r="E164" t="s">
        <v>229</v>
      </c>
      <c r="F164" t="s">
        <v>82</v>
      </c>
      <c r="G164" t="s">
        <v>230</v>
      </c>
      <c r="H164" t="s">
        <v>108</v>
      </c>
      <c r="I164" t="s">
        <v>107</v>
      </c>
      <c r="J164" s="26">
        <v>44085</v>
      </c>
      <c r="K164" t="s">
        <v>162</v>
      </c>
      <c r="L164" s="26"/>
      <c r="M164" t="s">
        <v>163</v>
      </c>
      <c r="N164" t="s">
        <v>99</v>
      </c>
      <c r="O164" s="27">
        <v>1263000</v>
      </c>
      <c r="P164">
        <v>3</v>
      </c>
      <c r="Q164" t="s">
        <v>164</v>
      </c>
      <c r="R164">
        <v>34</v>
      </c>
      <c r="S164" t="s">
        <v>262</v>
      </c>
      <c r="T164">
        <f t="shared" si="14"/>
        <v>10837</v>
      </c>
      <c r="U164" t="str">
        <f t="shared" si="15"/>
        <v>OPS</v>
      </c>
      <c r="V164" t="str">
        <f t="shared" si="16"/>
        <v>L2</v>
      </c>
      <c r="W164" t="str">
        <f>PROPER(TRIM(VLOOKUP(S164,Employee_Lookups!$I$4:$M$19,2,FALSE())))</f>
        <v>Ananya Iyer</v>
      </c>
      <c r="X164" t="str">
        <f>VLOOKUP(C164,Employee_Lookups!$A$4:$G$9,4,FALSE())</f>
        <v>CC-303</v>
      </c>
      <c r="Y164" t="str">
        <f>INDEX(Employee_Lookups!$C$13:$C$17,MATCH(F164,Employee_Lookups!$A$13:$A$17,0))</f>
        <v>Band B (Mid)</v>
      </c>
      <c r="Z164" s="27">
        <f>_xlfn.XLOOKUP(F164,Employee_Lookups!$A$13:$A$17,Employee_Lookups!$E$13:$E$17,0)</f>
        <v>1100000</v>
      </c>
      <c r="AA164" s="28">
        <f>ROUND(O164/INDEX(Employee_Lookups!$E$13:$E$17,MATCH(F164,Employee_Lookups!$A$13:$A$17,0)),3)</f>
        <v>1.1479999999999999</v>
      </c>
      <c r="AB164">
        <f t="shared" si="17"/>
        <v>2020</v>
      </c>
      <c r="AC164" t="str">
        <f t="shared" si="18"/>
        <v/>
      </c>
      <c r="AD164" s="28">
        <f>ROUND((IF(ISBLANK(L164),Employee_Lookups!$O$14,L164)-J164)/365.25,2)</f>
        <v>5.3</v>
      </c>
      <c r="AE164" t="str">
        <f t="shared" si="19"/>
        <v>5+ Yrs</v>
      </c>
      <c r="AF164" t="str">
        <f t="shared" si="20"/>
        <v>Low Risk</v>
      </c>
    </row>
    <row r="165" spans="1:32" x14ac:dyDescent="0.45">
      <c r="A165" t="s">
        <v>543</v>
      </c>
      <c r="B165" t="s">
        <v>544</v>
      </c>
      <c r="C165" t="s">
        <v>59</v>
      </c>
      <c r="D165" t="s">
        <v>58</v>
      </c>
      <c r="E165" t="s">
        <v>211</v>
      </c>
      <c r="F165" t="s">
        <v>82</v>
      </c>
      <c r="G165" t="s">
        <v>212</v>
      </c>
      <c r="H165" t="s">
        <v>112</v>
      </c>
      <c r="I165" t="s">
        <v>113</v>
      </c>
      <c r="J165" s="26">
        <v>44089</v>
      </c>
      <c r="K165" t="s">
        <v>162</v>
      </c>
      <c r="L165" s="26"/>
      <c r="M165" t="s">
        <v>163</v>
      </c>
      <c r="N165" t="s">
        <v>99</v>
      </c>
      <c r="O165" s="27">
        <v>1324000</v>
      </c>
      <c r="P165">
        <v>4</v>
      </c>
      <c r="Q165" t="s">
        <v>172</v>
      </c>
      <c r="R165">
        <v>42</v>
      </c>
      <c r="S165" t="s">
        <v>214</v>
      </c>
      <c r="T165">
        <f t="shared" si="14"/>
        <v>10605</v>
      </c>
      <c r="U165" t="str">
        <f t="shared" si="15"/>
        <v>FIN</v>
      </c>
      <c r="V165" t="str">
        <f t="shared" si="16"/>
        <v>L2</v>
      </c>
      <c r="W165" t="str">
        <f>PROPER(TRIM(VLOOKUP(S165,Employee_Lookups!$I$4:$M$19,2,FALSE())))</f>
        <v>Aditya Gokhale</v>
      </c>
      <c r="X165" t="str">
        <f>VLOOKUP(C165,Employee_Lookups!$A$4:$G$9,4,FALSE())</f>
        <v>CC-404</v>
      </c>
      <c r="Y165" t="str">
        <f>INDEX(Employee_Lookups!$C$13:$C$17,MATCH(F165,Employee_Lookups!$A$13:$A$17,0))</f>
        <v>Band B (Mid)</v>
      </c>
      <c r="Z165" s="27">
        <f>_xlfn.XLOOKUP(F165,Employee_Lookups!$A$13:$A$17,Employee_Lookups!$E$13:$E$17,0)</f>
        <v>1100000</v>
      </c>
      <c r="AA165" s="28">
        <f>ROUND(O165/INDEX(Employee_Lookups!$E$13:$E$17,MATCH(F165,Employee_Lookups!$A$13:$A$17,0)),3)</f>
        <v>1.204</v>
      </c>
      <c r="AB165">
        <f t="shared" si="17"/>
        <v>2020</v>
      </c>
      <c r="AC165" t="str">
        <f t="shared" si="18"/>
        <v/>
      </c>
      <c r="AD165" s="28">
        <f>ROUND((IF(ISBLANK(L165),Employee_Lookups!$O$14,L165)-J165)/365.25,2)</f>
        <v>5.29</v>
      </c>
      <c r="AE165" t="str">
        <f t="shared" si="19"/>
        <v>5+ Yrs</v>
      </c>
      <c r="AF165" t="str">
        <f t="shared" si="20"/>
        <v>High Risk</v>
      </c>
    </row>
    <row r="166" spans="1:32" x14ac:dyDescent="0.45">
      <c r="A166" t="s">
        <v>545</v>
      </c>
      <c r="B166" t="s">
        <v>546</v>
      </c>
      <c r="C166" t="s">
        <v>55</v>
      </c>
      <c r="D166" t="s">
        <v>54</v>
      </c>
      <c r="E166" t="s">
        <v>229</v>
      </c>
      <c r="F166" t="s">
        <v>82</v>
      </c>
      <c r="G166" t="s">
        <v>230</v>
      </c>
      <c r="H166" t="s">
        <v>106</v>
      </c>
      <c r="I166" t="s">
        <v>107</v>
      </c>
      <c r="J166" s="26">
        <v>44093</v>
      </c>
      <c r="K166" t="s">
        <v>187</v>
      </c>
      <c r="L166" s="26">
        <v>44309</v>
      </c>
      <c r="M166" t="s">
        <v>269</v>
      </c>
      <c r="N166" t="s">
        <v>98</v>
      </c>
      <c r="O166" s="27">
        <v>1252000</v>
      </c>
      <c r="P166">
        <v>4</v>
      </c>
      <c r="Q166" t="s">
        <v>172</v>
      </c>
      <c r="R166">
        <v>37</v>
      </c>
      <c r="S166" t="s">
        <v>173</v>
      </c>
      <c r="T166">
        <f t="shared" si="14"/>
        <v>10216</v>
      </c>
      <c r="U166" t="str">
        <f t="shared" si="15"/>
        <v>OPS</v>
      </c>
      <c r="V166" t="str">
        <f t="shared" si="16"/>
        <v>L2</v>
      </c>
      <c r="W166" t="str">
        <f>PROPER(TRIM(VLOOKUP(S166,Employee_Lookups!$I$4:$M$19,2,FALSE())))</f>
        <v>Deepak Patil</v>
      </c>
      <c r="X166" t="str">
        <f>VLOOKUP(C166,Employee_Lookups!$A$4:$G$9,4,FALSE())</f>
        <v>CC-303</v>
      </c>
      <c r="Y166" t="str">
        <f>INDEX(Employee_Lookups!$C$13:$C$17,MATCH(F166,Employee_Lookups!$A$13:$A$17,0))</f>
        <v>Band B (Mid)</v>
      </c>
      <c r="Z166" s="27">
        <f>_xlfn.XLOOKUP(F166,Employee_Lookups!$A$13:$A$17,Employee_Lookups!$E$13:$E$17,0)</f>
        <v>1100000</v>
      </c>
      <c r="AA166" s="28">
        <f>ROUND(O166/INDEX(Employee_Lookups!$E$13:$E$17,MATCH(F166,Employee_Lookups!$A$13:$A$17,0)),3)</f>
        <v>1.1379999999999999</v>
      </c>
      <c r="AB166">
        <f t="shared" si="17"/>
        <v>2020</v>
      </c>
      <c r="AC166">
        <f t="shared" si="18"/>
        <v>2021</v>
      </c>
      <c r="AD166" s="28">
        <f>ROUND((IF(ISBLANK(L166),Employee_Lookups!$O$14,L166)-J166)/365.25,2)</f>
        <v>0.59</v>
      </c>
      <c r="AE166" t="str">
        <f t="shared" si="19"/>
        <v>&lt; 1 Yr (New)</v>
      </c>
      <c r="AF166" t="str">
        <f t="shared" si="20"/>
        <v>Exited</v>
      </c>
    </row>
    <row r="167" spans="1:32" x14ac:dyDescent="0.45">
      <c r="A167" t="s">
        <v>547</v>
      </c>
      <c r="B167" t="s">
        <v>548</v>
      </c>
      <c r="C167" t="s">
        <v>55</v>
      </c>
      <c r="D167" t="s">
        <v>54</v>
      </c>
      <c r="E167" t="s">
        <v>229</v>
      </c>
      <c r="F167" t="s">
        <v>82</v>
      </c>
      <c r="G167" t="s">
        <v>230</v>
      </c>
      <c r="H167" t="s">
        <v>106</v>
      </c>
      <c r="I167" t="s">
        <v>107</v>
      </c>
      <c r="J167" s="26">
        <v>44099</v>
      </c>
      <c r="K167" t="s">
        <v>162</v>
      </c>
      <c r="L167" s="26"/>
      <c r="M167" t="s">
        <v>163</v>
      </c>
      <c r="N167" t="s">
        <v>99</v>
      </c>
      <c r="O167" s="27">
        <v>1085000</v>
      </c>
      <c r="P167">
        <v>4</v>
      </c>
      <c r="Q167" t="s">
        <v>172</v>
      </c>
      <c r="R167">
        <v>58</v>
      </c>
      <c r="S167" t="s">
        <v>274</v>
      </c>
      <c r="T167">
        <f t="shared" si="14"/>
        <v>11027</v>
      </c>
      <c r="U167" t="str">
        <f t="shared" si="15"/>
        <v>OPS</v>
      </c>
      <c r="V167" t="str">
        <f t="shared" si="16"/>
        <v>L2</v>
      </c>
      <c r="W167" t="str">
        <f>PROPER(TRIM(VLOOKUP(S167,Employee_Lookups!$I$4:$M$19,2,FALSE())))</f>
        <v>Meera Krishnan</v>
      </c>
      <c r="X167" t="str">
        <f>VLOOKUP(C167,Employee_Lookups!$A$4:$G$9,4,FALSE())</f>
        <v>CC-303</v>
      </c>
      <c r="Y167" t="str">
        <f>INDEX(Employee_Lookups!$C$13:$C$17,MATCH(F167,Employee_Lookups!$A$13:$A$17,0))</f>
        <v>Band B (Mid)</v>
      </c>
      <c r="Z167" s="27">
        <f>_xlfn.XLOOKUP(F167,Employee_Lookups!$A$13:$A$17,Employee_Lookups!$E$13:$E$17,0)</f>
        <v>1100000</v>
      </c>
      <c r="AA167" s="28">
        <f>ROUND(O167/INDEX(Employee_Lookups!$E$13:$E$17,MATCH(F167,Employee_Lookups!$A$13:$A$17,0)),3)</f>
        <v>0.98599999999999999</v>
      </c>
      <c r="AB167">
        <f t="shared" si="17"/>
        <v>2020</v>
      </c>
      <c r="AC167" t="str">
        <f t="shared" si="18"/>
        <v/>
      </c>
      <c r="AD167" s="28">
        <f>ROUND((IF(ISBLANK(L167),Employee_Lookups!$O$14,L167)-J167)/365.25,2)</f>
        <v>5.26</v>
      </c>
      <c r="AE167" t="str">
        <f t="shared" si="19"/>
        <v>5+ Yrs</v>
      </c>
      <c r="AF167" t="str">
        <f t="shared" si="20"/>
        <v>High Risk</v>
      </c>
    </row>
    <row r="168" spans="1:32" x14ac:dyDescent="0.45">
      <c r="A168" t="s">
        <v>549</v>
      </c>
      <c r="B168" t="s">
        <v>550</v>
      </c>
      <c r="C168" t="s">
        <v>55</v>
      </c>
      <c r="D168" t="s">
        <v>54</v>
      </c>
      <c r="E168" t="s">
        <v>240</v>
      </c>
      <c r="F168" t="s">
        <v>83</v>
      </c>
      <c r="G168" t="s">
        <v>241</v>
      </c>
      <c r="H168" t="s">
        <v>108</v>
      </c>
      <c r="I168" t="s">
        <v>107</v>
      </c>
      <c r="J168" s="26">
        <v>44112</v>
      </c>
      <c r="K168" t="s">
        <v>162</v>
      </c>
      <c r="L168" s="26"/>
      <c r="M168" t="s">
        <v>163</v>
      </c>
      <c r="N168" t="s">
        <v>97</v>
      </c>
      <c r="O168" s="27">
        <v>1782000</v>
      </c>
      <c r="P168">
        <v>3</v>
      </c>
      <c r="Q168" t="s">
        <v>172</v>
      </c>
      <c r="R168">
        <v>42</v>
      </c>
      <c r="S168" t="s">
        <v>262</v>
      </c>
      <c r="T168">
        <f t="shared" si="14"/>
        <v>11095</v>
      </c>
      <c r="U168" t="str">
        <f t="shared" si="15"/>
        <v>OPS</v>
      </c>
      <c r="V168" t="str">
        <f t="shared" si="16"/>
        <v>L3</v>
      </c>
      <c r="W168" t="str">
        <f>PROPER(TRIM(VLOOKUP(S168,Employee_Lookups!$I$4:$M$19,2,FALSE())))</f>
        <v>Ananya Iyer</v>
      </c>
      <c r="X168" t="str">
        <f>VLOOKUP(C168,Employee_Lookups!$A$4:$G$9,4,FALSE())</f>
        <v>CC-303</v>
      </c>
      <c r="Y168" t="str">
        <f>INDEX(Employee_Lookups!$C$13:$C$17,MATCH(F168,Employee_Lookups!$A$13:$A$17,0))</f>
        <v>Band C (Senior)</v>
      </c>
      <c r="Z168" s="27">
        <f>_xlfn.XLOOKUP(F168,Employee_Lookups!$A$13:$A$17,Employee_Lookups!$E$13:$E$17,0)</f>
        <v>1725000</v>
      </c>
      <c r="AA168" s="28">
        <f>ROUND(O168/INDEX(Employee_Lookups!$E$13:$E$17,MATCH(F168,Employee_Lookups!$A$13:$A$17,0)),3)</f>
        <v>1.0329999999999999</v>
      </c>
      <c r="AB168">
        <f t="shared" si="17"/>
        <v>2020</v>
      </c>
      <c r="AC168" t="str">
        <f t="shared" si="18"/>
        <v/>
      </c>
      <c r="AD168" s="28">
        <f>ROUND((IF(ISBLANK(L168),Employee_Lookups!$O$14,L168)-J168)/365.25,2)</f>
        <v>5.23</v>
      </c>
      <c r="AE168" t="str">
        <f t="shared" si="19"/>
        <v>5+ Yrs</v>
      </c>
      <c r="AF168" t="str">
        <f t="shared" si="20"/>
        <v>Moderate Risk</v>
      </c>
    </row>
    <row r="169" spans="1:32" x14ac:dyDescent="0.45">
      <c r="A169" t="s">
        <v>551</v>
      </c>
      <c r="B169" t="s">
        <v>552</v>
      </c>
      <c r="C169" t="s">
        <v>55</v>
      </c>
      <c r="D169" t="s">
        <v>54</v>
      </c>
      <c r="E169" t="s">
        <v>229</v>
      </c>
      <c r="F169" t="s">
        <v>82</v>
      </c>
      <c r="G169" t="s">
        <v>230</v>
      </c>
      <c r="H169" t="s">
        <v>108</v>
      </c>
      <c r="I169" t="s">
        <v>107</v>
      </c>
      <c r="J169" s="26">
        <v>44113</v>
      </c>
      <c r="K169" t="s">
        <v>187</v>
      </c>
      <c r="L169" s="26">
        <v>45294</v>
      </c>
      <c r="M169" t="s">
        <v>213</v>
      </c>
      <c r="N169" t="s">
        <v>99</v>
      </c>
      <c r="O169" s="27">
        <v>1049000</v>
      </c>
      <c r="P169">
        <v>3</v>
      </c>
      <c r="Q169" t="s">
        <v>164</v>
      </c>
      <c r="R169">
        <v>21</v>
      </c>
      <c r="S169" t="s">
        <v>173</v>
      </c>
      <c r="T169">
        <f t="shared" si="14"/>
        <v>10564</v>
      </c>
      <c r="U169" t="str">
        <f t="shared" si="15"/>
        <v>OPS</v>
      </c>
      <c r="V169" t="str">
        <f t="shared" si="16"/>
        <v>L2</v>
      </c>
      <c r="W169" t="str">
        <f>PROPER(TRIM(VLOOKUP(S169,Employee_Lookups!$I$4:$M$19,2,FALSE())))</f>
        <v>Deepak Patil</v>
      </c>
      <c r="X169" t="str">
        <f>VLOOKUP(C169,Employee_Lookups!$A$4:$G$9,4,FALSE())</f>
        <v>CC-303</v>
      </c>
      <c r="Y169" t="str">
        <f>INDEX(Employee_Lookups!$C$13:$C$17,MATCH(F169,Employee_Lookups!$A$13:$A$17,0))</f>
        <v>Band B (Mid)</v>
      </c>
      <c r="Z169" s="27">
        <f>_xlfn.XLOOKUP(F169,Employee_Lookups!$A$13:$A$17,Employee_Lookups!$E$13:$E$17,0)</f>
        <v>1100000</v>
      </c>
      <c r="AA169" s="28">
        <f>ROUND(O169/INDEX(Employee_Lookups!$E$13:$E$17,MATCH(F169,Employee_Lookups!$A$13:$A$17,0)),3)</f>
        <v>0.95399999999999996</v>
      </c>
      <c r="AB169">
        <f t="shared" si="17"/>
        <v>2020</v>
      </c>
      <c r="AC169">
        <f t="shared" si="18"/>
        <v>2024</v>
      </c>
      <c r="AD169" s="28">
        <f>ROUND((IF(ISBLANK(L169),Employee_Lookups!$O$14,L169)-J169)/365.25,2)</f>
        <v>3.23</v>
      </c>
      <c r="AE169" t="str">
        <f t="shared" si="19"/>
        <v>3 - 5 Yrs</v>
      </c>
      <c r="AF169" t="str">
        <f t="shared" si="20"/>
        <v>Exited</v>
      </c>
    </row>
    <row r="170" spans="1:32" x14ac:dyDescent="0.45">
      <c r="A170" t="s">
        <v>553</v>
      </c>
      <c r="B170" t="s">
        <v>554</v>
      </c>
      <c r="C170" t="s">
        <v>51</v>
      </c>
      <c r="D170" t="s">
        <v>50</v>
      </c>
      <c r="E170" t="s">
        <v>176</v>
      </c>
      <c r="F170" t="s">
        <v>82</v>
      </c>
      <c r="G170" t="s">
        <v>177</v>
      </c>
      <c r="H170" t="s">
        <v>111</v>
      </c>
      <c r="I170" t="s">
        <v>110</v>
      </c>
      <c r="J170" s="26">
        <v>44118</v>
      </c>
      <c r="K170" t="s">
        <v>187</v>
      </c>
      <c r="L170" s="26">
        <v>44530</v>
      </c>
      <c r="M170" t="s">
        <v>308</v>
      </c>
      <c r="N170" t="s">
        <v>98</v>
      </c>
      <c r="O170" s="27">
        <v>989000</v>
      </c>
      <c r="P170">
        <v>4</v>
      </c>
      <c r="Q170" t="s">
        <v>164</v>
      </c>
      <c r="R170">
        <v>44</v>
      </c>
      <c r="S170" t="s">
        <v>178</v>
      </c>
      <c r="T170">
        <f t="shared" si="14"/>
        <v>11229</v>
      </c>
      <c r="U170" t="str">
        <f t="shared" si="15"/>
        <v>ENG</v>
      </c>
      <c r="V170" t="str">
        <f t="shared" si="16"/>
        <v>L2</v>
      </c>
      <c r="W170" t="str">
        <f>PROPER(TRIM(VLOOKUP(S170,Employee_Lookups!$I$4:$M$19,2,FALSE())))</f>
        <v>Aarav Deshmukh</v>
      </c>
      <c r="X170" t="str">
        <f>VLOOKUP(C170,Employee_Lookups!$A$4:$G$9,4,FALSE())</f>
        <v>CC-101</v>
      </c>
      <c r="Y170" t="str">
        <f>INDEX(Employee_Lookups!$C$13:$C$17,MATCH(F170,Employee_Lookups!$A$13:$A$17,0))</f>
        <v>Band B (Mid)</v>
      </c>
      <c r="Z170" s="27">
        <f>_xlfn.XLOOKUP(F170,Employee_Lookups!$A$13:$A$17,Employee_Lookups!$E$13:$E$17,0)</f>
        <v>1100000</v>
      </c>
      <c r="AA170" s="28">
        <f>ROUND(O170/INDEX(Employee_Lookups!$E$13:$E$17,MATCH(F170,Employee_Lookups!$A$13:$A$17,0)),3)</f>
        <v>0.89900000000000002</v>
      </c>
      <c r="AB170">
        <f t="shared" si="17"/>
        <v>2020</v>
      </c>
      <c r="AC170">
        <f t="shared" si="18"/>
        <v>2021</v>
      </c>
      <c r="AD170" s="28">
        <f>ROUND((IF(ISBLANK(L170),Employee_Lookups!$O$14,L170)-J170)/365.25,2)</f>
        <v>1.1299999999999999</v>
      </c>
      <c r="AE170" t="str">
        <f t="shared" si="19"/>
        <v>1 - 3 Yrs</v>
      </c>
      <c r="AF170" t="str">
        <f t="shared" si="20"/>
        <v>Exited</v>
      </c>
    </row>
    <row r="171" spans="1:32" x14ac:dyDescent="0.45">
      <c r="A171" t="s">
        <v>555</v>
      </c>
      <c r="B171" t="s">
        <v>556</v>
      </c>
      <c r="C171" t="s">
        <v>51</v>
      </c>
      <c r="D171" t="s">
        <v>50</v>
      </c>
      <c r="E171" t="s">
        <v>217</v>
      </c>
      <c r="F171" t="s">
        <v>83</v>
      </c>
      <c r="G171" t="s">
        <v>218</v>
      </c>
      <c r="H171" t="s">
        <v>108</v>
      </c>
      <c r="I171" t="s">
        <v>107</v>
      </c>
      <c r="J171" s="26">
        <v>44121</v>
      </c>
      <c r="K171" t="s">
        <v>162</v>
      </c>
      <c r="L171" s="26"/>
      <c r="M171" t="s">
        <v>163</v>
      </c>
      <c r="N171" t="s">
        <v>99</v>
      </c>
      <c r="O171" s="27">
        <v>1446000</v>
      </c>
      <c r="P171">
        <v>3</v>
      </c>
      <c r="Q171" t="s">
        <v>164</v>
      </c>
      <c r="R171">
        <v>37</v>
      </c>
      <c r="S171" t="s">
        <v>178</v>
      </c>
      <c r="T171">
        <f t="shared" si="14"/>
        <v>10733</v>
      </c>
      <c r="U171" t="str">
        <f t="shared" si="15"/>
        <v>ENG</v>
      </c>
      <c r="V171" t="str">
        <f t="shared" si="16"/>
        <v>L3</v>
      </c>
      <c r="W171" t="str">
        <f>PROPER(TRIM(VLOOKUP(S171,Employee_Lookups!$I$4:$M$19,2,FALSE())))</f>
        <v>Aarav Deshmukh</v>
      </c>
      <c r="X171" t="str">
        <f>VLOOKUP(C171,Employee_Lookups!$A$4:$G$9,4,FALSE())</f>
        <v>CC-101</v>
      </c>
      <c r="Y171" t="str">
        <f>INDEX(Employee_Lookups!$C$13:$C$17,MATCH(F171,Employee_Lookups!$A$13:$A$17,0))</f>
        <v>Band C (Senior)</v>
      </c>
      <c r="Z171" s="27">
        <f>_xlfn.XLOOKUP(F171,Employee_Lookups!$A$13:$A$17,Employee_Lookups!$E$13:$E$17,0)</f>
        <v>1725000</v>
      </c>
      <c r="AA171" s="28">
        <f>ROUND(O171/INDEX(Employee_Lookups!$E$13:$E$17,MATCH(F171,Employee_Lookups!$A$13:$A$17,0)),3)</f>
        <v>0.83799999999999997</v>
      </c>
      <c r="AB171">
        <f t="shared" si="17"/>
        <v>2020</v>
      </c>
      <c r="AC171" t="str">
        <f t="shared" si="18"/>
        <v/>
      </c>
      <c r="AD171" s="28">
        <f>ROUND((IF(ISBLANK(L171),Employee_Lookups!$O$14,L171)-J171)/365.25,2)</f>
        <v>5.2</v>
      </c>
      <c r="AE171" t="str">
        <f t="shared" si="19"/>
        <v>5+ Yrs</v>
      </c>
      <c r="AF171" t="str">
        <f t="shared" si="20"/>
        <v>Low Risk</v>
      </c>
    </row>
    <row r="172" spans="1:32" x14ac:dyDescent="0.45">
      <c r="A172" t="s">
        <v>557</v>
      </c>
      <c r="B172" t="s">
        <v>558</v>
      </c>
      <c r="C172" t="s">
        <v>59</v>
      </c>
      <c r="D172" t="s">
        <v>58</v>
      </c>
      <c r="E172" t="s">
        <v>287</v>
      </c>
      <c r="F172" t="s">
        <v>83</v>
      </c>
      <c r="G172" t="s">
        <v>288</v>
      </c>
      <c r="H172" t="s">
        <v>106</v>
      </c>
      <c r="I172" t="s">
        <v>107</v>
      </c>
      <c r="J172" s="26">
        <v>44122</v>
      </c>
      <c r="K172" t="s">
        <v>162</v>
      </c>
      <c r="L172" s="26"/>
      <c r="M172" t="s">
        <v>163</v>
      </c>
      <c r="N172" t="s">
        <v>96</v>
      </c>
      <c r="O172" s="27">
        <v>1606000</v>
      </c>
      <c r="P172">
        <v>4</v>
      </c>
      <c r="Q172" t="s">
        <v>164</v>
      </c>
      <c r="R172">
        <v>22</v>
      </c>
      <c r="S172" t="s">
        <v>214</v>
      </c>
      <c r="T172">
        <f t="shared" si="14"/>
        <v>11382</v>
      </c>
      <c r="U172" t="str">
        <f t="shared" si="15"/>
        <v>FIN</v>
      </c>
      <c r="V172" t="str">
        <f t="shared" si="16"/>
        <v>L3</v>
      </c>
      <c r="W172" t="str">
        <f>PROPER(TRIM(VLOOKUP(S172,Employee_Lookups!$I$4:$M$19,2,FALSE())))</f>
        <v>Aditya Gokhale</v>
      </c>
      <c r="X172" t="str">
        <f>VLOOKUP(C172,Employee_Lookups!$A$4:$G$9,4,FALSE())</f>
        <v>CC-404</v>
      </c>
      <c r="Y172" t="str">
        <f>INDEX(Employee_Lookups!$C$13:$C$17,MATCH(F172,Employee_Lookups!$A$13:$A$17,0))</f>
        <v>Band C (Senior)</v>
      </c>
      <c r="Z172" s="27">
        <f>_xlfn.XLOOKUP(F172,Employee_Lookups!$A$13:$A$17,Employee_Lookups!$E$13:$E$17,0)</f>
        <v>1725000</v>
      </c>
      <c r="AA172" s="28">
        <f>ROUND(O172/INDEX(Employee_Lookups!$E$13:$E$17,MATCH(F172,Employee_Lookups!$A$13:$A$17,0)),3)</f>
        <v>0.93100000000000005</v>
      </c>
      <c r="AB172">
        <f t="shared" si="17"/>
        <v>2020</v>
      </c>
      <c r="AC172" t="str">
        <f t="shared" si="18"/>
        <v/>
      </c>
      <c r="AD172" s="28">
        <f>ROUND((IF(ISBLANK(L172),Employee_Lookups!$O$14,L172)-J172)/365.25,2)</f>
        <v>5.2</v>
      </c>
      <c r="AE172" t="str">
        <f t="shared" si="19"/>
        <v>5+ Yrs</v>
      </c>
      <c r="AF172" t="str">
        <f t="shared" si="20"/>
        <v>Low Risk</v>
      </c>
    </row>
    <row r="173" spans="1:32" x14ac:dyDescent="0.45">
      <c r="A173" t="s">
        <v>559</v>
      </c>
      <c r="B173" t="s">
        <v>349</v>
      </c>
      <c r="C173" t="s">
        <v>55</v>
      </c>
      <c r="D173" t="s">
        <v>54</v>
      </c>
      <c r="E173" t="s">
        <v>277</v>
      </c>
      <c r="F173" t="s">
        <v>81</v>
      </c>
      <c r="G173" t="s">
        <v>278</v>
      </c>
      <c r="H173" t="s">
        <v>109</v>
      </c>
      <c r="I173" t="s">
        <v>110</v>
      </c>
      <c r="J173" s="26">
        <v>44124</v>
      </c>
      <c r="K173" t="s">
        <v>170</v>
      </c>
      <c r="L173" s="26">
        <v>44850</v>
      </c>
      <c r="M173" t="s">
        <v>171</v>
      </c>
      <c r="N173" t="s">
        <v>98</v>
      </c>
      <c r="O173" s="27">
        <v>612000</v>
      </c>
      <c r="P173">
        <v>3</v>
      </c>
      <c r="Q173" t="s">
        <v>172</v>
      </c>
      <c r="R173">
        <v>29</v>
      </c>
      <c r="S173" t="s">
        <v>262</v>
      </c>
      <c r="T173">
        <f t="shared" si="14"/>
        <v>10827</v>
      </c>
      <c r="U173" t="str">
        <f t="shared" si="15"/>
        <v>OPS</v>
      </c>
      <c r="V173" t="str">
        <f t="shared" si="16"/>
        <v>L1</v>
      </c>
      <c r="W173" t="str">
        <f>PROPER(TRIM(VLOOKUP(S173,Employee_Lookups!$I$4:$M$19,2,FALSE())))</f>
        <v>Ananya Iyer</v>
      </c>
      <c r="X173" t="str">
        <f>VLOOKUP(C173,Employee_Lookups!$A$4:$G$9,4,FALSE())</f>
        <v>CC-303</v>
      </c>
      <c r="Y173" t="str">
        <f>INDEX(Employee_Lookups!$C$13:$C$17,MATCH(F173,Employee_Lookups!$A$13:$A$17,0))</f>
        <v>Band A (Entry)</v>
      </c>
      <c r="Z173" s="27">
        <f>_xlfn.XLOOKUP(F173,Employee_Lookups!$A$13:$A$17,Employee_Lookups!$E$13:$E$17,0)</f>
        <v>700000</v>
      </c>
      <c r="AA173" s="28">
        <f>ROUND(O173/INDEX(Employee_Lookups!$E$13:$E$17,MATCH(F173,Employee_Lookups!$A$13:$A$17,0)),3)</f>
        <v>0.874</v>
      </c>
      <c r="AB173">
        <f t="shared" si="17"/>
        <v>2020</v>
      </c>
      <c r="AC173">
        <f t="shared" si="18"/>
        <v>2022</v>
      </c>
      <c r="AD173" s="28">
        <f>ROUND((IF(ISBLANK(L173),Employee_Lookups!$O$14,L173)-J173)/365.25,2)</f>
        <v>1.99</v>
      </c>
      <c r="AE173" t="str">
        <f t="shared" si="19"/>
        <v>1 - 3 Yrs</v>
      </c>
      <c r="AF173" t="str">
        <f t="shared" si="20"/>
        <v>Exited</v>
      </c>
    </row>
    <row r="174" spans="1:32" x14ac:dyDescent="0.45">
      <c r="A174" t="s">
        <v>560</v>
      </c>
      <c r="B174" t="s">
        <v>368</v>
      </c>
      <c r="C174" t="s">
        <v>57</v>
      </c>
      <c r="D174" t="s">
        <v>56</v>
      </c>
      <c r="E174" t="s">
        <v>160</v>
      </c>
      <c r="F174" t="s">
        <v>81</v>
      </c>
      <c r="G174" t="s">
        <v>161</v>
      </c>
      <c r="H174" t="s">
        <v>106</v>
      </c>
      <c r="I174" t="s">
        <v>107</v>
      </c>
      <c r="J174" s="26">
        <v>44124</v>
      </c>
      <c r="K174" t="s">
        <v>170</v>
      </c>
      <c r="L174" s="26">
        <v>44408</v>
      </c>
      <c r="M174" t="s">
        <v>171</v>
      </c>
      <c r="N174" t="s">
        <v>99</v>
      </c>
      <c r="O174" s="27">
        <v>654000</v>
      </c>
      <c r="P174">
        <v>5</v>
      </c>
      <c r="Q174" t="s">
        <v>172</v>
      </c>
      <c r="R174">
        <v>8</v>
      </c>
      <c r="S174" t="s">
        <v>165</v>
      </c>
      <c r="T174">
        <f t="shared" si="14"/>
        <v>11439</v>
      </c>
      <c r="U174" t="str">
        <f t="shared" si="15"/>
        <v>MKT</v>
      </c>
      <c r="V174" t="str">
        <f t="shared" si="16"/>
        <v>L1</v>
      </c>
      <c r="W174" t="str">
        <f>PROPER(TRIM(VLOOKUP(S174,Employee_Lookups!$I$4:$M$19,2,FALSE())))</f>
        <v>Arjun Sengupta</v>
      </c>
      <c r="X174" t="str">
        <f>VLOOKUP(C174,Employee_Lookups!$A$4:$G$9,4,FALSE())</f>
        <v>CC-606</v>
      </c>
      <c r="Y174" t="str">
        <f>INDEX(Employee_Lookups!$C$13:$C$17,MATCH(F174,Employee_Lookups!$A$13:$A$17,0))</f>
        <v>Band A (Entry)</v>
      </c>
      <c r="Z174" s="27">
        <f>_xlfn.XLOOKUP(F174,Employee_Lookups!$A$13:$A$17,Employee_Lookups!$E$13:$E$17,0)</f>
        <v>700000</v>
      </c>
      <c r="AA174" s="28">
        <f>ROUND(O174/INDEX(Employee_Lookups!$E$13:$E$17,MATCH(F174,Employee_Lookups!$A$13:$A$17,0)),3)</f>
        <v>0.93400000000000005</v>
      </c>
      <c r="AB174">
        <f t="shared" si="17"/>
        <v>2020</v>
      </c>
      <c r="AC174">
        <f t="shared" si="18"/>
        <v>2021</v>
      </c>
      <c r="AD174" s="28">
        <f>ROUND((IF(ISBLANK(L174),Employee_Lookups!$O$14,L174)-J174)/365.25,2)</f>
        <v>0.78</v>
      </c>
      <c r="AE174" t="str">
        <f t="shared" si="19"/>
        <v>&lt; 1 Yr (New)</v>
      </c>
      <c r="AF174" t="str">
        <f t="shared" si="20"/>
        <v>Exited</v>
      </c>
    </row>
    <row r="175" spans="1:32" x14ac:dyDescent="0.45">
      <c r="A175" t="s">
        <v>561</v>
      </c>
      <c r="B175" t="s">
        <v>562</v>
      </c>
      <c r="C175" t="s">
        <v>61</v>
      </c>
      <c r="D175" t="s">
        <v>60</v>
      </c>
      <c r="E175" t="s">
        <v>317</v>
      </c>
      <c r="F175" t="s">
        <v>84</v>
      </c>
      <c r="G175" t="s">
        <v>318</v>
      </c>
      <c r="H175" t="s">
        <v>106</v>
      </c>
      <c r="I175" t="s">
        <v>107</v>
      </c>
      <c r="J175" s="26">
        <v>44124</v>
      </c>
      <c r="K175" t="s">
        <v>162</v>
      </c>
      <c r="L175" s="26"/>
      <c r="M175" t="s">
        <v>163</v>
      </c>
      <c r="N175" t="s">
        <v>96</v>
      </c>
      <c r="O175" s="27">
        <v>3164000</v>
      </c>
      <c r="P175">
        <v>3</v>
      </c>
      <c r="Q175" t="s">
        <v>164</v>
      </c>
      <c r="R175">
        <v>43</v>
      </c>
      <c r="S175" t="s">
        <v>253</v>
      </c>
      <c r="T175">
        <f t="shared" si="14"/>
        <v>10278</v>
      </c>
      <c r="U175" t="str">
        <f t="shared" si="15"/>
        <v>-HR</v>
      </c>
      <c r="V175" t="str">
        <f t="shared" si="16"/>
        <v>L4</v>
      </c>
      <c r="W175" t="str">
        <f>PROPER(TRIM(VLOOKUP(S175,Employee_Lookups!$I$4:$M$19,2,FALSE())))</f>
        <v>Nikhil Chatterjee</v>
      </c>
      <c r="X175" t="str">
        <f>VLOOKUP(C175,Employee_Lookups!$A$4:$G$9,4,FALSE())</f>
        <v>CC-505</v>
      </c>
      <c r="Y175" t="str">
        <f>INDEX(Employee_Lookups!$C$13:$C$17,MATCH(F175,Employee_Lookups!$A$13:$A$17,0))</f>
        <v>Band D (Leadership)</v>
      </c>
      <c r="Z175" s="27">
        <f>_xlfn.XLOOKUP(F175,Employee_Lookups!$A$13:$A$17,Employee_Lookups!$E$13:$E$17,0)</f>
        <v>2750000</v>
      </c>
      <c r="AA175" s="28">
        <f>ROUND(O175/INDEX(Employee_Lookups!$E$13:$E$17,MATCH(F175,Employee_Lookups!$A$13:$A$17,0)),3)</f>
        <v>1.151</v>
      </c>
      <c r="AB175">
        <f t="shared" si="17"/>
        <v>2020</v>
      </c>
      <c r="AC175" t="str">
        <f t="shared" si="18"/>
        <v/>
      </c>
      <c r="AD175" s="28">
        <f>ROUND((IF(ISBLANK(L175),Employee_Lookups!$O$14,L175)-J175)/365.25,2)</f>
        <v>5.2</v>
      </c>
      <c r="AE175" t="str">
        <f t="shared" si="19"/>
        <v>5+ Yrs</v>
      </c>
      <c r="AF175" t="str">
        <f t="shared" si="20"/>
        <v>Low Risk</v>
      </c>
    </row>
    <row r="176" spans="1:32" x14ac:dyDescent="0.45">
      <c r="A176" t="s">
        <v>563</v>
      </c>
      <c r="B176" t="s">
        <v>564</v>
      </c>
      <c r="C176" t="s">
        <v>55</v>
      </c>
      <c r="D176" t="s">
        <v>54</v>
      </c>
      <c r="E176" t="s">
        <v>229</v>
      </c>
      <c r="F176" t="s">
        <v>82</v>
      </c>
      <c r="G176" t="s">
        <v>230</v>
      </c>
      <c r="H176" t="s">
        <v>106</v>
      </c>
      <c r="I176" t="s">
        <v>107</v>
      </c>
      <c r="J176" s="26">
        <v>44126</v>
      </c>
      <c r="K176" t="s">
        <v>162</v>
      </c>
      <c r="L176" s="26"/>
      <c r="M176" t="s">
        <v>163</v>
      </c>
      <c r="N176" t="s">
        <v>95</v>
      </c>
      <c r="O176" s="27">
        <v>924000</v>
      </c>
      <c r="P176">
        <v>3</v>
      </c>
      <c r="Q176" t="s">
        <v>164</v>
      </c>
      <c r="R176">
        <v>41</v>
      </c>
      <c r="S176" t="s">
        <v>274</v>
      </c>
      <c r="T176">
        <f t="shared" si="14"/>
        <v>10429</v>
      </c>
      <c r="U176" t="str">
        <f t="shared" si="15"/>
        <v>OPS</v>
      </c>
      <c r="V176" t="str">
        <f t="shared" si="16"/>
        <v>L2</v>
      </c>
      <c r="W176" t="str">
        <f>PROPER(TRIM(VLOOKUP(S176,Employee_Lookups!$I$4:$M$19,2,FALSE())))</f>
        <v>Meera Krishnan</v>
      </c>
      <c r="X176" t="str">
        <f>VLOOKUP(C176,Employee_Lookups!$A$4:$G$9,4,FALSE())</f>
        <v>CC-303</v>
      </c>
      <c r="Y176" t="str">
        <f>INDEX(Employee_Lookups!$C$13:$C$17,MATCH(F176,Employee_Lookups!$A$13:$A$17,0))</f>
        <v>Band B (Mid)</v>
      </c>
      <c r="Z176" s="27">
        <f>_xlfn.XLOOKUP(F176,Employee_Lookups!$A$13:$A$17,Employee_Lookups!$E$13:$E$17,0)</f>
        <v>1100000</v>
      </c>
      <c r="AA176" s="28">
        <f>ROUND(O176/INDEX(Employee_Lookups!$E$13:$E$17,MATCH(F176,Employee_Lookups!$A$13:$A$17,0)),3)</f>
        <v>0.84</v>
      </c>
      <c r="AB176">
        <f t="shared" si="17"/>
        <v>2020</v>
      </c>
      <c r="AC176" t="str">
        <f t="shared" si="18"/>
        <v/>
      </c>
      <c r="AD176" s="28">
        <f>ROUND((IF(ISBLANK(L176),Employee_Lookups!$O$14,L176)-J176)/365.25,2)</f>
        <v>5.19</v>
      </c>
      <c r="AE176" t="str">
        <f t="shared" si="19"/>
        <v>5+ Yrs</v>
      </c>
      <c r="AF176" t="str">
        <f t="shared" si="20"/>
        <v>Low Risk</v>
      </c>
    </row>
    <row r="177" spans="1:32" x14ac:dyDescent="0.45">
      <c r="A177" t="s">
        <v>565</v>
      </c>
      <c r="B177" t="s">
        <v>566</v>
      </c>
      <c r="C177" t="s">
        <v>53</v>
      </c>
      <c r="D177" t="s">
        <v>52</v>
      </c>
      <c r="E177" t="s">
        <v>185</v>
      </c>
      <c r="F177" t="s">
        <v>82</v>
      </c>
      <c r="G177" t="s">
        <v>186</v>
      </c>
      <c r="H177" t="s">
        <v>106</v>
      </c>
      <c r="I177" t="s">
        <v>107</v>
      </c>
      <c r="J177" s="26">
        <v>44126</v>
      </c>
      <c r="K177" t="s">
        <v>187</v>
      </c>
      <c r="L177" s="26">
        <v>44477</v>
      </c>
      <c r="M177" t="s">
        <v>269</v>
      </c>
      <c r="N177" t="s">
        <v>96</v>
      </c>
      <c r="O177" s="27">
        <v>978000</v>
      </c>
      <c r="P177">
        <v>3</v>
      </c>
      <c r="Q177" t="s">
        <v>172</v>
      </c>
      <c r="R177">
        <v>40</v>
      </c>
      <c r="S177" t="s">
        <v>189</v>
      </c>
      <c r="T177">
        <f t="shared" si="14"/>
        <v>10660</v>
      </c>
      <c r="U177" t="str">
        <f t="shared" si="15"/>
        <v>SAL</v>
      </c>
      <c r="V177" t="str">
        <f t="shared" si="16"/>
        <v>L2</v>
      </c>
      <c r="W177" t="str">
        <f>PROPER(TRIM(VLOOKUP(S177,Employee_Lookups!$I$4:$M$19,2,FALSE())))</f>
        <v>Priya Sharma</v>
      </c>
      <c r="X177" t="str">
        <f>VLOOKUP(C177,Employee_Lookups!$A$4:$G$9,4,FALSE())</f>
        <v>CC-202</v>
      </c>
      <c r="Y177" t="str">
        <f>INDEX(Employee_Lookups!$C$13:$C$17,MATCH(F177,Employee_Lookups!$A$13:$A$17,0))</f>
        <v>Band B (Mid)</v>
      </c>
      <c r="Z177" s="27">
        <f>_xlfn.XLOOKUP(F177,Employee_Lookups!$A$13:$A$17,Employee_Lookups!$E$13:$E$17,0)</f>
        <v>1100000</v>
      </c>
      <c r="AA177" s="28">
        <f>ROUND(O177/INDEX(Employee_Lookups!$E$13:$E$17,MATCH(F177,Employee_Lookups!$A$13:$A$17,0)),3)</f>
        <v>0.88900000000000001</v>
      </c>
      <c r="AB177">
        <f t="shared" si="17"/>
        <v>2020</v>
      </c>
      <c r="AC177">
        <f t="shared" si="18"/>
        <v>2021</v>
      </c>
      <c r="AD177" s="28">
        <f>ROUND((IF(ISBLANK(L177),Employee_Lookups!$O$14,L177)-J177)/365.25,2)</f>
        <v>0.96</v>
      </c>
      <c r="AE177" t="str">
        <f t="shared" si="19"/>
        <v>&lt; 1 Yr (New)</v>
      </c>
      <c r="AF177" t="str">
        <f t="shared" si="20"/>
        <v>Exited</v>
      </c>
    </row>
    <row r="178" spans="1:32" x14ac:dyDescent="0.45">
      <c r="A178" t="s">
        <v>567</v>
      </c>
      <c r="B178" t="s">
        <v>568</v>
      </c>
      <c r="C178" t="s">
        <v>51</v>
      </c>
      <c r="D178" t="s">
        <v>50</v>
      </c>
      <c r="E178" t="s">
        <v>181</v>
      </c>
      <c r="F178" t="s">
        <v>81</v>
      </c>
      <c r="G178" t="s">
        <v>182</v>
      </c>
      <c r="H178" t="s">
        <v>108</v>
      </c>
      <c r="I178" t="s">
        <v>107</v>
      </c>
      <c r="J178" s="26">
        <v>44129</v>
      </c>
      <c r="K178" t="s">
        <v>162</v>
      </c>
      <c r="L178" s="26"/>
      <c r="M178" t="s">
        <v>163</v>
      </c>
      <c r="N178" t="s">
        <v>96</v>
      </c>
      <c r="O178" s="27">
        <v>831000</v>
      </c>
      <c r="P178">
        <v>5</v>
      </c>
      <c r="Q178" t="s">
        <v>164</v>
      </c>
      <c r="R178">
        <v>45</v>
      </c>
      <c r="S178" t="s">
        <v>178</v>
      </c>
      <c r="T178">
        <f t="shared" si="14"/>
        <v>11265</v>
      </c>
      <c r="U178" t="str">
        <f t="shared" si="15"/>
        <v>ENG</v>
      </c>
      <c r="V178" t="str">
        <f t="shared" si="16"/>
        <v>L1</v>
      </c>
      <c r="W178" t="str">
        <f>PROPER(TRIM(VLOOKUP(S178,Employee_Lookups!$I$4:$M$19,2,FALSE())))</f>
        <v>Aarav Deshmukh</v>
      </c>
      <c r="X178" t="str">
        <f>VLOOKUP(C178,Employee_Lookups!$A$4:$G$9,4,FALSE())</f>
        <v>CC-101</v>
      </c>
      <c r="Y178" t="str">
        <f>INDEX(Employee_Lookups!$C$13:$C$17,MATCH(F178,Employee_Lookups!$A$13:$A$17,0))</f>
        <v>Band A (Entry)</v>
      </c>
      <c r="Z178" s="27">
        <f>_xlfn.XLOOKUP(F178,Employee_Lookups!$A$13:$A$17,Employee_Lookups!$E$13:$E$17,0)</f>
        <v>700000</v>
      </c>
      <c r="AA178" s="28">
        <f>ROUND(O178/INDEX(Employee_Lookups!$E$13:$E$17,MATCH(F178,Employee_Lookups!$A$13:$A$17,0)),3)</f>
        <v>1.1870000000000001</v>
      </c>
      <c r="AB178">
        <f t="shared" si="17"/>
        <v>2020</v>
      </c>
      <c r="AC178" t="str">
        <f t="shared" si="18"/>
        <v/>
      </c>
      <c r="AD178" s="28">
        <f>ROUND((IF(ISBLANK(L178),Employee_Lookups!$O$14,L178)-J178)/365.25,2)</f>
        <v>5.18</v>
      </c>
      <c r="AE178" t="str">
        <f t="shared" si="19"/>
        <v>5+ Yrs</v>
      </c>
      <c r="AF178" t="str">
        <f t="shared" si="20"/>
        <v>Low Risk</v>
      </c>
    </row>
    <row r="179" spans="1:32" x14ac:dyDescent="0.45">
      <c r="A179" t="s">
        <v>569</v>
      </c>
      <c r="B179" t="s">
        <v>570</v>
      </c>
      <c r="C179" t="s">
        <v>55</v>
      </c>
      <c r="D179" t="s">
        <v>54</v>
      </c>
      <c r="E179" t="s">
        <v>229</v>
      </c>
      <c r="F179" t="s">
        <v>82</v>
      </c>
      <c r="G179" t="s">
        <v>230</v>
      </c>
      <c r="H179" t="s">
        <v>108</v>
      </c>
      <c r="I179" t="s">
        <v>107</v>
      </c>
      <c r="J179" s="26">
        <v>44132</v>
      </c>
      <c r="K179" t="s">
        <v>187</v>
      </c>
      <c r="L179" s="26">
        <v>45427</v>
      </c>
      <c r="M179" t="s">
        <v>282</v>
      </c>
      <c r="N179" t="s">
        <v>96</v>
      </c>
      <c r="O179" s="27">
        <v>1124000</v>
      </c>
      <c r="P179">
        <v>4</v>
      </c>
      <c r="Q179" t="s">
        <v>172</v>
      </c>
      <c r="R179">
        <v>41</v>
      </c>
      <c r="S179" t="s">
        <v>173</v>
      </c>
      <c r="T179">
        <f t="shared" si="14"/>
        <v>10588</v>
      </c>
      <c r="U179" t="str">
        <f t="shared" si="15"/>
        <v>OPS</v>
      </c>
      <c r="V179" t="str">
        <f t="shared" si="16"/>
        <v>L2</v>
      </c>
      <c r="W179" t="str">
        <f>PROPER(TRIM(VLOOKUP(S179,Employee_Lookups!$I$4:$M$19,2,FALSE())))</f>
        <v>Deepak Patil</v>
      </c>
      <c r="X179" t="str">
        <f>VLOOKUP(C179,Employee_Lookups!$A$4:$G$9,4,FALSE())</f>
        <v>CC-303</v>
      </c>
      <c r="Y179" t="str">
        <f>INDEX(Employee_Lookups!$C$13:$C$17,MATCH(F179,Employee_Lookups!$A$13:$A$17,0))</f>
        <v>Band B (Mid)</v>
      </c>
      <c r="Z179" s="27">
        <f>_xlfn.XLOOKUP(F179,Employee_Lookups!$A$13:$A$17,Employee_Lookups!$E$13:$E$17,0)</f>
        <v>1100000</v>
      </c>
      <c r="AA179" s="28">
        <f>ROUND(O179/INDEX(Employee_Lookups!$E$13:$E$17,MATCH(F179,Employee_Lookups!$A$13:$A$17,0)),3)</f>
        <v>1.022</v>
      </c>
      <c r="AB179">
        <f t="shared" si="17"/>
        <v>2020</v>
      </c>
      <c r="AC179">
        <f t="shared" si="18"/>
        <v>2024</v>
      </c>
      <c r="AD179" s="28">
        <f>ROUND((IF(ISBLANK(L179),Employee_Lookups!$O$14,L179)-J179)/365.25,2)</f>
        <v>3.55</v>
      </c>
      <c r="AE179" t="str">
        <f t="shared" si="19"/>
        <v>3 - 5 Yrs</v>
      </c>
      <c r="AF179" t="str">
        <f t="shared" si="20"/>
        <v>Exited</v>
      </c>
    </row>
    <row r="180" spans="1:32" x14ac:dyDescent="0.45">
      <c r="A180" t="s">
        <v>571</v>
      </c>
      <c r="B180" t="s">
        <v>572</v>
      </c>
      <c r="C180" t="s">
        <v>55</v>
      </c>
      <c r="D180" t="s">
        <v>54</v>
      </c>
      <c r="E180" t="s">
        <v>277</v>
      </c>
      <c r="F180" t="s">
        <v>81</v>
      </c>
      <c r="G180" t="s">
        <v>278</v>
      </c>
      <c r="H180" t="s">
        <v>108</v>
      </c>
      <c r="I180" t="s">
        <v>107</v>
      </c>
      <c r="J180" s="26">
        <v>44138</v>
      </c>
      <c r="K180" t="s">
        <v>170</v>
      </c>
      <c r="L180" s="26">
        <v>44401</v>
      </c>
      <c r="M180" t="s">
        <v>171</v>
      </c>
      <c r="N180" t="s">
        <v>96</v>
      </c>
      <c r="O180" s="27">
        <v>691000</v>
      </c>
      <c r="P180">
        <v>5</v>
      </c>
      <c r="Q180" t="s">
        <v>172</v>
      </c>
      <c r="R180">
        <v>37</v>
      </c>
      <c r="S180" t="s">
        <v>173</v>
      </c>
      <c r="T180">
        <f t="shared" si="14"/>
        <v>11262</v>
      </c>
      <c r="U180" t="str">
        <f t="shared" si="15"/>
        <v>OPS</v>
      </c>
      <c r="V180" t="str">
        <f t="shared" si="16"/>
        <v>L1</v>
      </c>
      <c r="W180" t="str">
        <f>PROPER(TRIM(VLOOKUP(S180,Employee_Lookups!$I$4:$M$19,2,FALSE())))</f>
        <v>Deepak Patil</v>
      </c>
      <c r="X180" t="str">
        <f>VLOOKUP(C180,Employee_Lookups!$A$4:$G$9,4,FALSE())</f>
        <v>CC-303</v>
      </c>
      <c r="Y180" t="str">
        <f>INDEX(Employee_Lookups!$C$13:$C$17,MATCH(F180,Employee_Lookups!$A$13:$A$17,0))</f>
        <v>Band A (Entry)</v>
      </c>
      <c r="Z180" s="27">
        <f>_xlfn.XLOOKUP(F180,Employee_Lookups!$A$13:$A$17,Employee_Lookups!$E$13:$E$17,0)</f>
        <v>700000</v>
      </c>
      <c r="AA180" s="28">
        <f>ROUND(O180/INDEX(Employee_Lookups!$E$13:$E$17,MATCH(F180,Employee_Lookups!$A$13:$A$17,0)),3)</f>
        <v>0.98699999999999999</v>
      </c>
      <c r="AB180">
        <f t="shared" si="17"/>
        <v>2020</v>
      </c>
      <c r="AC180">
        <f t="shared" si="18"/>
        <v>2021</v>
      </c>
      <c r="AD180" s="28">
        <f>ROUND((IF(ISBLANK(L180),Employee_Lookups!$O$14,L180)-J180)/365.25,2)</f>
        <v>0.72</v>
      </c>
      <c r="AE180" t="str">
        <f t="shared" si="19"/>
        <v>&lt; 1 Yr (New)</v>
      </c>
      <c r="AF180" t="str">
        <f t="shared" si="20"/>
        <v>Exited</v>
      </c>
    </row>
    <row r="181" spans="1:32" x14ac:dyDescent="0.45">
      <c r="A181" t="s">
        <v>573</v>
      </c>
      <c r="B181" t="s">
        <v>574</v>
      </c>
      <c r="C181" t="s">
        <v>53</v>
      </c>
      <c r="D181" t="s">
        <v>52</v>
      </c>
      <c r="E181" t="s">
        <v>185</v>
      </c>
      <c r="F181" t="s">
        <v>82</v>
      </c>
      <c r="G181" t="s">
        <v>186</v>
      </c>
      <c r="H181" t="s">
        <v>109</v>
      </c>
      <c r="I181" t="s">
        <v>110</v>
      </c>
      <c r="J181" s="26">
        <v>44138</v>
      </c>
      <c r="K181" t="s">
        <v>162</v>
      </c>
      <c r="L181" s="26"/>
      <c r="M181" t="s">
        <v>163</v>
      </c>
      <c r="N181" t="s">
        <v>96</v>
      </c>
      <c r="O181" s="27">
        <v>1291000</v>
      </c>
      <c r="P181">
        <v>3</v>
      </c>
      <c r="Q181" t="s">
        <v>172</v>
      </c>
      <c r="R181">
        <v>8</v>
      </c>
      <c r="S181" t="s">
        <v>237</v>
      </c>
      <c r="T181">
        <f t="shared" si="14"/>
        <v>11079</v>
      </c>
      <c r="U181" t="str">
        <f t="shared" si="15"/>
        <v>SAL</v>
      </c>
      <c r="V181" t="str">
        <f t="shared" si="16"/>
        <v>L2</v>
      </c>
      <c r="W181" t="str">
        <f>PROPER(TRIM(VLOOKUP(S181,Employee_Lookups!$I$4:$M$19,2,FALSE())))</f>
        <v>Karan Malhotra</v>
      </c>
      <c r="X181" t="str">
        <f>VLOOKUP(C181,Employee_Lookups!$A$4:$G$9,4,FALSE())</f>
        <v>CC-202</v>
      </c>
      <c r="Y181" t="str">
        <f>INDEX(Employee_Lookups!$C$13:$C$17,MATCH(F181,Employee_Lookups!$A$13:$A$17,0))</f>
        <v>Band B (Mid)</v>
      </c>
      <c r="Z181" s="27">
        <f>_xlfn.XLOOKUP(F181,Employee_Lookups!$A$13:$A$17,Employee_Lookups!$E$13:$E$17,0)</f>
        <v>1100000</v>
      </c>
      <c r="AA181" s="28">
        <f>ROUND(O181/INDEX(Employee_Lookups!$E$13:$E$17,MATCH(F181,Employee_Lookups!$A$13:$A$17,0)),3)</f>
        <v>1.1739999999999999</v>
      </c>
      <c r="AB181">
        <f t="shared" si="17"/>
        <v>2020</v>
      </c>
      <c r="AC181" t="str">
        <f t="shared" si="18"/>
        <v/>
      </c>
      <c r="AD181" s="28">
        <f>ROUND((IF(ISBLANK(L181),Employee_Lookups!$O$14,L181)-J181)/365.25,2)</f>
        <v>5.16</v>
      </c>
      <c r="AE181" t="str">
        <f t="shared" si="19"/>
        <v>5+ Yrs</v>
      </c>
      <c r="AF181" t="str">
        <f t="shared" si="20"/>
        <v>Moderate Risk</v>
      </c>
    </row>
    <row r="182" spans="1:32" x14ac:dyDescent="0.45">
      <c r="A182" t="s">
        <v>575</v>
      </c>
      <c r="B182" t="s">
        <v>576</v>
      </c>
      <c r="C182" t="s">
        <v>51</v>
      </c>
      <c r="D182" t="s">
        <v>50</v>
      </c>
      <c r="E182" t="s">
        <v>176</v>
      </c>
      <c r="F182" t="s">
        <v>82</v>
      </c>
      <c r="G182" t="s">
        <v>177</v>
      </c>
      <c r="H182" t="s">
        <v>111</v>
      </c>
      <c r="I182" t="s">
        <v>110</v>
      </c>
      <c r="J182" s="26">
        <v>44140</v>
      </c>
      <c r="K182" t="s">
        <v>187</v>
      </c>
      <c r="L182" s="26">
        <v>44460</v>
      </c>
      <c r="M182" t="s">
        <v>269</v>
      </c>
      <c r="N182" t="s">
        <v>99</v>
      </c>
      <c r="O182" s="27">
        <v>1246000</v>
      </c>
      <c r="P182">
        <v>3</v>
      </c>
      <c r="Q182" t="s">
        <v>164</v>
      </c>
      <c r="R182">
        <v>21</v>
      </c>
      <c r="S182" t="s">
        <v>197</v>
      </c>
      <c r="T182">
        <f t="shared" si="14"/>
        <v>10625</v>
      </c>
      <c r="U182" t="str">
        <f t="shared" si="15"/>
        <v>ENG</v>
      </c>
      <c r="V182" t="str">
        <f t="shared" si="16"/>
        <v>L2</v>
      </c>
      <c r="W182" t="str">
        <f>PROPER(TRIM(VLOOKUP(S182,Employee_Lookups!$I$4:$M$19,2,FALSE())))</f>
        <v>Rohan Verma</v>
      </c>
      <c r="X182" t="str">
        <f>VLOOKUP(C182,Employee_Lookups!$A$4:$G$9,4,FALSE())</f>
        <v>CC-101</v>
      </c>
      <c r="Y182" t="str">
        <f>INDEX(Employee_Lookups!$C$13:$C$17,MATCH(F182,Employee_Lookups!$A$13:$A$17,0))</f>
        <v>Band B (Mid)</v>
      </c>
      <c r="Z182" s="27">
        <f>_xlfn.XLOOKUP(F182,Employee_Lookups!$A$13:$A$17,Employee_Lookups!$E$13:$E$17,0)</f>
        <v>1100000</v>
      </c>
      <c r="AA182" s="28">
        <f>ROUND(O182/INDEX(Employee_Lookups!$E$13:$E$17,MATCH(F182,Employee_Lookups!$A$13:$A$17,0)),3)</f>
        <v>1.133</v>
      </c>
      <c r="AB182">
        <f t="shared" si="17"/>
        <v>2020</v>
      </c>
      <c r="AC182">
        <f t="shared" si="18"/>
        <v>2021</v>
      </c>
      <c r="AD182" s="28">
        <f>ROUND((IF(ISBLANK(L182),Employee_Lookups!$O$14,L182)-J182)/365.25,2)</f>
        <v>0.88</v>
      </c>
      <c r="AE182" t="str">
        <f t="shared" si="19"/>
        <v>&lt; 1 Yr (New)</v>
      </c>
      <c r="AF182" t="str">
        <f t="shared" si="20"/>
        <v>Exited</v>
      </c>
    </row>
    <row r="183" spans="1:32" x14ac:dyDescent="0.45">
      <c r="A183" t="s">
        <v>577</v>
      </c>
      <c r="B183" t="s">
        <v>578</v>
      </c>
      <c r="C183" t="s">
        <v>59</v>
      </c>
      <c r="D183" t="s">
        <v>58</v>
      </c>
      <c r="E183" t="s">
        <v>579</v>
      </c>
      <c r="F183" t="s">
        <v>84</v>
      </c>
      <c r="G183" t="s">
        <v>580</v>
      </c>
      <c r="H183" t="s">
        <v>109</v>
      </c>
      <c r="I183" t="s">
        <v>110</v>
      </c>
      <c r="J183" s="26">
        <v>44140</v>
      </c>
      <c r="K183" t="s">
        <v>162</v>
      </c>
      <c r="L183" s="26"/>
      <c r="M183" t="s">
        <v>163</v>
      </c>
      <c r="N183" t="s">
        <v>99</v>
      </c>
      <c r="O183" s="27">
        <v>2272000</v>
      </c>
      <c r="P183">
        <v>4</v>
      </c>
      <c r="Q183" t="s">
        <v>164</v>
      </c>
      <c r="R183">
        <v>30</v>
      </c>
      <c r="S183" t="s">
        <v>214</v>
      </c>
      <c r="T183">
        <f t="shared" si="14"/>
        <v>10349</v>
      </c>
      <c r="U183" t="str">
        <f t="shared" si="15"/>
        <v>FIN</v>
      </c>
      <c r="V183" t="str">
        <f t="shared" si="16"/>
        <v>L4</v>
      </c>
      <c r="W183" t="str">
        <f>PROPER(TRIM(VLOOKUP(S183,Employee_Lookups!$I$4:$M$19,2,FALSE())))</f>
        <v>Aditya Gokhale</v>
      </c>
      <c r="X183" t="str">
        <f>VLOOKUP(C183,Employee_Lookups!$A$4:$G$9,4,FALSE())</f>
        <v>CC-404</v>
      </c>
      <c r="Y183" t="str">
        <f>INDEX(Employee_Lookups!$C$13:$C$17,MATCH(F183,Employee_Lookups!$A$13:$A$17,0))</f>
        <v>Band D (Leadership)</v>
      </c>
      <c r="Z183" s="27">
        <f>_xlfn.XLOOKUP(F183,Employee_Lookups!$A$13:$A$17,Employee_Lookups!$E$13:$E$17,0)</f>
        <v>2750000</v>
      </c>
      <c r="AA183" s="28">
        <f>ROUND(O183/INDEX(Employee_Lookups!$E$13:$E$17,MATCH(F183,Employee_Lookups!$A$13:$A$17,0)),3)</f>
        <v>0.82599999999999996</v>
      </c>
      <c r="AB183">
        <f t="shared" si="17"/>
        <v>2020</v>
      </c>
      <c r="AC183" t="str">
        <f t="shared" si="18"/>
        <v/>
      </c>
      <c r="AD183" s="28">
        <f>ROUND((IF(ISBLANK(L183),Employee_Lookups!$O$14,L183)-J183)/365.25,2)</f>
        <v>5.15</v>
      </c>
      <c r="AE183" t="str">
        <f t="shared" si="19"/>
        <v>5+ Yrs</v>
      </c>
      <c r="AF183" t="str">
        <f t="shared" si="20"/>
        <v>Low Risk</v>
      </c>
    </row>
    <row r="184" spans="1:32" x14ac:dyDescent="0.45">
      <c r="A184" t="s">
        <v>581</v>
      </c>
      <c r="B184" t="s">
        <v>582</v>
      </c>
      <c r="C184" t="s">
        <v>53</v>
      </c>
      <c r="D184" t="s">
        <v>52</v>
      </c>
      <c r="E184" t="s">
        <v>185</v>
      </c>
      <c r="F184" t="s">
        <v>82</v>
      </c>
      <c r="G184" t="s">
        <v>186</v>
      </c>
      <c r="H184" t="s">
        <v>108</v>
      </c>
      <c r="I184" t="s">
        <v>107</v>
      </c>
      <c r="J184" s="26">
        <v>44143</v>
      </c>
      <c r="K184" t="s">
        <v>162</v>
      </c>
      <c r="L184" s="26"/>
      <c r="M184" t="s">
        <v>163</v>
      </c>
      <c r="N184" t="s">
        <v>97</v>
      </c>
      <c r="O184" s="27">
        <v>1174000</v>
      </c>
      <c r="P184">
        <v>4</v>
      </c>
      <c r="Q184" t="s">
        <v>172</v>
      </c>
      <c r="R184">
        <v>38</v>
      </c>
      <c r="S184" t="s">
        <v>194</v>
      </c>
      <c r="T184">
        <f t="shared" si="14"/>
        <v>10869</v>
      </c>
      <c r="U184" t="str">
        <f t="shared" si="15"/>
        <v>SAL</v>
      </c>
      <c r="V184" t="str">
        <f t="shared" si="16"/>
        <v>L2</v>
      </c>
      <c r="W184" t="str">
        <f>PROPER(TRIM(VLOOKUP(S184,Employee_Lookups!$I$4:$M$19,2,FALSE())))</f>
        <v>Vikramaditya Joshi</v>
      </c>
      <c r="X184" t="str">
        <f>VLOOKUP(C184,Employee_Lookups!$A$4:$G$9,4,FALSE())</f>
        <v>CC-202</v>
      </c>
      <c r="Y184" t="str">
        <f>INDEX(Employee_Lookups!$C$13:$C$17,MATCH(F184,Employee_Lookups!$A$13:$A$17,0))</f>
        <v>Band B (Mid)</v>
      </c>
      <c r="Z184" s="27">
        <f>_xlfn.XLOOKUP(F184,Employee_Lookups!$A$13:$A$17,Employee_Lookups!$E$13:$E$17,0)</f>
        <v>1100000</v>
      </c>
      <c r="AA184" s="28">
        <f>ROUND(O184/INDEX(Employee_Lookups!$E$13:$E$17,MATCH(F184,Employee_Lookups!$A$13:$A$17,0)),3)</f>
        <v>1.0669999999999999</v>
      </c>
      <c r="AB184">
        <f t="shared" si="17"/>
        <v>2020</v>
      </c>
      <c r="AC184" t="str">
        <f t="shared" si="18"/>
        <v/>
      </c>
      <c r="AD184" s="28">
        <f>ROUND((IF(ISBLANK(L184),Employee_Lookups!$O$14,L184)-J184)/365.25,2)</f>
        <v>5.14</v>
      </c>
      <c r="AE184" t="str">
        <f t="shared" si="19"/>
        <v>5+ Yrs</v>
      </c>
      <c r="AF184" t="str">
        <f t="shared" si="20"/>
        <v>High Risk</v>
      </c>
    </row>
    <row r="185" spans="1:32" x14ac:dyDescent="0.45">
      <c r="A185" t="s">
        <v>583</v>
      </c>
      <c r="B185" t="s">
        <v>584</v>
      </c>
      <c r="C185" t="s">
        <v>51</v>
      </c>
      <c r="D185" t="s">
        <v>50</v>
      </c>
      <c r="E185" t="s">
        <v>217</v>
      </c>
      <c r="F185" t="s">
        <v>83</v>
      </c>
      <c r="G185" t="s">
        <v>218</v>
      </c>
      <c r="H185" t="s">
        <v>108</v>
      </c>
      <c r="I185" t="s">
        <v>107</v>
      </c>
      <c r="J185" s="26">
        <v>44145</v>
      </c>
      <c r="K185" t="s">
        <v>162</v>
      </c>
      <c r="L185" s="26"/>
      <c r="M185" t="s">
        <v>163</v>
      </c>
      <c r="N185" t="s">
        <v>95</v>
      </c>
      <c r="O185" s="27">
        <v>1802000</v>
      </c>
      <c r="P185">
        <v>3</v>
      </c>
      <c r="Q185" t="s">
        <v>164</v>
      </c>
      <c r="R185">
        <v>27</v>
      </c>
      <c r="S185" t="s">
        <v>197</v>
      </c>
      <c r="T185">
        <f t="shared" si="14"/>
        <v>10206</v>
      </c>
      <c r="U185" t="str">
        <f t="shared" si="15"/>
        <v>ENG</v>
      </c>
      <c r="V185" t="str">
        <f t="shared" si="16"/>
        <v>L3</v>
      </c>
      <c r="W185" t="str">
        <f>PROPER(TRIM(VLOOKUP(S185,Employee_Lookups!$I$4:$M$19,2,FALSE())))</f>
        <v>Rohan Verma</v>
      </c>
      <c r="X185" t="str">
        <f>VLOOKUP(C185,Employee_Lookups!$A$4:$G$9,4,FALSE())</f>
        <v>CC-101</v>
      </c>
      <c r="Y185" t="str">
        <f>INDEX(Employee_Lookups!$C$13:$C$17,MATCH(F185,Employee_Lookups!$A$13:$A$17,0))</f>
        <v>Band C (Senior)</v>
      </c>
      <c r="Z185" s="27">
        <f>_xlfn.XLOOKUP(F185,Employee_Lookups!$A$13:$A$17,Employee_Lookups!$E$13:$E$17,0)</f>
        <v>1725000</v>
      </c>
      <c r="AA185" s="28">
        <f>ROUND(O185/INDEX(Employee_Lookups!$E$13:$E$17,MATCH(F185,Employee_Lookups!$A$13:$A$17,0)),3)</f>
        <v>1.0449999999999999</v>
      </c>
      <c r="AB185">
        <f t="shared" si="17"/>
        <v>2020</v>
      </c>
      <c r="AC185" t="str">
        <f t="shared" si="18"/>
        <v/>
      </c>
      <c r="AD185" s="28">
        <f>ROUND((IF(ISBLANK(L185),Employee_Lookups!$O$14,L185)-J185)/365.25,2)</f>
        <v>5.14</v>
      </c>
      <c r="AE185" t="str">
        <f t="shared" si="19"/>
        <v>5+ Yrs</v>
      </c>
      <c r="AF185" t="str">
        <f t="shared" si="20"/>
        <v>Low Risk</v>
      </c>
    </row>
    <row r="186" spans="1:32" x14ac:dyDescent="0.45">
      <c r="A186" t="s">
        <v>585</v>
      </c>
      <c r="B186" t="s">
        <v>228</v>
      </c>
      <c r="C186" t="s">
        <v>59</v>
      </c>
      <c r="D186" t="s">
        <v>58</v>
      </c>
      <c r="E186" t="s">
        <v>211</v>
      </c>
      <c r="F186" t="s">
        <v>82</v>
      </c>
      <c r="G186" t="s">
        <v>212</v>
      </c>
      <c r="H186" t="s">
        <v>109</v>
      </c>
      <c r="I186" t="s">
        <v>110</v>
      </c>
      <c r="J186" s="26">
        <v>44154</v>
      </c>
      <c r="K186" t="s">
        <v>162</v>
      </c>
      <c r="L186" s="26"/>
      <c r="M186" t="s">
        <v>163</v>
      </c>
      <c r="N186" t="s">
        <v>98</v>
      </c>
      <c r="O186" s="27">
        <v>1272000</v>
      </c>
      <c r="P186">
        <v>5</v>
      </c>
      <c r="Q186" t="s">
        <v>164</v>
      </c>
      <c r="R186">
        <v>30</v>
      </c>
      <c r="S186" t="s">
        <v>208</v>
      </c>
      <c r="T186">
        <f t="shared" si="14"/>
        <v>11289</v>
      </c>
      <c r="U186" t="str">
        <f t="shared" si="15"/>
        <v>FIN</v>
      </c>
      <c r="V186" t="str">
        <f t="shared" si="16"/>
        <v>L2</v>
      </c>
      <c r="W186" t="str">
        <f>PROPER(TRIM(VLOOKUP(S186,Employee_Lookups!$I$4:$M$19,2,FALSE())))</f>
        <v>Rajeshwari Rao</v>
      </c>
      <c r="X186" t="str">
        <f>VLOOKUP(C186,Employee_Lookups!$A$4:$G$9,4,FALSE())</f>
        <v>CC-404</v>
      </c>
      <c r="Y186" t="str">
        <f>INDEX(Employee_Lookups!$C$13:$C$17,MATCH(F186,Employee_Lookups!$A$13:$A$17,0))</f>
        <v>Band B (Mid)</v>
      </c>
      <c r="Z186" s="27">
        <f>_xlfn.XLOOKUP(F186,Employee_Lookups!$A$13:$A$17,Employee_Lookups!$E$13:$E$17,0)</f>
        <v>1100000</v>
      </c>
      <c r="AA186" s="28">
        <f>ROUND(O186/INDEX(Employee_Lookups!$E$13:$E$17,MATCH(F186,Employee_Lookups!$A$13:$A$17,0)),3)</f>
        <v>1.1559999999999999</v>
      </c>
      <c r="AB186">
        <f t="shared" si="17"/>
        <v>2020</v>
      </c>
      <c r="AC186" t="str">
        <f t="shared" si="18"/>
        <v/>
      </c>
      <c r="AD186" s="28">
        <f>ROUND((IF(ISBLANK(L186),Employee_Lookups!$O$14,L186)-J186)/365.25,2)</f>
        <v>5.1100000000000003</v>
      </c>
      <c r="AE186" t="str">
        <f t="shared" si="19"/>
        <v>5+ Yrs</v>
      </c>
      <c r="AF186" t="str">
        <f t="shared" si="20"/>
        <v>Low Risk</v>
      </c>
    </row>
    <row r="187" spans="1:32" x14ac:dyDescent="0.45">
      <c r="A187" t="s">
        <v>586</v>
      </c>
      <c r="B187" t="s">
        <v>587</v>
      </c>
      <c r="C187" t="s">
        <v>53</v>
      </c>
      <c r="D187" t="s">
        <v>52</v>
      </c>
      <c r="E187" t="s">
        <v>322</v>
      </c>
      <c r="F187" t="s">
        <v>81</v>
      </c>
      <c r="G187" t="s">
        <v>323</v>
      </c>
      <c r="H187" t="s">
        <v>108</v>
      </c>
      <c r="I187" t="s">
        <v>107</v>
      </c>
      <c r="J187" s="26">
        <v>44161</v>
      </c>
      <c r="K187" t="s">
        <v>162</v>
      </c>
      <c r="L187" s="26"/>
      <c r="M187" t="s">
        <v>163</v>
      </c>
      <c r="N187" t="s">
        <v>99</v>
      </c>
      <c r="O187" s="27">
        <v>757000</v>
      </c>
      <c r="P187">
        <v>1</v>
      </c>
      <c r="Q187" t="s">
        <v>164</v>
      </c>
      <c r="R187">
        <v>36</v>
      </c>
      <c r="S187" t="s">
        <v>237</v>
      </c>
      <c r="T187">
        <f t="shared" si="14"/>
        <v>10893</v>
      </c>
      <c r="U187" t="str">
        <f t="shared" si="15"/>
        <v>SAL</v>
      </c>
      <c r="V187" t="str">
        <f t="shared" si="16"/>
        <v>L1</v>
      </c>
      <c r="W187" t="str">
        <f>PROPER(TRIM(VLOOKUP(S187,Employee_Lookups!$I$4:$M$19,2,FALSE())))</f>
        <v>Karan Malhotra</v>
      </c>
      <c r="X187" t="str">
        <f>VLOOKUP(C187,Employee_Lookups!$A$4:$G$9,4,FALSE())</f>
        <v>CC-202</v>
      </c>
      <c r="Y187" t="str">
        <f>INDEX(Employee_Lookups!$C$13:$C$17,MATCH(F187,Employee_Lookups!$A$13:$A$17,0))</f>
        <v>Band A (Entry)</v>
      </c>
      <c r="Z187" s="27">
        <f>_xlfn.XLOOKUP(F187,Employee_Lookups!$A$13:$A$17,Employee_Lookups!$E$13:$E$17,0)</f>
        <v>700000</v>
      </c>
      <c r="AA187" s="28">
        <f>ROUND(O187/INDEX(Employee_Lookups!$E$13:$E$17,MATCH(F187,Employee_Lookups!$A$13:$A$17,0)),3)</f>
        <v>1.081</v>
      </c>
      <c r="AB187">
        <f t="shared" si="17"/>
        <v>2020</v>
      </c>
      <c r="AC187" t="str">
        <f t="shared" si="18"/>
        <v/>
      </c>
      <c r="AD187" s="28">
        <f>ROUND((IF(ISBLANK(L187),Employee_Lookups!$O$14,L187)-J187)/365.25,2)</f>
        <v>5.0999999999999996</v>
      </c>
      <c r="AE187" t="str">
        <f t="shared" si="19"/>
        <v>5+ Yrs</v>
      </c>
      <c r="AF187" t="str">
        <f t="shared" si="20"/>
        <v>Moderate Risk</v>
      </c>
    </row>
    <row r="188" spans="1:32" x14ac:dyDescent="0.45">
      <c r="A188" t="s">
        <v>588</v>
      </c>
      <c r="B188" t="s">
        <v>589</v>
      </c>
      <c r="C188" t="s">
        <v>53</v>
      </c>
      <c r="D188" t="s">
        <v>52</v>
      </c>
      <c r="E188" t="s">
        <v>322</v>
      </c>
      <c r="F188" t="s">
        <v>81</v>
      </c>
      <c r="G188" t="s">
        <v>323</v>
      </c>
      <c r="H188" t="s">
        <v>108</v>
      </c>
      <c r="I188" t="s">
        <v>107</v>
      </c>
      <c r="J188" s="26">
        <v>44166</v>
      </c>
      <c r="K188" t="s">
        <v>162</v>
      </c>
      <c r="L188" s="26"/>
      <c r="M188" t="s">
        <v>163</v>
      </c>
      <c r="N188" t="s">
        <v>97</v>
      </c>
      <c r="O188" s="27">
        <v>808000</v>
      </c>
      <c r="P188">
        <v>2</v>
      </c>
      <c r="Q188" t="s">
        <v>164</v>
      </c>
      <c r="R188">
        <v>37</v>
      </c>
      <c r="S188" t="s">
        <v>237</v>
      </c>
      <c r="T188">
        <f t="shared" si="14"/>
        <v>10059</v>
      </c>
      <c r="U188" t="str">
        <f t="shared" si="15"/>
        <v>SAL</v>
      </c>
      <c r="V188" t="str">
        <f t="shared" si="16"/>
        <v>L1</v>
      </c>
      <c r="W188" t="str">
        <f>PROPER(TRIM(VLOOKUP(S188,Employee_Lookups!$I$4:$M$19,2,FALSE())))</f>
        <v>Karan Malhotra</v>
      </c>
      <c r="X188" t="str">
        <f>VLOOKUP(C188,Employee_Lookups!$A$4:$G$9,4,FALSE())</f>
        <v>CC-202</v>
      </c>
      <c r="Y188" t="str">
        <f>INDEX(Employee_Lookups!$C$13:$C$17,MATCH(F188,Employee_Lookups!$A$13:$A$17,0))</f>
        <v>Band A (Entry)</v>
      </c>
      <c r="Z188" s="27">
        <f>_xlfn.XLOOKUP(F188,Employee_Lookups!$A$13:$A$17,Employee_Lookups!$E$13:$E$17,0)</f>
        <v>700000</v>
      </c>
      <c r="AA188" s="28">
        <f>ROUND(O188/INDEX(Employee_Lookups!$E$13:$E$17,MATCH(F188,Employee_Lookups!$A$13:$A$17,0)),3)</f>
        <v>1.1539999999999999</v>
      </c>
      <c r="AB188">
        <f t="shared" si="17"/>
        <v>2020</v>
      </c>
      <c r="AC188" t="str">
        <f t="shared" si="18"/>
        <v/>
      </c>
      <c r="AD188" s="28">
        <f>ROUND((IF(ISBLANK(L188),Employee_Lookups!$O$14,L188)-J188)/365.25,2)</f>
        <v>5.08</v>
      </c>
      <c r="AE188" t="str">
        <f t="shared" si="19"/>
        <v>5+ Yrs</v>
      </c>
      <c r="AF188" t="str">
        <f t="shared" si="20"/>
        <v>Moderate Risk</v>
      </c>
    </row>
    <row r="189" spans="1:32" x14ac:dyDescent="0.45">
      <c r="A189" t="s">
        <v>590</v>
      </c>
      <c r="B189" t="s">
        <v>243</v>
      </c>
      <c r="C189" t="s">
        <v>53</v>
      </c>
      <c r="D189" t="s">
        <v>52</v>
      </c>
      <c r="E189" t="s">
        <v>322</v>
      </c>
      <c r="F189" t="s">
        <v>81</v>
      </c>
      <c r="G189" t="s">
        <v>323</v>
      </c>
      <c r="H189" t="s">
        <v>106</v>
      </c>
      <c r="I189" t="s">
        <v>107</v>
      </c>
      <c r="J189" s="26">
        <v>44169</v>
      </c>
      <c r="K189" t="s">
        <v>187</v>
      </c>
      <c r="L189" s="26">
        <v>44470</v>
      </c>
      <c r="M189" t="s">
        <v>188</v>
      </c>
      <c r="N189" t="s">
        <v>98</v>
      </c>
      <c r="O189" s="27">
        <v>638000</v>
      </c>
      <c r="P189">
        <v>3</v>
      </c>
      <c r="Q189" t="s">
        <v>164</v>
      </c>
      <c r="R189">
        <v>38</v>
      </c>
      <c r="S189" t="s">
        <v>237</v>
      </c>
      <c r="T189">
        <f t="shared" si="14"/>
        <v>11122</v>
      </c>
      <c r="U189" t="str">
        <f t="shared" si="15"/>
        <v>SAL</v>
      </c>
      <c r="V189" t="str">
        <f t="shared" si="16"/>
        <v>L1</v>
      </c>
      <c r="W189" t="str">
        <f>PROPER(TRIM(VLOOKUP(S189,Employee_Lookups!$I$4:$M$19,2,FALSE())))</f>
        <v>Karan Malhotra</v>
      </c>
      <c r="X189" t="str">
        <f>VLOOKUP(C189,Employee_Lookups!$A$4:$G$9,4,FALSE())</f>
        <v>CC-202</v>
      </c>
      <c r="Y189" t="str">
        <f>INDEX(Employee_Lookups!$C$13:$C$17,MATCH(F189,Employee_Lookups!$A$13:$A$17,0))</f>
        <v>Band A (Entry)</v>
      </c>
      <c r="Z189" s="27">
        <f>_xlfn.XLOOKUP(F189,Employee_Lookups!$A$13:$A$17,Employee_Lookups!$E$13:$E$17,0)</f>
        <v>700000</v>
      </c>
      <c r="AA189" s="28">
        <f>ROUND(O189/INDEX(Employee_Lookups!$E$13:$E$17,MATCH(F189,Employee_Lookups!$A$13:$A$17,0)),3)</f>
        <v>0.91100000000000003</v>
      </c>
      <c r="AB189">
        <f t="shared" si="17"/>
        <v>2020</v>
      </c>
      <c r="AC189">
        <f t="shared" si="18"/>
        <v>2021</v>
      </c>
      <c r="AD189" s="28">
        <f>ROUND((IF(ISBLANK(L189),Employee_Lookups!$O$14,L189)-J189)/365.25,2)</f>
        <v>0.82</v>
      </c>
      <c r="AE189" t="str">
        <f t="shared" si="19"/>
        <v>&lt; 1 Yr (New)</v>
      </c>
      <c r="AF189" t="str">
        <f t="shared" si="20"/>
        <v>Exited</v>
      </c>
    </row>
    <row r="190" spans="1:32" x14ac:dyDescent="0.45">
      <c r="A190" t="s">
        <v>591</v>
      </c>
      <c r="B190" t="s">
        <v>592</v>
      </c>
      <c r="C190" t="s">
        <v>57</v>
      </c>
      <c r="D190" t="s">
        <v>56</v>
      </c>
      <c r="E190" t="s">
        <v>160</v>
      </c>
      <c r="F190" t="s">
        <v>81</v>
      </c>
      <c r="G190" t="s">
        <v>161</v>
      </c>
      <c r="H190" t="s">
        <v>108</v>
      </c>
      <c r="I190" t="s">
        <v>107</v>
      </c>
      <c r="J190" s="26">
        <v>44170</v>
      </c>
      <c r="K190" t="s">
        <v>187</v>
      </c>
      <c r="L190" s="26">
        <v>44599</v>
      </c>
      <c r="M190" t="s">
        <v>308</v>
      </c>
      <c r="N190" t="s">
        <v>99</v>
      </c>
      <c r="O190" s="27">
        <v>837000</v>
      </c>
      <c r="P190">
        <v>3</v>
      </c>
      <c r="Q190" t="s">
        <v>172</v>
      </c>
      <c r="R190">
        <v>37</v>
      </c>
      <c r="S190" t="s">
        <v>165</v>
      </c>
      <c r="T190">
        <f t="shared" si="14"/>
        <v>11203</v>
      </c>
      <c r="U190" t="str">
        <f t="shared" si="15"/>
        <v>MKT</v>
      </c>
      <c r="V190" t="str">
        <f t="shared" si="16"/>
        <v>L1</v>
      </c>
      <c r="W190" t="str">
        <f>PROPER(TRIM(VLOOKUP(S190,Employee_Lookups!$I$4:$M$19,2,FALSE())))</f>
        <v>Arjun Sengupta</v>
      </c>
      <c r="X190" t="str">
        <f>VLOOKUP(C190,Employee_Lookups!$A$4:$G$9,4,FALSE())</f>
        <v>CC-606</v>
      </c>
      <c r="Y190" t="str">
        <f>INDEX(Employee_Lookups!$C$13:$C$17,MATCH(F190,Employee_Lookups!$A$13:$A$17,0))</f>
        <v>Band A (Entry)</v>
      </c>
      <c r="Z190" s="27">
        <f>_xlfn.XLOOKUP(F190,Employee_Lookups!$A$13:$A$17,Employee_Lookups!$E$13:$E$17,0)</f>
        <v>700000</v>
      </c>
      <c r="AA190" s="28">
        <f>ROUND(O190/INDEX(Employee_Lookups!$E$13:$E$17,MATCH(F190,Employee_Lookups!$A$13:$A$17,0)),3)</f>
        <v>1.196</v>
      </c>
      <c r="AB190">
        <f t="shared" si="17"/>
        <v>2020</v>
      </c>
      <c r="AC190">
        <f t="shared" si="18"/>
        <v>2022</v>
      </c>
      <c r="AD190" s="28">
        <f>ROUND((IF(ISBLANK(L190),Employee_Lookups!$O$14,L190)-J190)/365.25,2)</f>
        <v>1.17</v>
      </c>
      <c r="AE190" t="str">
        <f t="shared" si="19"/>
        <v>1 - 3 Yrs</v>
      </c>
      <c r="AF190" t="str">
        <f t="shared" si="20"/>
        <v>Exited</v>
      </c>
    </row>
    <row r="191" spans="1:32" x14ac:dyDescent="0.45">
      <c r="A191" t="s">
        <v>593</v>
      </c>
      <c r="B191" t="s">
        <v>184</v>
      </c>
      <c r="C191" t="s">
        <v>51</v>
      </c>
      <c r="D191" t="s">
        <v>50</v>
      </c>
      <c r="E191" t="s">
        <v>181</v>
      </c>
      <c r="F191" t="s">
        <v>81</v>
      </c>
      <c r="G191" t="s">
        <v>182</v>
      </c>
      <c r="H191" t="s">
        <v>106</v>
      </c>
      <c r="I191" t="s">
        <v>107</v>
      </c>
      <c r="J191" s="26">
        <v>44172</v>
      </c>
      <c r="K191" t="s">
        <v>162</v>
      </c>
      <c r="L191" s="26"/>
      <c r="M191" t="s">
        <v>163</v>
      </c>
      <c r="N191" t="s">
        <v>97</v>
      </c>
      <c r="O191" s="27">
        <v>595000</v>
      </c>
      <c r="P191">
        <v>3</v>
      </c>
      <c r="Q191" t="s">
        <v>164</v>
      </c>
      <c r="R191">
        <v>36</v>
      </c>
      <c r="S191" t="s">
        <v>197</v>
      </c>
      <c r="T191">
        <f t="shared" si="14"/>
        <v>10362</v>
      </c>
      <c r="U191" t="str">
        <f t="shared" si="15"/>
        <v>ENG</v>
      </c>
      <c r="V191" t="str">
        <f t="shared" si="16"/>
        <v>L1</v>
      </c>
      <c r="W191" t="str">
        <f>PROPER(TRIM(VLOOKUP(S191,Employee_Lookups!$I$4:$M$19,2,FALSE())))</f>
        <v>Rohan Verma</v>
      </c>
      <c r="X191" t="str">
        <f>VLOOKUP(C191,Employee_Lookups!$A$4:$G$9,4,FALSE())</f>
        <v>CC-101</v>
      </c>
      <c r="Y191" t="str">
        <f>INDEX(Employee_Lookups!$C$13:$C$17,MATCH(F191,Employee_Lookups!$A$13:$A$17,0))</f>
        <v>Band A (Entry)</v>
      </c>
      <c r="Z191" s="27">
        <f>_xlfn.XLOOKUP(F191,Employee_Lookups!$A$13:$A$17,Employee_Lookups!$E$13:$E$17,0)</f>
        <v>700000</v>
      </c>
      <c r="AA191" s="28">
        <f>ROUND(O191/INDEX(Employee_Lookups!$E$13:$E$17,MATCH(F191,Employee_Lookups!$A$13:$A$17,0)),3)</f>
        <v>0.85</v>
      </c>
      <c r="AB191">
        <f t="shared" si="17"/>
        <v>2020</v>
      </c>
      <c r="AC191" t="str">
        <f t="shared" si="18"/>
        <v/>
      </c>
      <c r="AD191" s="28">
        <f>ROUND((IF(ISBLANK(L191),Employee_Lookups!$O$14,L191)-J191)/365.25,2)</f>
        <v>5.07</v>
      </c>
      <c r="AE191" t="str">
        <f t="shared" si="19"/>
        <v>5+ Yrs</v>
      </c>
      <c r="AF191" t="str">
        <f t="shared" si="20"/>
        <v>Low Risk</v>
      </c>
    </row>
    <row r="192" spans="1:32" x14ac:dyDescent="0.45">
      <c r="A192" t="s">
        <v>594</v>
      </c>
      <c r="B192" t="s">
        <v>595</v>
      </c>
      <c r="C192" t="s">
        <v>51</v>
      </c>
      <c r="D192" t="s">
        <v>50</v>
      </c>
      <c r="E192" t="s">
        <v>176</v>
      </c>
      <c r="F192" t="s">
        <v>82</v>
      </c>
      <c r="G192" t="s">
        <v>177</v>
      </c>
      <c r="H192" t="s">
        <v>106</v>
      </c>
      <c r="I192" t="s">
        <v>107</v>
      </c>
      <c r="J192" s="26">
        <v>44175</v>
      </c>
      <c r="K192" t="s">
        <v>162</v>
      </c>
      <c r="L192" s="26"/>
      <c r="M192" t="s">
        <v>163</v>
      </c>
      <c r="N192" t="s">
        <v>96</v>
      </c>
      <c r="O192" s="27">
        <v>987000</v>
      </c>
      <c r="P192">
        <v>3</v>
      </c>
      <c r="Q192" t="s">
        <v>164</v>
      </c>
      <c r="R192">
        <v>49</v>
      </c>
      <c r="S192" t="s">
        <v>244</v>
      </c>
      <c r="T192">
        <f t="shared" si="14"/>
        <v>10110</v>
      </c>
      <c r="U192" t="str">
        <f t="shared" si="15"/>
        <v>ENG</v>
      </c>
      <c r="V192" t="str">
        <f t="shared" si="16"/>
        <v>L2</v>
      </c>
      <c r="W192" t="str">
        <f>PROPER(TRIM(VLOOKUP(S192,Employee_Lookups!$I$4:$M$19,2,FALSE())))</f>
        <v>Siddharth Nair</v>
      </c>
      <c r="X192" t="str">
        <f>VLOOKUP(C192,Employee_Lookups!$A$4:$G$9,4,FALSE())</f>
        <v>CC-101</v>
      </c>
      <c r="Y192" t="str">
        <f>INDEX(Employee_Lookups!$C$13:$C$17,MATCH(F192,Employee_Lookups!$A$13:$A$17,0))</f>
        <v>Band B (Mid)</v>
      </c>
      <c r="Z192" s="27">
        <f>_xlfn.XLOOKUP(F192,Employee_Lookups!$A$13:$A$17,Employee_Lookups!$E$13:$E$17,0)</f>
        <v>1100000</v>
      </c>
      <c r="AA192" s="28">
        <f>ROUND(O192/INDEX(Employee_Lookups!$E$13:$E$17,MATCH(F192,Employee_Lookups!$A$13:$A$17,0)),3)</f>
        <v>0.89700000000000002</v>
      </c>
      <c r="AB192">
        <f t="shared" si="17"/>
        <v>2020</v>
      </c>
      <c r="AC192" t="str">
        <f t="shared" si="18"/>
        <v/>
      </c>
      <c r="AD192" s="28">
        <f>ROUND((IF(ISBLANK(L192),Employee_Lookups!$O$14,L192)-J192)/365.25,2)</f>
        <v>5.0599999999999996</v>
      </c>
      <c r="AE192" t="str">
        <f t="shared" si="19"/>
        <v>5+ Yrs</v>
      </c>
      <c r="AF192" t="str">
        <f t="shared" si="20"/>
        <v>Low Risk</v>
      </c>
    </row>
    <row r="193" spans="1:32" x14ac:dyDescent="0.45">
      <c r="A193" t="s">
        <v>596</v>
      </c>
      <c r="B193" t="s">
        <v>597</v>
      </c>
      <c r="C193" t="s">
        <v>61</v>
      </c>
      <c r="D193" t="s">
        <v>60</v>
      </c>
      <c r="E193" t="s">
        <v>251</v>
      </c>
      <c r="F193" t="s">
        <v>82</v>
      </c>
      <c r="G193" t="s">
        <v>252</v>
      </c>
      <c r="H193" t="s">
        <v>112</v>
      </c>
      <c r="I193" t="s">
        <v>113</v>
      </c>
      <c r="J193" s="26">
        <v>44177</v>
      </c>
      <c r="K193" t="s">
        <v>162</v>
      </c>
      <c r="L193" s="26"/>
      <c r="M193" t="s">
        <v>163</v>
      </c>
      <c r="N193" t="s">
        <v>95</v>
      </c>
      <c r="O193" s="27">
        <v>861000</v>
      </c>
      <c r="P193">
        <v>5</v>
      </c>
      <c r="Q193" t="s">
        <v>164</v>
      </c>
      <c r="R193">
        <v>24</v>
      </c>
      <c r="S193" t="s">
        <v>253</v>
      </c>
      <c r="T193">
        <f t="shared" si="14"/>
        <v>10892</v>
      </c>
      <c r="U193" t="str">
        <f t="shared" si="15"/>
        <v>-HR</v>
      </c>
      <c r="V193" t="str">
        <f t="shared" si="16"/>
        <v>L2</v>
      </c>
      <c r="W193" t="str">
        <f>PROPER(TRIM(VLOOKUP(S193,Employee_Lookups!$I$4:$M$19,2,FALSE())))</f>
        <v>Nikhil Chatterjee</v>
      </c>
      <c r="X193" t="str">
        <f>VLOOKUP(C193,Employee_Lookups!$A$4:$G$9,4,FALSE())</f>
        <v>CC-505</v>
      </c>
      <c r="Y193" t="str">
        <f>INDEX(Employee_Lookups!$C$13:$C$17,MATCH(F193,Employee_Lookups!$A$13:$A$17,0))</f>
        <v>Band B (Mid)</v>
      </c>
      <c r="Z193" s="27">
        <f>_xlfn.XLOOKUP(F193,Employee_Lookups!$A$13:$A$17,Employee_Lookups!$E$13:$E$17,0)</f>
        <v>1100000</v>
      </c>
      <c r="AA193" s="28">
        <f>ROUND(O193/INDEX(Employee_Lookups!$E$13:$E$17,MATCH(F193,Employee_Lookups!$A$13:$A$17,0)),3)</f>
        <v>0.78300000000000003</v>
      </c>
      <c r="AB193">
        <f t="shared" si="17"/>
        <v>2020</v>
      </c>
      <c r="AC193" t="str">
        <f t="shared" si="18"/>
        <v/>
      </c>
      <c r="AD193" s="28">
        <f>ROUND((IF(ISBLANK(L193),Employee_Lookups!$O$14,L193)-J193)/365.25,2)</f>
        <v>5.05</v>
      </c>
      <c r="AE193" t="str">
        <f t="shared" si="19"/>
        <v>5+ Yrs</v>
      </c>
      <c r="AF193" t="str">
        <f t="shared" si="20"/>
        <v>Low Risk</v>
      </c>
    </row>
    <row r="194" spans="1:32" x14ac:dyDescent="0.45">
      <c r="A194" t="s">
        <v>598</v>
      </c>
      <c r="B194" t="s">
        <v>599</v>
      </c>
      <c r="C194" t="s">
        <v>53</v>
      </c>
      <c r="D194" t="s">
        <v>52</v>
      </c>
      <c r="E194" t="s">
        <v>192</v>
      </c>
      <c r="F194" t="s">
        <v>83</v>
      </c>
      <c r="G194" t="s">
        <v>193</v>
      </c>
      <c r="H194" t="s">
        <v>106</v>
      </c>
      <c r="I194" t="s">
        <v>107</v>
      </c>
      <c r="J194" s="26">
        <v>44180</v>
      </c>
      <c r="K194" t="s">
        <v>187</v>
      </c>
      <c r="L194" s="26">
        <v>45250</v>
      </c>
      <c r="M194" t="s">
        <v>282</v>
      </c>
      <c r="N194" t="s">
        <v>95</v>
      </c>
      <c r="O194" s="27">
        <v>2086000</v>
      </c>
      <c r="P194">
        <v>4</v>
      </c>
      <c r="Q194" t="s">
        <v>172</v>
      </c>
      <c r="R194">
        <v>34</v>
      </c>
      <c r="S194" t="s">
        <v>189</v>
      </c>
      <c r="T194">
        <f t="shared" ref="T194:T257" si="21">VALUE(MID(A194,5,5))</f>
        <v>11371</v>
      </c>
      <c r="U194" t="str">
        <f t="shared" ref="U194:U257" si="22">LEFT(E194,3)</f>
        <v>SAL</v>
      </c>
      <c r="V194" t="str">
        <f t="shared" ref="V194:V257" si="23">RIGHT(E194,2)</f>
        <v>L3</v>
      </c>
      <c r="W194" t="str">
        <f>PROPER(TRIM(VLOOKUP(S194,Employee_Lookups!$I$4:$M$19,2,FALSE())))</f>
        <v>Priya Sharma</v>
      </c>
      <c r="X194" t="str">
        <f>VLOOKUP(C194,Employee_Lookups!$A$4:$G$9,4,FALSE())</f>
        <v>CC-202</v>
      </c>
      <c r="Y194" t="str">
        <f>INDEX(Employee_Lookups!$C$13:$C$17,MATCH(F194,Employee_Lookups!$A$13:$A$17,0))</f>
        <v>Band C (Senior)</v>
      </c>
      <c r="Z194" s="27">
        <f>_xlfn.XLOOKUP(F194,Employee_Lookups!$A$13:$A$17,Employee_Lookups!$E$13:$E$17,0)</f>
        <v>1725000</v>
      </c>
      <c r="AA194" s="28">
        <f>ROUND(O194/INDEX(Employee_Lookups!$E$13:$E$17,MATCH(F194,Employee_Lookups!$A$13:$A$17,0)),3)</f>
        <v>1.2090000000000001</v>
      </c>
      <c r="AB194">
        <f t="shared" ref="AB194:AB257" si="24">YEAR(J194)</f>
        <v>2020</v>
      </c>
      <c r="AC194">
        <f t="shared" ref="AC194:AC257" si="25">IF(ISBLANK(L194),"",YEAR(L194))</f>
        <v>2023</v>
      </c>
      <c r="AD194" s="28">
        <f>ROUND((IF(ISBLANK(L194),Employee_Lookups!$O$14,L194)-J194)/365.25,2)</f>
        <v>2.93</v>
      </c>
      <c r="AE194" t="str">
        <f t="shared" ref="AE194:AE257" si="26">IF(AD194&lt;1,"&lt; 1 Yr (New)",IF(AD194&lt;3,"1 - 3 Yrs",IF(AD194&lt;5,"3 - 5 Yrs","5+ Yrs")))</f>
        <v>1 - 3 Yrs</v>
      </c>
      <c r="AF194" t="str">
        <f t="shared" ref="AF194:AF257" si="27">IF(K194&lt;&gt;"Active","Exited",IF(AND(Q194="Yes",OR(P194&gt;=4,AA194&lt;0.95)),"High Risk",IF(OR(Q194="Yes",AND(NOT(ISBLANK(P194)),P194&lt;=2)),"Moderate Risk","Low Risk")))</f>
        <v>Exited</v>
      </c>
    </row>
    <row r="195" spans="1:32" x14ac:dyDescent="0.45">
      <c r="A195" t="s">
        <v>600</v>
      </c>
      <c r="B195" t="s">
        <v>601</v>
      </c>
      <c r="C195" t="s">
        <v>55</v>
      </c>
      <c r="D195" t="s">
        <v>54</v>
      </c>
      <c r="E195" t="s">
        <v>229</v>
      </c>
      <c r="F195" t="s">
        <v>82</v>
      </c>
      <c r="G195" t="s">
        <v>230</v>
      </c>
      <c r="H195" t="s">
        <v>109</v>
      </c>
      <c r="I195" t="s">
        <v>110</v>
      </c>
      <c r="J195" s="26">
        <v>44181</v>
      </c>
      <c r="K195" t="s">
        <v>187</v>
      </c>
      <c r="L195" s="26">
        <v>44340</v>
      </c>
      <c r="M195" t="s">
        <v>282</v>
      </c>
      <c r="N195" t="s">
        <v>99</v>
      </c>
      <c r="O195" s="27">
        <v>859000</v>
      </c>
      <c r="P195">
        <v>3</v>
      </c>
      <c r="Q195" t="s">
        <v>172</v>
      </c>
      <c r="R195">
        <v>52</v>
      </c>
      <c r="S195" t="s">
        <v>274</v>
      </c>
      <c r="T195">
        <f t="shared" si="21"/>
        <v>10085</v>
      </c>
      <c r="U195" t="str">
        <f t="shared" si="22"/>
        <v>OPS</v>
      </c>
      <c r="V195" t="str">
        <f t="shared" si="23"/>
        <v>L2</v>
      </c>
      <c r="W195" t="str">
        <f>PROPER(TRIM(VLOOKUP(S195,Employee_Lookups!$I$4:$M$19,2,FALSE())))</f>
        <v>Meera Krishnan</v>
      </c>
      <c r="X195" t="str">
        <f>VLOOKUP(C195,Employee_Lookups!$A$4:$G$9,4,FALSE())</f>
        <v>CC-303</v>
      </c>
      <c r="Y195" t="str">
        <f>INDEX(Employee_Lookups!$C$13:$C$17,MATCH(F195,Employee_Lookups!$A$13:$A$17,0))</f>
        <v>Band B (Mid)</v>
      </c>
      <c r="Z195" s="27">
        <f>_xlfn.XLOOKUP(F195,Employee_Lookups!$A$13:$A$17,Employee_Lookups!$E$13:$E$17,0)</f>
        <v>1100000</v>
      </c>
      <c r="AA195" s="28">
        <f>ROUND(O195/INDEX(Employee_Lookups!$E$13:$E$17,MATCH(F195,Employee_Lookups!$A$13:$A$17,0)),3)</f>
        <v>0.78100000000000003</v>
      </c>
      <c r="AB195">
        <f t="shared" si="24"/>
        <v>2020</v>
      </c>
      <c r="AC195">
        <f t="shared" si="25"/>
        <v>2021</v>
      </c>
      <c r="AD195" s="28">
        <f>ROUND((IF(ISBLANK(L195),Employee_Lookups!$O$14,L195)-J195)/365.25,2)</f>
        <v>0.44</v>
      </c>
      <c r="AE195" t="str">
        <f t="shared" si="26"/>
        <v>&lt; 1 Yr (New)</v>
      </c>
      <c r="AF195" t="str">
        <f t="shared" si="27"/>
        <v>Exited</v>
      </c>
    </row>
    <row r="196" spans="1:32" x14ac:dyDescent="0.45">
      <c r="A196" t="s">
        <v>602</v>
      </c>
      <c r="B196" t="s">
        <v>544</v>
      </c>
      <c r="C196" t="s">
        <v>55</v>
      </c>
      <c r="D196" t="s">
        <v>54</v>
      </c>
      <c r="E196" t="s">
        <v>229</v>
      </c>
      <c r="F196" t="s">
        <v>82</v>
      </c>
      <c r="G196" t="s">
        <v>230</v>
      </c>
      <c r="H196" t="s">
        <v>108</v>
      </c>
      <c r="I196" t="s">
        <v>107</v>
      </c>
      <c r="J196" s="26">
        <v>44184</v>
      </c>
      <c r="K196" t="s">
        <v>162</v>
      </c>
      <c r="L196" s="26"/>
      <c r="M196" t="s">
        <v>163</v>
      </c>
      <c r="N196" t="s">
        <v>97</v>
      </c>
      <c r="O196" s="27">
        <v>886000</v>
      </c>
      <c r="P196">
        <v>1</v>
      </c>
      <c r="Q196" t="s">
        <v>172</v>
      </c>
      <c r="R196">
        <v>24</v>
      </c>
      <c r="S196" t="s">
        <v>262</v>
      </c>
      <c r="T196">
        <f t="shared" si="21"/>
        <v>10774</v>
      </c>
      <c r="U196" t="str">
        <f t="shared" si="22"/>
        <v>OPS</v>
      </c>
      <c r="V196" t="str">
        <f t="shared" si="23"/>
        <v>L2</v>
      </c>
      <c r="W196" t="str">
        <f>PROPER(TRIM(VLOOKUP(S196,Employee_Lookups!$I$4:$M$19,2,FALSE())))</f>
        <v>Ananya Iyer</v>
      </c>
      <c r="X196" t="str">
        <f>VLOOKUP(C196,Employee_Lookups!$A$4:$G$9,4,FALSE())</f>
        <v>CC-303</v>
      </c>
      <c r="Y196" t="str">
        <f>INDEX(Employee_Lookups!$C$13:$C$17,MATCH(F196,Employee_Lookups!$A$13:$A$17,0))</f>
        <v>Band B (Mid)</v>
      </c>
      <c r="Z196" s="27">
        <f>_xlfn.XLOOKUP(F196,Employee_Lookups!$A$13:$A$17,Employee_Lookups!$E$13:$E$17,0)</f>
        <v>1100000</v>
      </c>
      <c r="AA196" s="28">
        <f>ROUND(O196/INDEX(Employee_Lookups!$E$13:$E$17,MATCH(F196,Employee_Lookups!$A$13:$A$17,0)),3)</f>
        <v>0.80500000000000005</v>
      </c>
      <c r="AB196">
        <f t="shared" si="24"/>
        <v>2020</v>
      </c>
      <c r="AC196" t="str">
        <f t="shared" si="25"/>
        <v/>
      </c>
      <c r="AD196" s="28">
        <f>ROUND((IF(ISBLANK(L196),Employee_Lookups!$O$14,L196)-J196)/365.25,2)</f>
        <v>5.03</v>
      </c>
      <c r="AE196" t="str">
        <f t="shared" si="26"/>
        <v>5+ Yrs</v>
      </c>
      <c r="AF196" t="str">
        <f t="shared" si="27"/>
        <v>High Risk</v>
      </c>
    </row>
    <row r="197" spans="1:32" x14ac:dyDescent="0.45">
      <c r="A197" t="s">
        <v>603</v>
      </c>
      <c r="B197" t="s">
        <v>310</v>
      </c>
      <c r="C197" t="s">
        <v>53</v>
      </c>
      <c r="D197" t="s">
        <v>52</v>
      </c>
      <c r="E197" t="s">
        <v>185</v>
      </c>
      <c r="F197" t="s">
        <v>82</v>
      </c>
      <c r="G197" t="s">
        <v>186</v>
      </c>
      <c r="H197" t="s">
        <v>111</v>
      </c>
      <c r="I197" t="s">
        <v>110</v>
      </c>
      <c r="J197" s="26">
        <v>44184</v>
      </c>
      <c r="K197" t="s">
        <v>187</v>
      </c>
      <c r="L197" s="26">
        <v>44261</v>
      </c>
      <c r="M197" t="s">
        <v>188</v>
      </c>
      <c r="N197" t="s">
        <v>99</v>
      </c>
      <c r="O197" s="27">
        <v>917000</v>
      </c>
      <c r="P197">
        <v>3</v>
      </c>
      <c r="Q197" t="s">
        <v>172</v>
      </c>
      <c r="R197">
        <v>55</v>
      </c>
      <c r="S197" t="s">
        <v>237</v>
      </c>
      <c r="T197">
        <f t="shared" si="21"/>
        <v>10560</v>
      </c>
      <c r="U197" t="str">
        <f t="shared" si="22"/>
        <v>SAL</v>
      </c>
      <c r="V197" t="str">
        <f t="shared" si="23"/>
        <v>L2</v>
      </c>
      <c r="W197" t="str">
        <f>PROPER(TRIM(VLOOKUP(S197,Employee_Lookups!$I$4:$M$19,2,FALSE())))</f>
        <v>Karan Malhotra</v>
      </c>
      <c r="X197" t="str">
        <f>VLOOKUP(C197,Employee_Lookups!$A$4:$G$9,4,FALSE())</f>
        <v>CC-202</v>
      </c>
      <c r="Y197" t="str">
        <f>INDEX(Employee_Lookups!$C$13:$C$17,MATCH(F197,Employee_Lookups!$A$13:$A$17,0))</f>
        <v>Band B (Mid)</v>
      </c>
      <c r="Z197" s="27">
        <f>_xlfn.XLOOKUP(F197,Employee_Lookups!$A$13:$A$17,Employee_Lookups!$E$13:$E$17,0)</f>
        <v>1100000</v>
      </c>
      <c r="AA197" s="28">
        <f>ROUND(O197/INDEX(Employee_Lookups!$E$13:$E$17,MATCH(F197,Employee_Lookups!$A$13:$A$17,0)),3)</f>
        <v>0.83399999999999996</v>
      </c>
      <c r="AB197">
        <f t="shared" si="24"/>
        <v>2020</v>
      </c>
      <c r="AC197">
        <f t="shared" si="25"/>
        <v>2021</v>
      </c>
      <c r="AD197" s="28">
        <f>ROUND((IF(ISBLANK(L197),Employee_Lookups!$O$14,L197)-J197)/365.25,2)</f>
        <v>0.21</v>
      </c>
      <c r="AE197" t="str">
        <f t="shared" si="26"/>
        <v>&lt; 1 Yr (New)</v>
      </c>
      <c r="AF197" t="str">
        <f t="shared" si="27"/>
        <v>Exited</v>
      </c>
    </row>
    <row r="198" spans="1:32" x14ac:dyDescent="0.45">
      <c r="A198" t="s">
        <v>604</v>
      </c>
      <c r="B198" t="s">
        <v>355</v>
      </c>
      <c r="C198" t="s">
        <v>59</v>
      </c>
      <c r="D198" t="s">
        <v>58</v>
      </c>
      <c r="E198" t="s">
        <v>206</v>
      </c>
      <c r="F198" t="s">
        <v>81</v>
      </c>
      <c r="G198" t="s">
        <v>207</v>
      </c>
      <c r="H198" t="s">
        <v>108</v>
      </c>
      <c r="I198" t="s">
        <v>107</v>
      </c>
      <c r="J198" s="26">
        <v>44186</v>
      </c>
      <c r="K198" t="s">
        <v>187</v>
      </c>
      <c r="L198" s="26">
        <v>44537</v>
      </c>
      <c r="M198" t="s">
        <v>282</v>
      </c>
      <c r="N198" t="s">
        <v>97</v>
      </c>
      <c r="O198" s="27">
        <v>585000</v>
      </c>
      <c r="P198">
        <v>3</v>
      </c>
      <c r="Q198" t="s">
        <v>164</v>
      </c>
      <c r="R198">
        <v>27</v>
      </c>
      <c r="S198" t="s">
        <v>214</v>
      </c>
      <c r="T198">
        <f t="shared" si="21"/>
        <v>10166</v>
      </c>
      <c r="U198" t="str">
        <f t="shared" si="22"/>
        <v>FIN</v>
      </c>
      <c r="V198" t="str">
        <f t="shared" si="23"/>
        <v>L1</v>
      </c>
      <c r="W198" t="str">
        <f>PROPER(TRIM(VLOOKUP(S198,Employee_Lookups!$I$4:$M$19,2,FALSE())))</f>
        <v>Aditya Gokhale</v>
      </c>
      <c r="X198" t="str">
        <f>VLOOKUP(C198,Employee_Lookups!$A$4:$G$9,4,FALSE())</f>
        <v>CC-404</v>
      </c>
      <c r="Y198" t="str">
        <f>INDEX(Employee_Lookups!$C$13:$C$17,MATCH(F198,Employee_Lookups!$A$13:$A$17,0))</f>
        <v>Band A (Entry)</v>
      </c>
      <c r="Z198" s="27">
        <f>_xlfn.XLOOKUP(F198,Employee_Lookups!$A$13:$A$17,Employee_Lookups!$E$13:$E$17,0)</f>
        <v>700000</v>
      </c>
      <c r="AA198" s="28">
        <f>ROUND(O198/INDEX(Employee_Lookups!$E$13:$E$17,MATCH(F198,Employee_Lookups!$A$13:$A$17,0)),3)</f>
        <v>0.83599999999999997</v>
      </c>
      <c r="AB198">
        <f t="shared" si="24"/>
        <v>2020</v>
      </c>
      <c r="AC198">
        <f t="shared" si="25"/>
        <v>2021</v>
      </c>
      <c r="AD198" s="28">
        <f>ROUND((IF(ISBLANK(L198),Employee_Lookups!$O$14,L198)-J198)/365.25,2)</f>
        <v>0.96</v>
      </c>
      <c r="AE198" t="str">
        <f t="shared" si="26"/>
        <v>&lt; 1 Yr (New)</v>
      </c>
      <c r="AF198" t="str">
        <f t="shared" si="27"/>
        <v>Exited</v>
      </c>
    </row>
    <row r="199" spans="1:32" x14ac:dyDescent="0.45">
      <c r="A199" t="s">
        <v>605</v>
      </c>
      <c r="B199" t="s">
        <v>606</v>
      </c>
      <c r="C199" t="s">
        <v>57</v>
      </c>
      <c r="D199" t="s">
        <v>56</v>
      </c>
      <c r="E199" t="s">
        <v>160</v>
      </c>
      <c r="F199" t="s">
        <v>81</v>
      </c>
      <c r="G199" t="s">
        <v>161</v>
      </c>
      <c r="H199" t="s">
        <v>106</v>
      </c>
      <c r="I199" t="s">
        <v>107</v>
      </c>
      <c r="J199" s="26">
        <v>44187</v>
      </c>
      <c r="K199" t="s">
        <v>187</v>
      </c>
      <c r="L199" s="26">
        <v>44302</v>
      </c>
      <c r="M199" t="s">
        <v>213</v>
      </c>
      <c r="N199" t="s">
        <v>99</v>
      </c>
      <c r="O199" s="27">
        <v>580000</v>
      </c>
      <c r="P199">
        <v>4</v>
      </c>
      <c r="Q199" t="s">
        <v>164</v>
      </c>
      <c r="R199">
        <v>34</v>
      </c>
      <c r="S199" t="s">
        <v>165</v>
      </c>
      <c r="T199">
        <f t="shared" si="21"/>
        <v>10409</v>
      </c>
      <c r="U199" t="str">
        <f t="shared" si="22"/>
        <v>MKT</v>
      </c>
      <c r="V199" t="str">
        <f t="shared" si="23"/>
        <v>L1</v>
      </c>
      <c r="W199" t="str">
        <f>PROPER(TRIM(VLOOKUP(S199,Employee_Lookups!$I$4:$M$19,2,FALSE())))</f>
        <v>Arjun Sengupta</v>
      </c>
      <c r="X199" t="str">
        <f>VLOOKUP(C199,Employee_Lookups!$A$4:$G$9,4,FALSE())</f>
        <v>CC-606</v>
      </c>
      <c r="Y199" t="str">
        <f>INDEX(Employee_Lookups!$C$13:$C$17,MATCH(F199,Employee_Lookups!$A$13:$A$17,0))</f>
        <v>Band A (Entry)</v>
      </c>
      <c r="Z199" s="27">
        <f>_xlfn.XLOOKUP(F199,Employee_Lookups!$A$13:$A$17,Employee_Lookups!$E$13:$E$17,0)</f>
        <v>700000</v>
      </c>
      <c r="AA199" s="28">
        <f>ROUND(O199/INDEX(Employee_Lookups!$E$13:$E$17,MATCH(F199,Employee_Lookups!$A$13:$A$17,0)),3)</f>
        <v>0.82899999999999996</v>
      </c>
      <c r="AB199">
        <f t="shared" si="24"/>
        <v>2020</v>
      </c>
      <c r="AC199">
        <f t="shared" si="25"/>
        <v>2021</v>
      </c>
      <c r="AD199" s="28">
        <f>ROUND((IF(ISBLANK(L199),Employee_Lookups!$O$14,L199)-J199)/365.25,2)</f>
        <v>0.31</v>
      </c>
      <c r="AE199" t="str">
        <f t="shared" si="26"/>
        <v>&lt; 1 Yr (New)</v>
      </c>
      <c r="AF199" t="str">
        <f t="shared" si="27"/>
        <v>Exited</v>
      </c>
    </row>
    <row r="200" spans="1:32" x14ac:dyDescent="0.45">
      <c r="A200" t="s">
        <v>607</v>
      </c>
      <c r="B200" t="s">
        <v>608</v>
      </c>
      <c r="C200" t="s">
        <v>51</v>
      </c>
      <c r="D200" t="s">
        <v>50</v>
      </c>
      <c r="E200" t="s">
        <v>176</v>
      </c>
      <c r="F200" t="s">
        <v>82</v>
      </c>
      <c r="G200" t="s">
        <v>177</v>
      </c>
      <c r="H200" t="s">
        <v>111</v>
      </c>
      <c r="I200" t="s">
        <v>110</v>
      </c>
      <c r="J200" s="26">
        <v>44190</v>
      </c>
      <c r="K200" t="s">
        <v>162</v>
      </c>
      <c r="L200" s="26"/>
      <c r="M200" t="s">
        <v>163</v>
      </c>
      <c r="N200" t="s">
        <v>96</v>
      </c>
      <c r="O200" s="27">
        <v>1063000</v>
      </c>
      <c r="P200">
        <v>2</v>
      </c>
      <c r="Q200" t="s">
        <v>164</v>
      </c>
      <c r="R200">
        <v>46</v>
      </c>
      <c r="S200" t="s">
        <v>244</v>
      </c>
      <c r="T200">
        <f t="shared" si="21"/>
        <v>10798</v>
      </c>
      <c r="U200" t="str">
        <f t="shared" si="22"/>
        <v>ENG</v>
      </c>
      <c r="V200" t="str">
        <f t="shared" si="23"/>
        <v>L2</v>
      </c>
      <c r="W200" t="str">
        <f>PROPER(TRIM(VLOOKUP(S200,Employee_Lookups!$I$4:$M$19,2,FALSE())))</f>
        <v>Siddharth Nair</v>
      </c>
      <c r="X200" t="str">
        <f>VLOOKUP(C200,Employee_Lookups!$A$4:$G$9,4,FALSE())</f>
        <v>CC-101</v>
      </c>
      <c r="Y200" t="str">
        <f>INDEX(Employee_Lookups!$C$13:$C$17,MATCH(F200,Employee_Lookups!$A$13:$A$17,0))</f>
        <v>Band B (Mid)</v>
      </c>
      <c r="Z200" s="27">
        <f>_xlfn.XLOOKUP(F200,Employee_Lookups!$A$13:$A$17,Employee_Lookups!$E$13:$E$17,0)</f>
        <v>1100000</v>
      </c>
      <c r="AA200" s="28">
        <f>ROUND(O200/INDEX(Employee_Lookups!$E$13:$E$17,MATCH(F200,Employee_Lookups!$A$13:$A$17,0)),3)</f>
        <v>0.96599999999999997</v>
      </c>
      <c r="AB200">
        <f t="shared" si="24"/>
        <v>2020</v>
      </c>
      <c r="AC200" t="str">
        <f t="shared" si="25"/>
        <v/>
      </c>
      <c r="AD200" s="28">
        <f>ROUND((IF(ISBLANK(L200),Employee_Lookups!$O$14,L200)-J200)/365.25,2)</f>
        <v>5.0199999999999996</v>
      </c>
      <c r="AE200" t="str">
        <f t="shared" si="26"/>
        <v>5+ Yrs</v>
      </c>
      <c r="AF200" t="str">
        <f t="shared" si="27"/>
        <v>Moderate Risk</v>
      </c>
    </row>
    <row r="201" spans="1:32" x14ac:dyDescent="0.45">
      <c r="A201" t="s">
        <v>609</v>
      </c>
      <c r="B201" t="s">
        <v>610</v>
      </c>
      <c r="C201" t="s">
        <v>55</v>
      </c>
      <c r="D201" t="s">
        <v>54</v>
      </c>
      <c r="E201" t="s">
        <v>277</v>
      </c>
      <c r="F201" t="s">
        <v>81</v>
      </c>
      <c r="G201" t="s">
        <v>278</v>
      </c>
      <c r="H201" t="s">
        <v>111</v>
      </c>
      <c r="I201" t="s">
        <v>110</v>
      </c>
      <c r="J201" s="26">
        <v>44191</v>
      </c>
      <c r="K201" t="s">
        <v>187</v>
      </c>
      <c r="L201" s="26">
        <v>44294</v>
      </c>
      <c r="M201" t="s">
        <v>282</v>
      </c>
      <c r="N201" t="s">
        <v>99</v>
      </c>
      <c r="O201" s="27">
        <v>748000</v>
      </c>
      <c r="P201">
        <v>4</v>
      </c>
      <c r="Q201" t="s">
        <v>164</v>
      </c>
      <c r="R201">
        <v>42</v>
      </c>
      <c r="S201" t="s">
        <v>262</v>
      </c>
      <c r="T201">
        <f t="shared" si="21"/>
        <v>10147</v>
      </c>
      <c r="U201" t="str">
        <f t="shared" si="22"/>
        <v>OPS</v>
      </c>
      <c r="V201" t="str">
        <f t="shared" si="23"/>
        <v>L1</v>
      </c>
      <c r="W201" t="str">
        <f>PROPER(TRIM(VLOOKUP(S201,Employee_Lookups!$I$4:$M$19,2,FALSE())))</f>
        <v>Ananya Iyer</v>
      </c>
      <c r="X201" t="str">
        <f>VLOOKUP(C201,Employee_Lookups!$A$4:$G$9,4,FALSE())</f>
        <v>CC-303</v>
      </c>
      <c r="Y201" t="str">
        <f>INDEX(Employee_Lookups!$C$13:$C$17,MATCH(F201,Employee_Lookups!$A$13:$A$17,0))</f>
        <v>Band A (Entry)</v>
      </c>
      <c r="Z201" s="27">
        <f>_xlfn.XLOOKUP(F201,Employee_Lookups!$A$13:$A$17,Employee_Lookups!$E$13:$E$17,0)</f>
        <v>700000</v>
      </c>
      <c r="AA201" s="28">
        <f>ROUND(O201/INDEX(Employee_Lookups!$E$13:$E$17,MATCH(F201,Employee_Lookups!$A$13:$A$17,0)),3)</f>
        <v>1.069</v>
      </c>
      <c r="AB201">
        <f t="shared" si="24"/>
        <v>2020</v>
      </c>
      <c r="AC201">
        <f t="shared" si="25"/>
        <v>2021</v>
      </c>
      <c r="AD201" s="28">
        <f>ROUND((IF(ISBLANK(L201),Employee_Lookups!$O$14,L201)-J201)/365.25,2)</f>
        <v>0.28000000000000003</v>
      </c>
      <c r="AE201" t="str">
        <f t="shared" si="26"/>
        <v>&lt; 1 Yr (New)</v>
      </c>
      <c r="AF201" t="str">
        <f t="shared" si="27"/>
        <v>Exited</v>
      </c>
    </row>
    <row r="202" spans="1:32" x14ac:dyDescent="0.45">
      <c r="A202" t="s">
        <v>611</v>
      </c>
      <c r="B202" t="s">
        <v>612</v>
      </c>
      <c r="C202" t="s">
        <v>55</v>
      </c>
      <c r="D202" t="s">
        <v>54</v>
      </c>
      <c r="E202" t="s">
        <v>229</v>
      </c>
      <c r="F202" t="s">
        <v>82</v>
      </c>
      <c r="G202" t="s">
        <v>230</v>
      </c>
      <c r="H202" t="s">
        <v>106</v>
      </c>
      <c r="I202" t="s">
        <v>107</v>
      </c>
      <c r="J202" s="26">
        <v>44191</v>
      </c>
      <c r="K202" t="s">
        <v>187</v>
      </c>
      <c r="L202" s="26">
        <v>44364</v>
      </c>
      <c r="M202" t="s">
        <v>282</v>
      </c>
      <c r="N202" t="s">
        <v>99</v>
      </c>
      <c r="O202" s="27">
        <v>1088000</v>
      </c>
      <c r="P202">
        <v>3</v>
      </c>
      <c r="Q202" t="s">
        <v>164</v>
      </c>
      <c r="R202">
        <v>43</v>
      </c>
      <c r="S202" t="s">
        <v>173</v>
      </c>
      <c r="T202">
        <f t="shared" si="21"/>
        <v>10782</v>
      </c>
      <c r="U202" t="str">
        <f t="shared" si="22"/>
        <v>OPS</v>
      </c>
      <c r="V202" t="str">
        <f t="shared" si="23"/>
        <v>L2</v>
      </c>
      <c r="W202" t="str">
        <f>PROPER(TRIM(VLOOKUP(S202,Employee_Lookups!$I$4:$M$19,2,FALSE())))</f>
        <v>Deepak Patil</v>
      </c>
      <c r="X202" t="str">
        <f>VLOOKUP(C202,Employee_Lookups!$A$4:$G$9,4,FALSE())</f>
        <v>CC-303</v>
      </c>
      <c r="Y202" t="str">
        <f>INDEX(Employee_Lookups!$C$13:$C$17,MATCH(F202,Employee_Lookups!$A$13:$A$17,0))</f>
        <v>Band B (Mid)</v>
      </c>
      <c r="Z202" s="27">
        <f>_xlfn.XLOOKUP(F202,Employee_Lookups!$A$13:$A$17,Employee_Lookups!$E$13:$E$17,0)</f>
        <v>1100000</v>
      </c>
      <c r="AA202" s="28">
        <f>ROUND(O202/INDEX(Employee_Lookups!$E$13:$E$17,MATCH(F202,Employee_Lookups!$A$13:$A$17,0)),3)</f>
        <v>0.98899999999999999</v>
      </c>
      <c r="AB202">
        <f t="shared" si="24"/>
        <v>2020</v>
      </c>
      <c r="AC202">
        <f t="shared" si="25"/>
        <v>2021</v>
      </c>
      <c r="AD202" s="28">
        <f>ROUND((IF(ISBLANK(L202),Employee_Lookups!$O$14,L202)-J202)/365.25,2)</f>
        <v>0.47</v>
      </c>
      <c r="AE202" t="str">
        <f t="shared" si="26"/>
        <v>&lt; 1 Yr (New)</v>
      </c>
      <c r="AF202" t="str">
        <f t="shared" si="27"/>
        <v>Exited</v>
      </c>
    </row>
    <row r="203" spans="1:32" x14ac:dyDescent="0.45">
      <c r="A203" t="s">
        <v>613</v>
      </c>
      <c r="B203" t="s">
        <v>606</v>
      </c>
      <c r="C203" t="s">
        <v>53</v>
      </c>
      <c r="D203" t="s">
        <v>52</v>
      </c>
      <c r="E203" t="s">
        <v>322</v>
      </c>
      <c r="F203" t="s">
        <v>81</v>
      </c>
      <c r="G203" t="s">
        <v>323</v>
      </c>
      <c r="H203" t="s">
        <v>109</v>
      </c>
      <c r="I203" t="s">
        <v>110</v>
      </c>
      <c r="J203" s="26">
        <v>44192</v>
      </c>
      <c r="K203" t="s">
        <v>162</v>
      </c>
      <c r="L203" s="26"/>
      <c r="M203" t="s">
        <v>163</v>
      </c>
      <c r="N203" t="s">
        <v>96</v>
      </c>
      <c r="O203" s="27">
        <v>631000</v>
      </c>
      <c r="P203">
        <v>3</v>
      </c>
      <c r="Q203" t="s">
        <v>172</v>
      </c>
      <c r="R203">
        <v>35</v>
      </c>
      <c r="S203" t="s">
        <v>237</v>
      </c>
      <c r="T203">
        <f t="shared" si="21"/>
        <v>10284</v>
      </c>
      <c r="U203" t="str">
        <f t="shared" si="22"/>
        <v>SAL</v>
      </c>
      <c r="V203" t="str">
        <f t="shared" si="23"/>
        <v>L1</v>
      </c>
      <c r="W203" t="str">
        <f>PROPER(TRIM(VLOOKUP(S203,Employee_Lookups!$I$4:$M$19,2,FALSE())))</f>
        <v>Karan Malhotra</v>
      </c>
      <c r="X203" t="str">
        <f>VLOOKUP(C203,Employee_Lookups!$A$4:$G$9,4,FALSE())</f>
        <v>CC-202</v>
      </c>
      <c r="Y203" t="str">
        <f>INDEX(Employee_Lookups!$C$13:$C$17,MATCH(F203,Employee_Lookups!$A$13:$A$17,0))</f>
        <v>Band A (Entry)</v>
      </c>
      <c r="Z203" s="27">
        <f>_xlfn.XLOOKUP(F203,Employee_Lookups!$A$13:$A$17,Employee_Lookups!$E$13:$E$17,0)</f>
        <v>700000</v>
      </c>
      <c r="AA203" s="28">
        <f>ROUND(O203/INDEX(Employee_Lookups!$E$13:$E$17,MATCH(F203,Employee_Lookups!$A$13:$A$17,0)),3)</f>
        <v>0.90100000000000002</v>
      </c>
      <c r="AB203">
        <f t="shared" si="24"/>
        <v>2020</v>
      </c>
      <c r="AC203" t="str">
        <f t="shared" si="25"/>
        <v/>
      </c>
      <c r="AD203" s="28">
        <f>ROUND((IF(ISBLANK(L203),Employee_Lookups!$O$14,L203)-J203)/365.25,2)</f>
        <v>5.01</v>
      </c>
      <c r="AE203" t="str">
        <f t="shared" si="26"/>
        <v>5+ Yrs</v>
      </c>
      <c r="AF203" t="str">
        <f t="shared" si="27"/>
        <v>High Risk</v>
      </c>
    </row>
    <row r="204" spans="1:32" x14ac:dyDescent="0.45">
      <c r="A204" t="s">
        <v>614</v>
      </c>
      <c r="B204" t="s">
        <v>615</v>
      </c>
      <c r="C204" t="s">
        <v>53</v>
      </c>
      <c r="D204" t="s">
        <v>52</v>
      </c>
      <c r="E204" t="s">
        <v>185</v>
      </c>
      <c r="F204" t="s">
        <v>82</v>
      </c>
      <c r="G204" t="s">
        <v>186</v>
      </c>
      <c r="H204" t="s">
        <v>108</v>
      </c>
      <c r="I204" t="s">
        <v>107</v>
      </c>
      <c r="J204" s="26">
        <v>44192</v>
      </c>
      <c r="K204" t="s">
        <v>187</v>
      </c>
      <c r="L204" s="26">
        <v>45797</v>
      </c>
      <c r="M204" t="s">
        <v>269</v>
      </c>
      <c r="N204" t="s">
        <v>99</v>
      </c>
      <c r="O204" s="27">
        <v>868000</v>
      </c>
      <c r="P204">
        <v>4</v>
      </c>
      <c r="Q204" t="s">
        <v>164</v>
      </c>
      <c r="R204">
        <v>0</v>
      </c>
      <c r="S204" t="s">
        <v>189</v>
      </c>
      <c r="T204">
        <f t="shared" si="21"/>
        <v>11402</v>
      </c>
      <c r="U204" t="str">
        <f t="shared" si="22"/>
        <v>SAL</v>
      </c>
      <c r="V204" t="str">
        <f t="shared" si="23"/>
        <v>L2</v>
      </c>
      <c r="W204" t="str">
        <f>PROPER(TRIM(VLOOKUP(S204,Employee_Lookups!$I$4:$M$19,2,FALSE())))</f>
        <v>Priya Sharma</v>
      </c>
      <c r="X204" t="str">
        <f>VLOOKUP(C204,Employee_Lookups!$A$4:$G$9,4,FALSE())</f>
        <v>CC-202</v>
      </c>
      <c r="Y204" t="str">
        <f>INDEX(Employee_Lookups!$C$13:$C$17,MATCH(F204,Employee_Lookups!$A$13:$A$17,0))</f>
        <v>Band B (Mid)</v>
      </c>
      <c r="Z204" s="27">
        <f>_xlfn.XLOOKUP(F204,Employee_Lookups!$A$13:$A$17,Employee_Lookups!$E$13:$E$17,0)</f>
        <v>1100000</v>
      </c>
      <c r="AA204" s="28">
        <f>ROUND(O204/INDEX(Employee_Lookups!$E$13:$E$17,MATCH(F204,Employee_Lookups!$A$13:$A$17,0)),3)</f>
        <v>0.78900000000000003</v>
      </c>
      <c r="AB204">
        <f t="shared" si="24"/>
        <v>2020</v>
      </c>
      <c r="AC204">
        <f t="shared" si="25"/>
        <v>2025</v>
      </c>
      <c r="AD204" s="28">
        <f>ROUND((IF(ISBLANK(L204),Employee_Lookups!$O$14,L204)-J204)/365.25,2)</f>
        <v>4.3899999999999997</v>
      </c>
      <c r="AE204" t="str">
        <f t="shared" si="26"/>
        <v>3 - 5 Yrs</v>
      </c>
      <c r="AF204" t="str">
        <f t="shared" si="27"/>
        <v>Exited</v>
      </c>
    </row>
    <row r="205" spans="1:32" x14ac:dyDescent="0.45">
      <c r="A205" t="s">
        <v>616</v>
      </c>
      <c r="B205" t="s">
        <v>617</v>
      </c>
      <c r="C205" t="s">
        <v>51</v>
      </c>
      <c r="D205" t="s">
        <v>50</v>
      </c>
      <c r="E205" t="s">
        <v>397</v>
      </c>
      <c r="F205" t="s">
        <v>84</v>
      </c>
      <c r="G205" t="s">
        <v>398</v>
      </c>
      <c r="H205" t="s">
        <v>109</v>
      </c>
      <c r="I205" t="s">
        <v>110</v>
      </c>
      <c r="J205" s="26">
        <v>44197</v>
      </c>
      <c r="K205" t="s">
        <v>162</v>
      </c>
      <c r="L205" s="26"/>
      <c r="M205" t="s">
        <v>163</v>
      </c>
      <c r="N205" t="s">
        <v>97</v>
      </c>
      <c r="O205" s="27">
        <v>2402000</v>
      </c>
      <c r="P205">
        <v>3</v>
      </c>
      <c r="Q205" t="s">
        <v>172</v>
      </c>
      <c r="R205">
        <v>45</v>
      </c>
      <c r="S205" t="s">
        <v>244</v>
      </c>
      <c r="T205">
        <f t="shared" si="21"/>
        <v>10002</v>
      </c>
      <c r="U205" t="str">
        <f t="shared" si="22"/>
        <v>ENG</v>
      </c>
      <c r="V205" t="str">
        <f t="shared" si="23"/>
        <v>L4</v>
      </c>
      <c r="W205" t="str">
        <f>PROPER(TRIM(VLOOKUP(S205,Employee_Lookups!$I$4:$M$19,2,FALSE())))</f>
        <v>Siddharth Nair</v>
      </c>
      <c r="X205" t="str">
        <f>VLOOKUP(C205,Employee_Lookups!$A$4:$G$9,4,FALSE())</f>
        <v>CC-101</v>
      </c>
      <c r="Y205" t="str">
        <f>INDEX(Employee_Lookups!$C$13:$C$17,MATCH(F205,Employee_Lookups!$A$13:$A$17,0))</f>
        <v>Band D (Leadership)</v>
      </c>
      <c r="Z205" s="27">
        <f>_xlfn.XLOOKUP(F205,Employee_Lookups!$A$13:$A$17,Employee_Lookups!$E$13:$E$17,0)</f>
        <v>2750000</v>
      </c>
      <c r="AA205" s="28">
        <f>ROUND(O205/INDEX(Employee_Lookups!$E$13:$E$17,MATCH(F205,Employee_Lookups!$A$13:$A$17,0)),3)</f>
        <v>0.873</v>
      </c>
      <c r="AB205">
        <f t="shared" si="24"/>
        <v>2021</v>
      </c>
      <c r="AC205" t="str">
        <f t="shared" si="25"/>
        <v/>
      </c>
      <c r="AD205" s="28">
        <f>ROUND((IF(ISBLANK(L205),Employee_Lookups!$O$14,L205)-J205)/365.25,2)</f>
        <v>5</v>
      </c>
      <c r="AE205" t="str">
        <f t="shared" si="26"/>
        <v>5+ Yrs</v>
      </c>
      <c r="AF205" t="str">
        <f t="shared" si="27"/>
        <v>High Risk</v>
      </c>
    </row>
    <row r="206" spans="1:32" x14ac:dyDescent="0.45">
      <c r="A206" t="s">
        <v>618</v>
      </c>
      <c r="B206" t="s">
        <v>619</v>
      </c>
      <c r="C206" t="s">
        <v>61</v>
      </c>
      <c r="D206" t="s">
        <v>60</v>
      </c>
      <c r="E206" t="s">
        <v>484</v>
      </c>
      <c r="F206" t="s">
        <v>83</v>
      </c>
      <c r="G206" t="s">
        <v>485</v>
      </c>
      <c r="H206" t="s">
        <v>106</v>
      </c>
      <c r="I206" t="s">
        <v>107</v>
      </c>
      <c r="J206" s="26">
        <v>44197</v>
      </c>
      <c r="K206" t="s">
        <v>187</v>
      </c>
      <c r="L206" s="26">
        <v>44456</v>
      </c>
      <c r="M206" t="s">
        <v>213</v>
      </c>
      <c r="N206" t="s">
        <v>95</v>
      </c>
      <c r="O206" s="27">
        <v>1848000</v>
      </c>
      <c r="P206">
        <v>3</v>
      </c>
      <c r="Q206" t="s">
        <v>164</v>
      </c>
      <c r="R206">
        <v>31</v>
      </c>
      <c r="S206" t="s">
        <v>319</v>
      </c>
      <c r="T206">
        <f t="shared" si="21"/>
        <v>10477</v>
      </c>
      <c r="U206" t="str">
        <f t="shared" si="22"/>
        <v>-HR</v>
      </c>
      <c r="V206" t="str">
        <f t="shared" si="23"/>
        <v>L3</v>
      </c>
      <c r="W206" t="str">
        <f>PROPER(TRIM(VLOOKUP(S206,Employee_Lookups!$I$4:$M$19,2,FALSE())))</f>
        <v>Kavita Menon</v>
      </c>
      <c r="X206" t="str">
        <f>VLOOKUP(C206,Employee_Lookups!$A$4:$G$9,4,FALSE())</f>
        <v>CC-505</v>
      </c>
      <c r="Y206" t="str">
        <f>INDEX(Employee_Lookups!$C$13:$C$17,MATCH(F206,Employee_Lookups!$A$13:$A$17,0))</f>
        <v>Band C (Senior)</v>
      </c>
      <c r="Z206" s="27">
        <f>_xlfn.XLOOKUP(F206,Employee_Lookups!$A$13:$A$17,Employee_Lookups!$E$13:$E$17,0)</f>
        <v>1725000</v>
      </c>
      <c r="AA206" s="28">
        <f>ROUND(O206/INDEX(Employee_Lookups!$E$13:$E$17,MATCH(F206,Employee_Lookups!$A$13:$A$17,0)),3)</f>
        <v>1.071</v>
      </c>
      <c r="AB206">
        <f t="shared" si="24"/>
        <v>2021</v>
      </c>
      <c r="AC206">
        <f t="shared" si="25"/>
        <v>2021</v>
      </c>
      <c r="AD206" s="28">
        <f>ROUND((IF(ISBLANK(L206),Employee_Lookups!$O$14,L206)-J206)/365.25,2)</f>
        <v>0.71</v>
      </c>
      <c r="AE206" t="str">
        <f t="shared" si="26"/>
        <v>&lt; 1 Yr (New)</v>
      </c>
      <c r="AF206" t="str">
        <f t="shared" si="27"/>
        <v>Exited</v>
      </c>
    </row>
    <row r="207" spans="1:32" x14ac:dyDescent="0.45">
      <c r="A207" t="s">
        <v>620</v>
      </c>
      <c r="B207" t="s">
        <v>621</v>
      </c>
      <c r="C207" t="s">
        <v>51</v>
      </c>
      <c r="D207" t="s">
        <v>50</v>
      </c>
      <c r="E207" t="s">
        <v>217</v>
      </c>
      <c r="F207" t="s">
        <v>83</v>
      </c>
      <c r="G207" t="s">
        <v>218</v>
      </c>
      <c r="H207" t="s">
        <v>106</v>
      </c>
      <c r="I207" t="s">
        <v>107</v>
      </c>
      <c r="J207" s="26">
        <v>44200</v>
      </c>
      <c r="K207" t="s">
        <v>162</v>
      </c>
      <c r="L207" s="26"/>
      <c r="M207" t="s">
        <v>163</v>
      </c>
      <c r="N207" t="s">
        <v>98</v>
      </c>
      <c r="O207" s="27">
        <v>1546000</v>
      </c>
      <c r="P207">
        <v>2</v>
      </c>
      <c r="Q207" t="s">
        <v>164</v>
      </c>
      <c r="R207">
        <v>14</v>
      </c>
      <c r="S207" t="s">
        <v>197</v>
      </c>
      <c r="T207">
        <f t="shared" si="21"/>
        <v>10048</v>
      </c>
      <c r="U207" t="str">
        <f t="shared" si="22"/>
        <v>ENG</v>
      </c>
      <c r="V207" t="str">
        <f t="shared" si="23"/>
        <v>L3</v>
      </c>
      <c r="W207" t="str">
        <f>PROPER(TRIM(VLOOKUP(S207,Employee_Lookups!$I$4:$M$19,2,FALSE())))</f>
        <v>Rohan Verma</v>
      </c>
      <c r="X207" t="str">
        <f>VLOOKUP(C207,Employee_Lookups!$A$4:$G$9,4,FALSE())</f>
        <v>CC-101</v>
      </c>
      <c r="Y207" t="str">
        <f>INDEX(Employee_Lookups!$C$13:$C$17,MATCH(F207,Employee_Lookups!$A$13:$A$17,0))</f>
        <v>Band C (Senior)</v>
      </c>
      <c r="Z207" s="27">
        <f>_xlfn.XLOOKUP(F207,Employee_Lookups!$A$13:$A$17,Employee_Lookups!$E$13:$E$17,0)</f>
        <v>1725000</v>
      </c>
      <c r="AA207" s="28">
        <f>ROUND(O207/INDEX(Employee_Lookups!$E$13:$E$17,MATCH(F207,Employee_Lookups!$A$13:$A$17,0)),3)</f>
        <v>0.89600000000000002</v>
      </c>
      <c r="AB207">
        <f t="shared" si="24"/>
        <v>2021</v>
      </c>
      <c r="AC207" t="str">
        <f t="shared" si="25"/>
        <v/>
      </c>
      <c r="AD207" s="28">
        <f>ROUND((IF(ISBLANK(L207),Employee_Lookups!$O$14,L207)-J207)/365.25,2)</f>
        <v>4.99</v>
      </c>
      <c r="AE207" t="str">
        <f t="shared" si="26"/>
        <v>3 - 5 Yrs</v>
      </c>
      <c r="AF207" t="str">
        <f t="shared" si="27"/>
        <v>Moderate Risk</v>
      </c>
    </row>
    <row r="208" spans="1:32" x14ac:dyDescent="0.45">
      <c r="A208" t="s">
        <v>622</v>
      </c>
      <c r="B208" t="s">
        <v>623</v>
      </c>
      <c r="C208" t="s">
        <v>53</v>
      </c>
      <c r="D208" t="s">
        <v>52</v>
      </c>
      <c r="E208" t="s">
        <v>322</v>
      </c>
      <c r="F208" t="s">
        <v>81</v>
      </c>
      <c r="G208" t="s">
        <v>323</v>
      </c>
      <c r="H208" t="s">
        <v>108</v>
      </c>
      <c r="I208" t="s">
        <v>107</v>
      </c>
      <c r="J208" s="26">
        <v>44203</v>
      </c>
      <c r="K208" t="s">
        <v>162</v>
      </c>
      <c r="L208" s="26"/>
      <c r="M208" t="s">
        <v>163</v>
      </c>
      <c r="N208" t="s">
        <v>99</v>
      </c>
      <c r="O208" s="27">
        <v>776000</v>
      </c>
      <c r="P208">
        <v>3</v>
      </c>
      <c r="Q208" t="s">
        <v>164</v>
      </c>
      <c r="R208">
        <v>32</v>
      </c>
      <c r="S208" t="s">
        <v>189</v>
      </c>
      <c r="T208">
        <f t="shared" si="21"/>
        <v>10303</v>
      </c>
      <c r="U208" t="str">
        <f t="shared" si="22"/>
        <v>SAL</v>
      </c>
      <c r="V208" t="str">
        <f t="shared" si="23"/>
        <v>L1</v>
      </c>
      <c r="W208" t="str">
        <f>PROPER(TRIM(VLOOKUP(S208,Employee_Lookups!$I$4:$M$19,2,FALSE())))</f>
        <v>Priya Sharma</v>
      </c>
      <c r="X208" t="str">
        <f>VLOOKUP(C208,Employee_Lookups!$A$4:$G$9,4,FALSE())</f>
        <v>CC-202</v>
      </c>
      <c r="Y208" t="str">
        <f>INDEX(Employee_Lookups!$C$13:$C$17,MATCH(F208,Employee_Lookups!$A$13:$A$17,0))</f>
        <v>Band A (Entry)</v>
      </c>
      <c r="Z208" s="27">
        <f>_xlfn.XLOOKUP(F208,Employee_Lookups!$A$13:$A$17,Employee_Lookups!$E$13:$E$17,0)</f>
        <v>700000</v>
      </c>
      <c r="AA208" s="28">
        <f>ROUND(O208/INDEX(Employee_Lookups!$E$13:$E$17,MATCH(F208,Employee_Lookups!$A$13:$A$17,0)),3)</f>
        <v>1.109</v>
      </c>
      <c r="AB208">
        <f t="shared" si="24"/>
        <v>2021</v>
      </c>
      <c r="AC208" t="str">
        <f t="shared" si="25"/>
        <v/>
      </c>
      <c r="AD208" s="28">
        <f>ROUND((IF(ISBLANK(L208),Employee_Lookups!$O$14,L208)-J208)/365.25,2)</f>
        <v>4.9800000000000004</v>
      </c>
      <c r="AE208" t="str">
        <f t="shared" si="26"/>
        <v>3 - 5 Yrs</v>
      </c>
      <c r="AF208" t="str">
        <f t="shared" si="27"/>
        <v>Low Risk</v>
      </c>
    </row>
    <row r="209" spans="1:32" x14ac:dyDescent="0.45">
      <c r="A209" t="s">
        <v>624</v>
      </c>
      <c r="B209" t="s">
        <v>625</v>
      </c>
      <c r="C209" t="s">
        <v>61</v>
      </c>
      <c r="D209" t="s">
        <v>60</v>
      </c>
      <c r="E209" t="s">
        <v>484</v>
      </c>
      <c r="F209" t="s">
        <v>83</v>
      </c>
      <c r="G209" t="s">
        <v>485</v>
      </c>
      <c r="H209" t="s">
        <v>109</v>
      </c>
      <c r="I209" t="s">
        <v>110</v>
      </c>
      <c r="J209" s="26">
        <v>44204</v>
      </c>
      <c r="K209" t="s">
        <v>170</v>
      </c>
      <c r="L209" s="26">
        <v>44462</v>
      </c>
      <c r="M209" t="s">
        <v>171</v>
      </c>
      <c r="N209" t="s">
        <v>97</v>
      </c>
      <c r="O209" s="27">
        <v>1358000</v>
      </c>
      <c r="P209">
        <v>1</v>
      </c>
      <c r="Q209" t="s">
        <v>172</v>
      </c>
      <c r="R209">
        <v>14</v>
      </c>
      <c r="S209" t="s">
        <v>319</v>
      </c>
      <c r="T209">
        <f t="shared" si="21"/>
        <v>11317</v>
      </c>
      <c r="U209" t="str">
        <f t="shared" si="22"/>
        <v>-HR</v>
      </c>
      <c r="V209" t="str">
        <f t="shared" si="23"/>
        <v>L3</v>
      </c>
      <c r="W209" t="str">
        <f>PROPER(TRIM(VLOOKUP(S209,Employee_Lookups!$I$4:$M$19,2,FALSE())))</f>
        <v>Kavita Menon</v>
      </c>
      <c r="X209" t="str">
        <f>VLOOKUP(C209,Employee_Lookups!$A$4:$G$9,4,FALSE())</f>
        <v>CC-505</v>
      </c>
      <c r="Y209" t="str">
        <f>INDEX(Employee_Lookups!$C$13:$C$17,MATCH(F209,Employee_Lookups!$A$13:$A$17,0))</f>
        <v>Band C (Senior)</v>
      </c>
      <c r="Z209" s="27">
        <f>_xlfn.XLOOKUP(F209,Employee_Lookups!$A$13:$A$17,Employee_Lookups!$E$13:$E$17,0)</f>
        <v>1725000</v>
      </c>
      <c r="AA209" s="28">
        <f>ROUND(O209/INDEX(Employee_Lookups!$E$13:$E$17,MATCH(F209,Employee_Lookups!$A$13:$A$17,0)),3)</f>
        <v>0.78700000000000003</v>
      </c>
      <c r="AB209">
        <f t="shared" si="24"/>
        <v>2021</v>
      </c>
      <c r="AC209">
        <f t="shared" si="25"/>
        <v>2021</v>
      </c>
      <c r="AD209" s="28">
        <f>ROUND((IF(ISBLANK(L209),Employee_Lookups!$O$14,L209)-J209)/365.25,2)</f>
        <v>0.71</v>
      </c>
      <c r="AE209" t="str">
        <f t="shared" si="26"/>
        <v>&lt; 1 Yr (New)</v>
      </c>
      <c r="AF209" t="str">
        <f t="shared" si="27"/>
        <v>Exited</v>
      </c>
    </row>
    <row r="210" spans="1:32" x14ac:dyDescent="0.45">
      <c r="A210" t="s">
        <v>626</v>
      </c>
      <c r="B210" t="s">
        <v>627</v>
      </c>
      <c r="C210" t="s">
        <v>55</v>
      </c>
      <c r="D210" t="s">
        <v>54</v>
      </c>
      <c r="E210" t="s">
        <v>240</v>
      </c>
      <c r="F210" t="s">
        <v>83</v>
      </c>
      <c r="G210" t="s">
        <v>241</v>
      </c>
      <c r="H210" t="s">
        <v>112</v>
      </c>
      <c r="I210" t="s">
        <v>113</v>
      </c>
      <c r="J210" s="26">
        <v>44207</v>
      </c>
      <c r="K210" t="s">
        <v>162</v>
      </c>
      <c r="L210" s="26"/>
      <c r="M210" t="s">
        <v>163</v>
      </c>
      <c r="N210" t="s">
        <v>95</v>
      </c>
      <c r="O210" s="27">
        <v>2076000</v>
      </c>
      <c r="P210">
        <v>2</v>
      </c>
      <c r="Q210" t="s">
        <v>164</v>
      </c>
      <c r="R210">
        <v>25</v>
      </c>
      <c r="S210" t="s">
        <v>274</v>
      </c>
      <c r="T210">
        <f t="shared" si="21"/>
        <v>10749</v>
      </c>
      <c r="U210" t="str">
        <f t="shared" si="22"/>
        <v>OPS</v>
      </c>
      <c r="V210" t="str">
        <f t="shared" si="23"/>
        <v>L3</v>
      </c>
      <c r="W210" t="str">
        <f>PROPER(TRIM(VLOOKUP(S210,Employee_Lookups!$I$4:$M$19,2,FALSE())))</f>
        <v>Meera Krishnan</v>
      </c>
      <c r="X210" t="str">
        <f>VLOOKUP(C210,Employee_Lookups!$A$4:$G$9,4,FALSE())</f>
        <v>CC-303</v>
      </c>
      <c r="Y210" t="str">
        <f>INDEX(Employee_Lookups!$C$13:$C$17,MATCH(F210,Employee_Lookups!$A$13:$A$17,0))</f>
        <v>Band C (Senior)</v>
      </c>
      <c r="Z210" s="27">
        <f>_xlfn.XLOOKUP(F210,Employee_Lookups!$A$13:$A$17,Employee_Lookups!$E$13:$E$17,0)</f>
        <v>1725000</v>
      </c>
      <c r="AA210" s="28">
        <f>ROUND(O210/INDEX(Employee_Lookups!$E$13:$E$17,MATCH(F210,Employee_Lookups!$A$13:$A$17,0)),3)</f>
        <v>1.2030000000000001</v>
      </c>
      <c r="AB210">
        <f t="shared" si="24"/>
        <v>2021</v>
      </c>
      <c r="AC210" t="str">
        <f t="shared" si="25"/>
        <v/>
      </c>
      <c r="AD210" s="28">
        <f>ROUND((IF(ISBLANK(L210),Employee_Lookups!$O$14,L210)-J210)/365.25,2)</f>
        <v>4.97</v>
      </c>
      <c r="AE210" t="str">
        <f t="shared" si="26"/>
        <v>3 - 5 Yrs</v>
      </c>
      <c r="AF210" t="str">
        <f t="shared" si="27"/>
        <v>Moderate Risk</v>
      </c>
    </row>
    <row r="211" spans="1:32" x14ac:dyDescent="0.45">
      <c r="A211" t="s">
        <v>628</v>
      </c>
      <c r="B211" t="s">
        <v>629</v>
      </c>
      <c r="C211" t="s">
        <v>55</v>
      </c>
      <c r="D211" t="s">
        <v>54</v>
      </c>
      <c r="E211" t="s">
        <v>229</v>
      </c>
      <c r="F211" t="s">
        <v>82</v>
      </c>
      <c r="G211" t="s">
        <v>230</v>
      </c>
      <c r="H211" t="s">
        <v>111</v>
      </c>
      <c r="I211" t="s">
        <v>110</v>
      </c>
      <c r="J211" s="26">
        <v>44207</v>
      </c>
      <c r="K211" t="s">
        <v>162</v>
      </c>
      <c r="L211" s="26"/>
      <c r="M211" t="s">
        <v>163</v>
      </c>
      <c r="N211" t="s">
        <v>98</v>
      </c>
      <c r="O211" s="27">
        <v>1004000</v>
      </c>
      <c r="P211">
        <v>4</v>
      </c>
      <c r="Q211" t="s">
        <v>172</v>
      </c>
      <c r="R211">
        <v>45</v>
      </c>
      <c r="S211" t="s">
        <v>262</v>
      </c>
      <c r="T211">
        <f t="shared" si="21"/>
        <v>11248</v>
      </c>
      <c r="U211" t="str">
        <f t="shared" si="22"/>
        <v>OPS</v>
      </c>
      <c r="V211" t="str">
        <f t="shared" si="23"/>
        <v>L2</v>
      </c>
      <c r="W211" t="str">
        <f>PROPER(TRIM(VLOOKUP(S211,Employee_Lookups!$I$4:$M$19,2,FALSE())))</f>
        <v>Ananya Iyer</v>
      </c>
      <c r="X211" t="str">
        <f>VLOOKUP(C211,Employee_Lookups!$A$4:$G$9,4,FALSE())</f>
        <v>CC-303</v>
      </c>
      <c r="Y211" t="str">
        <f>INDEX(Employee_Lookups!$C$13:$C$17,MATCH(F211,Employee_Lookups!$A$13:$A$17,0))</f>
        <v>Band B (Mid)</v>
      </c>
      <c r="Z211" s="27">
        <f>_xlfn.XLOOKUP(F211,Employee_Lookups!$A$13:$A$17,Employee_Lookups!$E$13:$E$17,0)</f>
        <v>1100000</v>
      </c>
      <c r="AA211" s="28">
        <f>ROUND(O211/INDEX(Employee_Lookups!$E$13:$E$17,MATCH(F211,Employee_Lookups!$A$13:$A$17,0)),3)</f>
        <v>0.91300000000000003</v>
      </c>
      <c r="AB211">
        <f t="shared" si="24"/>
        <v>2021</v>
      </c>
      <c r="AC211" t="str">
        <f t="shared" si="25"/>
        <v/>
      </c>
      <c r="AD211" s="28">
        <f>ROUND((IF(ISBLANK(L211),Employee_Lookups!$O$14,L211)-J211)/365.25,2)</f>
        <v>4.97</v>
      </c>
      <c r="AE211" t="str">
        <f t="shared" si="26"/>
        <v>3 - 5 Yrs</v>
      </c>
      <c r="AF211" t="str">
        <f t="shared" si="27"/>
        <v>High Risk</v>
      </c>
    </row>
    <row r="212" spans="1:32" x14ac:dyDescent="0.45">
      <c r="A212" t="s">
        <v>630</v>
      </c>
      <c r="B212" t="s">
        <v>631</v>
      </c>
      <c r="C212" t="s">
        <v>61</v>
      </c>
      <c r="D212" t="s">
        <v>60</v>
      </c>
      <c r="E212" t="s">
        <v>356</v>
      </c>
      <c r="F212" t="s">
        <v>81</v>
      </c>
      <c r="G212" t="s">
        <v>357</v>
      </c>
      <c r="H212" t="s">
        <v>108</v>
      </c>
      <c r="I212" t="s">
        <v>107</v>
      </c>
      <c r="J212" s="26">
        <v>44208</v>
      </c>
      <c r="K212" t="s">
        <v>162</v>
      </c>
      <c r="L212" s="26"/>
      <c r="M212" t="s">
        <v>163</v>
      </c>
      <c r="N212" t="s">
        <v>98</v>
      </c>
      <c r="O212" s="27">
        <v>805000</v>
      </c>
      <c r="P212">
        <v>4</v>
      </c>
      <c r="Q212" t="s">
        <v>164</v>
      </c>
      <c r="R212">
        <v>37</v>
      </c>
      <c r="S212" t="s">
        <v>319</v>
      </c>
      <c r="T212">
        <f t="shared" si="21"/>
        <v>11234</v>
      </c>
      <c r="U212" t="str">
        <f t="shared" si="22"/>
        <v>-HR</v>
      </c>
      <c r="V212" t="str">
        <f t="shared" si="23"/>
        <v>L1</v>
      </c>
      <c r="W212" t="str">
        <f>PROPER(TRIM(VLOOKUP(S212,Employee_Lookups!$I$4:$M$19,2,FALSE())))</f>
        <v>Kavita Menon</v>
      </c>
      <c r="X212" t="str">
        <f>VLOOKUP(C212,Employee_Lookups!$A$4:$G$9,4,FALSE())</f>
        <v>CC-505</v>
      </c>
      <c r="Y212" t="str">
        <f>INDEX(Employee_Lookups!$C$13:$C$17,MATCH(F212,Employee_Lookups!$A$13:$A$17,0))</f>
        <v>Band A (Entry)</v>
      </c>
      <c r="Z212" s="27">
        <f>_xlfn.XLOOKUP(F212,Employee_Lookups!$A$13:$A$17,Employee_Lookups!$E$13:$E$17,0)</f>
        <v>700000</v>
      </c>
      <c r="AA212" s="28">
        <f>ROUND(O212/INDEX(Employee_Lookups!$E$13:$E$17,MATCH(F212,Employee_Lookups!$A$13:$A$17,0)),3)</f>
        <v>1.1499999999999999</v>
      </c>
      <c r="AB212">
        <f t="shared" si="24"/>
        <v>2021</v>
      </c>
      <c r="AC212" t="str">
        <f t="shared" si="25"/>
        <v/>
      </c>
      <c r="AD212" s="28">
        <f>ROUND((IF(ISBLANK(L212),Employee_Lookups!$O$14,L212)-J212)/365.25,2)</f>
        <v>4.97</v>
      </c>
      <c r="AE212" t="str">
        <f t="shared" si="26"/>
        <v>3 - 5 Yrs</v>
      </c>
      <c r="AF212" t="str">
        <f t="shared" si="27"/>
        <v>Low Risk</v>
      </c>
    </row>
    <row r="213" spans="1:32" x14ac:dyDescent="0.45">
      <c r="A213" t="s">
        <v>632</v>
      </c>
      <c r="B213" t="s">
        <v>633</v>
      </c>
      <c r="C213" t="s">
        <v>55</v>
      </c>
      <c r="D213" t="s">
        <v>54</v>
      </c>
      <c r="E213" t="s">
        <v>277</v>
      </c>
      <c r="F213" t="s">
        <v>81</v>
      </c>
      <c r="G213" t="s">
        <v>278</v>
      </c>
      <c r="H213" t="s">
        <v>106</v>
      </c>
      <c r="I213" t="s">
        <v>107</v>
      </c>
      <c r="J213" s="26">
        <v>44209</v>
      </c>
      <c r="K213" t="s">
        <v>170</v>
      </c>
      <c r="L213" s="26">
        <v>44919</v>
      </c>
      <c r="M213" t="s">
        <v>171</v>
      </c>
      <c r="N213" t="s">
        <v>96</v>
      </c>
      <c r="O213" s="27">
        <v>690000</v>
      </c>
      <c r="P213">
        <v>2</v>
      </c>
      <c r="Q213" t="s">
        <v>172</v>
      </c>
      <c r="R213">
        <v>4</v>
      </c>
      <c r="S213" t="s">
        <v>274</v>
      </c>
      <c r="T213">
        <f t="shared" si="21"/>
        <v>10380</v>
      </c>
      <c r="U213" t="str">
        <f t="shared" si="22"/>
        <v>OPS</v>
      </c>
      <c r="V213" t="str">
        <f t="shared" si="23"/>
        <v>L1</v>
      </c>
      <c r="W213" t="str">
        <f>PROPER(TRIM(VLOOKUP(S213,Employee_Lookups!$I$4:$M$19,2,FALSE())))</f>
        <v>Meera Krishnan</v>
      </c>
      <c r="X213" t="str">
        <f>VLOOKUP(C213,Employee_Lookups!$A$4:$G$9,4,FALSE())</f>
        <v>CC-303</v>
      </c>
      <c r="Y213" t="str">
        <f>INDEX(Employee_Lookups!$C$13:$C$17,MATCH(F213,Employee_Lookups!$A$13:$A$17,0))</f>
        <v>Band A (Entry)</v>
      </c>
      <c r="Z213" s="27">
        <f>_xlfn.XLOOKUP(F213,Employee_Lookups!$A$13:$A$17,Employee_Lookups!$E$13:$E$17,0)</f>
        <v>700000</v>
      </c>
      <c r="AA213" s="28">
        <f>ROUND(O213/INDEX(Employee_Lookups!$E$13:$E$17,MATCH(F213,Employee_Lookups!$A$13:$A$17,0)),3)</f>
        <v>0.98599999999999999</v>
      </c>
      <c r="AB213">
        <f t="shared" si="24"/>
        <v>2021</v>
      </c>
      <c r="AC213">
        <f t="shared" si="25"/>
        <v>2022</v>
      </c>
      <c r="AD213" s="28">
        <f>ROUND((IF(ISBLANK(L213),Employee_Lookups!$O$14,L213)-J213)/365.25,2)</f>
        <v>1.94</v>
      </c>
      <c r="AE213" t="str">
        <f t="shared" si="26"/>
        <v>1 - 3 Yrs</v>
      </c>
      <c r="AF213" t="str">
        <f t="shared" si="27"/>
        <v>Exited</v>
      </c>
    </row>
    <row r="214" spans="1:32" x14ac:dyDescent="0.45">
      <c r="A214" t="s">
        <v>634</v>
      </c>
      <c r="B214" t="s">
        <v>359</v>
      </c>
      <c r="C214" t="s">
        <v>55</v>
      </c>
      <c r="D214" t="s">
        <v>54</v>
      </c>
      <c r="E214" t="s">
        <v>277</v>
      </c>
      <c r="F214" t="s">
        <v>81</v>
      </c>
      <c r="G214" t="s">
        <v>278</v>
      </c>
      <c r="H214" t="s">
        <v>108</v>
      </c>
      <c r="I214" t="s">
        <v>107</v>
      </c>
      <c r="J214" s="26">
        <v>44210</v>
      </c>
      <c r="K214" t="s">
        <v>187</v>
      </c>
      <c r="L214" s="26">
        <v>45890</v>
      </c>
      <c r="M214" t="s">
        <v>213</v>
      </c>
      <c r="N214" t="s">
        <v>98</v>
      </c>
      <c r="O214" s="27">
        <v>589000</v>
      </c>
      <c r="P214">
        <v>4</v>
      </c>
      <c r="Q214" t="s">
        <v>164</v>
      </c>
      <c r="R214">
        <v>42</v>
      </c>
      <c r="S214" t="s">
        <v>274</v>
      </c>
      <c r="T214">
        <f t="shared" si="21"/>
        <v>10387</v>
      </c>
      <c r="U214" t="str">
        <f t="shared" si="22"/>
        <v>OPS</v>
      </c>
      <c r="V214" t="str">
        <f t="shared" si="23"/>
        <v>L1</v>
      </c>
      <c r="W214" t="str">
        <f>PROPER(TRIM(VLOOKUP(S214,Employee_Lookups!$I$4:$M$19,2,FALSE())))</f>
        <v>Meera Krishnan</v>
      </c>
      <c r="X214" t="str">
        <f>VLOOKUP(C214,Employee_Lookups!$A$4:$G$9,4,FALSE())</f>
        <v>CC-303</v>
      </c>
      <c r="Y214" t="str">
        <f>INDEX(Employee_Lookups!$C$13:$C$17,MATCH(F214,Employee_Lookups!$A$13:$A$17,0))</f>
        <v>Band A (Entry)</v>
      </c>
      <c r="Z214" s="27">
        <f>_xlfn.XLOOKUP(F214,Employee_Lookups!$A$13:$A$17,Employee_Lookups!$E$13:$E$17,0)</f>
        <v>700000</v>
      </c>
      <c r="AA214" s="28">
        <f>ROUND(O214/INDEX(Employee_Lookups!$E$13:$E$17,MATCH(F214,Employee_Lookups!$A$13:$A$17,0)),3)</f>
        <v>0.84099999999999997</v>
      </c>
      <c r="AB214">
        <f t="shared" si="24"/>
        <v>2021</v>
      </c>
      <c r="AC214">
        <f t="shared" si="25"/>
        <v>2025</v>
      </c>
      <c r="AD214" s="28">
        <f>ROUND((IF(ISBLANK(L214),Employee_Lookups!$O$14,L214)-J214)/365.25,2)</f>
        <v>4.5999999999999996</v>
      </c>
      <c r="AE214" t="str">
        <f t="shared" si="26"/>
        <v>3 - 5 Yrs</v>
      </c>
      <c r="AF214" t="str">
        <f t="shared" si="27"/>
        <v>Exited</v>
      </c>
    </row>
    <row r="215" spans="1:32" x14ac:dyDescent="0.45">
      <c r="A215" t="s">
        <v>635</v>
      </c>
      <c r="B215" t="s">
        <v>636</v>
      </c>
      <c r="C215" t="s">
        <v>51</v>
      </c>
      <c r="D215" t="s">
        <v>50</v>
      </c>
      <c r="E215" t="s">
        <v>181</v>
      </c>
      <c r="F215" t="s">
        <v>81</v>
      </c>
      <c r="G215" t="s">
        <v>182</v>
      </c>
      <c r="H215" t="s">
        <v>108</v>
      </c>
      <c r="I215" t="s">
        <v>107</v>
      </c>
      <c r="J215" s="26">
        <v>44214</v>
      </c>
      <c r="K215" t="s">
        <v>162</v>
      </c>
      <c r="L215" s="26"/>
      <c r="M215" t="s">
        <v>163</v>
      </c>
      <c r="N215" t="s">
        <v>99</v>
      </c>
      <c r="O215" s="27">
        <v>833000</v>
      </c>
      <c r="P215">
        <v>2</v>
      </c>
      <c r="Q215" t="s">
        <v>172</v>
      </c>
      <c r="R215">
        <v>12</v>
      </c>
      <c r="S215" t="s">
        <v>178</v>
      </c>
      <c r="T215">
        <f t="shared" si="21"/>
        <v>10090</v>
      </c>
      <c r="U215" t="str">
        <f t="shared" si="22"/>
        <v>ENG</v>
      </c>
      <c r="V215" t="str">
        <f t="shared" si="23"/>
        <v>L1</v>
      </c>
      <c r="W215" t="str">
        <f>PROPER(TRIM(VLOOKUP(S215,Employee_Lookups!$I$4:$M$19,2,FALSE())))</f>
        <v>Aarav Deshmukh</v>
      </c>
      <c r="X215" t="str">
        <f>VLOOKUP(C215,Employee_Lookups!$A$4:$G$9,4,FALSE())</f>
        <v>CC-101</v>
      </c>
      <c r="Y215" t="str">
        <f>INDEX(Employee_Lookups!$C$13:$C$17,MATCH(F215,Employee_Lookups!$A$13:$A$17,0))</f>
        <v>Band A (Entry)</v>
      </c>
      <c r="Z215" s="27">
        <f>_xlfn.XLOOKUP(F215,Employee_Lookups!$A$13:$A$17,Employee_Lookups!$E$13:$E$17,0)</f>
        <v>700000</v>
      </c>
      <c r="AA215" s="28">
        <f>ROUND(O215/INDEX(Employee_Lookups!$E$13:$E$17,MATCH(F215,Employee_Lookups!$A$13:$A$17,0)),3)</f>
        <v>1.19</v>
      </c>
      <c r="AB215">
        <f t="shared" si="24"/>
        <v>2021</v>
      </c>
      <c r="AC215" t="str">
        <f t="shared" si="25"/>
        <v/>
      </c>
      <c r="AD215" s="28">
        <f>ROUND((IF(ISBLANK(L215),Employee_Lookups!$O$14,L215)-J215)/365.25,2)</f>
        <v>4.95</v>
      </c>
      <c r="AE215" t="str">
        <f t="shared" si="26"/>
        <v>3 - 5 Yrs</v>
      </c>
      <c r="AF215" t="str">
        <f t="shared" si="27"/>
        <v>Moderate Risk</v>
      </c>
    </row>
    <row r="216" spans="1:32" x14ac:dyDescent="0.45">
      <c r="A216" t="s">
        <v>637</v>
      </c>
      <c r="B216" t="s">
        <v>638</v>
      </c>
      <c r="C216" t="s">
        <v>61</v>
      </c>
      <c r="D216" t="s">
        <v>60</v>
      </c>
      <c r="E216" t="s">
        <v>317</v>
      </c>
      <c r="F216" t="s">
        <v>84</v>
      </c>
      <c r="G216" t="s">
        <v>318</v>
      </c>
      <c r="H216" t="s">
        <v>111</v>
      </c>
      <c r="I216" t="s">
        <v>110</v>
      </c>
      <c r="J216" s="26">
        <v>44214</v>
      </c>
      <c r="K216" t="s">
        <v>162</v>
      </c>
      <c r="L216" s="26"/>
      <c r="M216" t="s">
        <v>163</v>
      </c>
      <c r="N216" t="s">
        <v>98</v>
      </c>
      <c r="O216" s="27">
        <v>3174000</v>
      </c>
      <c r="P216">
        <v>3</v>
      </c>
      <c r="Q216" t="s">
        <v>164</v>
      </c>
      <c r="R216">
        <v>47</v>
      </c>
      <c r="S216" t="s">
        <v>253</v>
      </c>
      <c r="T216">
        <f t="shared" si="21"/>
        <v>10489</v>
      </c>
      <c r="U216" t="str">
        <f t="shared" si="22"/>
        <v>-HR</v>
      </c>
      <c r="V216" t="str">
        <f t="shared" si="23"/>
        <v>L4</v>
      </c>
      <c r="W216" t="str">
        <f>PROPER(TRIM(VLOOKUP(S216,Employee_Lookups!$I$4:$M$19,2,FALSE())))</f>
        <v>Nikhil Chatterjee</v>
      </c>
      <c r="X216" t="str">
        <f>VLOOKUP(C216,Employee_Lookups!$A$4:$G$9,4,FALSE())</f>
        <v>CC-505</v>
      </c>
      <c r="Y216" t="str">
        <f>INDEX(Employee_Lookups!$C$13:$C$17,MATCH(F216,Employee_Lookups!$A$13:$A$17,0))</f>
        <v>Band D (Leadership)</v>
      </c>
      <c r="Z216" s="27">
        <f>_xlfn.XLOOKUP(F216,Employee_Lookups!$A$13:$A$17,Employee_Lookups!$E$13:$E$17,0)</f>
        <v>2750000</v>
      </c>
      <c r="AA216" s="28">
        <f>ROUND(O216/INDEX(Employee_Lookups!$E$13:$E$17,MATCH(F216,Employee_Lookups!$A$13:$A$17,0)),3)</f>
        <v>1.1539999999999999</v>
      </c>
      <c r="AB216">
        <f t="shared" si="24"/>
        <v>2021</v>
      </c>
      <c r="AC216" t="str">
        <f t="shared" si="25"/>
        <v/>
      </c>
      <c r="AD216" s="28">
        <f>ROUND((IF(ISBLANK(L216),Employee_Lookups!$O$14,L216)-J216)/365.25,2)</f>
        <v>4.95</v>
      </c>
      <c r="AE216" t="str">
        <f t="shared" si="26"/>
        <v>3 - 5 Yrs</v>
      </c>
      <c r="AF216" t="str">
        <f t="shared" si="27"/>
        <v>Low Risk</v>
      </c>
    </row>
    <row r="217" spans="1:32" x14ac:dyDescent="0.45">
      <c r="A217" t="s">
        <v>639</v>
      </c>
      <c r="B217" t="s">
        <v>640</v>
      </c>
      <c r="C217" t="s">
        <v>59</v>
      </c>
      <c r="D217" t="s">
        <v>58</v>
      </c>
      <c r="E217" t="s">
        <v>206</v>
      </c>
      <c r="F217" t="s">
        <v>81</v>
      </c>
      <c r="G217" t="s">
        <v>207</v>
      </c>
      <c r="H217" t="s">
        <v>109</v>
      </c>
      <c r="I217" t="s">
        <v>110</v>
      </c>
      <c r="J217" s="26">
        <v>44215</v>
      </c>
      <c r="K217" t="s">
        <v>162</v>
      </c>
      <c r="L217" s="26"/>
      <c r="M217" t="s">
        <v>163</v>
      </c>
      <c r="N217" t="s">
        <v>99</v>
      </c>
      <c r="O217" s="27">
        <v>659000</v>
      </c>
      <c r="P217">
        <v>4</v>
      </c>
      <c r="Q217" t="s">
        <v>164</v>
      </c>
      <c r="R217">
        <v>61</v>
      </c>
      <c r="S217" t="s">
        <v>214</v>
      </c>
      <c r="T217">
        <f t="shared" si="21"/>
        <v>10233</v>
      </c>
      <c r="U217" t="str">
        <f t="shared" si="22"/>
        <v>FIN</v>
      </c>
      <c r="V217" t="str">
        <f t="shared" si="23"/>
        <v>L1</v>
      </c>
      <c r="W217" t="str">
        <f>PROPER(TRIM(VLOOKUP(S217,Employee_Lookups!$I$4:$M$19,2,FALSE())))</f>
        <v>Aditya Gokhale</v>
      </c>
      <c r="X217" t="str">
        <f>VLOOKUP(C217,Employee_Lookups!$A$4:$G$9,4,FALSE())</f>
        <v>CC-404</v>
      </c>
      <c r="Y217" t="str">
        <f>INDEX(Employee_Lookups!$C$13:$C$17,MATCH(F217,Employee_Lookups!$A$13:$A$17,0))</f>
        <v>Band A (Entry)</v>
      </c>
      <c r="Z217" s="27">
        <f>_xlfn.XLOOKUP(F217,Employee_Lookups!$A$13:$A$17,Employee_Lookups!$E$13:$E$17,0)</f>
        <v>700000</v>
      </c>
      <c r="AA217" s="28">
        <f>ROUND(O217/INDEX(Employee_Lookups!$E$13:$E$17,MATCH(F217,Employee_Lookups!$A$13:$A$17,0)),3)</f>
        <v>0.94099999999999995</v>
      </c>
      <c r="AB217">
        <f t="shared" si="24"/>
        <v>2021</v>
      </c>
      <c r="AC217" t="str">
        <f t="shared" si="25"/>
        <v/>
      </c>
      <c r="AD217" s="28">
        <f>ROUND((IF(ISBLANK(L217),Employee_Lookups!$O$14,L217)-J217)/365.25,2)</f>
        <v>4.95</v>
      </c>
      <c r="AE217" t="str">
        <f t="shared" si="26"/>
        <v>3 - 5 Yrs</v>
      </c>
      <c r="AF217" t="str">
        <f t="shared" si="27"/>
        <v>Low Risk</v>
      </c>
    </row>
    <row r="218" spans="1:32" x14ac:dyDescent="0.45">
      <c r="A218" t="s">
        <v>641</v>
      </c>
      <c r="B218" t="s">
        <v>642</v>
      </c>
      <c r="C218" t="s">
        <v>55</v>
      </c>
      <c r="D218" t="s">
        <v>54</v>
      </c>
      <c r="E218" t="s">
        <v>229</v>
      </c>
      <c r="F218" t="s">
        <v>82</v>
      </c>
      <c r="G218" t="s">
        <v>230</v>
      </c>
      <c r="H218" t="s">
        <v>106</v>
      </c>
      <c r="I218" t="s">
        <v>107</v>
      </c>
      <c r="J218" s="26">
        <v>44216</v>
      </c>
      <c r="K218" t="s">
        <v>162</v>
      </c>
      <c r="L218" s="26"/>
      <c r="M218" t="s">
        <v>163</v>
      </c>
      <c r="N218" t="s">
        <v>95</v>
      </c>
      <c r="O218" s="27">
        <v>1181000</v>
      </c>
      <c r="P218">
        <v>3</v>
      </c>
      <c r="Q218" t="s">
        <v>164</v>
      </c>
      <c r="R218">
        <v>35</v>
      </c>
      <c r="S218" t="s">
        <v>274</v>
      </c>
      <c r="T218">
        <f t="shared" si="21"/>
        <v>10469</v>
      </c>
      <c r="U218" t="str">
        <f t="shared" si="22"/>
        <v>OPS</v>
      </c>
      <c r="V218" t="str">
        <f t="shared" si="23"/>
        <v>L2</v>
      </c>
      <c r="W218" t="str">
        <f>PROPER(TRIM(VLOOKUP(S218,Employee_Lookups!$I$4:$M$19,2,FALSE())))</f>
        <v>Meera Krishnan</v>
      </c>
      <c r="X218" t="str">
        <f>VLOOKUP(C218,Employee_Lookups!$A$4:$G$9,4,FALSE())</f>
        <v>CC-303</v>
      </c>
      <c r="Y218" t="str">
        <f>INDEX(Employee_Lookups!$C$13:$C$17,MATCH(F218,Employee_Lookups!$A$13:$A$17,0))</f>
        <v>Band B (Mid)</v>
      </c>
      <c r="Z218" s="27">
        <f>_xlfn.XLOOKUP(F218,Employee_Lookups!$A$13:$A$17,Employee_Lookups!$E$13:$E$17,0)</f>
        <v>1100000</v>
      </c>
      <c r="AA218" s="28">
        <f>ROUND(O218/INDEX(Employee_Lookups!$E$13:$E$17,MATCH(F218,Employee_Lookups!$A$13:$A$17,0)),3)</f>
        <v>1.0740000000000001</v>
      </c>
      <c r="AB218">
        <f t="shared" si="24"/>
        <v>2021</v>
      </c>
      <c r="AC218" t="str">
        <f t="shared" si="25"/>
        <v/>
      </c>
      <c r="AD218" s="28">
        <f>ROUND((IF(ISBLANK(L218),Employee_Lookups!$O$14,L218)-J218)/365.25,2)</f>
        <v>4.9400000000000004</v>
      </c>
      <c r="AE218" t="str">
        <f t="shared" si="26"/>
        <v>3 - 5 Yrs</v>
      </c>
      <c r="AF218" t="str">
        <f t="shared" si="27"/>
        <v>Low Risk</v>
      </c>
    </row>
    <row r="219" spans="1:32" x14ac:dyDescent="0.45">
      <c r="A219" t="s">
        <v>643</v>
      </c>
      <c r="B219" t="s">
        <v>554</v>
      </c>
      <c r="C219" t="s">
        <v>51</v>
      </c>
      <c r="D219" t="s">
        <v>50</v>
      </c>
      <c r="E219" t="s">
        <v>181</v>
      </c>
      <c r="F219" t="s">
        <v>81</v>
      </c>
      <c r="G219" t="s">
        <v>182</v>
      </c>
      <c r="H219" t="s">
        <v>109</v>
      </c>
      <c r="I219" t="s">
        <v>110</v>
      </c>
      <c r="J219" s="26">
        <v>44216</v>
      </c>
      <c r="K219" t="s">
        <v>162</v>
      </c>
      <c r="L219" s="26"/>
      <c r="M219" t="s">
        <v>163</v>
      </c>
      <c r="N219" t="s">
        <v>96</v>
      </c>
      <c r="O219" s="27">
        <v>685000</v>
      </c>
      <c r="P219">
        <v>2</v>
      </c>
      <c r="Q219" t="s">
        <v>164</v>
      </c>
      <c r="R219">
        <v>25</v>
      </c>
      <c r="S219" t="s">
        <v>197</v>
      </c>
      <c r="T219">
        <f t="shared" si="21"/>
        <v>11086</v>
      </c>
      <c r="U219" t="str">
        <f t="shared" si="22"/>
        <v>ENG</v>
      </c>
      <c r="V219" t="str">
        <f t="shared" si="23"/>
        <v>L1</v>
      </c>
      <c r="W219" t="str">
        <f>PROPER(TRIM(VLOOKUP(S219,Employee_Lookups!$I$4:$M$19,2,FALSE())))</f>
        <v>Rohan Verma</v>
      </c>
      <c r="X219" t="str">
        <f>VLOOKUP(C219,Employee_Lookups!$A$4:$G$9,4,FALSE())</f>
        <v>CC-101</v>
      </c>
      <c r="Y219" t="str">
        <f>INDEX(Employee_Lookups!$C$13:$C$17,MATCH(F219,Employee_Lookups!$A$13:$A$17,0))</f>
        <v>Band A (Entry)</v>
      </c>
      <c r="Z219" s="27">
        <f>_xlfn.XLOOKUP(F219,Employee_Lookups!$A$13:$A$17,Employee_Lookups!$E$13:$E$17,0)</f>
        <v>700000</v>
      </c>
      <c r="AA219" s="28">
        <f>ROUND(O219/INDEX(Employee_Lookups!$E$13:$E$17,MATCH(F219,Employee_Lookups!$A$13:$A$17,0)),3)</f>
        <v>0.97899999999999998</v>
      </c>
      <c r="AB219">
        <f t="shared" si="24"/>
        <v>2021</v>
      </c>
      <c r="AC219" t="str">
        <f t="shared" si="25"/>
        <v/>
      </c>
      <c r="AD219" s="28">
        <f>ROUND((IF(ISBLANK(L219),Employee_Lookups!$O$14,L219)-J219)/365.25,2)</f>
        <v>4.9400000000000004</v>
      </c>
      <c r="AE219" t="str">
        <f t="shared" si="26"/>
        <v>3 - 5 Yrs</v>
      </c>
      <c r="AF219" t="str">
        <f t="shared" si="27"/>
        <v>Moderate Risk</v>
      </c>
    </row>
    <row r="220" spans="1:32" x14ac:dyDescent="0.45">
      <c r="A220" t="s">
        <v>644</v>
      </c>
      <c r="B220" t="s">
        <v>645</v>
      </c>
      <c r="C220" t="s">
        <v>51</v>
      </c>
      <c r="D220" t="s">
        <v>50</v>
      </c>
      <c r="E220" t="s">
        <v>176</v>
      </c>
      <c r="F220" t="s">
        <v>82</v>
      </c>
      <c r="G220" t="s">
        <v>177</v>
      </c>
      <c r="H220" t="s">
        <v>106</v>
      </c>
      <c r="I220" t="s">
        <v>107</v>
      </c>
      <c r="J220" s="26">
        <v>44217</v>
      </c>
      <c r="K220" t="s">
        <v>162</v>
      </c>
      <c r="L220" s="26"/>
      <c r="M220" t="s">
        <v>163</v>
      </c>
      <c r="N220" t="s">
        <v>98</v>
      </c>
      <c r="O220" s="27">
        <v>1179000</v>
      </c>
      <c r="P220">
        <v>3</v>
      </c>
      <c r="Q220" t="s">
        <v>164</v>
      </c>
      <c r="R220">
        <v>55</v>
      </c>
      <c r="S220" t="s">
        <v>197</v>
      </c>
      <c r="T220">
        <f t="shared" si="21"/>
        <v>11370</v>
      </c>
      <c r="U220" t="str">
        <f t="shared" si="22"/>
        <v>ENG</v>
      </c>
      <c r="V220" t="str">
        <f t="shared" si="23"/>
        <v>L2</v>
      </c>
      <c r="W220" t="str">
        <f>PROPER(TRIM(VLOOKUP(S220,Employee_Lookups!$I$4:$M$19,2,FALSE())))</f>
        <v>Rohan Verma</v>
      </c>
      <c r="X220" t="str">
        <f>VLOOKUP(C220,Employee_Lookups!$A$4:$G$9,4,FALSE())</f>
        <v>CC-101</v>
      </c>
      <c r="Y220" t="str">
        <f>INDEX(Employee_Lookups!$C$13:$C$17,MATCH(F220,Employee_Lookups!$A$13:$A$17,0))</f>
        <v>Band B (Mid)</v>
      </c>
      <c r="Z220" s="27">
        <f>_xlfn.XLOOKUP(F220,Employee_Lookups!$A$13:$A$17,Employee_Lookups!$E$13:$E$17,0)</f>
        <v>1100000</v>
      </c>
      <c r="AA220" s="28">
        <f>ROUND(O220/INDEX(Employee_Lookups!$E$13:$E$17,MATCH(F220,Employee_Lookups!$A$13:$A$17,0)),3)</f>
        <v>1.0720000000000001</v>
      </c>
      <c r="AB220">
        <f t="shared" si="24"/>
        <v>2021</v>
      </c>
      <c r="AC220" t="str">
        <f t="shared" si="25"/>
        <v/>
      </c>
      <c r="AD220" s="28">
        <f>ROUND((IF(ISBLANK(L220),Employee_Lookups!$O$14,L220)-J220)/365.25,2)</f>
        <v>4.9400000000000004</v>
      </c>
      <c r="AE220" t="str">
        <f t="shared" si="26"/>
        <v>3 - 5 Yrs</v>
      </c>
      <c r="AF220" t="str">
        <f t="shared" si="27"/>
        <v>Low Risk</v>
      </c>
    </row>
    <row r="221" spans="1:32" x14ac:dyDescent="0.45">
      <c r="A221" t="s">
        <v>646</v>
      </c>
      <c r="B221" t="s">
        <v>647</v>
      </c>
      <c r="C221" t="s">
        <v>55</v>
      </c>
      <c r="D221" t="s">
        <v>54</v>
      </c>
      <c r="E221" t="s">
        <v>277</v>
      </c>
      <c r="F221" t="s">
        <v>81</v>
      </c>
      <c r="G221" t="s">
        <v>278</v>
      </c>
      <c r="H221" t="s">
        <v>106</v>
      </c>
      <c r="I221" t="s">
        <v>107</v>
      </c>
      <c r="J221" s="26">
        <v>44219</v>
      </c>
      <c r="K221" t="s">
        <v>170</v>
      </c>
      <c r="L221" s="26">
        <v>44269</v>
      </c>
      <c r="M221" t="s">
        <v>171</v>
      </c>
      <c r="N221" t="s">
        <v>97</v>
      </c>
      <c r="O221" s="27">
        <v>844000</v>
      </c>
      <c r="P221">
        <v>2</v>
      </c>
      <c r="Q221" t="s">
        <v>164</v>
      </c>
      <c r="R221">
        <v>24</v>
      </c>
      <c r="S221" t="s">
        <v>262</v>
      </c>
      <c r="T221">
        <f t="shared" si="21"/>
        <v>10734</v>
      </c>
      <c r="U221" t="str">
        <f t="shared" si="22"/>
        <v>OPS</v>
      </c>
      <c r="V221" t="str">
        <f t="shared" si="23"/>
        <v>L1</v>
      </c>
      <c r="W221" t="str">
        <f>PROPER(TRIM(VLOOKUP(S221,Employee_Lookups!$I$4:$M$19,2,FALSE())))</f>
        <v>Ananya Iyer</v>
      </c>
      <c r="X221" t="str">
        <f>VLOOKUP(C221,Employee_Lookups!$A$4:$G$9,4,FALSE())</f>
        <v>CC-303</v>
      </c>
      <c r="Y221" t="str">
        <f>INDEX(Employee_Lookups!$C$13:$C$17,MATCH(F221,Employee_Lookups!$A$13:$A$17,0))</f>
        <v>Band A (Entry)</v>
      </c>
      <c r="Z221" s="27">
        <f>_xlfn.XLOOKUP(F221,Employee_Lookups!$A$13:$A$17,Employee_Lookups!$E$13:$E$17,0)</f>
        <v>700000</v>
      </c>
      <c r="AA221" s="28">
        <f>ROUND(O221/INDEX(Employee_Lookups!$E$13:$E$17,MATCH(F221,Employee_Lookups!$A$13:$A$17,0)),3)</f>
        <v>1.206</v>
      </c>
      <c r="AB221">
        <f t="shared" si="24"/>
        <v>2021</v>
      </c>
      <c r="AC221">
        <f t="shared" si="25"/>
        <v>2021</v>
      </c>
      <c r="AD221" s="28">
        <f>ROUND((IF(ISBLANK(L221),Employee_Lookups!$O$14,L221)-J221)/365.25,2)</f>
        <v>0.14000000000000001</v>
      </c>
      <c r="AE221" t="str">
        <f t="shared" si="26"/>
        <v>&lt; 1 Yr (New)</v>
      </c>
      <c r="AF221" t="str">
        <f t="shared" si="27"/>
        <v>Exited</v>
      </c>
    </row>
    <row r="222" spans="1:32" x14ac:dyDescent="0.45">
      <c r="A222" t="s">
        <v>648</v>
      </c>
      <c r="B222" t="s">
        <v>425</v>
      </c>
      <c r="C222" t="s">
        <v>51</v>
      </c>
      <c r="D222" t="s">
        <v>50</v>
      </c>
      <c r="E222" t="s">
        <v>176</v>
      </c>
      <c r="F222" t="s">
        <v>82</v>
      </c>
      <c r="G222" t="s">
        <v>177</v>
      </c>
      <c r="H222" t="s">
        <v>106</v>
      </c>
      <c r="I222" t="s">
        <v>107</v>
      </c>
      <c r="J222" s="26">
        <v>44219</v>
      </c>
      <c r="K222" t="s">
        <v>187</v>
      </c>
      <c r="L222" s="26">
        <v>45998</v>
      </c>
      <c r="M222" t="s">
        <v>213</v>
      </c>
      <c r="N222" t="s">
        <v>98</v>
      </c>
      <c r="O222" s="27">
        <v>1338000</v>
      </c>
      <c r="P222">
        <v>4</v>
      </c>
      <c r="Q222" t="s">
        <v>164</v>
      </c>
      <c r="R222">
        <v>55</v>
      </c>
      <c r="S222" t="s">
        <v>219</v>
      </c>
      <c r="T222">
        <f t="shared" si="21"/>
        <v>11416</v>
      </c>
      <c r="U222" t="str">
        <f t="shared" si="22"/>
        <v>ENG</v>
      </c>
      <c r="V222" t="str">
        <f t="shared" si="23"/>
        <v>L2</v>
      </c>
      <c r="W222" t="str">
        <f>PROPER(TRIM(VLOOKUP(S222,Employee_Lookups!$I$4:$M$19,2,FALSE())))</f>
        <v>Neha Kulkarni</v>
      </c>
      <c r="X222" t="str">
        <f>VLOOKUP(C222,Employee_Lookups!$A$4:$G$9,4,FALSE())</f>
        <v>CC-101</v>
      </c>
      <c r="Y222" t="str">
        <f>INDEX(Employee_Lookups!$C$13:$C$17,MATCH(F222,Employee_Lookups!$A$13:$A$17,0))</f>
        <v>Band B (Mid)</v>
      </c>
      <c r="Z222" s="27">
        <f>_xlfn.XLOOKUP(F222,Employee_Lookups!$A$13:$A$17,Employee_Lookups!$E$13:$E$17,0)</f>
        <v>1100000</v>
      </c>
      <c r="AA222" s="28">
        <f>ROUND(O222/INDEX(Employee_Lookups!$E$13:$E$17,MATCH(F222,Employee_Lookups!$A$13:$A$17,0)),3)</f>
        <v>1.216</v>
      </c>
      <c r="AB222">
        <f t="shared" si="24"/>
        <v>2021</v>
      </c>
      <c r="AC222">
        <f t="shared" si="25"/>
        <v>2025</v>
      </c>
      <c r="AD222" s="28">
        <f>ROUND((IF(ISBLANK(L222),Employee_Lookups!$O$14,L222)-J222)/365.25,2)</f>
        <v>4.87</v>
      </c>
      <c r="AE222" t="str">
        <f t="shared" si="26"/>
        <v>3 - 5 Yrs</v>
      </c>
      <c r="AF222" t="str">
        <f t="shared" si="27"/>
        <v>Exited</v>
      </c>
    </row>
    <row r="223" spans="1:32" x14ac:dyDescent="0.45">
      <c r="A223" t="s">
        <v>649</v>
      </c>
      <c r="B223" t="s">
        <v>650</v>
      </c>
      <c r="C223" t="s">
        <v>59</v>
      </c>
      <c r="D223" t="s">
        <v>58</v>
      </c>
      <c r="E223" t="s">
        <v>206</v>
      </c>
      <c r="F223" t="s">
        <v>81</v>
      </c>
      <c r="G223" t="s">
        <v>207</v>
      </c>
      <c r="H223" t="s">
        <v>106</v>
      </c>
      <c r="I223" t="s">
        <v>107</v>
      </c>
      <c r="J223" s="26">
        <v>44219</v>
      </c>
      <c r="K223" t="s">
        <v>170</v>
      </c>
      <c r="L223" s="26">
        <v>44478</v>
      </c>
      <c r="M223" t="s">
        <v>171</v>
      </c>
      <c r="N223" t="s">
        <v>96</v>
      </c>
      <c r="O223" s="27">
        <v>767000</v>
      </c>
      <c r="P223">
        <v>2</v>
      </c>
      <c r="Q223" t="s">
        <v>164</v>
      </c>
      <c r="R223">
        <v>4</v>
      </c>
      <c r="S223" t="s">
        <v>208</v>
      </c>
      <c r="T223">
        <f t="shared" si="21"/>
        <v>10626</v>
      </c>
      <c r="U223" t="str">
        <f t="shared" si="22"/>
        <v>FIN</v>
      </c>
      <c r="V223" t="str">
        <f t="shared" si="23"/>
        <v>L1</v>
      </c>
      <c r="W223" t="str">
        <f>PROPER(TRIM(VLOOKUP(S223,Employee_Lookups!$I$4:$M$19,2,FALSE())))</f>
        <v>Rajeshwari Rao</v>
      </c>
      <c r="X223" t="str">
        <f>VLOOKUP(C223,Employee_Lookups!$A$4:$G$9,4,FALSE())</f>
        <v>CC-404</v>
      </c>
      <c r="Y223" t="str">
        <f>INDEX(Employee_Lookups!$C$13:$C$17,MATCH(F223,Employee_Lookups!$A$13:$A$17,0))</f>
        <v>Band A (Entry)</v>
      </c>
      <c r="Z223" s="27">
        <f>_xlfn.XLOOKUP(F223,Employee_Lookups!$A$13:$A$17,Employee_Lookups!$E$13:$E$17,0)</f>
        <v>700000</v>
      </c>
      <c r="AA223" s="28">
        <f>ROUND(O223/INDEX(Employee_Lookups!$E$13:$E$17,MATCH(F223,Employee_Lookups!$A$13:$A$17,0)),3)</f>
        <v>1.0960000000000001</v>
      </c>
      <c r="AB223">
        <f t="shared" si="24"/>
        <v>2021</v>
      </c>
      <c r="AC223">
        <f t="shared" si="25"/>
        <v>2021</v>
      </c>
      <c r="AD223" s="28">
        <f>ROUND((IF(ISBLANK(L223),Employee_Lookups!$O$14,L223)-J223)/365.25,2)</f>
        <v>0.71</v>
      </c>
      <c r="AE223" t="str">
        <f t="shared" si="26"/>
        <v>&lt; 1 Yr (New)</v>
      </c>
      <c r="AF223" t="str">
        <f t="shared" si="27"/>
        <v>Exited</v>
      </c>
    </row>
    <row r="224" spans="1:32" x14ac:dyDescent="0.45">
      <c r="A224" t="s">
        <v>651</v>
      </c>
      <c r="B224" t="s">
        <v>652</v>
      </c>
      <c r="C224" t="s">
        <v>51</v>
      </c>
      <c r="D224" t="s">
        <v>50</v>
      </c>
      <c r="E224" t="s">
        <v>176</v>
      </c>
      <c r="F224" t="s">
        <v>82</v>
      </c>
      <c r="G224" t="s">
        <v>177</v>
      </c>
      <c r="H224" t="s">
        <v>106</v>
      </c>
      <c r="I224" t="s">
        <v>107</v>
      </c>
      <c r="J224" s="26">
        <v>44222</v>
      </c>
      <c r="K224" t="s">
        <v>162</v>
      </c>
      <c r="L224" s="26"/>
      <c r="M224" t="s">
        <v>163</v>
      </c>
      <c r="N224" t="s">
        <v>95</v>
      </c>
      <c r="O224" s="27">
        <v>1065000</v>
      </c>
      <c r="P224">
        <v>4</v>
      </c>
      <c r="Q224" t="s">
        <v>164</v>
      </c>
      <c r="R224">
        <v>25</v>
      </c>
      <c r="S224" t="s">
        <v>244</v>
      </c>
      <c r="T224">
        <f t="shared" si="21"/>
        <v>11287</v>
      </c>
      <c r="U224" t="str">
        <f t="shared" si="22"/>
        <v>ENG</v>
      </c>
      <c r="V224" t="str">
        <f t="shared" si="23"/>
        <v>L2</v>
      </c>
      <c r="W224" t="str">
        <f>PROPER(TRIM(VLOOKUP(S224,Employee_Lookups!$I$4:$M$19,2,FALSE())))</f>
        <v>Siddharth Nair</v>
      </c>
      <c r="X224" t="str">
        <f>VLOOKUP(C224,Employee_Lookups!$A$4:$G$9,4,FALSE())</f>
        <v>CC-101</v>
      </c>
      <c r="Y224" t="str">
        <f>INDEX(Employee_Lookups!$C$13:$C$17,MATCH(F224,Employee_Lookups!$A$13:$A$17,0))</f>
        <v>Band B (Mid)</v>
      </c>
      <c r="Z224" s="27">
        <f>_xlfn.XLOOKUP(F224,Employee_Lookups!$A$13:$A$17,Employee_Lookups!$E$13:$E$17,0)</f>
        <v>1100000</v>
      </c>
      <c r="AA224" s="28">
        <f>ROUND(O224/INDEX(Employee_Lookups!$E$13:$E$17,MATCH(F224,Employee_Lookups!$A$13:$A$17,0)),3)</f>
        <v>0.96799999999999997</v>
      </c>
      <c r="AB224">
        <f t="shared" si="24"/>
        <v>2021</v>
      </c>
      <c r="AC224" t="str">
        <f t="shared" si="25"/>
        <v/>
      </c>
      <c r="AD224" s="28">
        <f>ROUND((IF(ISBLANK(L224),Employee_Lookups!$O$14,L224)-J224)/365.25,2)</f>
        <v>4.93</v>
      </c>
      <c r="AE224" t="str">
        <f t="shared" si="26"/>
        <v>3 - 5 Yrs</v>
      </c>
      <c r="AF224" t="str">
        <f t="shared" si="27"/>
        <v>Low Risk</v>
      </c>
    </row>
    <row r="225" spans="1:32" x14ac:dyDescent="0.45">
      <c r="A225" t="s">
        <v>653</v>
      </c>
      <c r="B225" t="s">
        <v>175</v>
      </c>
      <c r="C225" t="s">
        <v>55</v>
      </c>
      <c r="D225" t="s">
        <v>54</v>
      </c>
      <c r="E225" t="s">
        <v>277</v>
      </c>
      <c r="F225" t="s">
        <v>81</v>
      </c>
      <c r="G225" t="s">
        <v>278</v>
      </c>
      <c r="H225" t="s">
        <v>106</v>
      </c>
      <c r="I225" t="s">
        <v>107</v>
      </c>
      <c r="J225" s="26">
        <v>44229</v>
      </c>
      <c r="K225" t="s">
        <v>187</v>
      </c>
      <c r="L225" s="26">
        <v>45932</v>
      </c>
      <c r="M225" t="s">
        <v>269</v>
      </c>
      <c r="N225" t="s">
        <v>99</v>
      </c>
      <c r="O225" s="27">
        <v>573000</v>
      </c>
      <c r="P225">
        <v>3</v>
      </c>
      <c r="Q225" t="s">
        <v>164</v>
      </c>
      <c r="R225">
        <v>43</v>
      </c>
      <c r="S225" t="s">
        <v>262</v>
      </c>
      <c r="T225">
        <f t="shared" si="21"/>
        <v>11319</v>
      </c>
      <c r="U225" t="str">
        <f t="shared" si="22"/>
        <v>OPS</v>
      </c>
      <c r="V225" t="str">
        <f t="shared" si="23"/>
        <v>L1</v>
      </c>
      <c r="W225" t="str">
        <f>PROPER(TRIM(VLOOKUP(S225,Employee_Lookups!$I$4:$M$19,2,FALSE())))</f>
        <v>Ananya Iyer</v>
      </c>
      <c r="X225" t="str">
        <f>VLOOKUP(C225,Employee_Lookups!$A$4:$G$9,4,FALSE())</f>
        <v>CC-303</v>
      </c>
      <c r="Y225" t="str">
        <f>INDEX(Employee_Lookups!$C$13:$C$17,MATCH(F225,Employee_Lookups!$A$13:$A$17,0))</f>
        <v>Band A (Entry)</v>
      </c>
      <c r="Z225" s="27">
        <f>_xlfn.XLOOKUP(F225,Employee_Lookups!$A$13:$A$17,Employee_Lookups!$E$13:$E$17,0)</f>
        <v>700000</v>
      </c>
      <c r="AA225" s="28">
        <f>ROUND(O225/INDEX(Employee_Lookups!$E$13:$E$17,MATCH(F225,Employee_Lookups!$A$13:$A$17,0)),3)</f>
        <v>0.81899999999999995</v>
      </c>
      <c r="AB225">
        <f t="shared" si="24"/>
        <v>2021</v>
      </c>
      <c r="AC225">
        <f t="shared" si="25"/>
        <v>2025</v>
      </c>
      <c r="AD225" s="28">
        <f>ROUND((IF(ISBLANK(L225),Employee_Lookups!$O$14,L225)-J225)/365.25,2)</f>
        <v>4.66</v>
      </c>
      <c r="AE225" t="str">
        <f t="shared" si="26"/>
        <v>3 - 5 Yrs</v>
      </c>
      <c r="AF225" t="str">
        <f t="shared" si="27"/>
        <v>Exited</v>
      </c>
    </row>
    <row r="226" spans="1:32" x14ac:dyDescent="0.45">
      <c r="A226" t="s">
        <v>654</v>
      </c>
      <c r="B226" t="s">
        <v>554</v>
      </c>
      <c r="C226" t="s">
        <v>61</v>
      </c>
      <c r="D226" t="s">
        <v>60</v>
      </c>
      <c r="E226" t="s">
        <v>356</v>
      </c>
      <c r="F226" t="s">
        <v>81</v>
      </c>
      <c r="G226" t="s">
        <v>357</v>
      </c>
      <c r="H226" t="s">
        <v>106</v>
      </c>
      <c r="I226" t="s">
        <v>107</v>
      </c>
      <c r="J226" s="26">
        <v>44230</v>
      </c>
      <c r="K226" t="s">
        <v>187</v>
      </c>
      <c r="L226" s="26">
        <v>44295</v>
      </c>
      <c r="M226" t="s">
        <v>213</v>
      </c>
      <c r="N226" t="s">
        <v>98</v>
      </c>
      <c r="O226" s="27">
        <v>773000</v>
      </c>
      <c r="P226">
        <v>4</v>
      </c>
      <c r="Q226" t="s">
        <v>164</v>
      </c>
      <c r="R226">
        <v>36</v>
      </c>
      <c r="S226" t="s">
        <v>319</v>
      </c>
      <c r="T226">
        <f t="shared" si="21"/>
        <v>10153</v>
      </c>
      <c r="U226" t="str">
        <f t="shared" si="22"/>
        <v>-HR</v>
      </c>
      <c r="V226" t="str">
        <f t="shared" si="23"/>
        <v>L1</v>
      </c>
      <c r="W226" t="str">
        <f>PROPER(TRIM(VLOOKUP(S226,Employee_Lookups!$I$4:$M$19,2,FALSE())))</f>
        <v>Kavita Menon</v>
      </c>
      <c r="X226" t="str">
        <f>VLOOKUP(C226,Employee_Lookups!$A$4:$G$9,4,FALSE())</f>
        <v>CC-505</v>
      </c>
      <c r="Y226" t="str">
        <f>INDEX(Employee_Lookups!$C$13:$C$17,MATCH(F226,Employee_Lookups!$A$13:$A$17,0))</f>
        <v>Band A (Entry)</v>
      </c>
      <c r="Z226" s="27">
        <f>_xlfn.XLOOKUP(F226,Employee_Lookups!$A$13:$A$17,Employee_Lookups!$E$13:$E$17,0)</f>
        <v>700000</v>
      </c>
      <c r="AA226" s="28">
        <f>ROUND(O226/INDEX(Employee_Lookups!$E$13:$E$17,MATCH(F226,Employee_Lookups!$A$13:$A$17,0)),3)</f>
        <v>1.1040000000000001</v>
      </c>
      <c r="AB226">
        <f t="shared" si="24"/>
        <v>2021</v>
      </c>
      <c r="AC226">
        <f t="shared" si="25"/>
        <v>2021</v>
      </c>
      <c r="AD226" s="28">
        <f>ROUND((IF(ISBLANK(L226),Employee_Lookups!$O$14,L226)-J226)/365.25,2)</f>
        <v>0.18</v>
      </c>
      <c r="AE226" t="str">
        <f t="shared" si="26"/>
        <v>&lt; 1 Yr (New)</v>
      </c>
      <c r="AF226" t="str">
        <f t="shared" si="27"/>
        <v>Exited</v>
      </c>
    </row>
    <row r="227" spans="1:32" x14ac:dyDescent="0.45">
      <c r="A227" t="s">
        <v>655</v>
      </c>
      <c r="B227" t="s">
        <v>656</v>
      </c>
      <c r="C227" t="s">
        <v>53</v>
      </c>
      <c r="D227" t="s">
        <v>52</v>
      </c>
      <c r="E227" t="s">
        <v>185</v>
      </c>
      <c r="F227" t="s">
        <v>82</v>
      </c>
      <c r="G227" t="s">
        <v>186</v>
      </c>
      <c r="H227" t="s">
        <v>108</v>
      </c>
      <c r="I227" t="s">
        <v>107</v>
      </c>
      <c r="J227" s="26">
        <v>44231</v>
      </c>
      <c r="K227" t="s">
        <v>162</v>
      </c>
      <c r="L227" s="26"/>
      <c r="M227" t="s">
        <v>163</v>
      </c>
      <c r="N227" t="s">
        <v>98</v>
      </c>
      <c r="O227" s="27">
        <v>1095000</v>
      </c>
      <c r="P227">
        <v>3</v>
      </c>
      <c r="Q227" t="s">
        <v>172</v>
      </c>
      <c r="R227">
        <v>35</v>
      </c>
      <c r="S227" t="s">
        <v>194</v>
      </c>
      <c r="T227">
        <f t="shared" si="21"/>
        <v>11147</v>
      </c>
      <c r="U227" t="str">
        <f t="shared" si="22"/>
        <v>SAL</v>
      </c>
      <c r="V227" t="str">
        <f t="shared" si="23"/>
        <v>L2</v>
      </c>
      <c r="W227" t="str">
        <f>PROPER(TRIM(VLOOKUP(S227,Employee_Lookups!$I$4:$M$19,2,FALSE())))</f>
        <v>Vikramaditya Joshi</v>
      </c>
      <c r="X227" t="str">
        <f>VLOOKUP(C227,Employee_Lookups!$A$4:$G$9,4,FALSE())</f>
        <v>CC-202</v>
      </c>
      <c r="Y227" t="str">
        <f>INDEX(Employee_Lookups!$C$13:$C$17,MATCH(F227,Employee_Lookups!$A$13:$A$17,0))</f>
        <v>Band B (Mid)</v>
      </c>
      <c r="Z227" s="27">
        <f>_xlfn.XLOOKUP(F227,Employee_Lookups!$A$13:$A$17,Employee_Lookups!$E$13:$E$17,0)</f>
        <v>1100000</v>
      </c>
      <c r="AA227" s="28">
        <f>ROUND(O227/INDEX(Employee_Lookups!$E$13:$E$17,MATCH(F227,Employee_Lookups!$A$13:$A$17,0)),3)</f>
        <v>0.995</v>
      </c>
      <c r="AB227">
        <f t="shared" si="24"/>
        <v>2021</v>
      </c>
      <c r="AC227" t="str">
        <f t="shared" si="25"/>
        <v/>
      </c>
      <c r="AD227" s="28">
        <f>ROUND((IF(ISBLANK(L227),Employee_Lookups!$O$14,L227)-J227)/365.25,2)</f>
        <v>4.9000000000000004</v>
      </c>
      <c r="AE227" t="str">
        <f t="shared" si="26"/>
        <v>3 - 5 Yrs</v>
      </c>
      <c r="AF227" t="str">
        <f t="shared" si="27"/>
        <v>Moderate Risk</v>
      </c>
    </row>
    <row r="228" spans="1:32" x14ac:dyDescent="0.45">
      <c r="A228" t="s">
        <v>657</v>
      </c>
      <c r="B228" t="s">
        <v>658</v>
      </c>
      <c r="C228" t="s">
        <v>55</v>
      </c>
      <c r="D228" t="s">
        <v>54</v>
      </c>
      <c r="E228" t="s">
        <v>229</v>
      </c>
      <c r="F228" t="s">
        <v>82</v>
      </c>
      <c r="G228" t="s">
        <v>230</v>
      </c>
      <c r="H228" t="s">
        <v>109</v>
      </c>
      <c r="I228" t="s">
        <v>110</v>
      </c>
      <c r="J228" s="26">
        <v>44233</v>
      </c>
      <c r="K228" t="s">
        <v>162</v>
      </c>
      <c r="L228" s="26"/>
      <c r="M228" t="s">
        <v>163</v>
      </c>
      <c r="N228" t="s">
        <v>97</v>
      </c>
      <c r="O228" s="27">
        <v>1164000</v>
      </c>
      <c r="P228">
        <v>2</v>
      </c>
      <c r="Q228" t="s">
        <v>164</v>
      </c>
      <c r="R228">
        <v>13</v>
      </c>
      <c r="S228" t="s">
        <v>274</v>
      </c>
      <c r="T228">
        <f t="shared" si="21"/>
        <v>10170</v>
      </c>
      <c r="U228" t="str">
        <f t="shared" si="22"/>
        <v>OPS</v>
      </c>
      <c r="V228" t="str">
        <f t="shared" si="23"/>
        <v>L2</v>
      </c>
      <c r="W228" t="str">
        <f>PROPER(TRIM(VLOOKUP(S228,Employee_Lookups!$I$4:$M$19,2,FALSE())))</f>
        <v>Meera Krishnan</v>
      </c>
      <c r="X228" t="str">
        <f>VLOOKUP(C228,Employee_Lookups!$A$4:$G$9,4,FALSE())</f>
        <v>CC-303</v>
      </c>
      <c r="Y228" t="str">
        <f>INDEX(Employee_Lookups!$C$13:$C$17,MATCH(F228,Employee_Lookups!$A$13:$A$17,0))</f>
        <v>Band B (Mid)</v>
      </c>
      <c r="Z228" s="27">
        <f>_xlfn.XLOOKUP(F228,Employee_Lookups!$A$13:$A$17,Employee_Lookups!$E$13:$E$17,0)</f>
        <v>1100000</v>
      </c>
      <c r="AA228" s="28">
        <f>ROUND(O228/INDEX(Employee_Lookups!$E$13:$E$17,MATCH(F228,Employee_Lookups!$A$13:$A$17,0)),3)</f>
        <v>1.0580000000000001</v>
      </c>
      <c r="AB228">
        <f t="shared" si="24"/>
        <v>2021</v>
      </c>
      <c r="AC228" t="str">
        <f t="shared" si="25"/>
        <v/>
      </c>
      <c r="AD228" s="28">
        <f>ROUND((IF(ISBLANK(L228),Employee_Lookups!$O$14,L228)-J228)/365.25,2)</f>
        <v>4.9000000000000004</v>
      </c>
      <c r="AE228" t="str">
        <f t="shared" si="26"/>
        <v>3 - 5 Yrs</v>
      </c>
      <c r="AF228" t="str">
        <f t="shared" si="27"/>
        <v>Moderate Risk</v>
      </c>
    </row>
    <row r="229" spans="1:32" x14ac:dyDescent="0.45">
      <c r="A229" t="s">
        <v>659</v>
      </c>
      <c r="B229" t="s">
        <v>345</v>
      </c>
      <c r="C229" t="s">
        <v>53</v>
      </c>
      <c r="D229" t="s">
        <v>52</v>
      </c>
      <c r="E229" t="s">
        <v>322</v>
      </c>
      <c r="F229" t="s">
        <v>81</v>
      </c>
      <c r="G229" t="s">
        <v>323</v>
      </c>
      <c r="H229" t="s">
        <v>108</v>
      </c>
      <c r="I229" t="s">
        <v>107</v>
      </c>
      <c r="J229" s="26">
        <v>44235</v>
      </c>
      <c r="K229" t="s">
        <v>170</v>
      </c>
      <c r="L229" s="26">
        <v>44431</v>
      </c>
      <c r="M229" t="s">
        <v>171</v>
      </c>
      <c r="N229" t="s">
        <v>99</v>
      </c>
      <c r="O229" s="27">
        <v>657000</v>
      </c>
      <c r="P229">
        <v>4</v>
      </c>
      <c r="Q229" t="s">
        <v>172</v>
      </c>
      <c r="R229">
        <v>26</v>
      </c>
      <c r="S229" t="s">
        <v>189</v>
      </c>
      <c r="T229">
        <f t="shared" si="21"/>
        <v>11081</v>
      </c>
      <c r="U229" t="str">
        <f t="shared" si="22"/>
        <v>SAL</v>
      </c>
      <c r="V229" t="str">
        <f t="shared" si="23"/>
        <v>L1</v>
      </c>
      <c r="W229" t="str">
        <f>PROPER(TRIM(VLOOKUP(S229,Employee_Lookups!$I$4:$M$19,2,FALSE())))</f>
        <v>Priya Sharma</v>
      </c>
      <c r="X229" t="str">
        <f>VLOOKUP(C229,Employee_Lookups!$A$4:$G$9,4,FALSE())</f>
        <v>CC-202</v>
      </c>
      <c r="Y229" t="str">
        <f>INDEX(Employee_Lookups!$C$13:$C$17,MATCH(F229,Employee_Lookups!$A$13:$A$17,0))</f>
        <v>Band A (Entry)</v>
      </c>
      <c r="Z229" s="27">
        <f>_xlfn.XLOOKUP(F229,Employee_Lookups!$A$13:$A$17,Employee_Lookups!$E$13:$E$17,0)</f>
        <v>700000</v>
      </c>
      <c r="AA229" s="28">
        <f>ROUND(O229/INDEX(Employee_Lookups!$E$13:$E$17,MATCH(F229,Employee_Lookups!$A$13:$A$17,0)),3)</f>
        <v>0.93899999999999995</v>
      </c>
      <c r="AB229">
        <f t="shared" si="24"/>
        <v>2021</v>
      </c>
      <c r="AC229">
        <f t="shared" si="25"/>
        <v>2021</v>
      </c>
      <c r="AD229" s="28">
        <f>ROUND((IF(ISBLANK(L229),Employee_Lookups!$O$14,L229)-J229)/365.25,2)</f>
        <v>0.54</v>
      </c>
      <c r="AE229" t="str">
        <f t="shared" si="26"/>
        <v>&lt; 1 Yr (New)</v>
      </c>
      <c r="AF229" t="str">
        <f t="shared" si="27"/>
        <v>Exited</v>
      </c>
    </row>
    <row r="230" spans="1:32" x14ac:dyDescent="0.45">
      <c r="A230" t="s">
        <v>660</v>
      </c>
      <c r="B230" t="s">
        <v>292</v>
      </c>
      <c r="C230" t="s">
        <v>51</v>
      </c>
      <c r="D230" t="s">
        <v>50</v>
      </c>
      <c r="E230" t="s">
        <v>181</v>
      </c>
      <c r="F230" t="s">
        <v>81</v>
      </c>
      <c r="G230" t="s">
        <v>182</v>
      </c>
      <c r="H230" t="s">
        <v>108</v>
      </c>
      <c r="I230" t="s">
        <v>107</v>
      </c>
      <c r="J230" s="26">
        <v>44238</v>
      </c>
      <c r="K230" t="s">
        <v>162</v>
      </c>
      <c r="L230" s="26"/>
      <c r="M230" t="s">
        <v>163</v>
      </c>
      <c r="N230" t="s">
        <v>97</v>
      </c>
      <c r="O230" s="27">
        <v>695000</v>
      </c>
      <c r="P230">
        <v>3</v>
      </c>
      <c r="Q230" t="s">
        <v>164</v>
      </c>
      <c r="R230">
        <v>18</v>
      </c>
      <c r="S230" t="s">
        <v>178</v>
      </c>
      <c r="T230">
        <f t="shared" si="21"/>
        <v>11298</v>
      </c>
      <c r="U230" t="str">
        <f t="shared" si="22"/>
        <v>ENG</v>
      </c>
      <c r="V230" t="str">
        <f t="shared" si="23"/>
        <v>L1</v>
      </c>
      <c r="W230" t="str">
        <f>PROPER(TRIM(VLOOKUP(S230,Employee_Lookups!$I$4:$M$19,2,FALSE())))</f>
        <v>Aarav Deshmukh</v>
      </c>
      <c r="X230" t="str">
        <f>VLOOKUP(C230,Employee_Lookups!$A$4:$G$9,4,FALSE())</f>
        <v>CC-101</v>
      </c>
      <c r="Y230" t="str">
        <f>INDEX(Employee_Lookups!$C$13:$C$17,MATCH(F230,Employee_Lookups!$A$13:$A$17,0))</f>
        <v>Band A (Entry)</v>
      </c>
      <c r="Z230" s="27">
        <f>_xlfn.XLOOKUP(F230,Employee_Lookups!$A$13:$A$17,Employee_Lookups!$E$13:$E$17,0)</f>
        <v>700000</v>
      </c>
      <c r="AA230" s="28">
        <f>ROUND(O230/INDEX(Employee_Lookups!$E$13:$E$17,MATCH(F230,Employee_Lookups!$A$13:$A$17,0)),3)</f>
        <v>0.99299999999999999</v>
      </c>
      <c r="AB230">
        <f t="shared" si="24"/>
        <v>2021</v>
      </c>
      <c r="AC230" t="str">
        <f t="shared" si="25"/>
        <v/>
      </c>
      <c r="AD230" s="28">
        <f>ROUND((IF(ISBLANK(L230),Employee_Lookups!$O$14,L230)-J230)/365.25,2)</f>
        <v>4.88</v>
      </c>
      <c r="AE230" t="str">
        <f t="shared" si="26"/>
        <v>3 - 5 Yrs</v>
      </c>
      <c r="AF230" t="str">
        <f t="shared" si="27"/>
        <v>Low Risk</v>
      </c>
    </row>
    <row r="231" spans="1:32" x14ac:dyDescent="0.45">
      <c r="A231" t="s">
        <v>661</v>
      </c>
      <c r="B231" t="s">
        <v>662</v>
      </c>
      <c r="C231" t="s">
        <v>51</v>
      </c>
      <c r="D231" t="s">
        <v>50</v>
      </c>
      <c r="E231" t="s">
        <v>181</v>
      </c>
      <c r="F231" t="s">
        <v>81</v>
      </c>
      <c r="G231" t="s">
        <v>182</v>
      </c>
      <c r="H231" t="s">
        <v>109</v>
      </c>
      <c r="I231" t="s">
        <v>110</v>
      </c>
      <c r="J231" s="26">
        <v>44240</v>
      </c>
      <c r="K231" t="s">
        <v>187</v>
      </c>
      <c r="L231" s="26">
        <v>44921</v>
      </c>
      <c r="M231" t="s">
        <v>213</v>
      </c>
      <c r="N231" t="s">
        <v>99</v>
      </c>
      <c r="O231" s="27">
        <v>563000</v>
      </c>
      <c r="P231">
        <v>3</v>
      </c>
      <c r="Q231" t="s">
        <v>164</v>
      </c>
      <c r="R231">
        <v>37</v>
      </c>
      <c r="S231" t="s">
        <v>197</v>
      </c>
      <c r="T231">
        <f t="shared" si="21"/>
        <v>10165</v>
      </c>
      <c r="U231" t="str">
        <f t="shared" si="22"/>
        <v>ENG</v>
      </c>
      <c r="V231" t="str">
        <f t="shared" si="23"/>
        <v>L1</v>
      </c>
      <c r="W231" t="str">
        <f>PROPER(TRIM(VLOOKUP(S231,Employee_Lookups!$I$4:$M$19,2,FALSE())))</f>
        <v>Rohan Verma</v>
      </c>
      <c r="X231" t="str">
        <f>VLOOKUP(C231,Employee_Lookups!$A$4:$G$9,4,FALSE())</f>
        <v>CC-101</v>
      </c>
      <c r="Y231" t="str">
        <f>INDEX(Employee_Lookups!$C$13:$C$17,MATCH(F231,Employee_Lookups!$A$13:$A$17,0))</f>
        <v>Band A (Entry)</v>
      </c>
      <c r="Z231" s="27">
        <f>_xlfn.XLOOKUP(F231,Employee_Lookups!$A$13:$A$17,Employee_Lookups!$E$13:$E$17,0)</f>
        <v>700000</v>
      </c>
      <c r="AA231" s="28">
        <f>ROUND(O231/INDEX(Employee_Lookups!$E$13:$E$17,MATCH(F231,Employee_Lookups!$A$13:$A$17,0)),3)</f>
        <v>0.80400000000000005</v>
      </c>
      <c r="AB231">
        <f t="shared" si="24"/>
        <v>2021</v>
      </c>
      <c r="AC231">
        <f t="shared" si="25"/>
        <v>2022</v>
      </c>
      <c r="AD231" s="28">
        <f>ROUND((IF(ISBLANK(L231),Employee_Lookups!$O$14,L231)-J231)/365.25,2)</f>
        <v>1.86</v>
      </c>
      <c r="AE231" t="str">
        <f t="shared" si="26"/>
        <v>1 - 3 Yrs</v>
      </c>
      <c r="AF231" t="str">
        <f t="shared" si="27"/>
        <v>Exited</v>
      </c>
    </row>
    <row r="232" spans="1:32" x14ac:dyDescent="0.45">
      <c r="A232" t="s">
        <v>663</v>
      </c>
      <c r="B232" t="s">
        <v>664</v>
      </c>
      <c r="C232" t="s">
        <v>59</v>
      </c>
      <c r="D232" t="s">
        <v>58</v>
      </c>
      <c r="E232" t="s">
        <v>211</v>
      </c>
      <c r="F232" t="s">
        <v>82</v>
      </c>
      <c r="G232" t="s">
        <v>212</v>
      </c>
      <c r="H232" t="s">
        <v>106</v>
      </c>
      <c r="I232" t="s">
        <v>107</v>
      </c>
      <c r="J232" s="26">
        <v>44241</v>
      </c>
      <c r="K232" t="s">
        <v>162</v>
      </c>
      <c r="L232" s="26"/>
      <c r="M232" t="s">
        <v>163</v>
      </c>
      <c r="N232" t="s">
        <v>95</v>
      </c>
      <c r="O232" s="27">
        <v>1095000</v>
      </c>
      <c r="P232">
        <v>4</v>
      </c>
      <c r="Q232" t="s">
        <v>164</v>
      </c>
      <c r="R232">
        <v>22</v>
      </c>
      <c r="S232" t="s">
        <v>208</v>
      </c>
      <c r="T232">
        <f t="shared" si="21"/>
        <v>10795</v>
      </c>
      <c r="U232" t="str">
        <f t="shared" si="22"/>
        <v>FIN</v>
      </c>
      <c r="V232" t="str">
        <f t="shared" si="23"/>
        <v>L2</v>
      </c>
      <c r="W232" t="str">
        <f>PROPER(TRIM(VLOOKUP(S232,Employee_Lookups!$I$4:$M$19,2,FALSE())))</f>
        <v>Rajeshwari Rao</v>
      </c>
      <c r="X232" t="str">
        <f>VLOOKUP(C232,Employee_Lookups!$A$4:$G$9,4,FALSE())</f>
        <v>CC-404</v>
      </c>
      <c r="Y232" t="str">
        <f>INDEX(Employee_Lookups!$C$13:$C$17,MATCH(F232,Employee_Lookups!$A$13:$A$17,0))</f>
        <v>Band B (Mid)</v>
      </c>
      <c r="Z232" s="27">
        <f>_xlfn.XLOOKUP(F232,Employee_Lookups!$A$13:$A$17,Employee_Lookups!$E$13:$E$17,0)</f>
        <v>1100000</v>
      </c>
      <c r="AA232" s="28">
        <f>ROUND(O232/INDEX(Employee_Lookups!$E$13:$E$17,MATCH(F232,Employee_Lookups!$A$13:$A$17,0)),3)</f>
        <v>0.995</v>
      </c>
      <c r="AB232">
        <f t="shared" si="24"/>
        <v>2021</v>
      </c>
      <c r="AC232" t="str">
        <f t="shared" si="25"/>
        <v/>
      </c>
      <c r="AD232" s="28">
        <f>ROUND((IF(ISBLANK(L232),Employee_Lookups!$O$14,L232)-J232)/365.25,2)</f>
        <v>4.88</v>
      </c>
      <c r="AE232" t="str">
        <f t="shared" si="26"/>
        <v>3 - 5 Yrs</v>
      </c>
      <c r="AF232" t="str">
        <f t="shared" si="27"/>
        <v>Low Risk</v>
      </c>
    </row>
    <row r="233" spans="1:32" x14ac:dyDescent="0.45">
      <c r="A233" t="s">
        <v>665</v>
      </c>
      <c r="B233" t="s">
        <v>666</v>
      </c>
      <c r="C233" t="s">
        <v>53</v>
      </c>
      <c r="D233" t="s">
        <v>52</v>
      </c>
      <c r="E233" t="s">
        <v>185</v>
      </c>
      <c r="F233" t="s">
        <v>82</v>
      </c>
      <c r="G233" t="s">
        <v>186</v>
      </c>
      <c r="H233" t="s">
        <v>108</v>
      </c>
      <c r="I233" t="s">
        <v>107</v>
      </c>
      <c r="J233" s="26">
        <v>44242</v>
      </c>
      <c r="K233" t="s">
        <v>187</v>
      </c>
      <c r="L233" s="26">
        <v>45931</v>
      </c>
      <c r="M233" t="s">
        <v>282</v>
      </c>
      <c r="N233" t="s">
        <v>99</v>
      </c>
      <c r="O233" s="27">
        <v>1218000</v>
      </c>
      <c r="P233">
        <v>3</v>
      </c>
      <c r="Q233" t="s">
        <v>172</v>
      </c>
      <c r="R233">
        <v>36</v>
      </c>
      <c r="S233" t="s">
        <v>237</v>
      </c>
      <c r="T233">
        <f t="shared" si="21"/>
        <v>10972</v>
      </c>
      <c r="U233" t="str">
        <f t="shared" si="22"/>
        <v>SAL</v>
      </c>
      <c r="V233" t="str">
        <f t="shared" si="23"/>
        <v>L2</v>
      </c>
      <c r="W233" t="str">
        <f>PROPER(TRIM(VLOOKUP(S233,Employee_Lookups!$I$4:$M$19,2,FALSE())))</f>
        <v>Karan Malhotra</v>
      </c>
      <c r="X233" t="str">
        <f>VLOOKUP(C233,Employee_Lookups!$A$4:$G$9,4,FALSE())</f>
        <v>CC-202</v>
      </c>
      <c r="Y233" t="str">
        <f>INDEX(Employee_Lookups!$C$13:$C$17,MATCH(F233,Employee_Lookups!$A$13:$A$17,0))</f>
        <v>Band B (Mid)</v>
      </c>
      <c r="Z233" s="27">
        <f>_xlfn.XLOOKUP(F233,Employee_Lookups!$A$13:$A$17,Employee_Lookups!$E$13:$E$17,0)</f>
        <v>1100000</v>
      </c>
      <c r="AA233" s="28">
        <f>ROUND(O233/INDEX(Employee_Lookups!$E$13:$E$17,MATCH(F233,Employee_Lookups!$A$13:$A$17,0)),3)</f>
        <v>1.107</v>
      </c>
      <c r="AB233">
        <f t="shared" si="24"/>
        <v>2021</v>
      </c>
      <c r="AC233">
        <f t="shared" si="25"/>
        <v>2025</v>
      </c>
      <c r="AD233" s="28">
        <f>ROUND((IF(ISBLANK(L233),Employee_Lookups!$O$14,L233)-J233)/365.25,2)</f>
        <v>4.62</v>
      </c>
      <c r="AE233" t="str">
        <f t="shared" si="26"/>
        <v>3 - 5 Yrs</v>
      </c>
      <c r="AF233" t="str">
        <f t="shared" si="27"/>
        <v>Exited</v>
      </c>
    </row>
    <row r="234" spans="1:32" x14ac:dyDescent="0.45">
      <c r="A234" t="s">
        <v>667</v>
      </c>
      <c r="B234" t="s">
        <v>668</v>
      </c>
      <c r="C234" t="s">
        <v>53</v>
      </c>
      <c r="D234" t="s">
        <v>52</v>
      </c>
      <c r="E234" t="s">
        <v>322</v>
      </c>
      <c r="F234" t="s">
        <v>81</v>
      </c>
      <c r="G234" t="s">
        <v>323</v>
      </c>
      <c r="H234" t="s">
        <v>109</v>
      </c>
      <c r="I234" t="s">
        <v>110</v>
      </c>
      <c r="J234" s="26">
        <v>44244</v>
      </c>
      <c r="K234" t="s">
        <v>162</v>
      </c>
      <c r="L234" s="26"/>
      <c r="M234" t="s">
        <v>163</v>
      </c>
      <c r="N234" t="s">
        <v>96</v>
      </c>
      <c r="O234" s="27">
        <v>577000</v>
      </c>
      <c r="P234">
        <v>3</v>
      </c>
      <c r="Q234" t="s">
        <v>164</v>
      </c>
      <c r="R234">
        <v>39</v>
      </c>
      <c r="S234" t="s">
        <v>237</v>
      </c>
      <c r="T234">
        <f t="shared" si="21"/>
        <v>10743</v>
      </c>
      <c r="U234" t="str">
        <f t="shared" si="22"/>
        <v>SAL</v>
      </c>
      <c r="V234" t="str">
        <f t="shared" si="23"/>
        <v>L1</v>
      </c>
      <c r="W234" t="str">
        <f>PROPER(TRIM(VLOOKUP(S234,Employee_Lookups!$I$4:$M$19,2,FALSE())))</f>
        <v>Karan Malhotra</v>
      </c>
      <c r="X234" t="str">
        <f>VLOOKUP(C234,Employee_Lookups!$A$4:$G$9,4,FALSE())</f>
        <v>CC-202</v>
      </c>
      <c r="Y234" t="str">
        <f>INDEX(Employee_Lookups!$C$13:$C$17,MATCH(F234,Employee_Lookups!$A$13:$A$17,0))</f>
        <v>Band A (Entry)</v>
      </c>
      <c r="Z234" s="27">
        <f>_xlfn.XLOOKUP(F234,Employee_Lookups!$A$13:$A$17,Employee_Lookups!$E$13:$E$17,0)</f>
        <v>700000</v>
      </c>
      <c r="AA234" s="28">
        <f>ROUND(O234/INDEX(Employee_Lookups!$E$13:$E$17,MATCH(F234,Employee_Lookups!$A$13:$A$17,0)),3)</f>
        <v>0.82399999999999995</v>
      </c>
      <c r="AB234">
        <f t="shared" si="24"/>
        <v>2021</v>
      </c>
      <c r="AC234" t="str">
        <f t="shared" si="25"/>
        <v/>
      </c>
      <c r="AD234" s="28">
        <f>ROUND((IF(ISBLANK(L234),Employee_Lookups!$O$14,L234)-J234)/365.25,2)</f>
        <v>4.87</v>
      </c>
      <c r="AE234" t="str">
        <f t="shared" si="26"/>
        <v>3 - 5 Yrs</v>
      </c>
      <c r="AF234" t="str">
        <f t="shared" si="27"/>
        <v>Low Risk</v>
      </c>
    </row>
    <row r="235" spans="1:32" x14ac:dyDescent="0.45">
      <c r="A235" t="s">
        <v>669</v>
      </c>
      <c r="B235" t="s">
        <v>658</v>
      </c>
      <c r="C235" t="s">
        <v>59</v>
      </c>
      <c r="D235" t="s">
        <v>58</v>
      </c>
      <c r="E235" t="s">
        <v>206</v>
      </c>
      <c r="F235" t="s">
        <v>81</v>
      </c>
      <c r="G235" t="s">
        <v>207</v>
      </c>
      <c r="H235" t="s">
        <v>109</v>
      </c>
      <c r="I235" t="s">
        <v>110</v>
      </c>
      <c r="J235" s="26">
        <v>44246</v>
      </c>
      <c r="K235" t="s">
        <v>162</v>
      </c>
      <c r="L235" s="26"/>
      <c r="M235" t="s">
        <v>163</v>
      </c>
      <c r="N235" t="s">
        <v>96</v>
      </c>
      <c r="O235" s="27">
        <v>825000</v>
      </c>
      <c r="P235">
        <v>3</v>
      </c>
      <c r="Q235" t="s">
        <v>164</v>
      </c>
      <c r="R235">
        <v>35</v>
      </c>
      <c r="S235" t="s">
        <v>214</v>
      </c>
      <c r="T235">
        <f t="shared" si="21"/>
        <v>10179</v>
      </c>
      <c r="U235" t="str">
        <f t="shared" si="22"/>
        <v>FIN</v>
      </c>
      <c r="V235" t="str">
        <f t="shared" si="23"/>
        <v>L1</v>
      </c>
      <c r="W235" t="str">
        <f>PROPER(TRIM(VLOOKUP(S235,Employee_Lookups!$I$4:$M$19,2,FALSE())))</f>
        <v>Aditya Gokhale</v>
      </c>
      <c r="X235" t="str">
        <f>VLOOKUP(C235,Employee_Lookups!$A$4:$G$9,4,FALSE())</f>
        <v>CC-404</v>
      </c>
      <c r="Y235" t="str">
        <f>INDEX(Employee_Lookups!$C$13:$C$17,MATCH(F235,Employee_Lookups!$A$13:$A$17,0))</f>
        <v>Band A (Entry)</v>
      </c>
      <c r="Z235" s="27">
        <f>_xlfn.XLOOKUP(F235,Employee_Lookups!$A$13:$A$17,Employee_Lookups!$E$13:$E$17,0)</f>
        <v>700000</v>
      </c>
      <c r="AA235" s="28">
        <f>ROUND(O235/INDEX(Employee_Lookups!$E$13:$E$17,MATCH(F235,Employee_Lookups!$A$13:$A$17,0)),3)</f>
        <v>1.179</v>
      </c>
      <c r="AB235">
        <f t="shared" si="24"/>
        <v>2021</v>
      </c>
      <c r="AC235" t="str">
        <f t="shared" si="25"/>
        <v/>
      </c>
      <c r="AD235" s="28">
        <f>ROUND((IF(ISBLANK(L235),Employee_Lookups!$O$14,L235)-J235)/365.25,2)</f>
        <v>4.8600000000000003</v>
      </c>
      <c r="AE235" t="str">
        <f t="shared" si="26"/>
        <v>3 - 5 Yrs</v>
      </c>
      <c r="AF235" t="str">
        <f t="shared" si="27"/>
        <v>Low Risk</v>
      </c>
    </row>
    <row r="236" spans="1:32" x14ac:dyDescent="0.45">
      <c r="A236" t="s">
        <v>670</v>
      </c>
      <c r="B236" t="s">
        <v>671</v>
      </c>
      <c r="C236" t="s">
        <v>61</v>
      </c>
      <c r="D236" t="s">
        <v>60</v>
      </c>
      <c r="E236" t="s">
        <v>251</v>
      </c>
      <c r="F236" t="s">
        <v>82</v>
      </c>
      <c r="G236" t="s">
        <v>252</v>
      </c>
      <c r="H236" t="s">
        <v>109</v>
      </c>
      <c r="I236" t="s">
        <v>110</v>
      </c>
      <c r="J236" s="26">
        <v>44246</v>
      </c>
      <c r="K236" t="s">
        <v>162</v>
      </c>
      <c r="L236" s="26"/>
      <c r="M236" t="s">
        <v>163</v>
      </c>
      <c r="N236" t="s">
        <v>97</v>
      </c>
      <c r="O236" s="27">
        <v>1113000</v>
      </c>
      <c r="P236">
        <v>4</v>
      </c>
      <c r="Q236" t="s">
        <v>164</v>
      </c>
      <c r="R236">
        <v>15</v>
      </c>
      <c r="S236" t="s">
        <v>253</v>
      </c>
      <c r="T236">
        <f t="shared" si="21"/>
        <v>11232</v>
      </c>
      <c r="U236" t="str">
        <f t="shared" si="22"/>
        <v>-HR</v>
      </c>
      <c r="V236" t="str">
        <f t="shared" si="23"/>
        <v>L2</v>
      </c>
      <c r="W236" t="str">
        <f>PROPER(TRIM(VLOOKUP(S236,Employee_Lookups!$I$4:$M$19,2,FALSE())))</f>
        <v>Nikhil Chatterjee</v>
      </c>
      <c r="X236" t="str">
        <f>VLOOKUP(C236,Employee_Lookups!$A$4:$G$9,4,FALSE())</f>
        <v>CC-505</v>
      </c>
      <c r="Y236" t="str">
        <f>INDEX(Employee_Lookups!$C$13:$C$17,MATCH(F236,Employee_Lookups!$A$13:$A$17,0))</f>
        <v>Band B (Mid)</v>
      </c>
      <c r="Z236" s="27">
        <f>_xlfn.XLOOKUP(F236,Employee_Lookups!$A$13:$A$17,Employee_Lookups!$E$13:$E$17,0)</f>
        <v>1100000</v>
      </c>
      <c r="AA236" s="28">
        <f>ROUND(O236/INDEX(Employee_Lookups!$E$13:$E$17,MATCH(F236,Employee_Lookups!$A$13:$A$17,0)),3)</f>
        <v>1.012</v>
      </c>
      <c r="AB236">
        <f t="shared" si="24"/>
        <v>2021</v>
      </c>
      <c r="AC236" t="str">
        <f t="shared" si="25"/>
        <v/>
      </c>
      <c r="AD236" s="28">
        <f>ROUND((IF(ISBLANK(L236),Employee_Lookups!$O$14,L236)-J236)/365.25,2)</f>
        <v>4.8600000000000003</v>
      </c>
      <c r="AE236" t="str">
        <f t="shared" si="26"/>
        <v>3 - 5 Yrs</v>
      </c>
      <c r="AF236" t="str">
        <f t="shared" si="27"/>
        <v>Low Risk</v>
      </c>
    </row>
    <row r="237" spans="1:32" x14ac:dyDescent="0.45">
      <c r="A237" t="s">
        <v>672</v>
      </c>
      <c r="B237" t="s">
        <v>673</v>
      </c>
      <c r="C237" t="s">
        <v>51</v>
      </c>
      <c r="D237" t="s">
        <v>50</v>
      </c>
      <c r="E237" t="s">
        <v>397</v>
      </c>
      <c r="F237" t="s">
        <v>84</v>
      </c>
      <c r="G237" t="s">
        <v>398</v>
      </c>
      <c r="H237" t="s">
        <v>106</v>
      </c>
      <c r="I237" t="s">
        <v>107</v>
      </c>
      <c r="J237" s="26">
        <v>44255</v>
      </c>
      <c r="K237" t="s">
        <v>162</v>
      </c>
      <c r="L237" s="26"/>
      <c r="M237" t="s">
        <v>163</v>
      </c>
      <c r="N237" t="s">
        <v>96</v>
      </c>
      <c r="O237" s="27">
        <v>3072000</v>
      </c>
      <c r="P237">
        <v>4</v>
      </c>
      <c r="Q237" t="s">
        <v>164</v>
      </c>
      <c r="R237">
        <v>33</v>
      </c>
      <c r="S237" t="s">
        <v>244</v>
      </c>
      <c r="T237">
        <f t="shared" si="21"/>
        <v>10648</v>
      </c>
      <c r="U237" t="str">
        <f t="shared" si="22"/>
        <v>ENG</v>
      </c>
      <c r="V237" t="str">
        <f t="shared" si="23"/>
        <v>L4</v>
      </c>
      <c r="W237" t="str">
        <f>PROPER(TRIM(VLOOKUP(S237,Employee_Lookups!$I$4:$M$19,2,FALSE())))</f>
        <v>Siddharth Nair</v>
      </c>
      <c r="X237" t="str">
        <f>VLOOKUP(C237,Employee_Lookups!$A$4:$G$9,4,FALSE())</f>
        <v>CC-101</v>
      </c>
      <c r="Y237" t="str">
        <f>INDEX(Employee_Lookups!$C$13:$C$17,MATCH(F237,Employee_Lookups!$A$13:$A$17,0))</f>
        <v>Band D (Leadership)</v>
      </c>
      <c r="Z237" s="27">
        <f>_xlfn.XLOOKUP(F237,Employee_Lookups!$A$13:$A$17,Employee_Lookups!$E$13:$E$17,0)</f>
        <v>2750000</v>
      </c>
      <c r="AA237" s="28">
        <f>ROUND(O237/INDEX(Employee_Lookups!$E$13:$E$17,MATCH(F237,Employee_Lookups!$A$13:$A$17,0)),3)</f>
        <v>1.117</v>
      </c>
      <c r="AB237">
        <f t="shared" si="24"/>
        <v>2021</v>
      </c>
      <c r="AC237" t="str">
        <f t="shared" si="25"/>
        <v/>
      </c>
      <c r="AD237" s="28">
        <f>ROUND((IF(ISBLANK(L237),Employee_Lookups!$O$14,L237)-J237)/365.25,2)</f>
        <v>4.84</v>
      </c>
      <c r="AE237" t="str">
        <f t="shared" si="26"/>
        <v>3 - 5 Yrs</v>
      </c>
      <c r="AF237" t="str">
        <f t="shared" si="27"/>
        <v>Low Risk</v>
      </c>
    </row>
    <row r="238" spans="1:32" x14ac:dyDescent="0.45">
      <c r="A238" t="s">
        <v>674</v>
      </c>
      <c r="B238" t="s">
        <v>675</v>
      </c>
      <c r="C238" t="s">
        <v>53</v>
      </c>
      <c r="D238" t="s">
        <v>52</v>
      </c>
      <c r="E238" t="s">
        <v>185</v>
      </c>
      <c r="F238" t="s">
        <v>82</v>
      </c>
      <c r="G238" t="s">
        <v>186</v>
      </c>
      <c r="H238" t="s">
        <v>106</v>
      </c>
      <c r="I238" t="s">
        <v>107</v>
      </c>
      <c r="J238" s="26">
        <v>44260</v>
      </c>
      <c r="K238" t="s">
        <v>187</v>
      </c>
      <c r="L238" s="26">
        <v>45464</v>
      </c>
      <c r="M238" t="s">
        <v>308</v>
      </c>
      <c r="N238" t="s">
        <v>98</v>
      </c>
      <c r="O238" s="27">
        <v>1000000</v>
      </c>
      <c r="P238">
        <v>4</v>
      </c>
      <c r="Q238" t="s">
        <v>164</v>
      </c>
      <c r="R238">
        <v>36</v>
      </c>
      <c r="S238" t="s">
        <v>189</v>
      </c>
      <c r="T238">
        <f t="shared" si="21"/>
        <v>10934</v>
      </c>
      <c r="U238" t="str">
        <f t="shared" si="22"/>
        <v>SAL</v>
      </c>
      <c r="V238" t="str">
        <f t="shared" si="23"/>
        <v>L2</v>
      </c>
      <c r="W238" t="str">
        <f>PROPER(TRIM(VLOOKUP(S238,Employee_Lookups!$I$4:$M$19,2,FALSE())))</f>
        <v>Priya Sharma</v>
      </c>
      <c r="X238" t="str">
        <f>VLOOKUP(C238,Employee_Lookups!$A$4:$G$9,4,FALSE())</f>
        <v>CC-202</v>
      </c>
      <c r="Y238" t="str">
        <f>INDEX(Employee_Lookups!$C$13:$C$17,MATCH(F238,Employee_Lookups!$A$13:$A$17,0))</f>
        <v>Band B (Mid)</v>
      </c>
      <c r="Z238" s="27">
        <f>_xlfn.XLOOKUP(F238,Employee_Lookups!$A$13:$A$17,Employee_Lookups!$E$13:$E$17,0)</f>
        <v>1100000</v>
      </c>
      <c r="AA238" s="28">
        <f>ROUND(O238/INDEX(Employee_Lookups!$E$13:$E$17,MATCH(F238,Employee_Lookups!$A$13:$A$17,0)),3)</f>
        <v>0.90900000000000003</v>
      </c>
      <c r="AB238">
        <f t="shared" si="24"/>
        <v>2021</v>
      </c>
      <c r="AC238">
        <f t="shared" si="25"/>
        <v>2024</v>
      </c>
      <c r="AD238" s="28">
        <f>ROUND((IF(ISBLANK(L238),Employee_Lookups!$O$14,L238)-J238)/365.25,2)</f>
        <v>3.3</v>
      </c>
      <c r="AE238" t="str">
        <f t="shared" si="26"/>
        <v>3 - 5 Yrs</v>
      </c>
      <c r="AF238" t="str">
        <f t="shared" si="27"/>
        <v>Exited</v>
      </c>
    </row>
    <row r="239" spans="1:32" x14ac:dyDescent="0.45">
      <c r="A239" t="s">
        <v>676</v>
      </c>
      <c r="B239" t="s">
        <v>677</v>
      </c>
      <c r="C239" t="s">
        <v>55</v>
      </c>
      <c r="D239" t="s">
        <v>54</v>
      </c>
      <c r="E239" t="s">
        <v>277</v>
      </c>
      <c r="F239" t="s">
        <v>81</v>
      </c>
      <c r="G239" t="s">
        <v>278</v>
      </c>
      <c r="H239" t="s">
        <v>108</v>
      </c>
      <c r="I239" t="s">
        <v>107</v>
      </c>
      <c r="J239" s="26">
        <v>44262</v>
      </c>
      <c r="K239" t="s">
        <v>170</v>
      </c>
      <c r="L239" s="26">
        <v>44322</v>
      </c>
      <c r="M239" t="s">
        <v>171</v>
      </c>
      <c r="N239" t="s">
        <v>98</v>
      </c>
      <c r="O239" s="27">
        <v>610000</v>
      </c>
      <c r="P239">
        <v>3</v>
      </c>
      <c r="Q239" t="s">
        <v>164</v>
      </c>
      <c r="R239">
        <v>22</v>
      </c>
      <c r="S239" t="s">
        <v>262</v>
      </c>
      <c r="T239">
        <f t="shared" si="21"/>
        <v>10441</v>
      </c>
      <c r="U239" t="str">
        <f t="shared" si="22"/>
        <v>OPS</v>
      </c>
      <c r="V239" t="str">
        <f t="shared" si="23"/>
        <v>L1</v>
      </c>
      <c r="W239" t="str">
        <f>PROPER(TRIM(VLOOKUP(S239,Employee_Lookups!$I$4:$M$19,2,FALSE())))</f>
        <v>Ananya Iyer</v>
      </c>
      <c r="X239" t="str">
        <f>VLOOKUP(C239,Employee_Lookups!$A$4:$G$9,4,FALSE())</f>
        <v>CC-303</v>
      </c>
      <c r="Y239" t="str">
        <f>INDEX(Employee_Lookups!$C$13:$C$17,MATCH(F239,Employee_Lookups!$A$13:$A$17,0))</f>
        <v>Band A (Entry)</v>
      </c>
      <c r="Z239" s="27">
        <f>_xlfn.XLOOKUP(F239,Employee_Lookups!$A$13:$A$17,Employee_Lookups!$E$13:$E$17,0)</f>
        <v>700000</v>
      </c>
      <c r="AA239" s="28">
        <f>ROUND(O239/INDEX(Employee_Lookups!$E$13:$E$17,MATCH(F239,Employee_Lookups!$A$13:$A$17,0)),3)</f>
        <v>0.871</v>
      </c>
      <c r="AB239">
        <f t="shared" si="24"/>
        <v>2021</v>
      </c>
      <c r="AC239">
        <f t="shared" si="25"/>
        <v>2021</v>
      </c>
      <c r="AD239" s="28">
        <f>ROUND((IF(ISBLANK(L239),Employee_Lookups!$O$14,L239)-J239)/365.25,2)</f>
        <v>0.16</v>
      </c>
      <c r="AE239" t="str">
        <f t="shared" si="26"/>
        <v>&lt; 1 Yr (New)</v>
      </c>
      <c r="AF239" t="str">
        <f t="shared" si="27"/>
        <v>Exited</v>
      </c>
    </row>
    <row r="240" spans="1:32" x14ac:dyDescent="0.45">
      <c r="A240" t="s">
        <v>678</v>
      </c>
      <c r="B240" t="s">
        <v>679</v>
      </c>
      <c r="C240" t="s">
        <v>51</v>
      </c>
      <c r="D240" t="s">
        <v>50</v>
      </c>
      <c r="E240" t="s">
        <v>176</v>
      </c>
      <c r="F240" t="s">
        <v>82</v>
      </c>
      <c r="G240" t="s">
        <v>177</v>
      </c>
      <c r="H240" t="s">
        <v>108</v>
      </c>
      <c r="I240" t="s">
        <v>107</v>
      </c>
      <c r="J240" s="26">
        <v>44263</v>
      </c>
      <c r="K240" t="s">
        <v>162</v>
      </c>
      <c r="L240" s="26"/>
      <c r="M240" t="s">
        <v>163</v>
      </c>
      <c r="N240" t="s">
        <v>95</v>
      </c>
      <c r="O240" s="27">
        <v>1253000</v>
      </c>
      <c r="P240">
        <v>1</v>
      </c>
      <c r="Q240" t="s">
        <v>164</v>
      </c>
      <c r="R240">
        <v>24</v>
      </c>
      <c r="S240" t="s">
        <v>219</v>
      </c>
      <c r="T240">
        <f t="shared" si="21"/>
        <v>10404</v>
      </c>
      <c r="U240" t="str">
        <f t="shared" si="22"/>
        <v>ENG</v>
      </c>
      <c r="V240" t="str">
        <f t="shared" si="23"/>
        <v>L2</v>
      </c>
      <c r="W240" t="str">
        <f>PROPER(TRIM(VLOOKUP(S240,Employee_Lookups!$I$4:$M$19,2,FALSE())))</f>
        <v>Neha Kulkarni</v>
      </c>
      <c r="X240" t="str">
        <f>VLOOKUP(C240,Employee_Lookups!$A$4:$G$9,4,FALSE())</f>
        <v>CC-101</v>
      </c>
      <c r="Y240" t="str">
        <f>INDEX(Employee_Lookups!$C$13:$C$17,MATCH(F240,Employee_Lookups!$A$13:$A$17,0))</f>
        <v>Band B (Mid)</v>
      </c>
      <c r="Z240" s="27">
        <f>_xlfn.XLOOKUP(F240,Employee_Lookups!$A$13:$A$17,Employee_Lookups!$E$13:$E$17,0)</f>
        <v>1100000</v>
      </c>
      <c r="AA240" s="28">
        <f>ROUND(O240/INDEX(Employee_Lookups!$E$13:$E$17,MATCH(F240,Employee_Lookups!$A$13:$A$17,0)),3)</f>
        <v>1.139</v>
      </c>
      <c r="AB240">
        <f t="shared" si="24"/>
        <v>2021</v>
      </c>
      <c r="AC240" t="str">
        <f t="shared" si="25"/>
        <v/>
      </c>
      <c r="AD240" s="28">
        <f>ROUND((IF(ISBLANK(L240),Employee_Lookups!$O$14,L240)-J240)/365.25,2)</f>
        <v>4.82</v>
      </c>
      <c r="AE240" t="str">
        <f t="shared" si="26"/>
        <v>3 - 5 Yrs</v>
      </c>
      <c r="AF240" t="str">
        <f t="shared" si="27"/>
        <v>Moderate Risk</v>
      </c>
    </row>
    <row r="241" spans="1:32" x14ac:dyDescent="0.45">
      <c r="A241" t="s">
        <v>680</v>
      </c>
      <c r="B241" t="s">
        <v>681</v>
      </c>
      <c r="C241" t="s">
        <v>55</v>
      </c>
      <c r="D241" t="s">
        <v>54</v>
      </c>
      <c r="E241" t="s">
        <v>240</v>
      </c>
      <c r="F241" t="s">
        <v>83</v>
      </c>
      <c r="G241" t="s">
        <v>241</v>
      </c>
      <c r="H241" t="s">
        <v>108</v>
      </c>
      <c r="I241" t="s">
        <v>107</v>
      </c>
      <c r="J241" s="26">
        <v>44265</v>
      </c>
      <c r="K241" t="s">
        <v>187</v>
      </c>
      <c r="L241" s="26">
        <v>45656</v>
      </c>
      <c r="M241" t="s">
        <v>282</v>
      </c>
      <c r="N241" t="s">
        <v>95</v>
      </c>
      <c r="O241" s="27">
        <v>1716000</v>
      </c>
      <c r="P241">
        <v>4</v>
      </c>
      <c r="Q241" t="s">
        <v>164</v>
      </c>
      <c r="R241">
        <v>25</v>
      </c>
      <c r="S241" t="s">
        <v>173</v>
      </c>
      <c r="T241">
        <f t="shared" si="21"/>
        <v>10865</v>
      </c>
      <c r="U241" t="str">
        <f t="shared" si="22"/>
        <v>OPS</v>
      </c>
      <c r="V241" t="str">
        <f t="shared" si="23"/>
        <v>L3</v>
      </c>
      <c r="W241" t="str">
        <f>PROPER(TRIM(VLOOKUP(S241,Employee_Lookups!$I$4:$M$19,2,FALSE())))</f>
        <v>Deepak Patil</v>
      </c>
      <c r="X241" t="str">
        <f>VLOOKUP(C241,Employee_Lookups!$A$4:$G$9,4,FALSE())</f>
        <v>CC-303</v>
      </c>
      <c r="Y241" t="str">
        <f>INDEX(Employee_Lookups!$C$13:$C$17,MATCH(F241,Employee_Lookups!$A$13:$A$17,0))</f>
        <v>Band C (Senior)</v>
      </c>
      <c r="Z241" s="27">
        <f>_xlfn.XLOOKUP(F241,Employee_Lookups!$A$13:$A$17,Employee_Lookups!$E$13:$E$17,0)</f>
        <v>1725000</v>
      </c>
      <c r="AA241" s="28">
        <f>ROUND(O241/INDEX(Employee_Lookups!$E$13:$E$17,MATCH(F241,Employee_Lookups!$A$13:$A$17,0)),3)</f>
        <v>0.995</v>
      </c>
      <c r="AB241">
        <f t="shared" si="24"/>
        <v>2021</v>
      </c>
      <c r="AC241">
        <f t="shared" si="25"/>
        <v>2024</v>
      </c>
      <c r="AD241" s="28">
        <f>ROUND((IF(ISBLANK(L241),Employee_Lookups!$O$14,L241)-J241)/365.25,2)</f>
        <v>3.81</v>
      </c>
      <c r="AE241" t="str">
        <f t="shared" si="26"/>
        <v>3 - 5 Yrs</v>
      </c>
      <c r="AF241" t="str">
        <f t="shared" si="27"/>
        <v>Exited</v>
      </c>
    </row>
    <row r="242" spans="1:32" x14ac:dyDescent="0.45">
      <c r="A242" t="s">
        <v>682</v>
      </c>
      <c r="B242" t="s">
        <v>683</v>
      </c>
      <c r="C242" t="s">
        <v>55</v>
      </c>
      <c r="D242" t="s">
        <v>54</v>
      </c>
      <c r="E242" t="s">
        <v>229</v>
      </c>
      <c r="F242" t="s">
        <v>82</v>
      </c>
      <c r="G242" t="s">
        <v>230</v>
      </c>
      <c r="H242" t="s">
        <v>108</v>
      </c>
      <c r="I242" t="s">
        <v>107</v>
      </c>
      <c r="J242" s="26">
        <v>44270</v>
      </c>
      <c r="K242" t="s">
        <v>187</v>
      </c>
      <c r="L242" s="26">
        <v>44815</v>
      </c>
      <c r="M242" t="s">
        <v>188</v>
      </c>
      <c r="N242" t="s">
        <v>98</v>
      </c>
      <c r="O242" s="27">
        <v>1095000</v>
      </c>
      <c r="P242">
        <v>3</v>
      </c>
      <c r="Q242" t="s">
        <v>164</v>
      </c>
      <c r="R242">
        <v>47</v>
      </c>
      <c r="S242" t="s">
        <v>262</v>
      </c>
      <c r="T242">
        <f t="shared" si="21"/>
        <v>10676</v>
      </c>
      <c r="U242" t="str">
        <f t="shared" si="22"/>
        <v>OPS</v>
      </c>
      <c r="V242" t="str">
        <f t="shared" si="23"/>
        <v>L2</v>
      </c>
      <c r="W242" t="str">
        <f>PROPER(TRIM(VLOOKUP(S242,Employee_Lookups!$I$4:$M$19,2,FALSE())))</f>
        <v>Ananya Iyer</v>
      </c>
      <c r="X242" t="str">
        <f>VLOOKUP(C242,Employee_Lookups!$A$4:$G$9,4,FALSE())</f>
        <v>CC-303</v>
      </c>
      <c r="Y242" t="str">
        <f>INDEX(Employee_Lookups!$C$13:$C$17,MATCH(F242,Employee_Lookups!$A$13:$A$17,0))</f>
        <v>Band B (Mid)</v>
      </c>
      <c r="Z242" s="27">
        <f>_xlfn.XLOOKUP(F242,Employee_Lookups!$A$13:$A$17,Employee_Lookups!$E$13:$E$17,0)</f>
        <v>1100000</v>
      </c>
      <c r="AA242" s="28">
        <f>ROUND(O242/INDEX(Employee_Lookups!$E$13:$E$17,MATCH(F242,Employee_Lookups!$A$13:$A$17,0)),3)</f>
        <v>0.995</v>
      </c>
      <c r="AB242">
        <f t="shared" si="24"/>
        <v>2021</v>
      </c>
      <c r="AC242">
        <f t="shared" si="25"/>
        <v>2022</v>
      </c>
      <c r="AD242" s="28">
        <f>ROUND((IF(ISBLANK(L242),Employee_Lookups!$O$14,L242)-J242)/365.25,2)</f>
        <v>1.49</v>
      </c>
      <c r="AE242" t="str">
        <f t="shared" si="26"/>
        <v>1 - 3 Yrs</v>
      </c>
      <c r="AF242" t="str">
        <f t="shared" si="27"/>
        <v>Exited</v>
      </c>
    </row>
    <row r="243" spans="1:32" x14ac:dyDescent="0.45">
      <c r="A243" t="s">
        <v>684</v>
      </c>
      <c r="B243" t="s">
        <v>685</v>
      </c>
      <c r="C243" t="s">
        <v>51</v>
      </c>
      <c r="D243" t="s">
        <v>50</v>
      </c>
      <c r="E243" t="s">
        <v>176</v>
      </c>
      <c r="F243" t="s">
        <v>82</v>
      </c>
      <c r="G243" t="s">
        <v>177</v>
      </c>
      <c r="H243" t="s">
        <v>108</v>
      </c>
      <c r="I243" t="s">
        <v>107</v>
      </c>
      <c r="J243" s="26">
        <v>44271</v>
      </c>
      <c r="K243" t="s">
        <v>187</v>
      </c>
      <c r="L243" s="26">
        <v>45747</v>
      </c>
      <c r="M243" t="s">
        <v>213</v>
      </c>
      <c r="N243" t="s">
        <v>99</v>
      </c>
      <c r="O243" s="27">
        <v>1249000</v>
      </c>
      <c r="P243">
        <v>3</v>
      </c>
      <c r="Q243" t="s">
        <v>172</v>
      </c>
      <c r="R243">
        <v>28</v>
      </c>
      <c r="S243" t="s">
        <v>197</v>
      </c>
      <c r="T243">
        <f t="shared" si="21"/>
        <v>10083</v>
      </c>
      <c r="U243" t="str">
        <f t="shared" si="22"/>
        <v>ENG</v>
      </c>
      <c r="V243" t="str">
        <f t="shared" si="23"/>
        <v>L2</v>
      </c>
      <c r="W243" t="str">
        <f>PROPER(TRIM(VLOOKUP(S243,Employee_Lookups!$I$4:$M$19,2,FALSE())))</f>
        <v>Rohan Verma</v>
      </c>
      <c r="X243" t="str">
        <f>VLOOKUP(C243,Employee_Lookups!$A$4:$G$9,4,FALSE())</f>
        <v>CC-101</v>
      </c>
      <c r="Y243" t="str">
        <f>INDEX(Employee_Lookups!$C$13:$C$17,MATCH(F243,Employee_Lookups!$A$13:$A$17,0))</f>
        <v>Band B (Mid)</v>
      </c>
      <c r="Z243" s="27">
        <f>_xlfn.XLOOKUP(F243,Employee_Lookups!$A$13:$A$17,Employee_Lookups!$E$13:$E$17,0)</f>
        <v>1100000</v>
      </c>
      <c r="AA243" s="28">
        <f>ROUND(O243/INDEX(Employee_Lookups!$E$13:$E$17,MATCH(F243,Employee_Lookups!$A$13:$A$17,0)),3)</f>
        <v>1.135</v>
      </c>
      <c r="AB243">
        <f t="shared" si="24"/>
        <v>2021</v>
      </c>
      <c r="AC243">
        <f t="shared" si="25"/>
        <v>2025</v>
      </c>
      <c r="AD243" s="28">
        <f>ROUND((IF(ISBLANK(L243),Employee_Lookups!$O$14,L243)-J243)/365.25,2)</f>
        <v>4.04</v>
      </c>
      <c r="AE243" t="str">
        <f t="shared" si="26"/>
        <v>3 - 5 Yrs</v>
      </c>
      <c r="AF243" t="str">
        <f t="shared" si="27"/>
        <v>Exited</v>
      </c>
    </row>
    <row r="244" spans="1:32" x14ac:dyDescent="0.45">
      <c r="A244" t="s">
        <v>686</v>
      </c>
      <c r="B244" t="s">
        <v>687</v>
      </c>
      <c r="C244" t="s">
        <v>51</v>
      </c>
      <c r="D244" t="s">
        <v>50</v>
      </c>
      <c r="E244" t="s">
        <v>328</v>
      </c>
      <c r="F244" t="s">
        <v>85</v>
      </c>
      <c r="G244" t="s">
        <v>329</v>
      </c>
      <c r="H244" t="s">
        <v>112</v>
      </c>
      <c r="I244" t="s">
        <v>113</v>
      </c>
      <c r="J244" s="26">
        <v>44271</v>
      </c>
      <c r="K244" t="s">
        <v>162</v>
      </c>
      <c r="L244" s="26"/>
      <c r="M244" t="s">
        <v>163</v>
      </c>
      <c r="N244" t="s">
        <v>95</v>
      </c>
      <c r="O244" s="27">
        <v>3942000</v>
      </c>
      <c r="P244">
        <v>3</v>
      </c>
      <c r="Q244" t="s">
        <v>164</v>
      </c>
      <c r="R244">
        <v>14</v>
      </c>
      <c r="S244" t="s">
        <v>178</v>
      </c>
      <c r="T244">
        <f t="shared" si="21"/>
        <v>11123</v>
      </c>
      <c r="U244" t="str">
        <f t="shared" si="22"/>
        <v>ENG</v>
      </c>
      <c r="V244" t="str">
        <f t="shared" si="23"/>
        <v>L5</v>
      </c>
      <c r="W244" t="str">
        <f>PROPER(TRIM(VLOOKUP(S244,Employee_Lookups!$I$4:$M$19,2,FALSE())))</f>
        <v>Aarav Deshmukh</v>
      </c>
      <c r="X244" t="str">
        <f>VLOOKUP(C244,Employee_Lookups!$A$4:$G$9,4,FALSE())</f>
        <v>CC-101</v>
      </c>
      <c r="Y244" t="str">
        <f>INDEX(Employee_Lookups!$C$13:$C$17,MATCH(F244,Employee_Lookups!$A$13:$A$17,0))</f>
        <v>Band E (Executive)</v>
      </c>
      <c r="Z244" s="27">
        <f>_xlfn.XLOOKUP(F244,Employee_Lookups!$A$13:$A$17,Employee_Lookups!$E$13:$E$17,0)</f>
        <v>4300000</v>
      </c>
      <c r="AA244" s="28">
        <f>ROUND(O244/INDEX(Employee_Lookups!$E$13:$E$17,MATCH(F244,Employee_Lookups!$A$13:$A$17,0)),3)</f>
        <v>0.91700000000000004</v>
      </c>
      <c r="AB244">
        <f t="shared" si="24"/>
        <v>2021</v>
      </c>
      <c r="AC244" t="str">
        <f t="shared" si="25"/>
        <v/>
      </c>
      <c r="AD244" s="28">
        <f>ROUND((IF(ISBLANK(L244),Employee_Lookups!$O$14,L244)-J244)/365.25,2)</f>
        <v>4.79</v>
      </c>
      <c r="AE244" t="str">
        <f t="shared" si="26"/>
        <v>3 - 5 Yrs</v>
      </c>
      <c r="AF244" t="str">
        <f t="shared" si="27"/>
        <v>Low Risk</v>
      </c>
    </row>
    <row r="245" spans="1:32" x14ac:dyDescent="0.45">
      <c r="A245" t="s">
        <v>688</v>
      </c>
      <c r="B245" t="s">
        <v>689</v>
      </c>
      <c r="C245" t="s">
        <v>61</v>
      </c>
      <c r="D245" t="s">
        <v>60</v>
      </c>
      <c r="E245" t="s">
        <v>356</v>
      </c>
      <c r="F245" t="s">
        <v>81</v>
      </c>
      <c r="G245" t="s">
        <v>357</v>
      </c>
      <c r="H245" t="s">
        <v>106</v>
      </c>
      <c r="I245" t="s">
        <v>107</v>
      </c>
      <c r="J245" s="26">
        <v>44272</v>
      </c>
      <c r="K245" t="s">
        <v>170</v>
      </c>
      <c r="L245" s="26">
        <v>44875</v>
      </c>
      <c r="M245" t="s">
        <v>171</v>
      </c>
      <c r="N245" t="s">
        <v>95</v>
      </c>
      <c r="O245" s="27">
        <v>785000</v>
      </c>
      <c r="P245">
        <v>1</v>
      </c>
      <c r="Q245" t="s">
        <v>172</v>
      </c>
      <c r="R245">
        <v>0</v>
      </c>
      <c r="S245" t="s">
        <v>319</v>
      </c>
      <c r="T245">
        <f t="shared" si="21"/>
        <v>10747</v>
      </c>
      <c r="U245" t="str">
        <f t="shared" si="22"/>
        <v>-HR</v>
      </c>
      <c r="V245" t="str">
        <f t="shared" si="23"/>
        <v>L1</v>
      </c>
      <c r="W245" t="str">
        <f>PROPER(TRIM(VLOOKUP(S245,Employee_Lookups!$I$4:$M$19,2,FALSE())))</f>
        <v>Kavita Menon</v>
      </c>
      <c r="X245" t="str">
        <f>VLOOKUP(C245,Employee_Lookups!$A$4:$G$9,4,FALSE())</f>
        <v>CC-505</v>
      </c>
      <c r="Y245" t="str">
        <f>INDEX(Employee_Lookups!$C$13:$C$17,MATCH(F245,Employee_Lookups!$A$13:$A$17,0))</f>
        <v>Band A (Entry)</v>
      </c>
      <c r="Z245" s="27">
        <f>_xlfn.XLOOKUP(F245,Employee_Lookups!$A$13:$A$17,Employee_Lookups!$E$13:$E$17,0)</f>
        <v>700000</v>
      </c>
      <c r="AA245" s="28">
        <f>ROUND(O245/INDEX(Employee_Lookups!$E$13:$E$17,MATCH(F245,Employee_Lookups!$A$13:$A$17,0)),3)</f>
        <v>1.121</v>
      </c>
      <c r="AB245">
        <f t="shared" si="24"/>
        <v>2021</v>
      </c>
      <c r="AC245">
        <f t="shared" si="25"/>
        <v>2022</v>
      </c>
      <c r="AD245" s="28">
        <f>ROUND((IF(ISBLANK(L245),Employee_Lookups!$O$14,L245)-J245)/365.25,2)</f>
        <v>1.65</v>
      </c>
      <c r="AE245" t="str">
        <f t="shared" si="26"/>
        <v>1 - 3 Yrs</v>
      </c>
      <c r="AF245" t="str">
        <f t="shared" si="27"/>
        <v>Exited</v>
      </c>
    </row>
    <row r="246" spans="1:32" x14ac:dyDescent="0.45">
      <c r="A246" t="s">
        <v>690</v>
      </c>
      <c r="B246" t="s">
        <v>691</v>
      </c>
      <c r="C246" t="s">
        <v>55</v>
      </c>
      <c r="D246" t="s">
        <v>54</v>
      </c>
      <c r="E246" t="s">
        <v>229</v>
      </c>
      <c r="F246" t="s">
        <v>82</v>
      </c>
      <c r="G246" t="s">
        <v>230</v>
      </c>
      <c r="H246" t="s">
        <v>111</v>
      </c>
      <c r="I246" t="s">
        <v>110</v>
      </c>
      <c r="J246" s="26">
        <v>44280</v>
      </c>
      <c r="K246" t="s">
        <v>187</v>
      </c>
      <c r="L246" s="26">
        <v>44430</v>
      </c>
      <c r="M246" t="s">
        <v>308</v>
      </c>
      <c r="N246" t="s">
        <v>97</v>
      </c>
      <c r="O246" s="27">
        <v>990000</v>
      </c>
      <c r="P246">
        <v>3</v>
      </c>
      <c r="Q246" t="s">
        <v>164</v>
      </c>
      <c r="R246">
        <v>42</v>
      </c>
      <c r="S246" t="s">
        <v>173</v>
      </c>
      <c r="T246">
        <f t="shared" si="21"/>
        <v>10585</v>
      </c>
      <c r="U246" t="str">
        <f t="shared" si="22"/>
        <v>OPS</v>
      </c>
      <c r="V246" t="str">
        <f t="shared" si="23"/>
        <v>L2</v>
      </c>
      <c r="W246" t="str">
        <f>PROPER(TRIM(VLOOKUP(S246,Employee_Lookups!$I$4:$M$19,2,FALSE())))</f>
        <v>Deepak Patil</v>
      </c>
      <c r="X246" t="str">
        <f>VLOOKUP(C246,Employee_Lookups!$A$4:$G$9,4,FALSE())</f>
        <v>CC-303</v>
      </c>
      <c r="Y246" t="str">
        <f>INDEX(Employee_Lookups!$C$13:$C$17,MATCH(F246,Employee_Lookups!$A$13:$A$17,0))</f>
        <v>Band B (Mid)</v>
      </c>
      <c r="Z246" s="27">
        <f>_xlfn.XLOOKUP(F246,Employee_Lookups!$A$13:$A$17,Employee_Lookups!$E$13:$E$17,0)</f>
        <v>1100000</v>
      </c>
      <c r="AA246" s="28">
        <f>ROUND(O246/INDEX(Employee_Lookups!$E$13:$E$17,MATCH(F246,Employee_Lookups!$A$13:$A$17,0)),3)</f>
        <v>0.9</v>
      </c>
      <c r="AB246">
        <f t="shared" si="24"/>
        <v>2021</v>
      </c>
      <c r="AC246">
        <f t="shared" si="25"/>
        <v>2021</v>
      </c>
      <c r="AD246" s="28">
        <f>ROUND((IF(ISBLANK(L246),Employee_Lookups!$O$14,L246)-J246)/365.25,2)</f>
        <v>0.41</v>
      </c>
      <c r="AE246" t="str">
        <f t="shared" si="26"/>
        <v>&lt; 1 Yr (New)</v>
      </c>
      <c r="AF246" t="str">
        <f t="shared" si="27"/>
        <v>Exited</v>
      </c>
    </row>
    <row r="247" spans="1:32" x14ac:dyDescent="0.45">
      <c r="A247" t="s">
        <v>692</v>
      </c>
      <c r="B247" t="s">
        <v>582</v>
      </c>
      <c r="C247" t="s">
        <v>51</v>
      </c>
      <c r="D247" t="s">
        <v>50</v>
      </c>
      <c r="E247" t="s">
        <v>176</v>
      </c>
      <c r="F247" t="s">
        <v>82</v>
      </c>
      <c r="G247" t="s">
        <v>177</v>
      </c>
      <c r="H247" t="s">
        <v>108</v>
      </c>
      <c r="I247" t="s">
        <v>107</v>
      </c>
      <c r="J247" s="26">
        <v>44280</v>
      </c>
      <c r="K247" t="s">
        <v>162</v>
      </c>
      <c r="L247" s="26"/>
      <c r="M247" t="s">
        <v>163</v>
      </c>
      <c r="N247" t="s">
        <v>99</v>
      </c>
      <c r="O247" s="27">
        <v>1061000</v>
      </c>
      <c r="P247">
        <v>4</v>
      </c>
      <c r="Q247" t="s">
        <v>164</v>
      </c>
      <c r="R247">
        <v>32</v>
      </c>
      <c r="S247" t="s">
        <v>219</v>
      </c>
      <c r="T247">
        <f t="shared" si="21"/>
        <v>10961</v>
      </c>
      <c r="U247" t="str">
        <f t="shared" si="22"/>
        <v>ENG</v>
      </c>
      <c r="V247" t="str">
        <f t="shared" si="23"/>
        <v>L2</v>
      </c>
      <c r="W247" t="str">
        <f>PROPER(TRIM(VLOOKUP(S247,Employee_Lookups!$I$4:$M$19,2,FALSE())))</f>
        <v>Neha Kulkarni</v>
      </c>
      <c r="X247" t="str">
        <f>VLOOKUP(C247,Employee_Lookups!$A$4:$G$9,4,FALSE())</f>
        <v>CC-101</v>
      </c>
      <c r="Y247" t="str">
        <f>INDEX(Employee_Lookups!$C$13:$C$17,MATCH(F247,Employee_Lookups!$A$13:$A$17,0))</f>
        <v>Band B (Mid)</v>
      </c>
      <c r="Z247" s="27">
        <f>_xlfn.XLOOKUP(F247,Employee_Lookups!$A$13:$A$17,Employee_Lookups!$E$13:$E$17,0)</f>
        <v>1100000</v>
      </c>
      <c r="AA247" s="28">
        <f>ROUND(O247/INDEX(Employee_Lookups!$E$13:$E$17,MATCH(F247,Employee_Lookups!$A$13:$A$17,0)),3)</f>
        <v>0.96499999999999997</v>
      </c>
      <c r="AB247">
        <f t="shared" si="24"/>
        <v>2021</v>
      </c>
      <c r="AC247" t="str">
        <f t="shared" si="25"/>
        <v/>
      </c>
      <c r="AD247" s="28">
        <f>ROUND((IF(ISBLANK(L247),Employee_Lookups!$O$14,L247)-J247)/365.25,2)</f>
        <v>4.7699999999999996</v>
      </c>
      <c r="AE247" t="str">
        <f t="shared" si="26"/>
        <v>3 - 5 Yrs</v>
      </c>
      <c r="AF247" t="str">
        <f t="shared" si="27"/>
        <v>Low Risk</v>
      </c>
    </row>
    <row r="248" spans="1:32" x14ac:dyDescent="0.45">
      <c r="A248" t="s">
        <v>693</v>
      </c>
      <c r="B248" t="s">
        <v>694</v>
      </c>
      <c r="C248" t="s">
        <v>59</v>
      </c>
      <c r="D248" t="s">
        <v>58</v>
      </c>
      <c r="E248" t="s">
        <v>206</v>
      </c>
      <c r="F248" t="s">
        <v>81</v>
      </c>
      <c r="G248" t="s">
        <v>207</v>
      </c>
      <c r="H248" t="s">
        <v>106</v>
      </c>
      <c r="I248" t="s">
        <v>107</v>
      </c>
      <c r="J248" s="26">
        <v>44282</v>
      </c>
      <c r="K248" t="s">
        <v>162</v>
      </c>
      <c r="L248" s="26"/>
      <c r="M248" t="s">
        <v>163</v>
      </c>
      <c r="N248" t="s">
        <v>97</v>
      </c>
      <c r="O248" s="27">
        <v>695000</v>
      </c>
      <c r="P248">
        <v>3</v>
      </c>
      <c r="Q248" t="s">
        <v>164</v>
      </c>
      <c r="R248">
        <v>39</v>
      </c>
      <c r="S248" t="s">
        <v>214</v>
      </c>
      <c r="T248">
        <f t="shared" si="21"/>
        <v>11097</v>
      </c>
      <c r="U248" t="str">
        <f t="shared" si="22"/>
        <v>FIN</v>
      </c>
      <c r="V248" t="str">
        <f t="shared" si="23"/>
        <v>L1</v>
      </c>
      <c r="W248" t="str">
        <f>PROPER(TRIM(VLOOKUP(S248,Employee_Lookups!$I$4:$M$19,2,FALSE())))</f>
        <v>Aditya Gokhale</v>
      </c>
      <c r="X248" t="str">
        <f>VLOOKUP(C248,Employee_Lookups!$A$4:$G$9,4,FALSE())</f>
        <v>CC-404</v>
      </c>
      <c r="Y248" t="str">
        <f>INDEX(Employee_Lookups!$C$13:$C$17,MATCH(F248,Employee_Lookups!$A$13:$A$17,0))</f>
        <v>Band A (Entry)</v>
      </c>
      <c r="Z248" s="27">
        <f>_xlfn.XLOOKUP(F248,Employee_Lookups!$A$13:$A$17,Employee_Lookups!$E$13:$E$17,0)</f>
        <v>700000</v>
      </c>
      <c r="AA248" s="28">
        <f>ROUND(O248/INDEX(Employee_Lookups!$E$13:$E$17,MATCH(F248,Employee_Lookups!$A$13:$A$17,0)),3)</f>
        <v>0.99299999999999999</v>
      </c>
      <c r="AB248">
        <f t="shared" si="24"/>
        <v>2021</v>
      </c>
      <c r="AC248" t="str">
        <f t="shared" si="25"/>
        <v/>
      </c>
      <c r="AD248" s="28">
        <f>ROUND((IF(ISBLANK(L248),Employee_Lookups!$O$14,L248)-J248)/365.25,2)</f>
        <v>4.76</v>
      </c>
      <c r="AE248" t="str">
        <f t="shared" si="26"/>
        <v>3 - 5 Yrs</v>
      </c>
      <c r="AF248" t="str">
        <f t="shared" si="27"/>
        <v>Low Risk</v>
      </c>
    </row>
    <row r="249" spans="1:32" x14ac:dyDescent="0.45">
      <c r="A249" t="s">
        <v>695</v>
      </c>
      <c r="B249" t="s">
        <v>696</v>
      </c>
      <c r="C249" t="s">
        <v>55</v>
      </c>
      <c r="D249" t="s">
        <v>54</v>
      </c>
      <c r="E249" t="s">
        <v>240</v>
      </c>
      <c r="F249" t="s">
        <v>83</v>
      </c>
      <c r="G249" t="s">
        <v>241</v>
      </c>
      <c r="H249" t="s">
        <v>106</v>
      </c>
      <c r="I249" t="s">
        <v>107</v>
      </c>
      <c r="J249" s="26">
        <v>44283</v>
      </c>
      <c r="K249" t="s">
        <v>162</v>
      </c>
      <c r="L249" s="26"/>
      <c r="M249" t="s">
        <v>163</v>
      </c>
      <c r="N249" t="s">
        <v>95</v>
      </c>
      <c r="O249" s="27">
        <v>1674000</v>
      </c>
      <c r="P249">
        <v>2</v>
      </c>
      <c r="Q249" t="s">
        <v>172</v>
      </c>
      <c r="R249">
        <v>29</v>
      </c>
      <c r="S249" t="s">
        <v>262</v>
      </c>
      <c r="T249">
        <f t="shared" si="21"/>
        <v>11062</v>
      </c>
      <c r="U249" t="str">
        <f t="shared" si="22"/>
        <v>OPS</v>
      </c>
      <c r="V249" t="str">
        <f t="shared" si="23"/>
        <v>L3</v>
      </c>
      <c r="W249" t="str">
        <f>PROPER(TRIM(VLOOKUP(S249,Employee_Lookups!$I$4:$M$19,2,FALSE())))</f>
        <v>Ananya Iyer</v>
      </c>
      <c r="X249" t="str">
        <f>VLOOKUP(C249,Employee_Lookups!$A$4:$G$9,4,FALSE())</f>
        <v>CC-303</v>
      </c>
      <c r="Y249" t="str">
        <f>INDEX(Employee_Lookups!$C$13:$C$17,MATCH(F249,Employee_Lookups!$A$13:$A$17,0))</f>
        <v>Band C (Senior)</v>
      </c>
      <c r="Z249" s="27">
        <f>_xlfn.XLOOKUP(F249,Employee_Lookups!$A$13:$A$17,Employee_Lookups!$E$13:$E$17,0)</f>
        <v>1725000</v>
      </c>
      <c r="AA249" s="28">
        <f>ROUND(O249/INDEX(Employee_Lookups!$E$13:$E$17,MATCH(F249,Employee_Lookups!$A$13:$A$17,0)),3)</f>
        <v>0.97</v>
      </c>
      <c r="AB249">
        <f t="shared" si="24"/>
        <v>2021</v>
      </c>
      <c r="AC249" t="str">
        <f t="shared" si="25"/>
        <v/>
      </c>
      <c r="AD249" s="28">
        <f>ROUND((IF(ISBLANK(L249),Employee_Lookups!$O$14,L249)-J249)/365.25,2)</f>
        <v>4.76</v>
      </c>
      <c r="AE249" t="str">
        <f t="shared" si="26"/>
        <v>3 - 5 Yrs</v>
      </c>
      <c r="AF249" t="str">
        <f t="shared" si="27"/>
        <v>Moderate Risk</v>
      </c>
    </row>
    <row r="250" spans="1:32" x14ac:dyDescent="0.45">
      <c r="A250" t="s">
        <v>697</v>
      </c>
      <c r="B250" t="s">
        <v>698</v>
      </c>
      <c r="C250" t="s">
        <v>51</v>
      </c>
      <c r="D250" t="s">
        <v>50</v>
      </c>
      <c r="E250" t="s">
        <v>181</v>
      </c>
      <c r="F250" t="s">
        <v>81</v>
      </c>
      <c r="G250" t="s">
        <v>182</v>
      </c>
      <c r="H250" t="s">
        <v>106</v>
      </c>
      <c r="I250" t="s">
        <v>107</v>
      </c>
      <c r="J250" s="26">
        <v>44290</v>
      </c>
      <c r="K250" t="s">
        <v>170</v>
      </c>
      <c r="L250" s="26">
        <v>44630</v>
      </c>
      <c r="M250" t="s">
        <v>171</v>
      </c>
      <c r="N250" t="s">
        <v>99</v>
      </c>
      <c r="O250" s="27">
        <v>797000</v>
      </c>
      <c r="P250">
        <v>2</v>
      </c>
      <c r="Q250" t="s">
        <v>164</v>
      </c>
      <c r="R250">
        <v>4</v>
      </c>
      <c r="S250" t="s">
        <v>197</v>
      </c>
      <c r="T250">
        <f t="shared" si="21"/>
        <v>10141</v>
      </c>
      <c r="U250" t="str">
        <f t="shared" si="22"/>
        <v>ENG</v>
      </c>
      <c r="V250" t="str">
        <f t="shared" si="23"/>
        <v>L1</v>
      </c>
      <c r="W250" t="str">
        <f>PROPER(TRIM(VLOOKUP(S250,Employee_Lookups!$I$4:$M$19,2,FALSE())))</f>
        <v>Rohan Verma</v>
      </c>
      <c r="X250" t="str">
        <f>VLOOKUP(C250,Employee_Lookups!$A$4:$G$9,4,FALSE())</f>
        <v>CC-101</v>
      </c>
      <c r="Y250" t="str">
        <f>INDEX(Employee_Lookups!$C$13:$C$17,MATCH(F250,Employee_Lookups!$A$13:$A$17,0))</f>
        <v>Band A (Entry)</v>
      </c>
      <c r="Z250" s="27">
        <f>_xlfn.XLOOKUP(F250,Employee_Lookups!$A$13:$A$17,Employee_Lookups!$E$13:$E$17,0)</f>
        <v>700000</v>
      </c>
      <c r="AA250" s="28">
        <f>ROUND(O250/INDEX(Employee_Lookups!$E$13:$E$17,MATCH(F250,Employee_Lookups!$A$13:$A$17,0)),3)</f>
        <v>1.139</v>
      </c>
      <c r="AB250">
        <f t="shared" si="24"/>
        <v>2021</v>
      </c>
      <c r="AC250">
        <f t="shared" si="25"/>
        <v>2022</v>
      </c>
      <c r="AD250" s="28">
        <f>ROUND((IF(ISBLANK(L250),Employee_Lookups!$O$14,L250)-J250)/365.25,2)</f>
        <v>0.93</v>
      </c>
      <c r="AE250" t="str">
        <f t="shared" si="26"/>
        <v>&lt; 1 Yr (New)</v>
      </c>
      <c r="AF250" t="str">
        <f t="shared" si="27"/>
        <v>Exited</v>
      </c>
    </row>
    <row r="251" spans="1:32" x14ac:dyDescent="0.45">
      <c r="A251" t="s">
        <v>699</v>
      </c>
      <c r="B251" t="s">
        <v>700</v>
      </c>
      <c r="C251" t="s">
        <v>57</v>
      </c>
      <c r="D251" t="s">
        <v>56</v>
      </c>
      <c r="E251" t="s">
        <v>222</v>
      </c>
      <c r="F251" t="s">
        <v>82</v>
      </c>
      <c r="G251" t="s">
        <v>223</v>
      </c>
      <c r="H251" t="s">
        <v>106</v>
      </c>
      <c r="I251" t="s">
        <v>107</v>
      </c>
      <c r="J251" s="26">
        <v>44291</v>
      </c>
      <c r="K251" t="s">
        <v>162</v>
      </c>
      <c r="L251" s="26"/>
      <c r="M251" t="s">
        <v>163</v>
      </c>
      <c r="N251" t="s">
        <v>97</v>
      </c>
      <c r="O251" s="27">
        <v>998000</v>
      </c>
      <c r="P251">
        <v>3</v>
      </c>
      <c r="Q251" t="s">
        <v>172</v>
      </c>
      <c r="R251">
        <v>40</v>
      </c>
      <c r="S251" t="s">
        <v>224</v>
      </c>
      <c r="T251">
        <f t="shared" si="21"/>
        <v>10182</v>
      </c>
      <c r="U251" t="str">
        <f t="shared" si="22"/>
        <v>MKT</v>
      </c>
      <c r="V251" t="str">
        <f t="shared" si="23"/>
        <v>L2</v>
      </c>
      <c r="W251" t="str">
        <f>PROPER(TRIM(VLOOKUP(S251,Employee_Lookups!$I$4:$M$19,2,FALSE())))</f>
        <v>Tanvi Chitnis</v>
      </c>
      <c r="X251" t="str">
        <f>VLOOKUP(C251,Employee_Lookups!$A$4:$G$9,4,FALSE())</f>
        <v>CC-606</v>
      </c>
      <c r="Y251" t="str">
        <f>INDEX(Employee_Lookups!$C$13:$C$17,MATCH(F251,Employee_Lookups!$A$13:$A$17,0))</f>
        <v>Band B (Mid)</v>
      </c>
      <c r="Z251" s="27">
        <f>_xlfn.XLOOKUP(F251,Employee_Lookups!$A$13:$A$17,Employee_Lookups!$E$13:$E$17,0)</f>
        <v>1100000</v>
      </c>
      <c r="AA251" s="28">
        <f>ROUND(O251/INDEX(Employee_Lookups!$E$13:$E$17,MATCH(F251,Employee_Lookups!$A$13:$A$17,0)),3)</f>
        <v>0.90700000000000003</v>
      </c>
      <c r="AB251">
        <f t="shared" si="24"/>
        <v>2021</v>
      </c>
      <c r="AC251" t="str">
        <f t="shared" si="25"/>
        <v/>
      </c>
      <c r="AD251" s="28">
        <f>ROUND((IF(ISBLANK(L251),Employee_Lookups!$O$14,L251)-J251)/365.25,2)</f>
        <v>4.74</v>
      </c>
      <c r="AE251" t="str">
        <f t="shared" si="26"/>
        <v>3 - 5 Yrs</v>
      </c>
      <c r="AF251" t="str">
        <f t="shared" si="27"/>
        <v>High Risk</v>
      </c>
    </row>
    <row r="252" spans="1:32" x14ac:dyDescent="0.45">
      <c r="A252" t="s">
        <v>701</v>
      </c>
      <c r="B252" t="s">
        <v>702</v>
      </c>
      <c r="C252" t="s">
        <v>55</v>
      </c>
      <c r="D252" t="s">
        <v>54</v>
      </c>
      <c r="E252" t="s">
        <v>277</v>
      </c>
      <c r="F252" t="s">
        <v>81</v>
      </c>
      <c r="G252" t="s">
        <v>278</v>
      </c>
      <c r="H252" t="s">
        <v>106</v>
      </c>
      <c r="I252" t="s">
        <v>107</v>
      </c>
      <c r="J252" s="26">
        <v>44292</v>
      </c>
      <c r="K252" t="s">
        <v>187</v>
      </c>
      <c r="L252" s="26">
        <v>44397</v>
      </c>
      <c r="M252" t="s">
        <v>213</v>
      </c>
      <c r="N252" t="s">
        <v>99</v>
      </c>
      <c r="O252" s="27">
        <v>603000</v>
      </c>
      <c r="P252">
        <v>4</v>
      </c>
      <c r="Q252" t="s">
        <v>172</v>
      </c>
      <c r="R252">
        <v>41</v>
      </c>
      <c r="S252" t="s">
        <v>274</v>
      </c>
      <c r="T252">
        <f t="shared" si="21"/>
        <v>11036</v>
      </c>
      <c r="U252" t="str">
        <f t="shared" si="22"/>
        <v>OPS</v>
      </c>
      <c r="V252" t="str">
        <f t="shared" si="23"/>
        <v>L1</v>
      </c>
      <c r="W252" t="str">
        <f>PROPER(TRIM(VLOOKUP(S252,Employee_Lookups!$I$4:$M$19,2,FALSE())))</f>
        <v>Meera Krishnan</v>
      </c>
      <c r="X252" t="str">
        <f>VLOOKUP(C252,Employee_Lookups!$A$4:$G$9,4,FALSE())</f>
        <v>CC-303</v>
      </c>
      <c r="Y252" t="str">
        <f>INDEX(Employee_Lookups!$C$13:$C$17,MATCH(F252,Employee_Lookups!$A$13:$A$17,0))</f>
        <v>Band A (Entry)</v>
      </c>
      <c r="Z252" s="27">
        <f>_xlfn.XLOOKUP(F252,Employee_Lookups!$A$13:$A$17,Employee_Lookups!$E$13:$E$17,0)</f>
        <v>700000</v>
      </c>
      <c r="AA252" s="28">
        <f>ROUND(O252/INDEX(Employee_Lookups!$E$13:$E$17,MATCH(F252,Employee_Lookups!$A$13:$A$17,0)),3)</f>
        <v>0.86099999999999999</v>
      </c>
      <c r="AB252">
        <f t="shared" si="24"/>
        <v>2021</v>
      </c>
      <c r="AC252">
        <f t="shared" si="25"/>
        <v>2021</v>
      </c>
      <c r="AD252" s="28">
        <f>ROUND((IF(ISBLANK(L252),Employee_Lookups!$O$14,L252)-J252)/365.25,2)</f>
        <v>0.28999999999999998</v>
      </c>
      <c r="AE252" t="str">
        <f t="shared" si="26"/>
        <v>&lt; 1 Yr (New)</v>
      </c>
      <c r="AF252" t="str">
        <f t="shared" si="27"/>
        <v>Exited</v>
      </c>
    </row>
    <row r="253" spans="1:32" x14ac:dyDescent="0.45">
      <c r="A253" t="s">
        <v>703</v>
      </c>
      <c r="B253" t="s">
        <v>704</v>
      </c>
      <c r="C253" t="s">
        <v>61</v>
      </c>
      <c r="D253" t="s">
        <v>60</v>
      </c>
      <c r="E253" t="s">
        <v>356</v>
      </c>
      <c r="F253" t="s">
        <v>81</v>
      </c>
      <c r="G253" t="s">
        <v>357</v>
      </c>
      <c r="H253" t="s">
        <v>111</v>
      </c>
      <c r="I253" t="s">
        <v>110</v>
      </c>
      <c r="J253" s="26">
        <v>44293</v>
      </c>
      <c r="K253" t="s">
        <v>162</v>
      </c>
      <c r="L253" s="26"/>
      <c r="M253" t="s">
        <v>163</v>
      </c>
      <c r="N253" t="s">
        <v>98</v>
      </c>
      <c r="O253" s="27">
        <v>677000</v>
      </c>
      <c r="P253">
        <v>4</v>
      </c>
      <c r="Q253" t="s">
        <v>172</v>
      </c>
      <c r="R253">
        <v>16</v>
      </c>
      <c r="S253" t="s">
        <v>253</v>
      </c>
      <c r="T253">
        <f t="shared" si="21"/>
        <v>11078</v>
      </c>
      <c r="U253" t="str">
        <f t="shared" si="22"/>
        <v>-HR</v>
      </c>
      <c r="V253" t="str">
        <f t="shared" si="23"/>
        <v>L1</v>
      </c>
      <c r="W253" t="str">
        <f>PROPER(TRIM(VLOOKUP(S253,Employee_Lookups!$I$4:$M$19,2,FALSE())))</f>
        <v>Nikhil Chatterjee</v>
      </c>
      <c r="X253" t="str">
        <f>VLOOKUP(C253,Employee_Lookups!$A$4:$G$9,4,FALSE())</f>
        <v>CC-505</v>
      </c>
      <c r="Y253" t="str">
        <f>INDEX(Employee_Lookups!$C$13:$C$17,MATCH(F253,Employee_Lookups!$A$13:$A$17,0))</f>
        <v>Band A (Entry)</v>
      </c>
      <c r="Z253" s="27">
        <f>_xlfn.XLOOKUP(F253,Employee_Lookups!$A$13:$A$17,Employee_Lookups!$E$13:$E$17,0)</f>
        <v>700000</v>
      </c>
      <c r="AA253" s="28">
        <f>ROUND(O253/INDEX(Employee_Lookups!$E$13:$E$17,MATCH(F253,Employee_Lookups!$A$13:$A$17,0)),3)</f>
        <v>0.96699999999999997</v>
      </c>
      <c r="AB253">
        <f t="shared" si="24"/>
        <v>2021</v>
      </c>
      <c r="AC253" t="str">
        <f t="shared" si="25"/>
        <v/>
      </c>
      <c r="AD253" s="28">
        <f>ROUND((IF(ISBLANK(L253),Employee_Lookups!$O$14,L253)-J253)/365.25,2)</f>
        <v>4.7300000000000004</v>
      </c>
      <c r="AE253" t="str">
        <f t="shared" si="26"/>
        <v>3 - 5 Yrs</v>
      </c>
      <c r="AF253" t="str">
        <f t="shared" si="27"/>
        <v>High Risk</v>
      </c>
    </row>
    <row r="254" spans="1:32" x14ac:dyDescent="0.45">
      <c r="A254" t="s">
        <v>705</v>
      </c>
      <c r="B254" t="s">
        <v>294</v>
      </c>
      <c r="C254" t="s">
        <v>55</v>
      </c>
      <c r="D254" t="s">
        <v>54</v>
      </c>
      <c r="E254" t="s">
        <v>240</v>
      </c>
      <c r="F254" t="s">
        <v>83</v>
      </c>
      <c r="G254" t="s">
        <v>241</v>
      </c>
      <c r="H254" t="s">
        <v>109</v>
      </c>
      <c r="I254" t="s">
        <v>110</v>
      </c>
      <c r="J254" s="26">
        <v>44295</v>
      </c>
      <c r="K254" t="s">
        <v>162</v>
      </c>
      <c r="L254" s="26"/>
      <c r="M254" t="s">
        <v>163</v>
      </c>
      <c r="N254" t="s">
        <v>98</v>
      </c>
      <c r="O254" s="27">
        <v>1735000</v>
      </c>
      <c r="P254">
        <v>2</v>
      </c>
      <c r="Q254" t="s">
        <v>164</v>
      </c>
      <c r="R254">
        <v>10</v>
      </c>
      <c r="S254" t="s">
        <v>274</v>
      </c>
      <c r="T254">
        <f t="shared" si="21"/>
        <v>10445</v>
      </c>
      <c r="U254" t="str">
        <f t="shared" si="22"/>
        <v>OPS</v>
      </c>
      <c r="V254" t="str">
        <f t="shared" si="23"/>
        <v>L3</v>
      </c>
      <c r="W254" t="str">
        <f>PROPER(TRIM(VLOOKUP(S254,Employee_Lookups!$I$4:$M$19,2,FALSE())))</f>
        <v>Meera Krishnan</v>
      </c>
      <c r="X254" t="str">
        <f>VLOOKUP(C254,Employee_Lookups!$A$4:$G$9,4,FALSE())</f>
        <v>CC-303</v>
      </c>
      <c r="Y254" t="str">
        <f>INDEX(Employee_Lookups!$C$13:$C$17,MATCH(F254,Employee_Lookups!$A$13:$A$17,0))</f>
        <v>Band C (Senior)</v>
      </c>
      <c r="Z254" s="27">
        <f>_xlfn.XLOOKUP(F254,Employee_Lookups!$A$13:$A$17,Employee_Lookups!$E$13:$E$17,0)</f>
        <v>1725000</v>
      </c>
      <c r="AA254" s="28">
        <f>ROUND(O254/INDEX(Employee_Lookups!$E$13:$E$17,MATCH(F254,Employee_Lookups!$A$13:$A$17,0)),3)</f>
        <v>1.006</v>
      </c>
      <c r="AB254">
        <f t="shared" si="24"/>
        <v>2021</v>
      </c>
      <c r="AC254" t="str">
        <f t="shared" si="25"/>
        <v/>
      </c>
      <c r="AD254" s="28">
        <f>ROUND((IF(ISBLANK(L254),Employee_Lookups!$O$14,L254)-J254)/365.25,2)</f>
        <v>4.7300000000000004</v>
      </c>
      <c r="AE254" t="str">
        <f t="shared" si="26"/>
        <v>3 - 5 Yrs</v>
      </c>
      <c r="AF254" t="str">
        <f t="shared" si="27"/>
        <v>Moderate Risk</v>
      </c>
    </row>
    <row r="255" spans="1:32" x14ac:dyDescent="0.45">
      <c r="A255" t="s">
        <v>706</v>
      </c>
      <c r="B255" t="s">
        <v>707</v>
      </c>
      <c r="C255" t="s">
        <v>51</v>
      </c>
      <c r="D255" t="s">
        <v>50</v>
      </c>
      <c r="E255" t="s">
        <v>217</v>
      </c>
      <c r="F255" t="s">
        <v>83</v>
      </c>
      <c r="G255" t="s">
        <v>218</v>
      </c>
      <c r="H255" t="s">
        <v>109</v>
      </c>
      <c r="I255" t="s">
        <v>110</v>
      </c>
      <c r="J255" s="26">
        <v>44295</v>
      </c>
      <c r="K255" t="s">
        <v>162</v>
      </c>
      <c r="L255" s="26"/>
      <c r="M255" t="s">
        <v>163</v>
      </c>
      <c r="N255" t="s">
        <v>99</v>
      </c>
      <c r="O255" s="27">
        <v>1859000</v>
      </c>
      <c r="P255">
        <v>5</v>
      </c>
      <c r="Q255" t="s">
        <v>164</v>
      </c>
      <c r="R255">
        <v>17</v>
      </c>
      <c r="S255" t="s">
        <v>219</v>
      </c>
      <c r="T255">
        <f t="shared" si="21"/>
        <v>11380</v>
      </c>
      <c r="U255" t="str">
        <f t="shared" si="22"/>
        <v>ENG</v>
      </c>
      <c r="V255" t="str">
        <f t="shared" si="23"/>
        <v>L3</v>
      </c>
      <c r="W255" t="str">
        <f>PROPER(TRIM(VLOOKUP(S255,Employee_Lookups!$I$4:$M$19,2,FALSE())))</f>
        <v>Neha Kulkarni</v>
      </c>
      <c r="X255" t="str">
        <f>VLOOKUP(C255,Employee_Lookups!$A$4:$G$9,4,FALSE())</f>
        <v>CC-101</v>
      </c>
      <c r="Y255" t="str">
        <f>INDEX(Employee_Lookups!$C$13:$C$17,MATCH(F255,Employee_Lookups!$A$13:$A$17,0))</f>
        <v>Band C (Senior)</v>
      </c>
      <c r="Z255" s="27">
        <f>_xlfn.XLOOKUP(F255,Employee_Lookups!$A$13:$A$17,Employee_Lookups!$E$13:$E$17,0)</f>
        <v>1725000</v>
      </c>
      <c r="AA255" s="28">
        <f>ROUND(O255/INDEX(Employee_Lookups!$E$13:$E$17,MATCH(F255,Employee_Lookups!$A$13:$A$17,0)),3)</f>
        <v>1.0780000000000001</v>
      </c>
      <c r="AB255">
        <f t="shared" si="24"/>
        <v>2021</v>
      </c>
      <c r="AC255" t="str">
        <f t="shared" si="25"/>
        <v/>
      </c>
      <c r="AD255" s="28">
        <f>ROUND((IF(ISBLANK(L255),Employee_Lookups!$O$14,L255)-J255)/365.25,2)</f>
        <v>4.7300000000000004</v>
      </c>
      <c r="AE255" t="str">
        <f t="shared" si="26"/>
        <v>3 - 5 Yrs</v>
      </c>
      <c r="AF255" t="str">
        <f t="shared" si="27"/>
        <v>Low Risk</v>
      </c>
    </row>
    <row r="256" spans="1:32" x14ac:dyDescent="0.45">
      <c r="A256" t="s">
        <v>708</v>
      </c>
      <c r="B256" t="s">
        <v>709</v>
      </c>
      <c r="C256" t="s">
        <v>61</v>
      </c>
      <c r="D256" t="s">
        <v>60</v>
      </c>
      <c r="E256" t="s">
        <v>251</v>
      </c>
      <c r="F256" t="s">
        <v>82</v>
      </c>
      <c r="G256" t="s">
        <v>252</v>
      </c>
      <c r="H256" t="s">
        <v>106</v>
      </c>
      <c r="I256" t="s">
        <v>107</v>
      </c>
      <c r="J256" s="26">
        <v>44296</v>
      </c>
      <c r="K256" t="s">
        <v>162</v>
      </c>
      <c r="L256" s="26"/>
      <c r="M256" t="s">
        <v>163</v>
      </c>
      <c r="N256" t="s">
        <v>99</v>
      </c>
      <c r="O256" s="27">
        <v>1295000</v>
      </c>
      <c r="P256">
        <v>4</v>
      </c>
      <c r="Q256" t="s">
        <v>172</v>
      </c>
      <c r="R256">
        <v>32</v>
      </c>
      <c r="S256" t="s">
        <v>319</v>
      </c>
      <c r="T256">
        <f t="shared" si="21"/>
        <v>10896</v>
      </c>
      <c r="U256" t="str">
        <f t="shared" si="22"/>
        <v>-HR</v>
      </c>
      <c r="V256" t="str">
        <f t="shared" si="23"/>
        <v>L2</v>
      </c>
      <c r="W256" t="str">
        <f>PROPER(TRIM(VLOOKUP(S256,Employee_Lookups!$I$4:$M$19,2,FALSE())))</f>
        <v>Kavita Menon</v>
      </c>
      <c r="X256" t="str">
        <f>VLOOKUP(C256,Employee_Lookups!$A$4:$G$9,4,FALSE())</f>
        <v>CC-505</v>
      </c>
      <c r="Y256" t="str">
        <f>INDEX(Employee_Lookups!$C$13:$C$17,MATCH(F256,Employee_Lookups!$A$13:$A$17,0))</f>
        <v>Band B (Mid)</v>
      </c>
      <c r="Z256" s="27">
        <f>_xlfn.XLOOKUP(F256,Employee_Lookups!$A$13:$A$17,Employee_Lookups!$E$13:$E$17,0)</f>
        <v>1100000</v>
      </c>
      <c r="AA256" s="28">
        <f>ROUND(O256/INDEX(Employee_Lookups!$E$13:$E$17,MATCH(F256,Employee_Lookups!$A$13:$A$17,0)),3)</f>
        <v>1.177</v>
      </c>
      <c r="AB256">
        <f t="shared" si="24"/>
        <v>2021</v>
      </c>
      <c r="AC256" t="str">
        <f t="shared" si="25"/>
        <v/>
      </c>
      <c r="AD256" s="28">
        <f>ROUND((IF(ISBLANK(L256),Employee_Lookups!$O$14,L256)-J256)/365.25,2)</f>
        <v>4.7300000000000004</v>
      </c>
      <c r="AE256" t="str">
        <f t="shared" si="26"/>
        <v>3 - 5 Yrs</v>
      </c>
      <c r="AF256" t="str">
        <f t="shared" si="27"/>
        <v>High Risk</v>
      </c>
    </row>
    <row r="257" spans="1:32" x14ac:dyDescent="0.45">
      <c r="A257" t="s">
        <v>710</v>
      </c>
      <c r="B257" t="s">
        <v>711</v>
      </c>
      <c r="C257" t="s">
        <v>53</v>
      </c>
      <c r="D257" t="s">
        <v>52</v>
      </c>
      <c r="E257" t="s">
        <v>322</v>
      </c>
      <c r="F257" t="s">
        <v>81</v>
      </c>
      <c r="G257" t="s">
        <v>323</v>
      </c>
      <c r="H257" t="s">
        <v>106</v>
      </c>
      <c r="I257" t="s">
        <v>107</v>
      </c>
      <c r="J257" s="26">
        <v>44298</v>
      </c>
      <c r="K257" t="s">
        <v>187</v>
      </c>
      <c r="L257" s="26">
        <v>45000</v>
      </c>
      <c r="M257" t="s">
        <v>213</v>
      </c>
      <c r="N257" t="s">
        <v>98</v>
      </c>
      <c r="O257" s="27">
        <v>744000</v>
      </c>
      <c r="P257">
        <v>4</v>
      </c>
      <c r="Q257" t="s">
        <v>164</v>
      </c>
      <c r="R257">
        <v>31</v>
      </c>
      <c r="S257" t="s">
        <v>189</v>
      </c>
      <c r="T257">
        <f t="shared" si="21"/>
        <v>10910</v>
      </c>
      <c r="U257" t="str">
        <f t="shared" si="22"/>
        <v>SAL</v>
      </c>
      <c r="V257" t="str">
        <f t="shared" si="23"/>
        <v>L1</v>
      </c>
      <c r="W257" t="str">
        <f>PROPER(TRIM(VLOOKUP(S257,Employee_Lookups!$I$4:$M$19,2,FALSE())))</f>
        <v>Priya Sharma</v>
      </c>
      <c r="X257" t="str">
        <f>VLOOKUP(C257,Employee_Lookups!$A$4:$G$9,4,FALSE())</f>
        <v>CC-202</v>
      </c>
      <c r="Y257" t="str">
        <f>INDEX(Employee_Lookups!$C$13:$C$17,MATCH(F257,Employee_Lookups!$A$13:$A$17,0))</f>
        <v>Band A (Entry)</v>
      </c>
      <c r="Z257" s="27">
        <f>_xlfn.XLOOKUP(F257,Employee_Lookups!$A$13:$A$17,Employee_Lookups!$E$13:$E$17,0)</f>
        <v>700000</v>
      </c>
      <c r="AA257" s="28">
        <f>ROUND(O257/INDEX(Employee_Lookups!$E$13:$E$17,MATCH(F257,Employee_Lookups!$A$13:$A$17,0)),3)</f>
        <v>1.0629999999999999</v>
      </c>
      <c r="AB257">
        <f t="shared" si="24"/>
        <v>2021</v>
      </c>
      <c r="AC257">
        <f t="shared" si="25"/>
        <v>2023</v>
      </c>
      <c r="AD257" s="28">
        <f>ROUND((IF(ISBLANK(L257),Employee_Lookups!$O$14,L257)-J257)/365.25,2)</f>
        <v>1.92</v>
      </c>
      <c r="AE257" t="str">
        <f t="shared" si="26"/>
        <v>1 - 3 Yrs</v>
      </c>
      <c r="AF257" t="str">
        <f t="shared" si="27"/>
        <v>Exited</v>
      </c>
    </row>
    <row r="258" spans="1:32" x14ac:dyDescent="0.45">
      <c r="A258" t="s">
        <v>712</v>
      </c>
      <c r="B258" t="s">
        <v>640</v>
      </c>
      <c r="C258" t="s">
        <v>51</v>
      </c>
      <c r="D258" t="s">
        <v>50</v>
      </c>
      <c r="E258" t="s">
        <v>181</v>
      </c>
      <c r="F258" t="s">
        <v>81</v>
      </c>
      <c r="G258" t="s">
        <v>182</v>
      </c>
      <c r="H258" t="s">
        <v>106</v>
      </c>
      <c r="I258" t="s">
        <v>107</v>
      </c>
      <c r="J258" s="26">
        <v>44300</v>
      </c>
      <c r="K258" t="s">
        <v>162</v>
      </c>
      <c r="L258" s="26"/>
      <c r="M258" t="s">
        <v>163</v>
      </c>
      <c r="N258" t="s">
        <v>95</v>
      </c>
      <c r="O258" s="27">
        <v>730000</v>
      </c>
      <c r="P258">
        <v>3</v>
      </c>
      <c r="Q258" t="s">
        <v>172</v>
      </c>
      <c r="R258">
        <v>43</v>
      </c>
      <c r="S258" t="s">
        <v>178</v>
      </c>
      <c r="T258">
        <f t="shared" ref="T258:T321" si="28">VALUE(MID(A258,5,5))</f>
        <v>11083</v>
      </c>
      <c r="U258" t="str">
        <f t="shared" ref="U258:U321" si="29">LEFT(E258,3)</f>
        <v>ENG</v>
      </c>
      <c r="V258" t="str">
        <f t="shared" ref="V258:V321" si="30">RIGHT(E258,2)</f>
        <v>L1</v>
      </c>
      <c r="W258" t="str">
        <f>PROPER(TRIM(VLOOKUP(S258,Employee_Lookups!$I$4:$M$19,2,FALSE())))</f>
        <v>Aarav Deshmukh</v>
      </c>
      <c r="X258" t="str">
        <f>VLOOKUP(C258,Employee_Lookups!$A$4:$G$9,4,FALSE())</f>
        <v>CC-101</v>
      </c>
      <c r="Y258" t="str">
        <f>INDEX(Employee_Lookups!$C$13:$C$17,MATCH(F258,Employee_Lookups!$A$13:$A$17,0))</f>
        <v>Band A (Entry)</v>
      </c>
      <c r="Z258" s="27">
        <f>_xlfn.XLOOKUP(F258,Employee_Lookups!$A$13:$A$17,Employee_Lookups!$E$13:$E$17,0)</f>
        <v>700000</v>
      </c>
      <c r="AA258" s="28">
        <f>ROUND(O258/INDEX(Employee_Lookups!$E$13:$E$17,MATCH(F258,Employee_Lookups!$A$13:$A$17,0)),3)</f>
        <v>1.0429999999999999</v>
      </c>
      <c r="AB258">
        <f t="shared" ref="AB258:AB321" si="31">YEAR(J258)</f>
        <v>2021</v>
      </c>
      <c r="AC258" t="str">
        <f t="shared" ref="AC258:AC321" si="32">IF(ISBLANK(L258),"",YEAR(L258))</f>
        <v/>
      </c>
      <c r="AD258" s="28">
        <f>ROUND((IF(ISBLANK(L258),Employee_Lookups!$O$14,L258)-J258)/365.25,2)</f>
        <v>4.71</v>
      </c>
      <c r="AE258" t="str">
        <f t="shared" ref="AE258:AE321" si="33">IF(AD258&lt;1,"&lt; 1 Yr (New)",IF(AD258&lt;3,"1 - 3 Yrs",IF(AD258&lt;5,"3 - 5 Yrs","5+ Yrs")))</f>
        <v>3 - 5 Yrs</v>
      </c>
      <c r="AF258" t="str">
        <f t="shared" ref="AF258:AF321" si="34">IF(K258&lt;&gt;"Active","Exited",IF(AND(Q258="Yes",OR(P258&gt;=4,AA258&lt;0.95)),"High Risk",IF(OR(Q258="Yes",AND(NOT(ISBLANK(P258)),P258&lt;=2)),"Moderate Risk","Low Risk")))</f>
        <v>Moderate Risk</v>
      </c>
    </row>
    <row r="259" spans="1:32" x14ac:dyDescent="0.45">
      <c r="A259" t="s">
        <v>713</v>
      </c>
      <c r="B259" t="s">
        <v>714</v>
      </c>
      <c r="C259" t="s">
        <v>53</v>
      </c>
      <c r="D259" t="s">
        <v>52</v>
      </c>
      <c r="E259" t="s">
        <v>185</v>
      </c>
      <c r="F259" t="s">
        <v>82</v>
      </c>
      <c r="G259" t="s">
        <v>186</v>
      </c>
      <c r="H259" t="s">
        <v>108</v>
      </c>
      <c r="I259" t="s">
        <v>107</v>
      </c>
      <c r="J259" s="26">
        <v>44300</v>
      </c>
      <c r="K259" t="s">
        <v>162</v>
      </c>
      <c r="L259" s="26"/>
      <c r="M259" t="s">
        <v>163</v>
      </c>
      <c r="N259" t="s">
        <v>98</v>
      </c>
      <c r="O259" s="27">
        <v>1268000</v>
      </c>
      <c r="P259">
        <v>4</v>
      </c>
      <c r="Q259" t="s">
        <v>172</v>
      </c>
      <c r="R259">
        <v>19</v>
      </c>
      <c r="S259" t="s">
        <v>194</v>
      </c>
      <c r="T259">
        <f t="shared" si="28"/>
        <v>10777</v>
      </c>
      <c r="U259" t="str">
        <f t="shared" si="29"/>
        <v>SAL</v>
      </c>
      <c r="V259" t="str">
        <f t="shared" si="30"/>
        <v>L2</v>
      </c>
      <c r="W259" t="str">
        <f>PROPER(TRIM(VLOOKUP(S259,Employee_Lookups!$I$4:$M$19,2,FALSE())))</f>
        <v>Vikramaditya Joshi</v>
      </c>
      <c r="X259" t="str">
        <f>VLOOKUP(C259,Employee_Lookups!$A$4:$G$9,4,FALSE())</f>
        <v>CC-202</v>
      </c>
      <c r="Y259" t="str">
        <f>INDEX(Employee_Lookups!$C$13:$C$17,MATCH(F259,Employee_Lookups!$A$13:$A$17,0))</f>
        <v>Band B (Mid)</v>
      </c>
      <c r="Z259" s="27">
        <f>_xlfn.XLOOKUP(F259,Employee_Lookups!$A$13:$A$17,Employee_Lookups!$E$13:$E$17,0)</f>
        <v>1100000</v>
      </c>
      <c r="AA259" s="28">
        <f>ROUND(O259/INDEX(Employee_Lookups!$E$13:$E$17,MATCH(F259,Employee_Lookups!$A$13:$A$17,0)),3)</f>
        <v>1.153</v>
      </c>
      <c r="AB259">
        <f t="shared" si="31"/>
        <v>2021</v>
      </c>
      <c r="AC259" t="str">
        <f t="shared" si="32"/>
        <v/>
      </c>
      <c r="AD259" s="28">
        <f>ROUND((IF(ISBLANK(L259),Employee_Lookups!$O$14,L259)-J259)/365.25,2)</f>
        <v>4.71</v>
      </c>
      <c r="AE259" t="str">
        <f t="shared" si="33"/>
        <v>3 - 5 Yrs</v>
      </c>
      <c r="AF259" t="str">
        <f t="shared" si="34"/>
        <v>High Risk</v>
      </c>
    </row>
    <row r="260" spans="1:32" x14ac:dyDescent="0.45">
      <c r="A260" t="s">
        <v>715</v>
      </c>
      <c r="B260" t="s">
        <v>716</v>
      </c>
      <c r="C260" t="s">
        <v>53</v>
      </c>
      <c r="D260" t="s">
        <v>52</v>
      </c>
      <c r="E260" t="s">
        <v>185</v>
      </c>
      <c r="F260" t="s">
        <v>82</v>
      </c>
      <c r="G260" t="s">
        <v>186</v>
      </c>
      <c r="H260" t="s">
        <v>108</v>
      </c>
      <c r="I260" t="s">
        <v>107</v>
      </c>
      <c r="J260" s="26">
        <v>44301</v>
      </c>
      <c r="K260" t="s">
        <v>162</v>
      </c>
      <c r="L260" s="26"/>
      <c r="M260" t="s">
        <v>163</v>
      </c>
      <c r="N260" t="s">
        <v>97</v>
      </c>
      <c r="O260" s="27">
        <v>965000</v>
      </c>
      <c r="P260">
        <v>1</v>
      </c>
      <c r="Q260" t="s">
        <v>164</v>
      </c>
      <c r="R260">
        <v>34</v>
      </c>
      <c r="S260" t="s">
        <v>237</v>
      </c>
      <c r="T260">
        <f t="shared" si="28"/>
        <v>11427</v>
      </c>
      <c r="U260" t="str">
        <f t="shared" si="29"/>
        <v>SAL</v>
      </c>
      <c r="V260" t="str">
        <f t="shared" si="30"/>
        <v>L2</v>
      </c>
      <c r="W260" t="str">
        <f>PROPER(TRIM(VLOOKUP(S260,Employee_Lookups!$I$4:$M$19,2,FALSE())))</f>
        <v>Karan Malhotra</v>
      </c>
      <c r="X260" t="str">
        <f>VLOOKUP(C260,Employee_Lookups!$A$4:$G$9,4,FALSE())</f>
        <v>CC-202</v>
      </c>
      <c r="Y260" t="str">
        <f>INDEX(Employee_Lookups!$C$13:$C$17,MATCH(F260,Employee_Lookups!$A$13:$A$17,0))</f>
        <v>Band B (Mid)</v>
      </c>
      <c r="Z260" s="27">
        <f>_xlfn.XLOOKUP(F260,Employee_Lookups!$A$13:$A$17,Employee_Lookups!$E$13:$E$17,0)</f>
        <v>1100000</v>
      </c>
      <c r="AA260" s="28">
        <f>ROUND(O260/INDEX(Employee_Lookups!$E$13:$E$17,MATCH(F260,Employee_Lookups!$A$13:$A$17,0)),3)</f>
        <v>0.877</v>
      </c>
      <c r="AB260">
        <f t="shared" si="31"/>
        <v>2021</v>
      </c>
      <c r="AC260" t="str">
        <f t="shared" si="32"/>
        <v/>
      </c>
      <c r="AD260" s="28">
        <f>ROUND((IF(ISBLANK(L260),Employee_Lookups!$O$14,L260)-J260)/365.25,2)</f>
        <v>4.71</v>
      </c>
      <c r="AE260" t="str">
        <f t="shared" si="33"/>
        <v>3 - 5 Yrs</v>
      </c>
      <c r="AF260" t="str">
        <f t="shared" si="34"/>
        <v>Moderate Risk</v>
      </c>
    </row>
    <row r="261" spans="1:32" x14ac:dyDescent="0.45">
      <c r="A261" t="s">
        <v>717</v>
      </c>
      <c r="B261" t="s">
        <v>718</v>
      </c>
      <c r="C261" t="s">
        <v>59</v>
      </c>
      <c r="D261" t="s">
        <v>58</v>
      </c>
      <c r="E261" t="s">
        <v>206</v>
      </c>
      <c r="F261" t="s">
        <v>81</v>
      </c>
      <c r="G261" t="s">
        <v>207</v>
      </c>
      <c r="H261" t="s">
        <v>106</v>
      </c>
      <c r="I261" t="s">
        <v>107</v>
      </c>
      <c r="J261" s="26">
        <v>44309</v>
      </c>
      <c r="K261" t="s">
        <v>162</v>
      </c>
      <c r="L261" s="26"/>
      <c r="M261" t="s">
        <v>163</v>
      </c>
      <c r="N261" t="s">
        <v>95</v>
      </c>
      <c r="O261" s="27">
        <v>834000</v>
      </c>
      <c r="P261">
        <v>4</v>
      </c>
      <c r="Q261" t="s">
        <v>172</v>
      </c>
      <c r="R261">
        <v>28</v>
      </c>
      <c r="S261" t="s">
        <v>208</v>
      </c>
      <c r="T261">
        <f t="shared" si="28"/>
        <v>10907</v>
      </c>
      <c r="U261" t="str">
        <f t="shared" si="29"/>
        <v>FIN</v>
      </c>
      <c r="V261" t="str">
        <f t="shared" si="30"/>
        <v>L1</v>
      </c>
      <c r="W261" t="str">
        <f>PROPER(TRIM(VLOOKUP(S261,Employee_Lookups!$I$4:$M$19,2,FALSE())))</f>
        <v>Rajeshwari Rao</v>
      </c>
      <c r="X261" t="str">
        <f>VLOOKUP(C261,Employee_Lookups!$A$4:$G$9,4,FALSE())</f>
        <v>CC-404</v>
      </c>
      <c r="Y261" t="str">
        <f>INDEX(Employee_Lookups!$C$13:$C$17,MATCH(F261,Employee_Lookups!$A$13:$A$17,0))</f>
        <v>Band A (Entry)</v>
      </c>
      <c r="Z261" s="27">
        <f>_xlfn.XLOOKUP(F261,Employee_Lookups!$A$13:$A$17,Employee_Lookups!$E$13:$E$17,0)</f>
        <v>700000</v>
      </c>
      <c r="AA261" s="28">
        <f>ROUND(O261/INDEX(Employee_Lookups!$E$13:$E$17,MATCH(F261,Employee_Lookups!$A$13:$A$17,0)),3)</f>
        <v>1.1910000000000001</v>
      </c>
      <c r="AB261">
        <f t="shared" si="31"/>
        <v>2021</v>
      </c>
      <c r="AC261" t="str">
        <f t="shared" si="32"/>
        <v/>
      </c>
      <c r="AD261" s="28">
        <f>ROUND((IF(ISBLANK(L261),Employee_Lookups!$O$14,L261)-J261)/365.25,2)</f>
        <v>4.6900000000000004</v>
      </c>
      <c r="AE261" t="str">
        <f t="shared" si="33"/>
        <v>3 - 5 Yrs</v>
      </c>
      <c r="AF261" t="str">
        <f t="shared" si="34"/>
        <v>High Risk</v>
      </c>
    </row>
    <row r="262" spans="1:32" x14ac:dyDescent="0.45">
      <c r="A262" t="s">
        <v>719</v>
      </c>
      <c r="B262" t="s">
        <v>720</v>
      </c>
      <c r="C262" t="s">
        <v>59</v>
      </c>
      <c r="D262" t="s">
        <v>58</v>
      </c>
      <c r="E262" t="s">
        <v>211</v>
      </c>
      <c r="F262" t="s">
        <v>82</v>
      </c>
      <c r="G262" t="s">
        <v>212</v>
      </c>
      <c r="H262" t="s">
        <v>109</v>
      </c>
      <c r="I262" t="s">
        <v>110</v>
      </c>
      <c r="J262" s="26">
        <v>44314</v>
      </c>
      <c r="K262" t="s">
        <v>162</v>
      </c>
      <c r="L262" s="26"/>
      <c r="M262" t="s">
        <v>163</v>
      </c>
      <c r="N262" t="s">
        <v>99</v>
      </c>
      <c r="O262" s="27">
        <v>912000</v>
      </c>
      <c r="P262">
        <v>3</v>
      </c>
      <c r="Q262" t="s">
        <v>164</v>
      </c>
      <c r="R262">
        <v>24</v>
      </c>
      <c r="S262" t="s">
        <v>208</v>
      </c>
      <c r="T262">
        <f t="shared" si="28"/>
        <v>11282</v>
      </c>
      <c r="U262" t="str">
        <f t="shared" si="29"/>
        <v>FIN</v>
      </c>
      <c r="V262" t="str">
        <f t="shared" si="30"/>
        <v>L2</v>
      </c>
      <c r="W262" t="str">
        <f>PROPER(TRIM(VLOOKUP(S262,Employee_Lookups!$I$4:$M$19,2,FALSE())))</f>
        <v>Rajeshwari Rao</v>
      </c>
      <c r="X262" t="str">
        <f>VLOOKUP(C262,Employee_Lookups!$A$4:$G$9,4,FALSE())</f>
        <v>CC-404</v>
      </c>
      <c r="Y262" t="str">
        <f>INDEX(Employee_Lookups!$C$13:$C$17,MATCH(F262,Employee_Lookups!$A$13:$A$17,0))</f>
        <v>Band B (Mid)</v>
      </c>
      <c r="Z262" s="27">
        <f>_xlfn.XLOOKUP(F262,Employee_Lookups!$A$13:$A$17,Employee_Lookups!$E$13:$E$17,0)</f>
        <v>1100000</v>
      </c>
      <c r="AA262" s="28">
        <f>ROUND(O262/INDEX(Employee_Lookups!$E$13:$E$17,MATCH(F262,Employee_Lookups!$A$13:$A$17,0)),3)</f>
        <v>0.82899999999999996</v>
      </c>
      <c r="AB262">
        <f t="shared" si="31"/>
        <v>2021</v>
      </c>
      <c r="AC262" t="str">
        <f t="shared" si="32"/>
        <v/>
      </c>
      <c r="AD262" s="28">
        <f>ROUND((IF(ISBLANK(L262),Employee_Lookups!$O$14,L262)-J262)/365.25,2)</f>
        <v>4.68</v>
      </c>
      <c r="AE262" t="str">
        <f t="shared" si="33"/>
        <v>3 - 5 Yrs</v>
      </c>
      <c r="AF262" t="str">
        <f t="shared" si="34"/>
        <v>Low Risk</v>
      </c>
    </row>
    <row r="263" spans="1:32" x14ac:dyDescent="0.45">
      <c r="A263" t="s">
        <v>721</v>
      </c>
      <c r="B263" t="s">
        <v>722</v>
      </c>
      <c r="C263" t="s">
        <v>57</v>
      </c>
      <c r="D263" t="s">
        <v>56</v>
      </c>
      <c r="E263" t="s">
        <v>222</v>
      </c>
      <c r="F263" t="s">
        <v>82</v>
      </c>
      <c r="G263" t="s">
        <v>223</v>
      </c>
      <c r="H263" t="s">
        <v>106</v>
      </c>
      <c r="I263" t="s">
        <v>107</v>
      </c>
      <c r="J263" s="26">
        <v>44317</v>
      </c>
      <c r="K263" t="s">
        <v>162</v>
      </c>
      <c r="L263" s="26"/>
      <c r="M263" t="s">
        <v>163</v>
      </c>
      <c r="N263" t="s">
        <v>95</v>
      </c>
      <c r="O263" s="27">
        <v>1218000</v>
      </c>
      <c r="P263">
        <v>4</v>
      </c>
      <c r="Q263" t="s">
        <v>164</v>
      </c>
      <c r="R263">
        <v>40</v>
      </c>
      <c r="S263" t="s">
        <v>165</v>
      </c>
      <c r="T263">
        <f t="shared" si="28"/>
        <v>10796</v>
      </c>
      <c r="U263" t="str">
        <f t="shared" si="29"/>
        <v>MKT</v>
      </c>
      <c r="V263" t="str">
        <f t="shared" si="30"/>
        <v>L2</v>
      </c>
      <c r="W263" t="str">
        <f>PROPER(TRIM(VLOOKUP(S263,Employee_Lookups!$I$4:$M$19,2,FALSE())))</f>
        <v>Arjun Sengupta</v>
      </c>
      <c r="X263" t="str">
        <f>VLOOKUP(C263,Employee_Lookups!$A$4:$G$9,4,FALSE())</f>
        <v>CC-606</v>
      </c>
      <c r="Y263" t="str">
        <f>INDEX(Employee_Lookups!$C$13:$C$17,MATCH(F263,Employee_Lookups!$A$13:$A$17,0))</f>
        <v>Band B (Mid)</v>
      </c>
      <c r="Z263" s="27">
        <f>_xlfn.XLOOKUP(F263,Employee_Lookups!$A$13:$A$17,Employee_Lookups!$E$13:$E$17,0)</f>
        <v>1100000</v>
      </c>
      <c r="AA263" s="28">
        <f>ROUND(O263/INDEX(Employee_Lookups!$E$13:$E$17,MATCH(F263,Employee_Lookups!$A$13:$A$17,0)),3)</f>
        <v>1.107</v>
      </c>
      <c r="AB263">
        <f t="shared" si="31"/>
        <v>2021</v>
      </c>
      <c r="AC263" t="str">
        <f t="shared" si="32"/>
        <v/>
      </c>
      <c r="AD263" s="28">
        <f>ROUND((IF(ISBLANK(L263),Employee_Lookups!$O$14,L263)-J263)/365.25,2)</f>
        <v>4.67</v>
      </c>
      <c r="AE263" t="str">
        <f t="shared" si="33"/>
        <v>3 - 5 Yrs</v>
      </c>
      <c r="AF263" t="str">
        <f t="shared" si="34"/>
        <v>Low Risk</v>
      </c>
    </row>
    <row r="264" spans="1:32" x14ac:dyDescent="0.45">
      <c r="A264" t="s">
        <v>723</v>
      </c>
      <c r="B264" t="s">
        <v>724</v>
      </c>
      <c r="C264" t="s">
        <v>55</v>
      </c>
      <c r="D264" t="s">
        <v>54</v>
      </c>
      <c r="E264" t="s">
        <v>229</v>
      </c>
      <c r="F264" t="s">
        <v>82</v>
      </c>
      <c r="G264" t="s">
        <v>230</v>
      </c>
      <c r="H264" t="s">
        <v>106</v>
      </c>
      <c r="I264" t="s">
        <v>107</v>
      </c>
      <c r="J264" s="26">
        <v>44323</v>
      </c>
      <c r="K264" t="s">
        <v>170</v>
      </c>
      <c r="L264" s="26">
        <v>44480</v>
      </c>
      <c r="M264" t="s">
        <v>171</v>
      </c>
      <c r="N264" t="s">
        <v>98</v>
      </c>
      <c r="O264" s="27">
        <v>1140000</v>
      </c>
      <c r="P264">
        <v>1</v>
      </c>
      <c r="Q264" t="s">
        <v>164</v>
      </c>
      <c r="R264">
        <v>9</v>
      </c>
      <c r="S264" t="s">
        <v>262</v>
      </c>
      <c r="T264">
        <f t="shared" si="28"/>
        <v>10031</v>
      </c>
      <c r="U264" t="str">
        <f t="shared" si="29"/>
        <v>OPS</v>
      </c>
      <c r="V264" t="str">
        <f t="shared" si="30"/>
        <v>L2</v>
      </c>
      <c r="W264" t="str">
        <f>PROPER(TRIM(VLOOKUP(S264,Employee_Lookups!$I$4:$M$19,2,FALSE())))</f>
        <v>Ananya Iyer</v>
      </c>
      <c r="X264" t="str">
        <f>VLOOKUP(C264,Employee_Lookups!$A$4:$G$9,4,FALSE())</f>
        <v>CC-303</v>
      </c>
      <c r="Y264" t="str">
        <f>INDEX(Employee_Lookups!$C$13:$C$17,MATCH(F264,Employee_Lookups!$A$13:$A$17,0))</f>
        <v>Band B (Mid)</v>
      </c>
      <c r="Z264" s="27">
        <f>_xlfn.XLOOKUP(F264,Employee_Lookups!$A$13:$A$17,Employee_Lookups!$E$13:$E$17,0)</f>
        <v>1100000</v>
      </c>
      <c r="AA264" s="28">
        <f>ROUND(O264/INDEX(Employee_Lookups!$E$13:$E$17,MATCH(F264,Employee_Lookups!$A$13:$A$17,0)),3)</f>
        <v>1.036</v>
      </c>
      <c r="AB264">
        <f t="shared" si="31"/>
        <v>2021</v>
      </c>
      <c r="AC264">
        <f t="shared" si="32"/>
        <v>2021</v>
      </c>
      <c r="AD264" s="28">
        <f>ROUND((IF(ISBLANK(L264),Employee_Lookups!$O$14,L264)-J264)/365.25,2)</f>
        <v>0.43</v>
      </c>
      <c r="AE264" t="str">
        <f t="shared" si="33"/>
        <v>&lt; 1 Yr (New)</v>
      </c>
      <c r="AF264" t="str">
        <f t="shared" si="34"/>
        <v>Exited</v>
      </c>
    </row>
    <row r="265" spans="1:32" x14ac:dyDescent="0.45">
      <c r="A265" t="s">
        <v>725</v>
      </c>
      <c r="B265" t="s">
        <v>726</v>
      </c>
      <c r="C265" t="s">
        <v>53</v>
      </c>
      <c r="D265" t="s">
        <v>52</v>
      </c>
      <c r="E265" t="s">
        <v>200</v>
      </c>
      <c r="F265" t="s">
        <v>84</v>
      </c>
      <c r="G265" t="s">
        <v>201</v>
      </c>
      <c r="H265" t="s">
        <v>109</v>
      </c>
      <c r="I265" t="s">
        <v>110</v>
      </c>
      <c r="J265" s="26">
        <v>44324</v>
      </c>
      <c r="K265" t="s">
        <v>162</v>
      </c>
      <c r="L265" s="26"/>
      <c r="M265" t="s">
        <v>163</v>
      </c>
      <c r="N265" t="s">
        <v>95</v>
      </c>
      <c r="O265" s="27">
        <v>3057000</v>
      </c>
      <c r="P265">
        <v>2</v>
      </c>
      <c r="Q265" t="s">
        <v>172</v>
      </c>
      <c r="R265">
        <v>40</v>
      </c>
      <c r="S265" t="s">
        <v>237</v>
      </c>
      <c r="T265">
        <f t="shared" si="28"/>
        <v>10001</v>
      </c>
      <c r="U265" t="str">
        <f t="shared" si="29"/>
        <v>SAL</v>
      </c>
      <c r="V265" t="str">
        <f t="shared" si="30"/>
        <v>L4</v>
      </c>
      <c r="W265" t="str">
        <f>PROPER(TRIM(VLOOKUP(S265,Employee_Lookups!$I$4:$M$19,2,FALSE())))</f>
        <v>Karan Malhotra</v>
      </c>
      <c r="X265" t="str">
        <f>VLOOKUP(C265,Employee_Lookups!$A$4:$G$9,4,FALSE())</f>
        <v>CC-202</v>
      </c>
      <c r="Y265" t="str">
        <f>INDEX(Employee_Lookups!$C$13:$C$17,MATCH(F265,Employee_Lookups!$A$13:$A$17,0))</f>
        <v>Band D (Leadership)</v>
      </c>
      <c r="Z265" s="27">
        <f>_xlfn.XLOOKUP(F265,Employee_Lookups!$A$13:$A$17,Employee_Lookups!$E$13:$E$17,0)</f>
        <v>2750000</v>
      </c>
      <c r="AA265" s="28">
        <f>ROUND(O265/INDEX(Employee_Lookups!$E$13:$E$17,MATCH(F265,Employee_Lookups!$A$13:$A$17,0)),3)</f>
        <v>1.1120000000000001</v>
      </c>
      <c r="AB265">
        <f t="shared" si="31"/>
        <v>2021</v>
      </c>
      <c r="AC265" t="str">
        <f t="shared" si="32"/>
        <v/>
      </c>
      <c r="AD265" s="28">
        <f>ROUND((IF(ISBLANK(L265),Employee_Lookups!$O$14,L265)-J265)/365.25,2)</f>
        <v>4.6500000000000004</v>
      </c>
      <c r="AE265" t="str">
        <f t="shared" si="33"/>
        <v>3 - 5 Yrs</v>
      </c>
      <c r="AF265" t="str">
        <f t="shared" si="34"/>
        <v>Moderate Risk</v>
      </c>
    </row>
    <row r="266" spans="1:32" x14ac:dyDescent="0.45">
      <c r="A266" t="s">
        <v>727</v>
      </c>
      <c r="B266" t="s">
        <v>728</v>
      </c>
      <c r="C266" t="s">
        <v>51</v>
      </c>
      <c r="D266" t="s">
        <v>50</v>
      </c>
      <c r="E266" t="s">
        <v>181</v>
      </c>
      <c r="F266" t="s">
        <v>81</v>
      </c>
      <c r="G266" t="s">
        <v>182</v>
      </c>
      <c r="H266" t="s">
        <v>106</v>
      </c>
      <c r="I266" t="s">
        <v>107</v>
      </c>
      <c r="J266" s="26">
        <v>44326</v>
      </c>
      <c r="K266" t="s">
        <v>187</v>
      </c>
      <c r="L266" s="26">
        <v>44635</v>
      </c>
      <c r="M266" t="s">
        <v>282</v>
      </c>
      <c r="N266" t="s">
        <v>99</v>
      </c>
      <c r="O266" s="27">
        <v>586000</v>
      </c>
      <c r="P266">
        <v>4</v>
      </c>
      <c r="Q266" t="s">
        <v>172</v>
      </c>
      <c r="R266">
        <v>36</v>
      </c>
      <c r="S266" t="s">
        <v>244</v>
      </c>
      <c r="T266">
        <f t="shared" si="28"/>
        <v>10087</v>
      </c>
      <c r="U266" t="str">
        <f t="shared" si="29"/>
        <v>ENG</v>
      </c>
      <c r="V266" t="str">
        <f t="shared" si="30"/>
        <v>L1</v>
      </c>
      <c r="W266" t="str">
        <f>PROPER(TRIM(VLOOKUP(S266,Employee_Lookups!$I$4:$M$19,2,FALSE())))</f>
        <v>Siddharth Nair</v>
      </c>
      <c r="X266" t="str">
        <f>VLOOKUP(C266,Employee_Lookups!$A$4:$G$9,4,FALSE())</f>
        <v>CC-101</v>
      </c>
      <c r="Y266" t="str">
        <f>INDEX(Employee_Lookups!$C$13:$C$17,MATCH(F266,Employee_Lookups!$A$13:$A$17,0))</f>
        <v>Band A (Entry)</v>
      </c>
      <c r="Z266" s="27">
        <f>_xlfn.XLOOKUP(F266,Employee_Lookups!$A$13:$A$17,Employee_Lookups!$E$13:$E$17,0)</f>
        <v>700000</v>
      </c>
      <c r="AA266" s="28">
        <f>ROUND(O266/INDEX(Employee_Lookups!$E$13:$E$17,MATCH(F266,Employee_Lookups!$A$13:$A$17,0)),3)</f>
        <v>0.83699999999999997</v>
      </c>
      <c r="AB266">
        <f t="shared" si="31"/>
        <v>2021</v>
      </c>
      <c r="AC266">
        <f t="shared" si="32"/>
        <v>2022</v>
      </c>
      <c r="AD266" s="28">
        <f>ROUND((IF(ISBLANK(L266),Employee_Lookups!$O$14,L266)-J266)/365.25,2)</f>
        <v>0.85</v>
      </c>
      <c r="AE266" t="str">
        <f t="shared" si="33"/>
        <v>&lt; 1 Yr (New)</v>
      </c>
      <c r="AF266" t="str">
        <f t="shared" si="34"/>
        <v>Exited</v>
      </c>
    </row>
    <row r="267" spans="1:32" x14ac:dyDescent="0.45">
      <c r="A267" t="s">
        <v>729</v>
      </c>
      <c r="B267" t="s">
        <v>730</v>
      </c>
      <c r="C267" t="s">
        <v>55</v>
      </c>
      <c r="D267" t="s">
        <v>54</v>
      </c>
      <c r="E267" t="s">
        <v>240</v>
      </c>
      <c r="F267" t="s">
        <v>83</v>
      </c>
      <c r="G267" t="s">
        <v>241</v>
      </c>
      <c r="H267" t="s">
        <v>108</v>
      </c>
      <c r="I267" t="s">
        <v>107</v>
      </c>
      <c r="J267" s="26">
        <v>44333</v>
      </c>
      <c r="K267" t="s">
        <v>170</v>
      </c>
      <c r="L267" s="26">
        <v>44825</v>
      </c>
      <c r="M267" t="s">
        <v>171</v>
      </c>
      <c r="N267" t="s">
        <v>95</v>
      </c>
      <c r="O267" s="27">
        <v>1755000</v>
      </c>
      <c r="P267">
        <v>2</v>
      </c>
      <c r="Q267" t="s">
        <v>172</v>
      </c>
      <c r="R267">
        <v>19</v>
      </c>
      <c r="S267" t="s">
        <v>262</v>
      </c>
      <c r="T267">
        <f t="shared" si="28"/>
        <v>10649</v>
      </c>
      <c r="U267" t="str">
        <f t="shared" si="29"/>
        <v>OPS</v>
      </c>
      <c r="V267" t="str">
        <f t="shared" si="30"/>
        <v>L3</v>
      </c>
      <c r="W267" t="str">
        <f>PROPER(TRIM(VLOOKUP(S267,Employee_Lookups!$I$4:$M$19,2,FALSE())))</f>
        <v>Ananya Iyer</v>
      </c>
      <c r="X267" t="str">
        <f>VLOOKUP(C267,Employee_Lookups!$A$4:$G$9,4,FALSE())</f>
        <v>CC-303</v>
      </c>
      <c r="Y267" t="str">
        <f>INDEX(Employee_Lookups!$C$13:$C$17,MATCH(F267,Employee_Lookups!$A$13:$A$17,0))</f>
        <v>Band C (Senior)</v>
      </c>
      <c r="Z267" s="27">
        <f>_xlfn.XLOOKUP(F267,Employee_Lookups!$A$13:$A$17,Employee_Lookups!$E$13:$E$17,0)</f>
        <v>1725000</v>
      </c>
      <c r="AA267" s="28">
        <f>ROUND(O267/INDEX(Employee_Lookups!$E$13:$E$17,MATCH(F267,Employee_Lookups!$A$13:$A$17,0)),3)</f>
        <v>1.0169999999999999</v>
      </c>
      <c r="AB267">
        <f t="shared" si="31"/>
        <v>2021</v>
      </c>
      <c r="AC267">
        <f t="shared" si="32"/>
        <v>2022</v>
      </c>
      <c r="AD267" s="28">
        <f>ROUND((IF(ISBLANK(L267),Employee_Lookups!$O$14,L267)-J267)/365.25,2)</f>
        <v>1.35</v>
      </c>
      <c r="AE267" t="str">
        <f t="shared" si="33"/>
        <v>1 - 3 Yrs</v>
      </c>
      <c r="AF267" t="str">
        <f t="shared" si="34"/>
        <v>Exited</v>
      </c>
    </row>
    <row r="268" spans="1:32" x14ac:dyDescent="0.45">
      <c r="A268" t="s">
        <v>731</v>
      </c>
      <c r="B268" t="s">
        <v>732</v>
      </c>
      <c r="C268" t="s">
        <v>51</v>
      </c>
      <c r="D268" t="s">
        <v>50</v>
      </c>
      <c r="E268" t="s">
        <v>217</v>
      </c>
      <c r="F268" t="s">
        <v>83</v>
      </c>
      <c r="G268" t="s">
        <v>218</v>
      </c>
      <c r="H268" t="s">
        <v>106</v>
      </c>
      <c r="I268" t="s">
        <v>107</v>
      </c>
      <c r="J268" s="26">
        <v>44333</v>
      </c>
      <c r="K268" t="s">
        <v>162</v>
      </c>
      <c r="L268" s="26"/>
      <c r="M268" t="s">
        <v>163</v>
      </c>
      <c r="N268" t="s">
        <v>95</v>
      </c>
      <c r="O268" s="27">
        <v>1443000</v>
      </c>
      <c r="P268">
        <v>3</v>
      </c>
      <c r="Q268" t="s">
        <v>164</v>
      </c>
      <c r="R268">
        <v>26</v>
      </c>
      <c r="S268" t="s">
        <v>197</v>
      </c>
      <c r="T268">
        <f t="shared" si="28"/>
        <v>11134</v>
      </c>
      <c r="U268" t="str">
        <f t="shared" si="29"/>
        <v>ENG</v>
      </c>
      <c r="V268" t="str">
        <f t="shared" si="30"/>
        <v>L3</v>
      </c>
      <c r="W268" t="str">
        <f>PROPER(TRIM(VLOOKUP(S268,Employee_Lookups!$I$4:$M$19,2,FALSE())))</f>
        <v>Rohan Verma</v>
      </c>
      <c r="X268" t="str">
        <f>VLOOKUP(C268,Employee_Lookups!$A$4:$G$9,4,FALSE())</f>
        <v>CC-101</v>
      </c>
      <c r="Y268" t="str">
        <f>INDEX(Employee_Lookups!$C$13:$C$17,MATCH(F268,Employee_Lookups!$A$13:$A$17,0))</f>
        <v>Band C (Senior)</v>
      </c>
      <c r="Z268" s="27">
        <f>_xlfn.XLOOKUP(F268,Employee_Lookups!$A$13:$A$17,Employee_Lookups!$E$13:$E$17,0)</f>
        <v>1725000</v>
      </c>
      <c r="AA268" s="28">
        <f>ROUND(O268/INDEX(Employee_Lookups!$E$13:$E$17,MATCH(F268,Employee_Lookups!$A$13:$A$17,0)),3)</f>
        <v>0.83699999999999997</v>
      </c>
      <c r="AB268">
        <f t="shared" si="31"/>
        <v>2021</v>
      </c>
      <c r="AC268" t="str">
        <f t="shared" si="32"/>
        <v/>
      </c>
      <c r="AD268" s="28">
        <f>ROUND((IF(ISBLANK(L268),Employee_Lookups!$O$14,L268)-J268)/365.25,2)</f>
        <v>4.62</v>
      </c>
      <c r="AE268" t="str">
        <f t="shared" si="33"/>
        <v>3 - 5 Yrs</v>
      </c>
      <c r="AF268" t="str">
        <f t="shared" si="34"/>
        <v>Low Risk</v>
      </c>
    </row>
    <row r="269" spans="1:32" x14ac:dyDescent="0.45">
      <c r="A269" t="s">
        <v>733</v>
      </c>
      <c r="B269" t="s">
        <v>734</v>
      </c>
      <c r="C269" t="s">
        <v>61</v>
      </c>
      <c r="D269" t="s">
        <v>60</v>
      </c>
      <c r="E269" t="s">
        <v>356</v>
      </c>
      <c r="F269" t="s">
        <v>81</v>
      </c>
      <c r="G269" t="s">
        <v>357</v>
      </c>
      <c r="H269" t="s">
        <v>111</v>
      </c>
      <c r="I269" t="s">
        <v>110</v>
      </c>
      <c r="J269" s="26">
        <v>44338</v>
      </c>
      <c r="K269" t="s">
        <v>162</v>
      </c>
      <c r="L269" s="26"/>
      <c r="M269" t="s">
        <v>163</v>
      </c>
      <c r="N269" t="s">
        <v>99</v>
      </c>
      <c r="O269" s="27">
        <v>649000</v>
      </c>
      <c r="P269">
        <v>2</v>
      </c>
      <c r="Q269" t="s">
        <v>172</v>
      </c>
      <c r="R269">
        <v>39</v>
      </c>
      <c r="S269" t="s">
        <v>319</v>
      </c>
      <c r="T269">
        <f t="shared" si="28"/>
        <v>11346</v>
      </c>
      <c r="U269" t="str">
        <f t="shared" si="29"/>
        <v>-HR</v>
      </c>
      <c r="V269" t="str">
        <f t="shared" si="30"/>
        <v>L1</v>
      </c>
      <c r="W269" t="str">
        <f>PROPER(TRIM(VLOOKUP(S269,Employee_Lookups!$I$4:$M$19,2,FALSE())))</f>
        <v>Kavita Menon</v>
      </c>
      <c r="X269" t="str">
        <f>VLOOKUP(C269,Employee_Lookups!$A$4:$G$9,4,FALSE())</f>
        <v>CC-505</v>
      </c>
      <c r="Y269" t="str">
        <f>INDEX(Employee_Lookups!$C$13:$C$17,MATCH(F269,Employee_Lookups!$A$13:$A$17,0))</f>
        <v>Band A (Entry)</v>
      </c>
      <c r="Z269" s="27">
        <f>_xlfn.XLOOKUP(F269,Employee_Lookups!$A$13:$A$17,Employee_Lookups!$E$13:$E$17,0)</f>
        <v>700000</v>
      </c>
      <c r="AA269" s="28">
        <f>ROUND(O269/INDEX(Employee_Lookups!$E$13:$E$17,MATCH(F269,Employee_Lookups!$A$13:$A$17,0)),3)</f>
        <v>0.92700000000000005</v>
      </c>
      <c r="AB269">
        <f t="shared" si="31"/>
        <v>2021</v>
      </c>
      <c r="AC269" t="str">
        <f t="shared" si="32"/>
        <v/>
      </c>
      <c r="AD269" s="28">
        <f>ROUND((IF(ISBLANK(L269),Employee_Lookups!$O$14,L269)-J269)/365.25,2)</f>
        <v>4.6100000000000003</v>
      </c>
      <c r="AE269" t="str">
        <f t="shared" si="33"/>
        <v>3 - 5 Yrs</v>
      </c>
      <c r="AF269" t="str">
        <f t="shared" si="34"/>
        <v>High Risk</v>
      </c>
    </row>
    <row r="270" spans="1:32" x14ac:dyDescent="0.45">
      <c r="A270" t="s">
        <v>735</v>
      </c>
      <c r="B270" t="s">
        <v>736</v>
      </c>
      <c r="C270" t="s">
        <v>57</v>
      </c>
      <c r="D270" t="s">
        <v>56</v>
      </c>
      <c r="E270" t="s">
        <v>222</v>
      </c>
      <c r="F270" t="s">
        <v>82</v>
      </c>
      <c r="G270" t="s">
        <v>223</v>
      </c>
      <c r="H270" t="s">
        <v>106</v>
      </c>
      <c r="I270" t="s">
        <v>107</v>
      </c>
      <c r="J270" s="26">
        <v>44341</v>
      </c>
      <c r="K270" t="s">
        <v>162</v>
      </c>
      <c r="L270" s="26"/>
      <c r="M270" t="s">
        <v>163</v>
      </c>
      <c r="N270" t="s">
        <v>97</v>
      </c>
      <c r="O270" s="27">
        <v>1154000</v>
      </c>
      <c r="P270">
        <v>3</v>
      </c>
      <c r="Q270" t="s">
        <v>164</v>
      </c>
      <c r="R270">
        <v>32</v>
      </c>
      <c r="S270" t="s">
        <v>165</v>
      </c>
      <c r="T270">
        <f t="shared" si="28"/>
        <v>10128</v>
      </c>
      <c r="U270" t="str">
        <f t="shared" si="29"/>
        <v>MKT</v>
      </c>
      <c r="V270" t="str">
        <f t="shared" si="30"/>
        <v>L2</v>
      </c>
      <c r="W270" t="str">
        <f>PROPER(TRIM(VLOOKUP(S270,Employee_Lookups!$I$4:$M$19,2,FALSE())))</f>
        <v>Arjun Sengupta</v>
      </c>
      <c r="X270" t="str">
        <f>VLOOKUP(C270,Employee_Lookups!$A$4:$G$9,4,FALSE())</f>
        <v>CC-606</v>
      </c>
      <c r="Y270" t="str">
        <f>INDEX(Employee_Lookups!$C$13:$C$17,MATCH(F270,Employee_Lookups!$A$13:$A$17,0))</f>
        <v>Band B (Mid)</v>
      </c>
      <c r="Z270" s="27">
        <f>_xlfn.XLOOKUP(F270,Employee_Lookups!$A$13:$A$17,Employee_Lookups!$E$13:$E$17,0)</f>
        <v>1100000</v>
      </c>
      <c r="AA270" s="28">
        <f>ROUND(O270/INDEX(Employee_Lookups!$E$13:$E$17,MATCH(F270,Employee_Lookups!$A$13:$A$17,0)),3)</f>
        <v>1.0489999999999999</v>
      </c>
      <c r="AB270">
        <f t="shared" si="31"/>
        <v>2021</v>
      </c>
      <c r="AC270" t="str">
        <f t="shared" si="32"/>
        <v/>
      </c>
      <c r="AD270" s="28">
        <f>ROUND((IF(ISBLANK(L270),Employee_Lookups!$O$14,L270)-J270)/365.25,2)</f>
        <v>4.5999999999999996</v>
      </c>
      <c r="AE270" t="str">
        <f t="shared" si="33"/>
        <v>3 - 5 Yrs</v>
      </c>
      <c r="AF270" t="str">
        <f t="shared" si="34"/>
        <v>Low Risk</v>
      </c>
    </row>
    <row r="271" spans="1:32" x14ac:dyDescent="0.45">
      <c r="A271" t="s">
        <v>737</v>
      </c>
      <c r="B271" t="s">
        <v>738</v>
      </c>
      <c r="C271" t="s">
        <v>51</v>
      </c>
      <c r="D271" t="s">
        <v>50</v>
      </c>
      <c r="E271" t="s">
        <v>181</v>
      </c>
      <c r="F271" t="s">
        <v>81</v>
      </c>
      <c r="G271" t="s">
        <v>182</v>
      </c>
      <c r="H271" t="s">
        <v>106</v>
      </c>
      <c r="I271" t="s">
        <v>107</v>
      </c>
      <c r="J271" s="26">
        <v>44342</v>
      </c>
      <c r="K271" t="s">
        <v>187</v>
      </c>
      <c r="L271" s="26">
        <v>45916</v>
      </c>
      <c r="M271" t="s">
        <v>213</v>
      </c>
      <c r="N271" t="s">
        <v>95</v>
      </c>
      <c r="O271" s="27">
        <v>746000</v>
      </c>
      <c r="P271">
        <v>5</v>
      </c>
      <c r="Q271" t="s">
        <v>172</v>
      </c>
      <c r="R271">
        <v>0</v>
      </c>
      <c r="S271" t="s">
        <v>197</v>
      </c>
      <c r="T271">
        <f t="shared" si="28"/>
        <v>10755</v>
      </c>
      <c r="U271" t="str">
        <f t="shared" si="29"/>
        <v>ENG</v>
      </c>
      <c r="V271" t="str">
        <f t="shared" si="30"/>
        <v>L1</v>
      </c>
      <c r="W271" t="str">
        <f>PROPER(TRIM(VLOOKUP(S271,Employee_Lookups!$I$4:$M$19,2,FALSE())))</f>
        <v>Rohan Verma</v>
      </c>
      <c r="X271" t="str">
        <f>VLOOKUP(C271,Employee_Lookups!$A$4:$G$9,4,FALSE())</f>
        <v>CC-101</v>
      </c>
      <c r="Y271" t="str">
        <f>INDEX(Employee_Lookups!$C$13:$C$17,MATCH(F271,Employee_Lookups!$A$13:$A$17,0))</f>
        <v>Band A (Entry)</v>
      </c>
      <c r="Z271" s="27">
        <f>_xlfn.XLOOKUP(F271,Employee_Lookups!$A$13:$A$17,Employee_Lookups!$E$13:$E$17,0)</f>
        <v>700000</v>
      </c>
      <c r="AA271" s="28">
        <f>ROUND(O271/INDEX(Employee_Lookups!$E$13:$E$17,MATCH(F271,Employee_Lookups!$A$13:$A$17,0)),3)</f>
        <v>1.0660000000000001</v>
      </c>
      <c r="AB271">
        <f t="shared" si="31"/>
        <v>2021</v>
      </c>
      <c r="AC271">
        <f t="shared" si="32"/>
        <v>2025</v>
      </c>
      <c r="AD271" s="28">
        <f>ROUND((IF(ISBLANK(L271),Employee_Lookups!$O$14,L271)-J271)/365.25,2)</f>
        <v>4.3099999999999996</v>
      </c>
      <c r="AE271" t="str">
        <f t="shared" si="33"/>
        <v>3 - 5 Yrs</v>
      </c>
      <c r="AF271" t="str">
        <f t="shared" si="34"/>
        <v>Exited</v>
      </c>
    </row>
    <row r="272" spans="1:32" x14ac:dyDescent="0.45">
      <c r="A272" t="s">
        <v>739</v>
      </c>
      <c r="B272" t="s">
        <v>740</v>
      </c>
      <c r="C272" t="s">
        <v>61</v>
      </c>
      <c r="D272" t="s">
        <v>60</v>
      </c>
      <c r="E272" t="s">
        <v>356</v>
      </c>
      <c r="F272" t="s">
        <v>81</v>
      </c>
      <c r="G272" t="s">
        <v>357</v>
      </c>
      <c r="H272" t="s">
        <v>108</v>
      </c>
      <c r="I272" t="s">
        <v>107</v>
      </c>
      <c r="J272" s="26">
        <v>44349</v>
      </c>
      <c r="K272" t="s">
        <v>170</v>
      </c>
      <c r="L272" s="26">
        <v>45892</v>
      </c>
      <c r="M272" t="s">
        <v>171</v>
      </c>
      <c r="N272" t="s">
        <v>99</v>
      </c>
      <c r="O272" s="27">
        <v>835000</v>
      </c>
      <c r="P272">
        <v>1</v>
      </c>
      <c r="Q272" t="s">
        <v>164</v>
      </c>
      <c r="R272">
        <v>19</v>
      </c>
      <c r="S272" t="s">
        <v>319</v>
      </c>
      <c r="T272">
        <f t="shared" si="28"/>
        <v>10925</v>
      </c>
      <c r="U272" t="str">
        <f t="shared" si="29"/>
        <v>-HR</v>
      </c>
      <c r="V272" t="str">
        <f t="shared" si="30"/>
        <v>L1</v>
      </c>
      <c r="W272" t="str">
        <f>PROPER(TRIM(VLOOKUP(S272,Employee_Lookups!$I$4:$M$19,2,FALSE())))</f>
        <v>Kavita Menon</v>
      </c>
      <c r="X272" t="str">
        <f>VLOOKUP(C272,Employee_Lookups!$A$4:$G$9,4,FALSE())</f>
        <v>CC-505</v>
      </c>
      <c r="Y272" t="str">
        <f>INDEX(Employee_Lookups!$C$13:$C$17,MATCH(F272,Employee_Lookups!$A$13:$A$17,0))</f>
        <v>Band A (Entry)</v>
      </c>
      <c r="Z272" s="27">
        <f>_xlfn.XLOOKUP(F272,Employee_Lookups!$A$13:$A$17,Employee_Lookups!$E$13:$E$17,0)</f>
        <v>700000</v>
      </c>
      <c r="AA272" s="28">
        <f>ROUND(O272/INDEX(Employee_Lookups!$E$13:$E$17,MATCH(F272,Employee_Lookups!$A$13:$A$17,0)),3)</f>
        <v>1.1930000000000001</v>
      </c>
      <c r="AB272">
        <f t="shared" si="31"/>
        <v>2021</v>
      </c>
      <c r="AC272">
        <f t="shared" si="32"/>
        <v>2025</v>
      </c>
      <c r="AD272" s="28">
        <f>ROUND((IF(ISBLANK(L272),Employee_Lookups!$O$14,L272)-J272)/365.25,2)</f>
        <v>4.22</v>
      </c>
      <c r="AE272" t="str">
        <f t="shared" si="33"/>
        <v>3 - 5 Yrs</v>
      </c>
      <c r="AF272" t="str">
        <f t="shared" si="34"/>
        <v>Exited</v>
      </c>
    </row>
    <row r="273" spans="1:32" x14ac:dyDescent="0.45">
      <c r="A273" t="s">
        <v>741</v>
      </c>
      <c r="B273" t="s">
        <v>742</v>
      </c>
      <c r="C273" t="s">
        <v>57</v>
      </c>
      <c r="D273" t="s">
        <v>56</v>
      </c>
      <c r="E273" t="s">
        <v>160</v>
      </c>
      <c r="F273" t="s">
        <v>81</v>
      </c>
      <c r="G273" t="s">
        <v>161</v>
      </c>
      <c r="H273" t="s">
        <v>111</v>
      </c>
      <c r="I273" t="s">
        <v>110</v>
      </c>
      <c r="J273" s="26">
        <v>44350</v>
      </c>
      <c r="K273" t="s">
        <v>162</v>
      </c>
      <c r="L273" s="26"/>
      <c r="M273" t="s">
        <v>163</v>
      </c>
      <c r="N273" t="s">
        <v>96</v>
      </c>
      <c r="O273" s="27">
        <v>767000</v>
      </c>
      <c r="P273">
        <v>4</v>
      </c>
      <c r="Q273" t="s">
        <v>164</v>
      </c>
      <c r="R273">
        <v>34</v>
      </c>
      <c r="S273" t="s">
        <v>224</v>
      </c>
      <c r="T273">
        <f t="shared" si="28"/>
        <v>10569</v>
      </c>
      <c r="U273" t="str">
        <f t="shared" si="29"/>
        <v>MKT</v>
      </c>
      <c r="V273" t="str">
        <f t="shared" si="30"/>
        <v>L1</v>
      </c>
      <c r="W273" t="str">
        <f>PROPER(TRIM(VLOOKUP(S273,Employee_Lookups!$I$4:$M$19,2,FALSE())))</f>
        <v>Tanvi Chitnis</v>
      </c>
      <c r="X273" t="str">
        <f>VLOOKUP(C273,Employee_Lookups!$A$4:$G$9,4,FALSE())</f>
        <v>CC-606</v>
      </c>
      <c r="Y273" t="str">
        <f>INDEX(Employee_Lookups!$C$13:$C$17,MATCH(F273,Employee_Lookups!$A$13:$A$17,0))</f>
        <v>Band A (Entry)</v>
      </c>
      <c r="Z273" s="27">
        <f>_xlfn.XLOOKUP(F273,Employee_Lookups!$A$13:$A$17,Employee_Lookups!$E$13:$E$17,0)</f>
        <v>700000</v>
      </c>
      <c r="AA273" s="28">
        <f>ROUND(O273/INDEX(Employee_Lookups!$E$13:$E$17,MATCH(F273,Employee_Lookups!$A$13:$A$17,0)),3)</f>
        <v>1.0960000000000001</v>
      </c>
      <c r="AB273">
        <f t="shared" si="31"/>
        <v>2021</v>
      </c>
      <c r="AC273" t="str">
        <f t="shared" si="32"/>
        <v/>
      </c>
      <c r="AD273" s="28">
        <f>ROUND((IF(ISBLANK(L273),Employee_Lookups!$O$14,L273)-J273)/365.25,2)</f>
        <v>4.58</v>
      </c>
      <c r="AE273" t="str">
        <f t="shared" si="33"/>
        <v>3 - 5 Yrs</v>
      </c>
      <c r="AF273" t="str">
        <f t="shared" si="34"/>
        <v>Low Risk</v>
      </c>
    </row>
    <row r="274" spans="1:32" x14ac:dyDescent="0.45">
      <c r="A274" t="s">
        <v>743</v>
      </c>
      <c r="B274" t="s">
        <v>582</v>
      </c>
      <c r="C274" t="s">
        <v>53</v>
      </c>
      <c r="D274" t="s">
        <v>52</v>
      </c>
      <c r="E274" t="s">
        <v>185</v>
      </c>
      <c r="F274" t="s">
        <v>82</v>
      </c>
      <c r="G274" t="s">
        <v>186</v>
      </c>
      <c r="H274" t="s">
        <v>106</v>
      </c>
      <c r="I274" t="s">
        <v>107</v>
      </c>
      <c r="J274" s="26">
        <v>44356</v>
      </c>
      <c r="K274" t="s">
        <v>170</v>
      </c>
      <c r="L274" s="26">
        <v>45131</v>
      </c>
      <c r="M274" t="s">
        <v>171</v>
      </c>
      <c r="N274" t="s">
        <v>97</v>
      </c>
      <c r="O274" s="27">
        <v>940000</v>
      </c>
      <c r="P274">
        <v>4</v>
      </c>
      <c r="Q274" t="s">
        <v>172</v>
      </c>
      <c r="R274">
        <v>0</v>
      </c>
      <c r="S274" t="s">
        <v>189</v>
      </c>
      <c r="T274">
        <f t="shared" si="28"/>
        <v>11047</v>
      </c>
      <c r="U274" t="str">
        <f t="shared" si="29"/>
        <v>SAL</v>
      </c>
      <c r="V274" t="str">
        <f t="shared" si="30"/>
        <v>L2</v>
      </c>
      <c r="W274" t="str">
        <f>PROPER(TRIM(VLOOKUP(S274,Employee_Lookups!$I$4:$M$19,2,FALSE())))</f>
        <v>Priya Sharma</v>
      </c>
      <c r="X274" t="str">
        <f>VLOOKUP(C274,Employee_Lookups!$A$4:$G$9,4,FALSE())</f>
        <v>CC-202</v>
      </c>
      <c r="Y274" t="str">
        <f>INDEX(Employee_Lookups!$C$13:$C$17,MATCH(F274,Employee_Lookups!$A$13:$A$17,0))</f>
        <v>Band B (Mid)</v>
      </c>
      <c r="Z274" s="27">
        <f>_xlfn.XLOOKUP(F274,Employee_Lookups!$A$13:$A$17,Employee_Lookups!$E$13:$E$17,0)</f>
        <v>1100000</v>
      </c>
      <c r="AA274" s="28">
        <f>ROUND(O274/INDEX(Employee_Lookups!$E$13:$E$17,MATCH(F274,Employee_Lookups!$A$13:$A$17,0)),3)</f>
        <v>0.85499999999999998</v>
      </c>
      <c r="AB274">
        <f t="shared" si="31"/>
        <v>2021</v>
      </c>
      <c r="AC274">
        <f t="shared" si="32"/>
        <v>2023</v>
      </c>
      <c r="AD274" s="28">
        <f>ROUND((IF(ISBLANK(L274),Employee_Lookups!$O$14,L274)-J274)/365.25,2)</f>
        <v>2.12</v>
      </c>
      <c r="AE274" t="str">
        <f t="shared" si="33"/>
        <v>1 - 3 Yrs</v>
      </c>
      <c r="AF274" t="str">
        <f t="shared" si="34"/>
        <v>Exited</v>
      </c>
    </row>
    <row r="275" spans="1:32" x14ac:dyDescent="0.45">
      <c r="A275" t="s">
        <v>744</v>
      </c>
      <c r="B275" t="s">
        <v>745</v>
      </c>
      <c r="C275" t="s">
        <v>51</v>
      </c>
      <c r="D275" t="s">
        <v>50</v>
      </c>
      <c r="E275" t="s">
        <v>397</v>
      </c>
      <c r="F275" t="s">
        <v>84</v>
      </c>
      <c r="G275" t="s">
        <v>398</v>
      </c>
      <c r="H275" t="s">
        <v>108</v>
      </c>
      <c r="I275" t="s">
        <v>107</v>
      </c>
      <c r="J275" s="26">
        <v>44360</v>
      </c>
      <c r="K275" t="s">
        <v>162</v>
      </c>
      <c r="L275" s="26"/>
      <c r="M275" t="s">
        <v>163</v>
      </c>
      <c r="N275" t="s">
        <v>97</v>
      </c>
      <c r="O275" s="27">
        <v>3195000</v>
      </c>
      <c r="P275">
        <v>3</v>
      </c>
      <c r="Q275" t="s">
        <v>164</v>
      </c>
      <c r="R275">
        <v>49</v>
      </c>
      <c r="S275" t="s">
        <v>178</v>
      </c>
      <c r="T275">
        <f t="shared" si="28"/>
        <v>10707</v>
      </c>
      <c r="U275" t="str">
        <f t="shared" si="29"/>
        <v>ENG</v>
      </c>
      <c r="V275" t="str">
        <f t="shared" si="30"/>
        <v>L4</v>
      </c>
      <c r="W275" t="str">
        <f>PROPER(TRIM(VLOOKUP(S275,Employee_Lookups!$I$4:$M$19,2,FALSE())))</f>
        <v>Aarav Deshmukh</v>
      </c>
      <c r="X275" t="str">
        <f>VLOOKUP(C275,Employee_Lookups!$A$4:$G$9,4,FALSE())</f>
        <v>CC-101</v>
      </c>
      <c r="Y275" t="str">
        <f>INDEX(Employee_Lookups!$C$13:$C$17,MATCH(F275,Employee_Lookups!$A$13:$A$17,0))</f>
        <v>Band D (Leadership)</v>
      </c>
      <c r="Z275" s="27">
        <f>_xlfn.XLOOKUP(F275,Employee_Lookups!$A$13:$A$17,Employee_Lookups!$E$13:$E$17,0)</f>
        <v>2750000</v>
      </c>
      <c r="AA275" s="28">
        <f>ROUND(O275/INDEX(Employee_Lookups!$E$13:$E$17,MATCH(F275,Employee_Lookups!$A$13:$A$17,0)),3)</f>
        <v>1.1619999999999999</v>
      </c>
      <c r="AB275">
        <f t="shared" si="31"/>
        <v>2021</v>
      </c>
      <c r="AC275" t="str">
        <f t="shared" si="32"/>
        <v/>
      </c>
      <c r="AD275" s="28">
        <f>ROUND((IF(ISBLANK(L275),Employee_Lookups!$O$14,L275)-J275)/365.25,2)</f>
        <v>4.55</v>
      </c>
      <c r="AE275" t="str">
        <f t="shared" si="33"/>
        <v>3 - 5 Yrs</v>
      </c>
      <c r="AF275" t="str">
        <f t="shared" si="34"/>
        <v>Low Risk</v>
      </c>
    </row>
    <row r="276" spans="1:32" x14ac:dyDescent="0.45">
      <c r="A276" t="s">
        <v>746</v>
      </c>
      <c r="B276" t="s">
        <v>747</v>
      </c>
      <c r="C276" t="s">
        <v>53</v>
      </c>
      <c r="D276" t="s">
        <v>52</v>
      </c>
      <c r="E276" t="s">
        <v>280</v>
      </c>
      <c r="F276" t="s">
        <v>85</v>
      </c>
      <c r="G276" t="s">
        <v>281</v>
      </c>
      <c r="H276" t="s">
        <v>108</v>
      </c>
      <c r="I276" t="s">
        <v>107</v>
      </c>
      <c r="J276" s="26">
        <v>44360</v>
      </c>
      <c r="K276" t="s">
        <v>162</v>
      </c>
      <c r="L276" s="26"/>
      <c r="M276" t="s">
        <v>163</v>
      </c>
      <c r="N276" t="s">
        <v>97</v>
      </c>
      <c r="O276" s="27">
        <v>4326000</v>
      </c>
      <c r="P276">
        <v>3</v>
      </c>
      <c r="Q276" t="s">
        <v>172</v>
      </c>
      <c r="R276">
        <v>38</v>
      </c>
      <c r="S276" t="s">
        <v>194</v>
      </c>
      <c r="T276">
        <f t="shared" si="28"/>
        <v>10850</v>
      </c>
      <c r="U276" t="str">
        <f t="shared" si="29"/>
        <v>SAL</v>
      </c>
      <c r="V276" t="str">
        <f t="shared" si="30"/>
        <v>L5</v>
      </c>
      <c r="W276" t="str">
        <f>PROPER(TRIM(VLOOKUP(S276,Employee_Lookups!$I$4:$M$19,2,FALSE())))</f>
        <v>Vikramaditya Joshi</v>
      </c>
      <c r="X276" t="str">
        <f>VLOOKUP(C276,Employee_Lookups!$A$4:$G$9,4,FALSE())</f>
        <v>CC-202</v>
      </c>
      <c r="Y276" t="str">
        <f>INDEX(Employee_Lookups!$C$13:$C$17,MATCH(F276,Employee_Lookups!$A$13:$A$17,0))</f>
        <v>Band E (Executive)</v>
      </c>
      <c r="Z276" s="27">
        <f>_xlfn.XLOOKUP(F276,Employee_Lookups!$A$13:$A$17,Employee_Lookups!$E$13:$E$17,0)</f>
        <v>4300000</v>
      </c>
      <c r="AA276" s="28">
        <f>ROUND(O276/INDEX(Employee_Lookups!$E$13:$E$17,MATCH(F276,Employee_Lookups!$A$13:$A$17,0)),3)</f>
        <v>1.006</v>
      </c>
      <c r="AB276">
        <f t="shared" si="31"/>
        <v>2021</v>
      </c>
      <c r="AC276" t="str">
        <f t="shared" si="32"/>
        <v/>
      </c>
      <c r="AD276" s="28">
        <f>ROUND((IF(ISBLANK(L276),Employee_Lookups!$O$14,L276)-J276)/365.25,2)</f>
        <v>4.55</v>
      </c>
      <c r="AE276" t="str">
        <f t="shared" si="33"/>
        <v>3 - 5 Yrs</v>
      </c>
      <c r="AF276" t="str">
        <f t="shared" si="34"/>
        <v>Moderate Risk</v>
      </c>
    </row>
    <row r="277" spans="1:32" x14ac:dyDescent="0.45">
      <c r="A277" t="s">
        <v>748</v>
      </c>
      <c r="B277" t="s">
        <v>749</v>
      </c>
      <c r="C277" t="s">
        <v>53</v>
      </c>
      <c r="D277" t="s">
        <v>52</v>
      </c>
      <c r="E277" t="s">
        <v>192</v>
      </c>
      <c r="F277" t="s">
        <v>83</v>
      </c>
      <c r="G277" t="s">
        <v>193</v>
      </c>
      <c r="H277" t="s">
        <v>111</v>
      </c>
      <c r="I277" t="s">
        <v>110</v>
      </c>
      <c r="J277" s="26">
        <v>44361</v>
      </c>
      <c r="K277" t="s">
        <v>162</v>
      </c>
      <c r="L277" s="26"/>
      <c r="M277" t="s">
        <v>163</v>
      </c>
      <c r="N277" t="s">
        <v>95</v>
      </c>
      <c r="O277" s="27">
        <v>1779000</v>
      </c>
      <c r="P277">
        <v>3</v>
      </c>
      <c r="Q277" t="s">
        <v>164</v>
      </c>
      <c r="R277">
        <v>28</v>
      </c>
      <c r="S277" t="s">
        <v>237</v>
      </c>
      <c r="T277">
        <f t="shared" si="28"/>
        <v>10597</v>
      </c>
      <c r="U277" t="str">
        <f t="shared" si="29"/>
        <v>SAL</v>
      </c>
      <c r="V277" t="str">
        <f t="shared" si="30"/>
        <v>L3</v>
      </c>
      <c r="W277" t="str">
        <f>PROPER(TRIM(VLOOKUP(S277,Employee_Lookups!$I$4:$M$19,2,FALSE())))</f>
        <v>Karan Malhotra</v>
      </c>
      <c r="X277" t="str">
        <f>VLOOKUP(C277,Employee_Lookups!$A$4:$G$9,4,FALSE())</f>
        <v>CC-202</v>
      </c>
      <c r="Y277" t="str">
        <f>INDEX(Employee_Lookups!$C$13:$C$17,MATCH(F277,Employee_Lookups!$A$13:$A$17,0))</f>
        <v>Band C (Senior)</v>
      </c>
      <c r="Z277" s="27">
        <f>_xlfn.XLOOKUP(F277,Employee_Lookups!$A$13:$A$17,Employee_Lookups!$E$13:$E$17,0)</f>
        <v>1725000</v>
      </c>
      <c r="AA277" s="28">
        <f>ROUND(O277/INDEX(Employee_Lookups!$E$13:$E$17,MATCH(F277,Employee_Lookups!$A$13:$A$17,0)),3)</f>
        <v>1.0309999999999999</v>
      </c>
      <c r="AB277">
        <f t="shared" si="31"/>
        <v>2021</v>
      </c>
      <c r="AC277" t="str">
        <f t="shared" si="32"/>
        <v/>
      </c>
      <c r="AD277" s="28">
        <f>ROUND((IF(ISBLANK(L277),Employee_Lookups!$O$14,L277)-J277)/365.25,2)</f>
        <v>4.55</v>
      </c>
      <c r="AE277" t="str">
        <f t="shared" si="33"/>
        <v>3 - 5 Yrs</v>
      </c>
      <c r="AF277" t="str">
        <f t="shared" si="34"/>
        <v>Low Risk</v>
      </c>
    </row>
    <row r="278" spans="1:32" x14ac:dyDescent="0.45">
      <c r="A278" t="s">
        <v>750</v>
      </c>
      <c r="B278" t="s">
        <v>751</v>
      </c>
      <c r="C278" t="s">
        <v>53</v>
      </c>
      <c r="D278" t="s">
        <v>52</v>
      </c>
      <c r="E278" t="s">
        <v>185</v>
      </c>
      <c r="F278" t="s">
        <v>82</v>
      </c>
      <c r="G278" t="s">
        <v>186</v>
      </c>
      <c r="H278" t="s">
        <v>109</v>
      </c>
      <c r="I278" t="s">
        <v>110</v>
      </c>
      <c r="J278" s="26">
        <v>44361</v>
      </c>
      <c r="K278" t="s">
        <v>162</v>
      </c>
      <c r="L278" s="26"/>
      <c r="M278" t="s">
        <v>163</v>
      </c>
      <c r="N278" t="s">
        <v>97</v>
      </c>
      <c r="O278" s="27">
        <v>1118000</v>
      </c>
      <c r="P278">
        <v>3</v>
      </c>
      <c r="Q278" t="s">
        <v>172</v>
      </c>
      <c r="R278">
        <v>22</v>
      </c>
      <c r="S278" t="s">
        <v>194</v>
      </c>
      <c r="T278">
        <f t="shared" si="28"/>
        <v>11269</v>
      </c>
      <c r="U278" t="str">
        <f t="shared" si="29"/>
        <v>SAL</v>
      </c>
      <c r="V278" t="str">
        <f t="shared" si="30"/>
        <v>L2</v>
      </c>
      <c r="W278" t="str">
        <f>PROPER(TRIM(VLOOKUP(S278,Employee_Lookups!$I$4:$M$19,2,FALSE())))</f>
        <v>Vikramaditya Joshi</v>
      </c>
      <c r="X278" t="str">
        <f>VLOOKUP(C278,Employee_Lookups!$A$4:$G$9,4,FALSE())</f>
        <v>CC-202</v>
      </c>
      <c r="Y278" t="str">
        <f>INDEX(Employee_Lookups!$C$13:$C$17,MATCH(F278,Employee_Lookups!$A$13:$A$17,0))</f>
        <v>Band B (Mid)</v>
      </c>
      <c r="Z278" s="27">
        <f>_xlfn.XLOOKUP(F278,Employee_Lookups!$A$13:$A$17,Employee_Lookups!$E$13:$E$17,0)</f>
        <v>1100000</v>
      </c>
      <c r="AA278" s="28">
        <f>ROUND(O278/INDEX(Employee_Lookups!$E$13:$E$17,MATCH(F278,Employee_Lookups!$A$13:$A$17,0)),3)</f>
        <v>1.016</v>
      </c>
      <c r="AB278">
        <f t="shared" si="31"/>
        <v>2021</v>
      </c>
      <c r="AC278" t="str">
        <f t="shared" si="32"/>
        <v/>
      </c>
      <c r="AD278" s="28">
        <f>ROUND((IF(ISBLANK(L278),Employee_Lookups!$O$14,L278)-J278)/365.25,2)</f>
        <v>4.55</v>
      </c>
      <c r="AE278" t="str">
        <f t="shared" si="33"/>
        <v>3 - 5 Yrs</v>
      </c>
      <c r="AF278" t="str">
        <f t="shared" si="34"/>
        <v>Moderate Risk</v>
      </c>
    </row>
    <row r="279" spans="1:32" x14ac:dyDescent="0.45">
      <c r="A279" t="s">
        <v>752</v>
      </c>
      <c r="B279" t="s">
        <v>753</v>
      </c>
      <c r="C279" t="s">
        <v>61</v>
      </c>
      <c r="D279" t="s">
        <v>60</v>
      </c>
      <c r="E279" t="s">
        <v>484</v>
      </c>
      <c r="F279" t="s">
        <v>83</v>
      </c>
      <c r="G279" t="s">
        <v>485</v>
      </c>
      <c r="H279" t="s">
        <v>109</v>
      </c>
      <c r="I279" t="s">
        <v>110</v>
      </c>
      <c r="J279" s="26">
        <v>44361</v>
      </c>
      <c r="K279" t="s">
        <v>162</v>
      </c>
      <c r="L279" s="26"/>
      <c r="M279" t="s">
        <v>163</v>
      </c>
      <c r="N279" t="s">
        <v>95</v>
      </c>
      <c r="O279" s="27">
        <v>1998000</v>
      </c>
      <c r="P279">
        <v>4</v>
      </c>
      <c r="Q279" t="s">
        <v>172</v>
      </c>
      <c r="R279">
        <v>44</v>
      </c>
      <c r="S279" t="s">
        <v>253</v>
      </c>
      <c r="T279">
        <f t="shared" si="28"/>
        <v>10289</v>
      </c>
      <c r="U279" t="str">
        <f t="shared" si="29"/>
        <v>-HR</v>
      </c>
      <c r="V279" t="str">
        <f t="shared" si="30"/>
        <v>L3</v>
      </c>
      <c r="W279" t="str">
        <f>PROPER(TRIM(VLOOKUP(S279,Employee_Lookups!$I$4:$M$19,2,FALSE())))</f>
        <v>Nikhil Chatterjee</v>
      </c>
      <c r="X279" t="str">
        <f>VLOOKUP(C279,Employee_Lookups!$A$4:$G$9,4,FALSE())</f>
        <v>CC-505</v>
      </c>
      <c r="Y279" t="str">
        <f>INDEX(Employee_Lookups!$C$13:$C$17,MATCH(F279,Employee_Lookups!$A$13:$A$17,0))</f>
        <v>Band C (Senior)</v>
      </c>
      <c r="Z279" s="27">
        <f>_xlfn.XLOOKUP(F279,Employee_Lookups!$A$13:$A$17,Employee_Lookups!$E$13:$E$17,0)</f>
        <v>1725000</v>
      </c>
      <c r="AA279" s="28">
        <f>ROUND(O279/INDEX(Employee_Lookups!$E$13:$E$17,MATCH(F279,Employee_Lookups!$A$13:$A$17,0)),3)</f>
        <v>1.1579999999999999</v>
      </c>
      <c r="AB279">
        <f t="shared" si="31"/>
        <v>2021</v>
      </c>
      <c r="AC279" t="str">
        <f t="shared" si="32"/>
        <v/>
      </c>
      <c r="AD279" s="28">
        <f>ROUND((IF(ISBLANK(L279),Employee_Lookups!$O$14,L279)-J279)/365.25,2)</f>
        <v>4.55</v>
      </c>
      <c r="AE279" t="str">
        <f t="shared" si="33"/>
        <v>3 - 5 Yrs</v>
      </c>
      <c r="AF279" t="str">
        <f t="shared" si="34"/>
        <v>High Risk</v>
      </c>
    </row>
    <row r="280" spans="1:32" x14ac:dyDescent="0.45">
      <c r="A280" t="s">
        <v>754</v>
      </c>
      <c r="B280" t="s">
        <v>755</v>
      </c>
      <c r="C280" t="s">
        <v>53</v>
      </c>
      <c r="D280" t="s">
        <v>52</v>
      </c>
      <c r="E280" t="s">
        <v>185</v>
      </c>
      <c r="F280" t="s">
        <v>82</v>
      </c>
      <c r="G280" t="s">
        <v>186</v>
      </c>
      <c r="H280" t="s">
        <v>106</v>
      </c>
      <c r="I280" t="s">
        <v>107</v>
      </c>
      <c r="J280" s="26">
        <v>44364</v>
      </c>
      <c r="K280" t="s">
        <v>162</v>
      </c>
      <c r="L280" s="26"/>
      <c r="M280" t="s">
        <v>163</v>
      </c>
      <c r="N280" t="s">
        <v>99</v>
      </c>
      <c r="O280" s="27">
        <v>965000</v>
      </c>
      <c r="P280">
        <v>4</v>
      </c>
      <c r="Q280" t="s">
        <v>172</v>
      </c>
      <c r="R280">
        <v>27</v>
      </c>
      <c r="S280" t="s">
        <v>189</v>
      </c>
      <c r="T280">
        <f t="shared" si="28"/>
        <v>11288</v>
      </c>
      <c r="U280" t="str">
        <f t="shared" si="29"/>
        <v>SAL</v>
      </c>
      <c r="V280" t="str">
        <f t="shared" si="30"/>
        <v>L2</v>
      </c>
      <c r="W280" t="str">
        <f>PROPER(TRIM(VLOOKUP(S280,Employee_Lookups!$I$4:$M$19,2,FALSE())))</f>
        <v>Priya Sharma</v>
      </c>
      <c r="X280" t="str">
        <f>VLOOKUP(C280,Employee_Lookups!$A$4:$G$9,4,FALSE())</f>
        <v>CC-202</v>
      </c>
      <c r="Y280" t="str">
        <f>INDEX(Employee_Lookups!$C$13:$C$17,MATCH(F280,Employee_Lookups!$A$13:$A$17,0))</f>
        <v>Band B (Mid)</v>
      </c>
      <c r="Z280" s="27">
        <f>_xlfn.XLOOKUP(F280,Employee_Lookups!$A$13:$A$17,Employee_Lookups!$E$13:$E$17,0)</f>
        <v>1100000</v>
      </c>
      <c r="AA280" s="28">
        <f>ROUND(O280/INDEX(Employee_Lookups!$E$13:$E$17,MATCH(F280,Employee_Lookups!$A$13:$A$17,0)),3)</f>
        <v>0.877</v>
      </c>
      <c r="AB280">
        <f t="shared" si="31"/>
        <v>2021</v>
      </c>
      <c r="AC280" t="str">
        <f t="shared" si="32"/>
        <v/>
      </c>
      <c r="AD280" s="28">
        <f>ROUND((IF(ISBLANK(L280),Employee_Lookups!$O$14,L280)-J280)/365.25,2)</f>
        <v>4.54</v>
      </c>
      <c r="AE280" t="str">
        <f t="shared" si="33"/>
        <v>3 - 5 Yrs</v>
      </c>
      <c r="AF280" t="str">
        <f t="shared" si="34"/>
        <v>High Risk</v>
      </c>
    </row>
    <row r="281" spans="1:32" x14ac:dyDescent="0.45">
      <c r="A281" t="s">
        <v>756</v>
      </c>
      <c r="B281" t="s">
        <v>460</v>
      </c>
      <c r="C281" t="s">
        <v>51</v>
      </c>
      <c r="D281" t="s">
        <v>50</v>
      </c>
      <c r="E281" t="s">
        <v>181</v>
      </c>
      <c r="F281" t="s">
        <v>81</v>
      </c>
      <c r="G281" t="s">
        <v>182</v>
      </c>
      <c r="H281" t="s">
        <v>106</v>
      </c>
      <c r="I281" t="s">
        <v>107</v>
      </c>
      <c r="J281" s="26">
        <v>44365</v>
      </c>
      <c r="K281" t="s">
        <v>162</v>
      </c>
      <c r="L281" s="26"/>
      <c r="M281" t="s">
        <v>163</v>
      </c>
      <c r="N281" t="s">
        <v>99</v>
      </c>
      <c r="O281" s="27">
        <v>661000</v>
      </c>
      <c r="P281">
        <v>2</v>
      </c>
      <c r="Q281" t="s">
        <v>164</v>
      </c>
      <c r="R281">
        <v>18</v>
      </c>
      <c r="S281" t="s">
        <v>178</v>
      </c>
      <c r="T281">
        <f t="shared" si="28"/>
        <v>10078</v>
      </c>
      <c r="U281" t="str">
        <f t="shared" si="29"/>
        <v>ENG</v>
      </c>
      <c r="V281" t="str">
        <f t="shared" si="30"/>
        <v>L1</v>
      </c>
      <c r="W281" t="str">
        <f>PROPER(TRIM(VLOOKUP(S281,Employee_Lookups!$I$4:$M$19,2,FALSE())))</f>
        <v>Aarav Deshmukh</v>
      </c>
      <c r="X281" t="str">
        <f>VLOOKUP(C281,Employee_Lookups!$A$4:$G$9,4,FALSE())</f>
        <v>CC-101</v>
      </c>
      <c r="Y281" t="str">
        <f>INDEX(Employee_Lookups!$C$13:$C$17,MATCH(F281,Employee_Lookups!$A$13:$A$17,0))</f>
        <v>Band A (Entry)</v>
      </c>
      <c r="Z281" s="27">
        <f>_xlfn.XLOOKUP(F281,Employee_Lookups!$A$13:$A$17,Employee_Lookups!$E$13:$E$17,0)</f>
        <v>700000</v>
      </c>
      <c r="AA281" s="28">
        <f>ROUND(O281/INDEX(Employee_Lookups!$E$13:$E$17,MATCH(F281,Employee_Lookups!$A$13:$A$17,0)),3)</f>
        <v>0.94399999999999995</v>
      </c>
      <c r="AB281">
        <f t="shared" si="31"/>
        <v>2021</v>
      </c>
      <c r="AC281" t="str">
        <f t="shared" si="32"/>
        <v/>
      </c>
      <c r="AD281" s="28">
        <f>ROUND((IF(ISBLANK(L281),Employee_Lookups!$O$14,L281)-J281)/365.25,2)</f>
        <v>4.54</v>
      </c>
      <c r="AE281" t="str">
        <f t="shared" si="33"/>
        <v>3 - 5 Yrs</v>
      </c>
      <c r="AF281" t="str">
        <f t="shared" si="34"/>
        <v>Moderate Risk</v>
      </c>
    </row>
    <row r="282" spans="1:32" x14ac:dyDescent="0.45">
      <c r="A282" t="s">
        <v>757</v>
      </c>
      <c r="B282" t="s">
        <v>758</v>
      </c>
      <c r="C282" t="s">
        <v>51</v>
      </c>
      <c r="D282" t="s">
        <v>50</v>
      </c>
      <c r="E282" t="s">
        <v>181</v>
      </c>
      <c r="F282" t="s">
        <v>81</v>
      </c>
      <c r="G282" t="s">
        <v>182</v>
      </c>
      <c r="H282" t="s">
        <v>109</v>
      </c>
      <c r="I282" t="s">
        <v>110</v>
      </c>
      <c r="J282" s="26">
        <v>44365</v>
      </c>
      <c r="K282" t="s">
        <v>162</v>
      </c>
      <c r="L282" s="26"/>
      <c r="M282" t="s">
        <v>163</v>
      </c>
      <c r="N282" t="s">
        <v>96</v>
      </c>
      <c r="O282" s="27">
        <v>730000</v>
      </c>
      <c r="P282">
        <v>3</v>
      </c>
      <c r="Q282" t="s">
        <v>164</v>
      </c>
      <c r="R282">
        <v>22</v>
      </c>
      <c r="S282" t="s">
        <v>244</v>
      </c>
      <c r="T282">
        <f t="shared" si="28"/>
        <v>10491</v>
      </c>
      <c r="U282" t="str">
        <f t="shared" si="29"/>
        <v>ENG</v>
      </c>
      <c r="V282" t="str">
        <f t="shared" si="30"/>
        <v>L1</v>
      </c>
      <c r="W282" t="str">
        <f>PROPER(TRIM(VLOOKUP(S282,Employee_Lookups!$I$4:$M$19,2,FALSE())))</f>
        <v>Siddharth Nair</v>
      </c>
      <c r="X282" t="str">
        <f>VLOOKUP(C282,Employee_Lookups!$A$4:$G$9,4,FALSE())</f>
        <v>CC-101</v>
      </c>
      <c r="Y282" t="str">
        <f>INDEX(Employee_Lookups!$C$13:$C$17,MATCH(F282,Employee_Lookups!$A$13:$A$17,0))</f>
        <v>Band A (Entry)</v>
      </c>
      <c r="Z282" s="27">
        <f>_xlfn.XLOOKUP(F282,Employee_Lookups!$A$13:$A$17,Employee_Lookups!$E$13:$E$17,0)</f>
        <v>700000</v>
      </c>
      <c r="AA282" s="28">
        <f>ROUND(O282/INDEX(Employee_Lookups!$E$13:$E$17,MATCH(F282,Employee_Lookups!$A$13:$A$17,0)),3)</f>
        <v>1.0429999999999999</v>
      </c>
      <c r="AB282">
        <f t="shared" si="31"/>
        <v>2021</v>
      </c>
      <c r="AC282" t="str">
        <f t="shared" si="32"/>
        <v/>
      </c>
      <c r="AD282" s="28">
        <f>ROUND((IF(ISBLANK(L282),Employee_Lookups!$O$14,L282)-J282)/365.25,2)</f>
        <v>4.54</v>
      </c>
      <c r="AE282" t="str">
        <f t="shared" si="33"/>
        <v>3 - 5 Yrs</v>
      </c>
      <c r="AF282" t="str">
        <f t="shared" si="34"/>
        <v>Low Risk</v>
      </c>
    </row>
    <row r="283" spans="1:32" x14ac:dyDescent="0.45">
      <c r="A283" t="s">
        <v>759</v>
      </c>
      <c r="B283" t="s">
        <v>714</v>
      </c>
      <c r="C283" t="s">
        <v>55</v>
      </c>
      <c r="D283" t="s">
        <v>54</v>
      </c>
      <c r="E283" t="s">
        <v>277</v>
      </c>
      <c r="F283" t="s">
        <v>81</v>
      </c>
      <c r="G283" t="s">
        <v>278</v>
      </c>
      <c r="H283" t="s">
        <v>111</v>
      </c>
      <c r="I283" t="s">
        <v>110</v>
      </c>
      <c r="J283" s="26">
        <v>44366</v>
      </c>
      <c r="K283" t="s">
        <v>162</v>
      </c>
      <c r="L283" s="26"/>
      <c r="M283" t="s">
        <v>163</v>
      </c>
      <c r="N283" t="s">
        <v>95</v>
      </c>
      <c r="O283" s="27">
        <v>849000</v>
      </c>
      <c r="P283">
        <v>3</v>
      </c>
      <c r="Q283" t="s">
        <v>164</v>
      </c>
      <c r="R283">
        <v>0</v>
      </c>
      <c r="S283" t="s">
        <v>173</v>
      </c>
      <c r="T283">
        <f t="shared" si="28"/>
        <v>10382</v>
      </c>
      <c r="U283" t="str">
        <f t="shared" si="29"/>
        <v>OPS</v>
      </c>
      <c r="V283" t="str">
        <f t="shared" si="30"/>
        <v>L1</v>
      </c>
      <c r="W283" t="str">
        <f>PROPER(TRIM(VLOOKUP(S283,Employee_Lookups!$I$4:$M$19,2,FALSE())))</f>
        <v>Deepak Patil</v>
      </c>
      <c r="X283" t="str">
        <f>VLOOKUP(C283,Employee_Lookups!$A$4:$G$9,4,FALSE())</f>
        <v>CC-303</v>
      </c>
      <c r="Y283" t="str">
        <f>INDEX(Employee_Lookups!$C$13:$C$17,MATCH(F283,Employee_Lookups!$A$13:$A$17,0))</f>
        <v>Band A (Entry)</v>
      </c>
      <c r="Z283" s="27">
        <f>_xlfn.XLOOKUP(F283,Employee_Lookups!$A$13:$A$17,Employee_Lookups!$E$13:$E$17,0)</f>
        <v>700000</v>
      </c>
      <c r="AA283" s="28">
        <f>ROUND(O283/INDEX(Employee_Lookups!$E$13:$E$17,MATCH(F283,Employee_Lookups!$A$13:$A$17,0)),3)</f>
        <v>1.2130000000000001</v>
      </c>
      <c r="AB283">
        <f t="shared" si="31"/>
        <v>2021</v>
      </c>
      <c r="AC283" t="str">
        <f t="shared" si="32"/>
        <v/>
      </c>
      <c r="AD283" s="28">
        <f>ROUND((IF(ISBLANK(L283),Employee_Lookups!$O$14,L283)-J283)/365.25,2)</f>
        <v>4.53</v>
      </c>
      <c r="AE283" t="str">
        <f t="shared" si="33"/>
        <v>3 - 5 Yrs</v>
      </c>
      <c r="AF283" t="str">
        <f t="shared" si="34"/>
        <v>Low Risk</v>
      </c>
    </row>
    <row r="284" spans="1:32" x14ac:dyDescent="0.45">
      <c r="A284" t="s">
        <v>760</v>
      </c>
      <c r="B284" t="s">
        <v>761</v>
      </c>
      <c r="C284" t="s">
        <v>59</v>
      </c>
      <c r="D284" t="s">
        <v>58</v>
      </c>
      <c r="E284" t="s">
        <v>206</v>
      </c>
      <c r="F284" t="s">
        <v>81</v>
      </c>
      <c r="G284" t="s">
        <v>207</v>
      </c>
      <c r="H284" t="s">
        <v>112</v>
      </c>
      <c r="I284" t="s">
        <v>113</v>
      </c>
      <c r="J284" s="26">
        <v>44369</v>
      </c>
      <c r="K284" t="s">
        <v>162</v>
      </c>
      <c r="L284" s="26"/>
      <c r="M284" t="s">
        <v>163</v>
      </c>
      <c r="N284" t="s">
        <v>96</v>
      </c>
      <c r="O284" s="27">
        <v>567000</v>
      </c>
      <c r="P284">
        <v>3</v>
      </c>
      <c r="Q284" t="s">
        <v>172</v>
      </c>
      <c r="R284">
        <v>46</v>
      </c>
      <c r="S284" t="s">
        <v>214</v>
      </c>
      <c r="T284">
        <f t="shared" si="28"/>
        <v>10768</v>
      </c>
      <c r="U284" t="str">
        <f t="shared" si="29"/>
        <v>FIN</v>
      </c>
      <c r="V284" t="str">
        <f t="shared" si="30"/>
        <v>L1</v>
      </c>
      <c r="W284" t="str">
        <f>PROPER(TRIM(VLOOKUP(S284,Employee_Lookups!$I$4:$M$19,2,FALSE())))</f>
        <v>Aditya Gokhale</v>
      </c>
      <c r="X284" t="str">
        <f>VLOOKUP(C284,Employee_Lookups!$A$4:$G$9,4,FALSE())</f>
        <v>CC-404</v>
      </c>
      <c r="Y284" t="str">
        <f>INDEX(Employee_Lookups!$C$13:$C$17,MATCH(F284,Employee_Lookups!$A$13:$A$17,0))</f>
        <v>Band A (Entry)</v>
      </c>
      <c r="Z284" s="27">
        <f>_xlfn.XLOOKUP(F284,Employee_Lookups!$A$13:$A$17,Employee_Lookups!$E$13:$E$17,0)</f>
        <v>700000</v>
      </c>
      <c r="AA284" s="28">
        <f>ROUND(O284/INDEX(Employee_Lookups!$E$13:$E$17,MATCH(F284,Employee_Lookups!$A$13:$A$17,0)),3)</f>
        <v>0.81</v>
      </c>
      <c r="AB284">
        <f t="shared" si="31"/>
        <v>2021</v>
      </c>
      <c r="AC284" t="str">
        <f t="shared" si="32"/>
        <v/>
      </c>
      <c r="AD284" s="28">
        <f>ROUND((IF(ISBLANK(L284),Employee_Lookups!$O$14,L284)-J284)/365.25,2)</f>
        <v>4.53</v>
      </c>
      <c r="AE284" t="str">
        <f t="shared" si="33"/>
        <v>3 - 5 Yrs</v>
      </c>
      <c r="AF284" t="str">
        <f t="shared" si="34"/>
        <v>High Risk</v>
      </c>
    </row>
    <row r="285" spans="1:32" x14ac:dyDescent="0.45">
      <c r="A285" t="s">
        <v>762</v>
      </c>
      <c r="B285" t="s">
        <v>499</v>
      </c>
      <c r="C285" t="s">
        <v>57</v>
      </c>
      <c r="D285" t="s">
        <v>56</v>
      </c>
      <c r="E285" t="s">
        <v>160</v>
      </c>
      <c r="F285" t="s">
        <v>81</v>
      </c>
      <c r="G285" t="s">
        <v>161</v>
      </c>
      <c r="H285" t="s">
        <v>106</v>
      </c>
      <c r="I285" t="s">
        <v>107</v>
      </c>
      <c r="J285" s="26">
        <v>44370</v>
      </c>
      <c r="K285" t="s">
        <v>187</v>
      </c>
      <c r="L285" s="26">
        <v>44470</v>
      </c>
      <c r="M285" t="s">
        <v>282</v>
      </c>
      <c r="N285" t="s">
        <v>99</v>
      </c>
      <c r="O285" s="27">
        <v>593000</v>
      </c>
      <c r="P285">
        <v>3</v>
      </c>
      <c r="Q285" t="s">
        <v>164</v>
      </c>
      <c r="R285">
        <v>38</v>
      </c>
      <c r="S285" t="s">
        <v>224</v>
      </c>
      <c r="T285">
        <f t="shared" si="28"/>
        <v>10915</v>
      </c>
      <c r="U285" t="str">
        <f t="shared" si="29"/>
        <v>MKT</v>
      </c>
      <c r="V285" t="str">
        <f t="shared" si="30"/>
        <v>L1</v>
      </c>
      <c r="W285" t="str">
        <f>PROPER(TRIM(VLOOKUP(S285,Employee_Lookups!$I$4:$M$19,2,FALSE())))</f>
        <v>Tanvi Chitnis</v>
      </c>
      <c r="X285" t="str">
        <f>VLOOKUP(C285,Employee_Lookups!$A$4:$G$9,4,FALSE())</f>
        <v>CC-606</v>
      </c>
      <c r="Y285" t="str">
        <f>INDEX(Employee_Lookups!$C$13:$C$17,MATCH(F285,Employee_Lookups!$A$13:$A$17,0))</f>
        <v>Band A (Entry)</v>
      </c>
      <c r="Z285" s="27">
        <f>_xlfn.XLOOKUP(F285,Employee_Lookups!$A$13:$A$17,Employee_Lookups!$E$13:$E$17,0)</f>
        <v>700000</v>
      </c>
      <c r="AA285" s="28">
        <f>ROUND(O285/INDEX(Employee_Lookups!$E$13:$E$17,MATCH(F285,Employee_Lookups!$A$13:$A$17,0)),3)</f>
        <v>0.84699999999999998</v>
      </c>
      <c r="AB285">
        <f t="shared" si="31"/>
        <v>2021</v>
      </c>
      <c r="AC285">
        <f t="shared" si="32"/>
        <v>2021</v>
      </c>
      <c r="AD285" s="28">
        <f>ROUND((IF(ISBLANK(L285),Employee_Lookups!$O$14,L285)-J285)/365.25,2)</f>
        <v>0.27</v>
      </c>
      <c r="AE285" t="str">
        <f t="shared" si="33"/>
        <v>&lt; 1 Yr (New)</v>
      </c>
      <c r="AF285" t="str">
        <f t="shared" si="34"/>
        <v>Exited</v>
      </c>
    </row>
    <row r="286" spans="1:32" x14ac:dyDescent="0.45">
      <c r="A286" t="s">
        <v>763</v>
      </c>
      <c r="B286" t="s">
        <v>284</v>
      </c>
      <c r="C286" t="s">
        <v>57</v>
      </c>
      <c r="D286" t="s">
        <v>56</v>
      </c>
      <c r="E286" t="s">
        <v>160</v>
      </c>
      <c r="F286" t="s">
        <v>81</v>
      </c>
      <c r="G286" t="s">
        <v>161</v>
      </c>
      <c r="H286" t="s">
        <v>112</v>
      </c>
      <c r="I286" t="s">
        <v>113</v>
      </c>
      <c r="J286" s="26">
        <v>44372</v>
      </c>
      <c r="K286" t="s">
        <v>170</v>
      </c>
      <c r="L286" s="26">
        <v>45065</v>
      </c>
      <c r="M286" t="s">
        <v>171</v>
      </c>
      <c r="N286" t="s">
        <v>97</v>
      </c>
      <c r="O286" s="27">
        <v>811000</v>
      </c>
      <c r="P286">
        <v>2</v>
      </c>
      <c r="Q286" t="s">
        <v>164</v>
      </c>
      <c r="R286">
        <v>31</v>
      </c>
      <c r="S286" t="s">
        <v>165</v>
      </c>
      <c r="T286">
        <f t="shared" si="28"/>
        <v>11399</v>
      </c>
      <c r="U286" t="str">
        <f t="shared" si="29"/>
        <v>MKT</v>
      </c>
      <c r="V286" t="str">
        <f t="shared" si="30"/>
        <v>L1</v>
      </c>
      <c r="W286" t="str">
        <f>PROPER(TRIM(VLOOKUP(S286,Employee_Lookups!$I$4:$M$19,2,FALSE())))</f>
        <v>Arjun Sengupta</v>
      </c>
      <c r="X286" t="str">
        <f>VLOOKUP(C286,Employee_Lookups!$A$4:$G$9,4,FALSE())</f>
        <v>CC-606</v>
      </c>
      <c r="Y286" t="str">
        <f>INDEX(Employee_Lookups!$C$13:$C$17,MATCH(F286,Employee_Lookups!$A$13:$A$17,0))</f>
        <v>Band A (Entry)</v>
      </c>
      <c r="Z286" s="27">
        <f>_xlfn.XLOOKUP(F286,Employee_Lookups!$A$13:$A$17,Employee_Lookups!$E$13:$E$17,0)</f>
        <v>700000</v>
      </c>
      <c r="AA286" s="28">
        <f>ROUND(O286/INDEX(Employee_Lookups!$E$13:$E$17,MATCH(F286,Employee_Lookups!$A$13:$A$17,0)),3)</f>
        <v>1.159</v>
      </c>
      <c r="AB286">
        <f t="shared" si="31"/>
        <v>2021</v>
      </c>
      <c r="AC286">
        <f t="shared" si="32"/>
        <v>2023</v>
      </c>
      <c r="AD286" s="28">
        <f>ROUND((IF(ISBLANK(L286),Employee_Lookups!$O$14,L286)-J286)/365.25,2)</f>
        <v>1.9</v>
      </c>
      <c r="AE286" t="str">
        <f t="shared" si="33"/>
        <v>1 - 3 Yrs</v>
      </c>
      <c r="AF286" t="str">
        <f t="shared" si="34"/>
        <v>Exited</v>
      </c>
    </row>
    <row r="287" spans="1:32" x14ac:dyDescent="0.45">
      <c r="A287" t="s">
        <v>764</v>
      </c>
      <c r="B287" t="s">
        <v>765</v>
      </c>
      <c r="C287" t="s">
        <v>61</v>
      </c>
      <c r="D287" t="s">
        <v>60</v>
      </c>
      <c r="E287" t="s">
        <v>356</v>
      </c>
      <c r="F287" t="s">
        <v>81</v>
      </c>
      <c r="G287" t="s">
        <v>357</v>
      </c>
      <c r="H287" t="s">
        <v>108</v>
      </c>
      <c r="I287" t="s">
        <v>107</v>
      </c>
      <c r="J287" s="26">
        <v>44372</v>
      </c>
      <c r="K287" t="s">
        <v>162</v>
      </c>
      <c r="L287" s="26"/>
      <c r="M287" t="s">
        <v>163</v>
      </c>
      <c r="N287" t="s">
        <v>99</v>
      </c>
      <c r="O287" s="27">
        <v>836000</v>
      </c>
      <c r="P287">
        <v>2</v>
      </c>
      <c r="Q287" t="s">
        <v>172</v>
      </c>
      <c r="R287">
        <v>27</v>
      </c>
      <c r="S287" t="s">
        <v>319</v>
      </c>
      <c r="T287">
        <f t="shared" si="28"/>
        <v>10017</v>
      </c>
      <c r="U287" t="str">
        <f t="shared" si="29"/>
        <v>-HR</v>
      </c>
      <c r="V287" t="str">
        <f t="shared" si="30"/>
        <v>L1</v>
      </c>
      <c r="W287" t="str">
        <f>PROPER(TRIM(VLOOKUP(S287,Employee_Lookups!$I$4:$M$19,2,FALSE())))</f>
        <v>Kavita Menon</v>
      </c>
      <c r="X287" t="str">
        <f>VLOOKUP(C287,Employee_Lookups!$A$4:$G$9,4,FALSE())</f>
        <v>CC-505</v>
      </c>
      <c r="Y287" t="str">
        <f>INDEX(Employee_Lookups!$C$13:$C$17,MATCH(F287,Employee_Lookups!$A$13:$A$17,0))</f>
        <v>Band A (Entry)</v>
      </c>
      <c r="Z287" s="27">
        <f>_xlfn.XLOOKUP(F287,Employee_Lookups!$A$13:$A$17,Employee_Lookups!$E$13:$E$17,0)</f>
        <v>700000</v>
      </c>
      <c r="AA287" s="28">
        <f>ROUND(O287/INDEX(Employee_Lookups!$E$13:$E$17,MATCH(F287,Employee_Lookups!$A$13:$A$17,0)),3)</f>
        <v>1.194</v>
      </c>
      <c r="AB287">
        <f t="shared" si="31"/>
        <v>2021</v>
      </c>
      <c r="AC287" t="str">
        <f t="shared" si="32"/>
        <v/>
      </c>
      <c r="AD287" s="28">
        <f>ROUND((IF(ISBLANK(L287),Employee_Lookups!$O$14,L287)-J287)/365.25,2)</f>
        <v>4.5199999999999996</v>
      </c>
      <c r="AE287" t="str">
        <f t="shared" si="33"/>
        <v>3 - 5 Yrs</v>
      </c>
      <c r="AF287" t="str">
        <f t="shared" si="34"/>
        <v>Moderate Risk</v>
      </c>
    </row>
    <row r="288" spans="1:32" x14ac:dyDescent="0.45">
      <c r="A288" t="s">
        <v>766</v>
      </c>
      <c r="B288" t="s">
        <v>767</v>
      </c>
      <c r="C288" t="s">
        <v>53</v>
      </c>
      <c r="D288" t="s">
        <v>52</v>
      </c>
      <c r="E288" t="s">
        <v>192</v>
      </c>
      <c r="F288" t="s">
        <v>83</v>
      </c>
      <c r="G288" t="s">
        <v>193</v>
      </c>
      <c r="H288" t="s">
        <v>108</v>
      </c>
      <c r="I288" t="s">
        <v>107</v>
      </c>
      <c r="J288" s="26">
        <v>44381</v>
      </c>
      <c r="K288" t="s">
        <v>170</v>
      </c>
      <c r="L288" s="26">
        <v>44590</v>
      </c>
      <c r="M288" t="s">
        <v>171</v>
      </c>
      <c r="N288" t="s">
        <v>97</v>
      </c>
      <c r="O288" s="27">
        <v>1441000</v>
      </c>
      <c r="P288">
        <v>3</v>
      </c>
      <c r="Q288" t="s">
        <v>164</v>
      </c>
      <c r="R288">
        <v>0</v>
      </c>
      <c r="S288" t="s">
        <v>189</v>
      </c>
      <c r="T288">
        <f t="shared" si="28"/>
        <v>10954</v>
      </c>
      <c r="U288" t="str">
        <f t="shared" si="29"/>
        <v>SAL</v>
      </c>
      <c r="V288" t="str">
        <f t="shared" si="30"/>
        <v>L3</v>
      </c>
      <c r="W288" t="str">
        <f>PROPER(TRIM(VLOOKUP(S288,Employee_Lookups!$I$4:$M$19,2,FALSE())))</f>
        <v>Priya Sharma</v>
      </c>
      <c r="X288" t="str">
        <f>VLOOKUP(C288,Employee_Lookups!$A$4:$G$9,4,FALSE())</f>
        <v>CC-202</v>
      </c>
      <c r="Y288" t="str">
        <f>INDEX(Employee_Lookups!$C$13:$C$17,MATCH(F288,Employee_Lookups!$A$13:$A$17,0))</f>
        <v>Band C (Senior)</v>
      </c>
      <c r="Z288" s="27">
        <f>_xlfn.XLOOKUP(F288,Employee_Lookups!$A$13:$A$17,Employee_Lookups!$E$13:$E$17,0)</f>
        <v>1725000</v>
      </c>
      <c r="AA288" s="28">
        <f>ROUND(O288/INDEX(Employee_Lookups!$E$13:$E$17,MATCH(F288,Employee_Lookups!$A$13:$A$17,0)),3)</f>
        <v>0.83499999999999996</v>
      </c>
      <c r="AB288">
        <f t="shared" si="31"/>
        <v>2021</v>
      </c>
      <c r="AC288">
        <f t="shared" si="32"/>
        <v>2022</v>
      </c>
      <c r="AD288" s="28">
        <f>ROUND((IF(ISBLANK(L288),Employee_Lookups!$O$14,L288)-J288)/365.25,2)</f>
        <v>0.56999999999999995</v>
      </c>
      <c r="AE288" t="str">
        <f t="shared" si="33"/>
        <v>&lt; 1 Yr (New)</v>
      </c>
      <c r="AF288" t="str">
        <f t="shared" si="34"/>
        <v>Exited</v>
      </c>
    </row>
    <row r="289" spans="1:32" x14ac:dyDescent="0.45">
      <c r="A289" t="s">
        <v>768</v>
      </c>
      <c r="B289" t="s">
        <v>769</v>
      </c>
      <c r="C289" t="s">
        <v>51</v>
      </c>
      <c r="D289" t="s">
        <v>50</v>
      </c>
      <c r="E289" t="s">
        <v>176</v>
      </c>
      <c r="F289" t="s">
        <v>82</v>
      </c>
      <c r="G289" t="s">
        <v>177</v>
      </c>
      <c r="H289" t="s">
        <v>109</v>
      </c>
      <c r="I289" t="s">
        <v>110</v>
      </c>
      <c r="J289" s="26">
        <v>44382</v>
      </c>
      <c r="K289" t="s">
        <v>162</v>
      </c>
      <c r="L289" s="26"/>
      <c r="M289" t="s">
        <v>163</v>
      </c>
      <c r="N289" t="s">
        <v>95</v>
      </c>
      <c r="O289" s="27">
        <v>1032000</v>
      </c>
      <c r="P289">
        <v>5</v>
      </c>
      <c r="Q289" t="s">
        <v>172</v>
      </c>
      <c r="R289">
        <v>31</v>
      </c>
      <c r="S289" t="s">
        <v>219</v>
      </c>
      <c r="T289">
        <f t="shared" si="28"/>
        <v>10042</v>
      </c>
      <c r="U289" t="str">
        <f t="shared" si="29"/>
        <v>ENG</v>
      </c>
      <c r="V289" t="str">
        <f t="shared" si="30"/>
        <v>L2</v>
      </c>
      <c r="W289" t="str">
        <f>PROPER(TRIM(VLOOKUP(S289,Employee_Lookups!$I$4:$M$19,2,FALSE())))</f>
        <v>Neha Kulkarni</v>
      </c>
      <c r="X289" t="str">
        <f>VLOOKUP(C289,Employee_Lookups!$A$4:$G$9,4,FALSE())</f>
        <v>CC-101</v>
      </c>
      <c r="Y289" t="str">
        <f>INDEX(Employee_Lookups!$C$13:$C$17,MATCH(F289,Employee_Lookups!$A$13:$A$17,0))</f>
        <v>Band B (Mid)</v>
      </c>
      <c r="Z289" s="27">
        <f>_xlfn.XLOOKUP(F289,Employee_Lookups!$A$13:$A$17,Employee_Lookups!$E$13:$E$17,0)</f>
        <v>1100000</v>
      </c>
      <c r="AA289" s="28">
        <f>ROUND(O289/INDEX(Employee_Lookups!$E$13:$E$17,MATCH(F289,Employee_Lookups!$A$13:$A$17,0)),3)</f>
        <v>0.93799999999999994</v>
      </c>
      <c r="AB289">
        <f t="shared" si="31"/>
        <v>2021</v>
      </c>
      <c r="AC289" t="str">
        <f t="shared" si="32"/>
        <v/>
      </c>
      <c r="AD289" s="28">
        <f>ROUND((IF(ISBLANK(L289),Employee_Lookups!$O$14,L289)-J289)/365.25,2)</f>
        <v>4.49</v>
      </c>
      <c r="AE289" t="str">
        <f t="shared" si="33"/>
        <v>3 - 5 Yrs</v>
      </c>
      <c r="AF289" t="str">
        <f t="shared" si="34"/>
        <v>High Risk</v>
      </c>
    </row>
    <row r="290" spans="1:32" x14ac:dyDescent="0.45">
      <c r="A290" t="s">
        <v>770</v>
      </c>
      <c r="B290" t="s">
        <v>771</v>
      </c>
      <c r="C290" t="s">
        <v>53</v>
      </c>
      <c r="D290" t="s">
        <v>52</v>
      </c>
      <c r="E290" t="s">
        <v>192</v>
      </c>
      <c r="F290" t="s">
        <v>83</v>
      </c>
      <c r="G290" t="s">
        <v>193</v>
      </c>
      <c r="H290" t="s">
        <v>109</v>
      </c>
      <c r="I290" t="s">
        <v>110</v>
      </c>
      <c r="J290" s="26">
        <v>44383</v>
      </c>
      <c r="K290" t="s">
        <v>162</v>
      </c>
      <c r="L290" s="26"/>
      <c r="M290" t="s">
        <v>163</v>
      </c>
      <c r="N290" t="s">
        <v>99</v>
      </c>
      <c r="O290" s="27">
        <v>1447000</v>
      </c>
      <c r="P290">
        <v>3</v>
      </c>
      <c r="Q290" t="s">
        <v>164</v>
      </c>
      <c r="R290">
        <v>29</v>
      </c>
      <c r="S290" t="s">
        <v>189</v>
      </c>
      <c r="T290">
        <f t="shared" si="28"/>
        <v>11061</v>
      </c>
      <c r="U290" t="str">
        <f t="shared" si="29"/>
        <v>SAL</v>
      </c>
      <c r="V290" t="str">
        <f t="shared" si="30"/>
        <v>L3</v>
      </c>
      <c r="W290" t="str">
        <f>PROPER(TRIM(VLOOKUP(S290,Employee_Lookups!$I$4:$M$19,2,FALSE())))</f>
        <v>Priya Sharma</v>
      </c>
      <c r="X290" t="str">
        <f>VLOOKUP(C290,Employee_Lookups!$A$4:$G$9,4,FALSE())</f>
        <v>CC-202</v>
      </c>
      <c r="Y290" t="str">
        <f>INDEX(Employee_Lookups!$C$13:$C$17,MATCH(F290,Employee_Lookups!$A$13:$A$17,0))</f>
        <v>Band C (Senior)</v>
      </c>
      <c r="Z290" s="27">
        <f>_xlfn.XLOOKUP(F290,Employee_Lookups!$A$13:$A$17,Employee_Lookups!$E$13:$E$17,0)</f>
        <v>1725000</v>
      </c>
      <c r="AA290" s="28">
        <f>ROUND(O290/INDEX(Employee_Lookups!$E$13:$E$17,MATCH(F290,Employee_Lookups!$A$13:$A$17,0)),3)</f>
        <v>0.83899999999999997</v>
      </c>
      <c r="AB290">
        <f t="shared" si="31"/>
        <v>2021</v>
      </c>
      <c r="AC290" t="str">
        <f t="shared" si="32"/>
        <v/>
      </c>
      <c r="AD290" s="28">
        <f>ROUND((IF(ISBLANK(L290),Employee_Lookups!$O$14,L290)-J290)/365.25,2)</f>
        <v>4.49</v>
      </c>
      <c r="AE290" t="str">
        <f t="shared" si="33"/>
        <v>3 - 5 Yrs</v>
      </c>
      <c r="AF290" t="str">
        <f t="shared" si="34"/>
        <v>Low Risk</v>
      </c>
    </row>
    <row r="291" spans="1:32" x14ac:dyDescent="0.45">
      <c r="A291" t="s">
        <v>772</v>
      </c>
      <c r="B291" t="s">
        <v>353</v>
      </c>
      <c r="C291" t="s">
        <v>55</v>
      </c>
      <c r="D291" t="s">
        <v>54</v>
      </c>
      <c r="E291" t="s">
        <v>240</v>
      </c>
      <c r="F291" t="s">
        <v>83</v>
      </c>
      <c r="G291" t="s">
        <v>241</v>
      </c>
      <c r="H291" t="s">
        <v>108</v>
      </c>
      <c r="I291" t="s">
        <v>107</v>
      </c>
      <c r="J291" s="26">
        <v>44384</v>
      </c>
      <c r="K291" t="s">
        <v>170</v>
      </c>
      <c r="L291" s="26">
        <v>44446</v>
      </c>
      <c r="M291" t="s">
        <v>171</v>
      </c>
      <c r="N291" t="s">
        <v>95</v>
      </c>
      <c r="O291" s="27">
        <v>1844000</v>
      </c>
      <c r="P291">
        <v>2</v>
      </c>
      <c r="Q291" t="s">
        <v>172</v>
      </c>
      <c r="R291">
        <v>4</v>
      </c>
      <c r="S291" t="s">
        <v>173</v>
      </c>
      <c r="T291">
        <f t="shared" si="28"/>
        <v>10025</v>
      </c>
      <c r="U291" t="str">
        <f t="shared" si="29"/>
        <v>OPS</v>
      </c>
      <c r="V291" t="str">
        <f t="shared" si="30"/>
        <v>L3</v>
      </c>
      <c r="W291" t="str">
        <f>PROPER(TRIM(VLOOKUP(S291,Employee_Lookups!$I$4:$M$19,2,FALSE())))</f>
        <v>Deepak Patil</v>
      </c>
      <c r="X291" t="str">
        <f>VLOOKUP(C291,Employee_Lookups!$A$4:$G$9,4,FALSE())</f>
        <v>CC-303</v>
      </c>
      <c r="Y291" t="str">
        <f>INDEX(Employee_Lookups!$C$13:$C$17,MATCH(F291,Employee_Lookups!$A$13:$A$17,0))</f>
        <v>Band C (Senior)</v>
      </c>
      <c r="Z291" s="27">
        <f>_xlfn.XLOOKUP(F291,Employee_Lookups!$A$13:$A$17,Employee_Lookups!$E$13:$E$17,0)</f>
        <v>1725000</v>
      </c>
      <c r="AA291" s="28">
        <f>ROUND(O291/INDEX(Employee_Lookups!$E$13:$E$17,MATCH(F291,Employee_Lookups!$A$13:$A$17,0)),3)</f>
        <v>1.069</v>
      </c>
      <c r="AB291">
        <f t="shared" si="31"/>
        <v>2021</v>
      </c>
      <c r="AC291">
        <f t="shared" si="32"/>
        <v>2021</v>
      </c>
      <c r="AD291" s="28">
        <f>ROUND((IF(ISBLANK(L291),Employee_Lookups!$O$14,L291)-J291)/365.25,2)</f>
        <v>0.17</v>
      </c>
      <c r="AE291" t="str">
        <f t="shared" si="33"/>
        <v>&lt; 1 Yr (New)</v>
      </c>
      <c r="AF291" t="str">
        <f t="shared" si="34"/>
        <v>Exited</v>
      </c>
    </row>
    <row r="292" spans="1:32" x14ac:dyDescent="0.45">
      <c r="A292" t="s">
        <v>773</v>
      </c>
      <c r="B292" t="s">
        <v>774</v>
      </c>
      <c r="C292" t="s">
        <v>53</v>
      </c>
      <c r="D292" t="s">
        <v>52</v>
      </c>
      <c r="E292" t="s">
        <v>322</v>
      </c>
      <c r="F292" t="s">
        <v>81</v>
      </c>
      <c r="G292" t="s">
        <v>323</v>
      </c>
      <c r="H292" t="s">
        <v>106</v>
      </c>
      <c r="I292" t="s">
        <v>107</v>
      </c>
      <c r="J292" s="26">
        <v>44386</v>
      </c>
      <c r="K292" t="s">
        <v>162</v>
      </c>
      <c r="L292" s="26"/>
      <c r="M292" t="s">
        <v>163</v>
      </c>
      <c r="N292" t="s">
        <v>99</v>
      </c>
      <c r="O292" s="27">
        <v>763000</v>
      </c>
      <c r="P292">
        <v>3</v>
      </c>
      <c r="Q292" t="s">
        <v>172</v>
      </c>
      <c r="R292">
        <v>22</v>
      </c>
      <c r="S292" t="s">
        <v>237</v>
      </c>
      <c r="T292">
        <f t="shared" si="28"/>
        <v>10561</v>
      </c>
      <c r="U292" t="str">
        <f t="shared" si="29"/>
        <v>SAL</v>
      </c>
      <c r="V292" t="str">
        <f t="shared" si="30"/>
        <v>L1</v>
      </c>
      <c r="W292" t="str">
        <f>PROPER(TRIM(VLOOKUP(S292,Employee_Lookups!$I$4:$M$19,2,FALSE())))</f>
        <v>Karan Malhotra</v>
      </c>
      <c r="X292" t="str">
        <f>VLOOKUP(C292,Employee_Lookups!$A$4:$G$9,4,FALSE())</f>
        <v>CC-202</v>
      </c>
      <c r="Y292" t="str">
        <f>INDEX(Employee_Lookups!$C$13:$C$17,MATCH(F292,Employee_Lookups!$A$13:$A$17,0))</f>
        <v>Band A (Entry)</v>
      </c>
      <c r="Z292" s="27">
        <f>_xlfn.XLOOKUP(F292,Employee_Lookups!$A$13:$A$17,Employee_Lookups!$E$13:$E$17,0)</f>
        <v>700000</v>
      </c>
      <c r="AA292" s="28">
        <f>ROUND(O292/INDEX(Employee_Lookups!$E$13:$E$17,MATCH(F292,Employee_Lookups!$A$13:$A$17,0)),3)</f>
        <v>1.0900000000000001</v>
      </c>
      <c r="AB292">
        <f t="shared" si="31"/>
        <v>2021</v>
      </c>
      <c r="AC292" t="str">
        <f t="shared" si="32"/>
        <v/>
      </c>
      <c r="AD292" s="28">
        <f>ROUND((IF(ISBLANK(L292),Employee_Lookups!$O$14,L292)-J292)/365.25,2)</f>
        <v>4.4800000000000004</v>
      </c>
      <c r="AE292" t="str">
        <f t="shared" si="33"/>
        <v>3 - 5 Yrs</v>
      </c>
      <c r="AF292" t="str">
        <f t="shared" si="34"/>
        <v>Moderate Risk</v>
      </c>
    </row>
    <row r="293" spans="1:32" x14ac:dyDescent="0.45">
      <c r="A293" t="s">
        <v>775</v>
      </c>
      <c r="B293" t="s">
        <v>438</v>
      </c>
      <c r="C293" t="s">
        <v>55</v>
      </c>
      <c r="D293" t="s">
        <v>54</v>
      </c>
      <c r="E293" t="s">
        <v>537</v>
      </c>
      <c r="F293" t="s">
        <v>85</v>
      </c>
      <c r="G293" t="s">
        <v>538</v>
      </c>
      <c r="H293" t="s">
        <v>106</v>
      </c>
      <c r="I293" t="s">
        <v>107</v>
      </c>
      <c r="J293" s="26">
        <v>44387</v>
      </c>
      <c r="K293" t="s">
        <v>162</v>
      </c>
      <c r="L293" s="26"/>
      <c r="M293" t="s">
        <v>163</v>
      </c>
      <c r="N293" t="s">
        <v>99</v>
      </c>
      <c r="O293" s="27">
        <v>4661000</v>
      </c>
      <c r="P293">
        <v>2</v>
      </c>
      <c r="Q293" t="s">
        <v>164</v>
      </c>
      <c r="R293">
        <v>19</v>
      </c>
      <c r="S293" t="s">
        <v>274</v>
      </c>
      <c r="T293">
        <f t="shared" si="28"/>
        <v>10894</v>
      </c>
      <c r="U293" t="str">
        <f t="shared" si="29"/>
        <v>OPS</v>
      </c>
      <c r="V293" t="str">
        <f t="shared" si="30"/>
        <v>L5</v>
      </c>
      <c r="W293" t="str">
        <f>PROPER(TRIM(VLOOKUP(S293,Employee_Lookups!$I$4:$M$19,2,FALSE())))</f>
        <v>Meera Krishnan</v>
      </c>
      <c r="X293" t="str">
        <f>VLOOKUP(C293,Employee_Lookups!$A$4:$G$9,4,FALSE())</f>
        <v>CC-303</v>
      </c>
      <c r="Y293" t="str">
        <f>INDEX(Employee_Lookups!$C$13:$C$17,MATCH(F293,Employee_Lookups!$A$13:$A$17,0))</f>
        <v>Band E (Executive)</v>
      </c>
      <c r="Z293" s="27">
        <f>_xlfn.XLOOKUP(F293,Employee_Lookups!$A$13:$A$17,Employee_Lookups!$E$13:$E$17,0)</f>
        <v>4300000</v>
      </c>
      <c r="AA293" s="28">
        <f>ROUND(O293/INDEX(Employee_Lookups!$E$13:$E$17,MATCH(F293,Employee_Lookups!$A$13:$A$17,0)),3)</f>
        <v>1.0840000000000001</v>
      </c>
      <c r="AB293">
        <f t="shared" si="31"/>
        <v>2021</v>
      </c>
      <c r="AC293" t="str">
        <f t="shared" si="32"/>
        <v/>
      </c>
      <c r="AD293" s="28">
        <f>ROUND((IF(ISBLANK(L293),Employee_Lookups!$O$14,L293)-J293)/365.25,2)</f>
        <v>4.4800000000000004</v>
      </c>
      <c r="AE293" t="str">
        <f t="shared" si="33"/>
        <v>3 - 5 Yrs</v>
      </c>
      <c r="AF293" t="str">
        <f t="shared" si="34"/>
        <v>Moderate Risk</v>
      </c>
    </row>
    <row r="294" spans="1:32" x14ac:dyDescent="0.45">
      <c r="A294" t="s">
        <v>776</v>
      </c>
      <c r="B294" t="s">
        <v>184</v>
      </c>
      <c r="C294" t="s">
        <v>55</v>
      </c>
      <c r="D294" t="s">
        <v>54</v>
      </c>
      <c r="E294" t="s">
        <v>240</v>
      </c>
      <c r="F294" t="s">
        <v>83</v>
      </c>
      <c r="G294" t="s">
        <v>241</v>
      </c>
      <c r="H294" t="s">
        <v>106</v>
      </c>
      <c r="I294" t="s">
        <v>107</v>
      </c>
      <c r="J294" s="26">
        <v>44389</v>
      </c>
      <c r="K294" t="s">
        <v>162</v>
      </c>
      <c r="L294" s="26"/>
      <c r="M294" t="s">
        <v>163</v>
      </c>
      <c r="N294" t="s">
        <v>97</v>
      </c>
      <c r="O294" s="27">
        <v>1528000</v>
      </c>
      <c r="P294">
        <v>2</v>
      </c>
      <c r="Q294" t="s">
        <v>164</v>
      </c>
      <c r="R294">
        <v>30</v>
      </c>
      <c r="S294" t="s">
        <v>262</v>
      </c>
      <c r="T294">
        <f t="shared" si="28"/>
        <v>10185</v>
      </c>
      <c r="U294" t="str">
        <f t="shared" si="29"/>
        <v>OPS</v>
      </c>
      <c r="V294" t="str">
        <f t="shared" si="30"/>
        <v>L3</v>
      </c>
      <c r="W294" t="str">
        <f>PROPER(TRIM(VLOOKUP(S294,Employee_Lookups!$I$4:$M$19,2,FALSE())))</f>
        <v>Ananya Iyer</v>
      </c>
      <c r="X294" t="str">
        <f>VLOOKUP(C294,Employee_Lookups!$A$4:$G$9,4,FALSE())</f>
        <v>CC-303</v>
      </c>
      <c r="Y294" t="str">
        <f>INDEX(Employee_Lookups!$C$13:$C$17,MATCH(F294,Employee_Lookups!$A$13:$A$17,0))</f>
        <v>Band C (Senior)</v>
      </c>
      <c r="Z294" s="27">
        <f>_xlfn.XLOOKUP(F294,Employee_Lookups!$A$13:$A$17,Employee_Lookups!$E$13:$E$17,0)</f>
        <v>1725000</v>
      </c>
      <c r="AA294" s="28">
        <f>ROUND(O294/INDEX(Employee_Lookups!$E$13:$E$17,MATCH(F294,Employee_Lookups!$A$13:$A$17,0)),3)</f>
        <v>0.88600000000000001</v>
      </c>
      <c r="AB294">
        <f t="shared" si="31"/>
        <v>2021</v>
      </c>
      <c r="AC294" t="str">
        <f t="shared" si="32"/>
        <v/>
      </c>
      <c r="AD294" s="28">
        <f>ROUND((IF(ISBLANK(L294),Employee_Lookups!$O$14,L294)-J294)/365.25,2)</f>
        <v>4.47</v>
      </c>
      <c r="AE294" t="str">
        <f t="shared" si="33"/>
        <v>3 - 5 Yrs</v>
      </c>
      <c r="AF294" t="str">
        <f t="shared" si="34"/>
        <v>Moderate Risk</v>
      </c>
    </row>
    <row r="295" spans="1:32" x14ac:dyDescent="0.45">
      <c r="A295" t="s">
        <v>777</v>
      </c>
      <c r="B295" t="s">
        <v>396</v>
      </c>
      <c r="C295" t="s">
        <v>55</v>
      </c>
      <c r="D295" t="s">
        <v>54</v>
      </c>
      <c r="E295" t="s">
        <v>277</v>
      </c>
      <c r="F295" t="s">
        <v>81</v>
      </c>
      <c r="G295" t="s">
        <v>278</v>
      </c>
      <c r="H295" t="s">
        <v>109</v>
      </c>
      <c r="I295" t="s">
        <v>110</v>
      </c>
      <c r="J295" s="26">
        <v>44389</v>
      </c>
      <c r="K295" t="s">
        <v>187</v>
      </c>
      <c r="L295" s="26">
        <v>44661</v>
      </c>
      <c r="M295" t="s">
        <v>213</v>
      </c>
      <c r="N295" t="s">
        <v>99</v>
      </c>
      <c r="O295" s="27">
        <v>713000</v>
      </c>
      <c r="P295">
        <v>5</v>
      </c>
      <c r="Q295" t="s">
        <v>172</v>
      </c>
      <c r="R295">
        <v>35</v>
      </c>
      <c r="S295" t="s">
        <v>173</v>
      </c>
      <c r="T295">
        <f t="shared" si="28"/>
        <v>11277</v>
      </c>
      <c r="U295" t="str">
        <f t="shared" si="29"/>
        <v>OPS</v>
      </c>
      <c r="V295" t="str">
        <f t="shared" si="30"/>
        <v>L1</v>
      </c>
      <c r="W295" t="str">
        <f>PROPER(TRIM(VLOOKUP(S295,Employee_Lookups!$I$4:$M$19,2,FALSE())))</f>
        <v>Deepak Patil</v>
      </c>
      <c r="X295" t="str">
        <f>VLOOKUP(C295,Employee_Lookups!$A$4:$G$9,4,FALSE())</f>
        <v>CC-303</v>
      </c>
      <c r="Y295" t="str">
        <f>INDEX(Employee_Lookups!$C$13:$C$17,MATCH(F295,Employee_Lookups!$A$13:$A$17,0))</f>
        <v>Band A (Entry)</v>
      </c>
      <c r="Z295" s="27">
        <f>_xlfn.XLOOKUP(F295,Employee_Lookups!$A$13:$A$17,Employee_Lookups!$E$13:$E$17,0)</f>
        <v>700000</v>
      </c>
      <c r="AA295" s="28">
        <f>ROUND(O295/INDEX(Employee_Lookups!$E$13:$E$17,MATCH(F295,Employee_Lookups!$A$13:$A$17,0)),3)</f>
        <v>1.0189999999999999</v>
      </c>
      <c r="AB295">
        <f t="shared" si="31"/>
        <v>2021</v>
      </c>
      <c r="AC295">
        <f t="shared" si="32"/>
        <v>2022</v>
      </c>
      <c r="AD295" s="28">
        <f>ROUND((IF(ISBLANK(L295),Employee_Lookups!$O$14,L295)-J295)/365.25,2)</f>
        <v>0.74</v>
      </c>
      <c r="AE295" t="str">
        <f t="shared" si="33"/>
        <v>&lt; 1 Yr (New)</v>
      </c>
      <c r="AF295" t="str">
        <f t="shared" si="34"/>
        <v>Exited</v>
      </c>
    </row>
    <row r="296" spans="1:32" x14ac:dyDescent="0.45">
      <c r="A296" t="s">
        <v>778</v>
      </c>
      <c r="B296" t="s">
        <v>294</v>
      </c>
      <c r="C296" t="s">
        <v>57</v>
      </c>
      <c r="D296" t="s">
        <v>56</v>
      </c>
      <c r="E296" t="s">
        <v>160</v>
      </c>
      <c r="F296" t="s">
        <v>81</v>
      </c>
      <c r="G296" t="s">
        <v>161</v>
      </c>
      <c r="H296" t="s">
        <v>106</v>
      </c>
      <c r="I296" t="s">
        <v>107</v>
      </c>
      <c r="J296" s="26">
        <v>44389</v>
      </c>
      <c r="K296" t="s">
        <v>162</v>
      </c>
      <c r="L296" s="26"/>
      <c r="M296" t="s">
        <v>163</v>
      </c>
      <c r="N296" t="s">
        <v>97</v>
      </c>
      <c r="O296" s="27">
        <v>553000</v>
      </c>
      <c r="P296">
        <v>3</v>
      </c>
      <c r="Q296" t="s">
        <v>164</v>
      </c>
      <c r="R296">
        <v>0</v>
      </c>
      <c r="S296" t="s">
        <v>165</v>
      </c>
      <c r="T296">
        <f t="shared" si="28"/>
        <v>10579</v>
      </c>
      <c r="U296" t="str">
        <f t="shared" si="29"/>
        <v>MKT</v>
      </c>
      <c r="V296" t="str">
        <f t="shared" si="30"/>
        <v>L1</v>
      </c>
      <c r="W296" t="str">
        <f>PROPER(TRIM(VLOOKUP(S296,Employee_Lookups!$I$4:$M$19,2,FALSE())))</f>
        <v>Arjun Sengupta</v>
      </c>
      <c r="X296" t="str">
        <f>VLOOKUP(C296,Employee_Lookups!$A$4:$G$9,4,FALSE())</f>
        <v>CC-606</v>
      </c>
      <c r="Y296" t="str">
        <f>INDEX(Employee_Lookups!$C$13:$C$17,MATCH(F296,Employee_Lookups!$A$13:$A$17,0))</f>
        <v>Band A (Entry)</v>
      </c>
      <c r="Z296" s="27">
        <f>_xlfn.XLOOKUP(F296,Employee_Lookups!$A$13:$A$17,Employee_Lookups!$E$13:$E$17,0)</f>
        <v>700000</v>
      </c>
      <c r="AA296" s="28">
        <f>ROUND(O296/INDEX(Employee_Lookups!$E$13:$E$17,MATCH(F296,Employee_Lookups!$A$13:$A$17,0)),3)</f>
        <v>0.79</v>
      </c>
      <c r="AB296">
        <f t="shared" si="31"/>
        <v>2021</v>
      </c>
      <c r="AC296" t="str">
        <f t="shared" si="32"/>
        <v/>
      </c>
      <c r="AD296" s="28">
        <f>ROUND((IF(ISBLANK(L296),Employee_Lookups!$O$14,L296)-J296)/365.25,2)</f>
        <v>4.47</v>
      </c>
      <c r="AE296" t="str">
        <f t="shared" si="33"/>
        <v>3 - 5 Yrs</v>
      </c>
      <c r="AF296" t="str">
        <f t="shared" si="34"/>
        <v>Low Risk</v>
      </c>
    </row>
    <row r="297" spans="1:32" x14ac:dyDescent="0.45">
      <c r="A297" t="s">
        <v>779</v>
      </c>
      <c r="B297" t="s">
        <v>780</v>
      </c>
      <c r="C297" t="s">
        <v>55</v>
      </c>
      <c r="D297" t="s">
        <v>54</v>
      </c>
      <c r="E297" t="s">
        <v>229</v>
      </c>
      <c r="F297" t="s">
        <v>82</v>
      </c>
      <c r="G297" t="s">
        <v>230</v>
      </c>
      <c r="H297" t="s">
        <v>106</v>
      </c>
      <c r="I297" t="s">
        <v>107</v>
      </c>
      <c r="J297" s="26">
        <v>44390</v>
      </c>
      <c r="K297" t="s">
        <v>162</v>
      </c>
      <c r="L297" s="26"/>
      <c r="M297" t="s">
        <v>163</v>
      </c>
      <c r="N297" t="s">
        <v>99</v>
      </c>
      <c r="O297" s="27">
        <v>1339000</v>
      </c>
      <c r="P297">
        <v>4</v>
      </c>
      <c r="Q297" t="s">
        <v>164</v>
      </c>
      <c r="R297">
        <v>26</v>
      </c>
      <c r="S297" t="s">
        <v>262</v>
      </c>
      <c r="T297">
        <f t="shared" si="28"/>
        <v>10855</v>
      </c>
      <c r="U297" t="str">
        <f t="shared" si="29"/>
        <v>OPS</v>
      </c>
      <c r="V297" t="str">
        <f t="shared" si="30"/>
        <v>L2</v>
      </c>
      <c r="W297" t="str">
        <f>PROPER(TRIM(VLOOKUP(S297,Employee_Lookups!$I$4:$M$19,2,FALSE())))</f>
        <v>Ananya Iyer</v>
      </c>
      <c r="X297" t="str">
        <f>VLOOKUP(C297,Employee_Lookups!$A$4:$G$9,4,FALSE())</f>
        <v>CC-303</v>
      </c>
      <c r="Y297" t="str">
        <f>INDEX(Employee_Lookups!$C$13:$C$17,MATCH(F297,Employee_Lookups!$A$13:$A$17,0))</f>
        <v>Band B (Mid)</v>
      </c>
      <c r="Z297" s="27">
        <f>_xlfn.XLOOKUP(F297,Employee_Lookups!$A$13:$A$17,Employee_Lookups!$E$13:$E$17,0)</f>
        <v>1100000</v>
      </c>
      <c r="AA297" s="28">
        <f>ROUND(O297/INDEX(Employee_Lookups!$E$13:$E$17,MATCH(F297,Employee_Lookups!$A$13:$A$17,0)),3)</f>
        <v>1.2170000000000001</v>
      </c>
      <c r="AB297">
        <f t="shared" si="31"/>
        <v>2021</v>
      </c>
      <c r="AC297" t="str">
        <f t="shared" si="32"/>
        <v/>
      </c>
      <c r="AD297" s="28">
        <f>ROUND((IF(ISBLANK(L297),Employee_Lookups!$O$14,L297)-J297)/365.25,2)</f>
        <v>4.47</v>
      </c>
      <c r="AE297" t="str">
        <f t="shared" si="33"/>
        <v>3 - 5 Yrs</v>
      </c>
      <c r="AF297" t="str">
        <f t="shared" si="34"/>
        <v>Low Risk</v>
      </c>
    </row>
    <row r="298" spans="1:32" x14ac:dyDescent="0.45">
      <c r="A298" t="s">
        <v>781</v>
      </c>
      <c r="B298" t="s">
        <v>782</v>
      </c>
      <c r="C298" t="s">
        <v>57</v>
      </c>
      <c r="D298" t="s">
        <v>56</v>
      </c>
      <c r="E298" t="s">
        <v>160</v>
      </c>
      <c r="F298" t="s">
        <v>81</v>
      </c>
      <c r="G298" t="s">
        <v>161</v>
      </c>
      <c r="H298" t="s">
        <v>108</v>
      </c>
      <c r="I298" t="s">
        <v>107</v>
      </c>
      <c r="J298" s="26">
        <v>44390</v>
      </c>
      <c r="K298" t="s">
        <v>170</v>
      </c>
      <c r="L298" s="26">
        <v>44453</v>
      </c>
      <c r="M298" t="s">
        <v>171</v>
      </c>
      <c r="N298" t="s">
        <v>98</v>
      </c>
      <c r="O298" s="27">
        <v>690000</v>
      </c>
      <c r="P298">
        <v>2</v>
      </c>
      <c r="Q298" t="s">
        <v>164</v>
      </c>
      <c r="R298">
        <v>4</v>
      </c>
      <c r="S298" t="s">
        <v>224</v>
      </c>
      <c r="T298">
        <f t="shared" si="28"/>
        <v>10014</v>
      </c>
      <c r="U298" t="str">
        <f t="shared" si="29"/>
        <v>MKT</v>
      </c>
      <c r="V298" t="str">
        <f t="shared" si="30"/>
        <v>L1</v>
      </c>
      <c r="W298" t="str">
        <f>PROPER(TRIM(VLOOKUP(S298,Employee_Lookups!$I$4:$M$19,2,FALSE())))</f>
        <v>Tanvi Chitnis</v>
      </c>
      <c r="X298" t="str">
        <f>VLOOKUP(C298,Employee_Lookups!$A$4:$G$9,4,FALSE())</f>
        <v>CC-606</v>
      </c>
      <c r="Y298" t="str">
        <f>INDEX(Employee_Lookups!$C$13:$C$17,MATCH(F298,Employee_Lookups!$A$13:$A$17,0))</f>
        <v>Band A (Entry)</v>
      </c>
      <c r="Z298" s="27">
        <f>_xlfn.XLOOKUP(F298,Employee_Lookups!$A$13:$A$17,Employee_Lookups!$E$13:$E$17,0)</f>
        <v>700000</v>
      </c>
      <c r="AA298" s="28">
        <f>ROUND(O298/INDEX(Employee_Lookups!$E$13:$E$17,MATCH(F298,Employee_Lookups!$A$13:$A$17,0)),3)</f>
        <v>0.98599999999999999</v>
      </c>
      <c r="AB298">
        <f t="shared" si="31"/>
        <v>2021</v>
      </c>
      <c r="AC298">
        <f t="shared" si="32"/>
        <v>2021</v>
      </c>
      <c r="AD298" s="28">
        <f>ROUND((IF(ISBLANK(L298),Employee_Lookups!$O$14,L298)-J298)/365.25,2)</f>
        <v>0.17</v>
      </c>
      <c r="AE298" t="str">
        <f t="shared" si="33"/>
        <v>&lt; 1 Yr (New)</v>
      </c>
      <c r="AF298" t="str">
        <f t="shared" si="34"/>
        <v>Exited</v>
      </c>
    </row>
    <row r="299" spans="1:32" x14ac:dyDescent="0.45">
      <c r="A299" t="s">
        <v>783</v>
      </c>
      <c r="B299" t="s">
        <v>784</v>
      </c>
      <c r="C299" t="s">
        <v>51</v>
      </c>
      <c r="D299" t="s">
        <v>50</v>
      </c>
      <c r="E299" t="s">
        <v>328</v>
      </c>
      <c r="F299" t="s">
        <v>85</v>
      </c>
      <c r="G299" t="s">
        <v>329</v>
      </c>
      <c r="H299" t="s">
        <v>108</v>
      </c>
      <c r="I299" t="s">
        <v>107</v>
      </c>
      <c r="J299" s="26">
        <v>44391</v>
      </c>
      <c r="K299" t="s">
        <v>162</v>
      </c>
      <c r="L299" s="26"/>
      <c r="M299" t="s">
        <v>163</v>
      </c>
      <c r="N299" t="s">
        <v>99</v>
      </c>
      <c r="O299" s="27">
        <v>3683000</v>
      </c>
      <c r="P299">
        <v>4</v>
      </c>
      <c r="Q299" t="s">
        <v>164</v>
      </c>
      <c r="R299">
        <v>23</v>
      </c>
      <c r="S299" t="s">
        <v>219</v>
      </c>
      <c r="T299">
        <f t="shared" si="28"/>
        <v>10159</v>
      </c>
      <c r="U299" t="str">
        <f t="shared" si="29"/>
        <v>ENG</v>
      </c>
      <c r="V299" t="str">
        <f t="shared" si="30"/>
        <v>L5</v>
      </c>
      <c r="W299" t="str">
        <f>PROPER(TRIM(VLOOKUP(S299,Employee_Lookups!$I$4:$M$19,2,FALSE())))</f>
        <v>Neha Kulkarni</v>
      </c>
      <c r="X299" t="str">
        <f>VLOOKUP(C299,Employee_Lookups!$A$4:$G$9,4,FALSE())</f>
        <v>CC-101</v>
      </c>
      <c r="Y299" t="str">
        <f>INDEX(Employee_Lookups!$C$13:$C$17,MATCH(F299,Employee_Lookups!$A$13:$A$17,0))</f>
        <v>Band E (Executive)</v>
      </c>
      <c r="Z299" s="27">
        <f>_xlfn.XLOOKUP(F299,Employee_Lookups!$A$13:$A$17,Employee_Lookups!$E$13:$E$17,0)</f>
        <v>4300000</v>
      </c>
      <c r="AA299" s="28">
        <f>ROUND(O299/INDEX(Employee_Lookups!$E$13:$E$17,MATCH(F299,Employee_Lookups!$A$13:$A$17,0)),3)</f>
        <v>0.85699999999999998</v>
      </c>
      <c r="AB299">
        <f t="shared" si="31"/>
        <v>2021</v>
      </c>
      <c r="AC299" t="str">
        <f t="shared" si="32"/>
        <v/>
      </c>
      <c r="AD299" s="28">
        <f>ROUND((IF(ISBLANK(L299),Employee_Lookups!$O$14,L299)-J299)/365.25,2)</f>
        <v>4.47</v>
      </c>
      <c r="AE299" t="str">
        <f t="shared" si="33"/>
        <v>3 - 5 Yrs</v>
      </c>
      <c r="AF299" t="str">
        <f t="shared" si="34"/>
        <v>Low Risk</v>
      </c>
    </row>
    <row r="300" spans="1:32" x14ac:dyDescent="0.45">
      <c r="A300" t="s">
        <v>785</v>
      </c>
      <c r="B300" t="s">
        <v>786</v>
      </c>
      <c r="C300" t="s">
        <v>61</v>
      </c>
      <c r="D300" t="s">
        <v>60</v>
      </c>
      <c r="E300" t="s">
        <v>484</v>
      </c>
      <c r="F300" t="s">
        <v>83</v>
      </c>
      <c r="G300" t="s">
        <v>485</v>
      </c>
      <c r="H300" t="s">
        <v>111</v>
      </c>
      <c r="I300" t="s">
        <v>110</v>
      </c>
      <c r="J300" s="26">
        <v>44392</v>
      </c>
      <c r="K300" t="s">
        <v>162</v>
      </c>
      <c r="L300" s="26"/>
      <c r="M300" t="s">
        <v>163</v>
      </c>
      <c r="N300" t="s">
        <v>99</v>
      </c>
      <c r="O300" s="27">
        <v>1735000</v>
      </c>
      <c r="P300">
        <v>3</v>
      </c>
      <c r="Q300" t="s">
        <v>164</v>
      </c>
      <c r="R300">
        <v>37</v>
      </c>
      <c r="S300" t="s">
        <v>253</v>
      </c>
      <c r="T300">
        <f t="shared" si="28"/>
        <v>11326</v>
      </c>
      <c r="U300" t="str">
        <f t="shared" si="29"/>
        <v>-HR</v>
      </c>
      <c r="V300" t="str">
        <f t="shared" si="30"/>
        <v>L3</v>
      </c>
      <c r="W300" t="str">
        <f>PROPER(TRIM(VLOOKUP(S300,Employee_Lookups!$I$4:$M$19,2,FALSE())))</f>
        <v>Nikhil Chatterjee</v>
      </c>
      <c r="X300" t="str">
        <f>VLOOKUP(C300,Employee_Lookups!$A$4:$G$9,4,FALSE())</f>
        <v>CC-505</v>
      </c>
      <c r="Y300" t="str">
        <f>INDEX(Employee_Lookups!$C$13:$C$17,MATCH(F300,Employee_Lookups!$A$13:$A$17,0))</f>
        <v>Band C (Senior)</v>
      </c>
      <c r="Z300" s="27">
        <f>_xlfn.XLOOKUP(F300,Employee_Lookups!$A$13:$A$17,Employee_Lookups!$E$13:$E$17,0)</f>
        <v>1725000</v>
      </c>
      <c r="AA300" s="28">
        <f>ROUND(O300/INDEX(Employee_Lookups!$E$13:$E$17,MATCH(F300,Employee_Lookups!$A$13:$A$17,0)),3)</f>
        <v>1.006</v>
      </c>
      <c r="AB300">
        <f t="shared" si="31"/>
        <v>2021</v>
      </c>
      <c r="AC300" t="str">
        <f t="shared" si="32"/>
        <v/>
      </c>
      <c r="AD300" s="28">
        <f>ROUND((IF(ISBLANK(L300),Employee_Lookups!$O$14,L300)-J300)/365.25,2)</f>
        <v>4.46</v>
      </c>
      <c r="AE300" t="str">
        <f t="shared" si="33"/>
        <v>3 - 5 Yrs</v>
      </c>
      <c r="AF300" t="str">
        <f t="shared" si="34"/>
        <v>Low Risk</v>
      </c>
    </row>
    <row r="301" spans="1:32" x14ac:dyDescent="0.45">
      <c r="A301" t="s">
        <v>787</v>
      </c>
      <c r="B301" t="s">
        <v>788</v>
      </c>
      <c r="C301" t="s">
        <v>51</v>
      </c>
      <c r="D301" t="s">
        <v>50</v>
      </c>
      <c r="E301" t="s">
        <v>176</v>
      </c>
      <c r="F301" t="s">
        <v>82</v>
      </c>
      <c r="G301" t="s">
        <v>177</v>
      </c>
      <c r="H301" t="s">
        <v>106</v>
      </c>
      <c r="I301" t="s">
        <v>107</v>
      </c>
      <c r="J301" s="26">
        <v>44394</v>
      </c>
      <c r="K301" t="s">
        <v>187</v>
      </c>
      <c r="L301" s="26">
        <v>45485</v>
      </c>
      <c r="M301" t="s">
        <v>213</v>
      </c>
      <c r="N301" t="s">
        <v>99</v>
      </c>
      <c r="O301" s="27">
        <v>886000</v>
      </c>
      <c r="P301">
        <v>3</v>
      </c>
      <c r="Q301" t="s">
        <v>172</v>
      </c>
      <c r="R301">
        <v>42</v>
      </c>
      <c r="S301" t="s">
        <v>219</v>
      </c>
      <c r="T301">
        <f t="shared" si="28"/>
        <v>10576</v>
      </c>
      <c r="U301" t="str">
        <f t="shared" si="29"/>
        <v>ENG</v>
      </c>
      <c r="V301" t="str">
        <f t="shared" si="30"/>
        <v>L2</v>
      </c>
      <c r="W301" t="str">
        <f>PROPER(TRIM(VLOOKUP(S301,Employee_Lookups!$I$4:$M$19,2,FALSE())))</f>
        <v>Neha Kulkarni</v>
      </c>
      <c r="X301" t="str">
        <f>VLOOKUP(C301,Employee_Lookups!$A$4:$G$9,4,FALSE())</f>
        <v>CC-101</v>
      </c>
      <c r="Y301" t="str">
        <f>INDEX(Employee_Lookups!$C$13:$C$17,MATCH(F301,Employee_Lookups!$A$13:$A$17,0))</f>
        <v>Band B (Mid)</v>
      </c>
      <c r="Z301" s="27">
        <f>_xlfn.XLOOKUP(F301,Employee_Lookups!$A$13:$A$17,Employee_Lookups!$E$13:$E$17,0)</f>
        <v>1100000</v>
      </c>
      <c r="AA301" s="28">
        <f>ROUND(O301/INDEX(Employee_Lookups!$E$13:$E$17,MATCH(F301,Employee_Lookups!$A$13:$A$17,0)),3)</f>
        <v>0.80500000000000005</v>
      </c>
      <c r="AB301">
        <f t="shared" si="31"/>
        <v>2021</v>
      </c>
      <c r="AC301">
        <f t="shared" si="32"/>
        <v>2024</v>
      </c>
      <c r="AD301" s="28">
        <f>ROUND((IF(ISBLANK(L301),Employee_Lookups!$O$14,L301)-J301)/365.25,2)</f>
        <v>2.99</v>
      </c>
      <c r="AE301" t="str">
        <f t="shared" si="33"/>
        <v>1 - 3 Yrs</v>
      </c>
      <c r="AF301" t="str">
        <f t="shared" si="34"/>
        <v>Exited</v>
      </c>
    </row>
    <row r="302" spans="1:32" x14ac:dyDescent="0.45">
      <c r="A302" t="s">
        <v>789</v>
      </c>
      <c r="B302" t="s">
        <v>790</v>
      </c>
      <c r="C302" t="s">
        <v>53</v>
      </c>
      <c r="D302" t="s">
        <v>52</v>
      </c>
      <c r="E302" t="s">
        <v>322</v>
      </c>
      <c r="F302" t="s">
        <v>81</v>
      </c>
      <c r="G302" t="s">
        <v>323</v>
      </c>
      <c r="H302" t="s">
        <v>109</v>
      </c>
      <c r="I302" t="s">
        <v>110</v>
      </c>
      <c r="J302" s="26">
        <v>44394</v>
      </c>
      <c r="K302" t="s">
        <v>187</v>
      </c>
      <c r="L302" s="26">
        <v>44535</v>
      </c>
      <c r="M302" t="s">
        <v>269</v>
      </c>
      <c r="N302" t="s">
        <v>99</v>
      </c>
      <c r="O302" s="27">
        <v>648000</v>
      </c>
      <c r="P302">
        <v>4</v>
      </c>
      <c r="Q302" t="s">
        <v>172</v>
      </c>
      <c r="R302">
        <v>31</v>
      </c>
      <c r="S302" t="s">
        <v>194</v>
      </c>
      <c r="T302">
        <f t="shared" si="28"/>
        <v>11080</v>
      </c>
      <c r="U302" t="str">
        <f t="shared" si="29"/>
        <v>SAL</v>
      </c>
      <c r="V302" t="str">
        <f t="shared" si="30"/>
        <v>L1</v>
      </c>
      <c r="W302" t="str">
        <f>PROPER(TRIM(VLOOKUP(S302,Employee_Lookups!$I$4:$M$19,2,FALSE())))</f>
        <v>Vikramaditya Joshi</v>
      </c>
      <c r="X302" t="str">
        <f>VLOOKUP(C302,Employee_Lookups!$A$4:$G$9,4,FALSE())</f>
        <v>CC-202</v>
      </c>
      <c r="Y302" t="str">
        <f>INDEX(Employee_Lookups!$C$13:$C$17,MATCH(F302,Employee_Lookups!$A$13:$A$17,0))</f>
        <v>Band A (Entry)</v>
      </c>
      <c r="Z302" s="27">
        <f>_xlfn.XLOOKUP(F302,Employee_Lookups!$A$13:$A$17,Employee_Lookups!$E$13:$E$17,0)</f>
        <v>700000</v>
      </c>
      <c r="AA302" s="28">
        <f>ROUND(O302/INDEX(Employee_Lookups!$E$13:$E$17,MATCH(F302,Employee_Lookups!$A$13:$A$17,0)),3)</f>
        <v>0.92600000000000005</v>
      </c>
      <c r="AB302">
        <f t="shared" si="31"/>
        <v>2021</v>
      </c>
      <c r="AC302">
        <f t="shared" si="32"/>
        <v>2021</v>
      </c>
      <c r="AD302" s="28">
        <f>ROUND((IF(ISBLANK(L302),Employee_Lookups!$O$14,L302)-J302)/365.25,2)</f>
        <v>0.39</v>
      </c>
      <c r="AE302" t="str">
        <f t="shared" si="33"/>
        <v>&lt; 1 Yr (New)</v>
      </c>
      <c r="AF302" t="str">
        <f t="shared" si="34"/>
        <v>Exited</v>
      </c>
    </row>
    <row r="303" spans="1:32" x14ac:dyDescent="0.45">
      <c r="A303" t="s">
        <v>791</v>
      </c>
      <c r="B303" t="s">
        <v>718</v>
      </c>
      <c r="C303" t="s">
        <v>51</v>
      </c>
      <c r="D303" t="s">
        <v>50</v>
      </c>
      <c r="E303" t="s">
        <v>176</v>
      </c>
      <c r="F303" t="s">
        <v>82</v>
      </c>
      <c r="G303" t="s">
        <v>177</v>
      </c>
      <c r="H303" t="s">
        <v>108</v>
      </c>
      <c r="I303" t="s">
        <v>107</v>
      </c>
      <c r="J303" s="26">
        <v>44398</v>
      </c>
      <c r="K303" t="s">
        <v>162</v>
      </c>
      <c r="L303" s="26"/>
      <c r="M303" t="s">
        <v>163</v>
      </c>
      <c r="N303" t="s">
        <v>95</v>
      </c>
      <c r="O303" s="27">
        <v>951000</v>
      </c>
      <c r="P303">
        <v>4</v>
      </c>
      <c r="Q303" t="s">
        <v>164</v>
      </c>
      <c r="R303">
        <v>47</v>
      </c>
      <c r="S303" t="s">
        <v>244</v>
      </c>
      <c r="T303">
        <f t="shared" si="28"/>
        <v>10884</v>
      </c>
      <c r="U303" t="str">
        <f t="shared" si="29"/>
        <v>ENG</v>
      </c>
      <c r="V303" t="str">
        <f t="shared" si="30"/>
        <v>L2</v>
      </c>
      <c r="W303" t="str">
        <f>PROPER(TRIM(VLOOKUP(S303,Employee_Lookups!$I$4:$M$19,2,FALSE())))</f>
        <v>Siddharth Nair</v>
      </c>
      <c r="X303" t="str">
        <f>VLOOKUP(C303,Employee_Lookups!$A$4:$G$9,4,FALSE())</f>
        <v>CC-101</v>
      </c>
      <c r="Y303" t="str">
        <f>INDEX(Employee_Lookups!$C$13:$C$17,MATCH(F303,Employee_Lookups!$A$13:$A$17,0))</f>
        <v>Band B (Mid)</v>
      </c>
      <c r="Z303" s="27">
        <f>_xlfn.XLOOKUP(F303,Employee_Lookups!$A$13:$A$17,Employee_Lookups!$E$13:$E$17,0)</f>
        <v>1100000</v>
      </c>
      <c r="AA303" s="28">
        <f>ROUND(O303/INDEX(Employee_Lookups!$E$13:$E$17,MATCH(F303,Employee_Lookups!$A$13:$A$17,0)),3)</f>
        <v>0.86499999999999999</v>
      </c>
      <c r="AB303">
        <f t="shared" si="31"/>
        <v>2021</v>
      </c>
      <c r="AC303" t="str">
        <f t="shared" si="32"/>
        <v/>
      </c>
      <c r="AD303" s="28">
        <f>ROUND((IF(ISBLANK(L303),Employee_Lookups!$O$14,L303)-J303)/365.25,2)</f>
        <v>4.45</v>
      </c>
      <c r="AE303" t="str">
        <f t="shared" si="33"/>
        <v>3 - 5 Yrs</v>
      </c>
      <c r="AF303" t="str">
        <f t="shared" si="34"/>
        <v>Low Risk</v>
      </c>
    </row>
    <row r="304" spans="1:32" x14ac:dyDescent="0.45">
      <c r="A304" t="s">
        <v>792</v>
      </c>
      <c r="B304" t="s">
        <v>793</v>
      </c>
      <c r="C304" t="s">
        <v>53</v>
      </c>
      <c r="D304" t="s">
        <v>52</v>
      </c>
      <c r="E304" t="s">
        <v>322</v>
      </c>
      <c r="F304" t="s">
        <v>81</v>
      </c>
      <c r="G304" t="s">
        <v>323</v>
      </c>
      <c r="H304" t="s">
        <v>112</v>
      </c>
      <c r="I304" t="s">
        <v>113</v>
      </c>
      <c r="J304" s="26">
        <v>44399</v>
      </c>
      <c r="K304" t="s">
        <v>162</v>
      </c>
      <c r="L304" s="26"/>
      <c r="M304" t="s">
        <v>163</v>
      </c>
      <c r="N304" t="s">
        <v>96</v>
      </c>
      <c r="O304" s="27">
        <v>759000</v>
      </c>
      <c r="P304">
        <v>2</v>
      </c>
      <c r="Q304" t="s">
        <v>172</v>
      </c>
      <c r="R304">
        <v>23</v>
      </c>
      <c r="S304" t="s">
        <v>194</v>
      </c>
      <c r="T304">
        <f t="shared" si="28"/>
        <v>10770</v>
      </c>
      <c r="U304" t="str">
        <f t="shared" si="29"/>
        <v>SAL</v>
      </c>
      <c r="V304" t="str">
        <f t="shared" si="30"/>
        <v>L1</v>
      </c>
      <c r="W304" t="str">
        <f>PROPER(TRIM(VLOOKUP(S304,Employee_Lookups!$I$4:$M$19,2,FALSE())))</f>
        <v>Vikramaditya Joshi</v>
      </c>
      <c r="X304" t="str">
        <f>VLOOKUP(C304,Employee_Lookups!$A$4:$G$9,4,FALSE())</f>
        <v>CC-202</v>
      </c>
      <c r="Y304" t="str">
        <f>INDEX(Employee_Lookups!$C$13:$C$17,MATCH(F304,Employee_Lookups!$A$13:$A$17,0))</f>
        <v>Band A (Entry)</v>
      </c>
      <c r="Z304" s="27">
        <f>_xlfn.XLOOKUP(F304,Employee_Lookups!$A$13:$A$17,Employee_Lookups!$E$13:$E$17,0)</f>
        <v>700000</v>
      </c>
      <c r="AA304" s="28">
        <f>ROUND(O304/INDEX(Employee_Lookups!$E$13:$E$17,MATCH(F304,Employee_Lookups!$A$13:$A$17,0)),3)</f>
        <v>1.0840000000000001</v>
      </c>
      <c r="AB304">
        <f t="shared" si="31"/>
        <v>2021</v>
      </c>
      <c r="AC304" t="str">
        <f t="shared" si="32"/>
        <v/>
      </c>
      <c r="AD304" s="28">
        <f>ROUND((IF(ISBLANK(L304),Employee_Lookups!$O$14,L304)-J304)/365.25,2)</f>
        <v>4.4400000000000004</v>
      </c>
      <c r="AE304" t="str">
        <f t="shared" si="33"/>
        <v>3 - 5 Yrs</v>
      </c>
      <c r="AF304" t="str">
        <f t="shared" si="34"/>
        <v>Moderate Risk</v>
      </c>
    </row>
    <row r="305" spans="1:32" x14ac:dyDescent="0.45">
      <c r="A305" t="s">
        <v>794</v>
      </c>
      <c r="B305" t="s">
        <v>337</v>
      </c>
      <c r="C305" t="s">
        <v>57</v>
      </c>
      <c r="D305" t="s">
        <v>56</v>
      </c>
      <c r="E305" t="s">
        <v>391</v>
      </c>
      <c r="F305" t="s">
        <v>83</v>
      </c>
      <c r="G305" t="s">
        <v>392</v>
      </c>
      <c r="H305" t="s">
        <v>106</v>
      </c>
      <c r="I305" t="s">
        <v>107</v>
      </c>
      <c r="J305" s="26">
        <v>44399</v>
      </c>
      <c r="K305" t="s">
        <v>162</v>
      </c>
      <c r="L305" s="26"/>
      <c r="M305" t="s">
        <v>163</v>
      </c>
      <c r="N305" t="s">
        <v>97</v>
      </c>
      <c r="O305" s="27">
        <v>1606000</v>
      </c>
      <c r="P305">
        <v>2</v>
      </c>
      <c r="Q305" t="s">
        <v>164</v>
      </c>
      <c r="R305">
        <v>23</v>
      </c>
      <c r="S305" t="s">
        <v>224</v>
      </c>
      <c r="T305">
        <f t="shared" si="28"/>
        <v>10580</v>
      </c>
      <c r="U305" t="str">
        <f t="shared" si="29"/>
        <v>MKT</v>
      </c>
      <c r="V305" t="str">
        <f t="shared" si="30"/>
        <v>L3</v>
      </c>
      <c r="W305" t="str">
        <f>PROPER(TRIM(VLOOKUP(S305,Employee_Lookups!$I$4:$M$19,2,FALSE())))</f>
        <v>Tanvi Chitnis</v>
      </c>
      <c r="X305" t="str">
        <f>VLOOKUP(C305,Employee_Lookups!$A$4:$G$9,4,FALSE())</f>
        <v>CC-606</v>
      </c>
      <c r="Y305" t="str">
        <f>INDEX(Employee_Lookups!$C$13:$C$17,MATCH(F305,Employee_Lookups!$A$13:$A$17,0))</f>
        <v>Band C (Senior)</v>
      </c>
      <c r="Z305" s="27">
        <f>_xlfn.XLOOKUP(F305,Employee_Lookups!$A$13:$A$17,Employee_Lookups!$E$13:$E$17,0)</f>
        <v>1725000</v>
      </c>
      <c r="AA305" s="28">
        <f>ROUND(O305/INDEX(Employee_Lookups!$E$13:$E$17,MATCH(F305,Employee_Lookups!$A$13:$A$17,0)),3)</f>
        <v>0.93100000000000005</v>
      </c>
      <c r="AB305">
        <f t="shared" si="31"/>
        <v>2021</v>
      </c>
      <c r="AC305" t="str">
        <f t="shared" si="32"/>
        <v/>
      </c>
      <c r="AD305" s="28">
        <f>ROUND((IF(ISBLANK(L305),Employee_Lookups!$O$14,L305)-J305)/365.25,2)</f>
        <v>4.4400000000000004</v>
      </c>
      <c r="AE305" t="str">
        <f t="shared" si="33"/>
        <v>3 - 5 Yrs</v>
      </c>
      <c r="AF305" t="str">
        <f t="shared" si="34"/>
        <v>Moderate Risk</v>
      </c>
    </row>
    <row r="306" spans="1:32" x14ac:dyDescent="0.45">
      <c r="A306" t="s">
        <v>795</v>
      </c>
      <c r="B306" t="s">
        <v>796</v>
      </c>
      <c r="C306" t="s">
        <v>53</v>
      </c>
      <c r="D306" t="s">
        <v>52</v>
      </c>
      <c r="E306" t="s">
        <v>185</v>
      </c>
      <c r="F306" t="s">
        <v>82</v>
      </c>
      <c r="G306" t="s">
        <v>186</v>
      </c>
      <c r="H306" t="s">
        <v>111</v>
      </c>
      <c r="I306" t="s">
        <v>110</v>
      </c>
      <c r="J306" s="26">
        <v>44400</v>
      </c>
      <c r="K306" t="s">
        <v>187</v>
      </c>
      <c r="L306" s="26">
        <v>44546</v>
      </c>
      <c r="M306" t="s">
        <v>282</v>
      </c>
      <c r="N306" t="s">
        <v>96</v>
      </c>
      <c r="O306" s="27">
        <v>1149000</v>
      </c>
      <c r="P306">
        <v>3</v>
      </c>
      <c r="Q306" t="s">
        <v>172</v>
      </c>
      <c r="R306">
        <v>36</v>
      </c>
      <c r="S306" t="s">
        <v>237</v>
      </c>
      <c r="T306">
        <f t="shared" si="28"/>
        <v>10911</v>
      </c>
      <c r="U306" t="str">
        <f t="shared" si="29"/>
        <v>SAL</v>
      </c>
      <c r="V306" t="str">
        <f t="shared" si="30"/>
        <v>L2</v>
      </c>
      <c r="W306" t="str">
        <f>PROPER(TRIM(VLOOKUP(S306,Employee_Lookups!$I$4:$M$19,2,FALSE())))</f>
        <v>Karan Malhotra</v>
      </c>
      <c r="X306" t="str">
        <f>VLOOKUP(C306,Employee_Lookups!$A$4:$G$9,4,FALSE())</f>
        <v>CC-202</v>
      </c>
      <c r="Y306" t="str">
        <f>INDEX(Employee_Lookups!$C$13:$C$17,MATCH(F306,Employee_Lookups!$A$13:$A$17,0))</f>
        <v>Band B (Mid)</v>
      </c>
      <c r="Z306" s="27">
        <f>_xlfn.XLOOKUP(F306,Employee_Lookups!$A$13:$A$17,Employee_Lookups!$E$13:$E$17,0)</f>
        <v>1100000</v>
      </c>
      <c r="AA306" s="28">
        <f>ROUND(O306/INDEX(Employee_Lookups!$E$13:$E$17,MATCH(F306,Employee_Lookups!$A$13:$A$17,0)),3)</f>
        <v>1.0449999999999999</v>
      </c>
      <c r="AB306">
        <f t="shared" si="31"/>
        <v>2021</v>
      </c>
      <c r="AC306">
        <f t="shared" si="32"/>
        <v>2021</v>
      </c>
      <c r="AD306" s="28">
        <f>ROUND((IF(ISBLANK(L306),Employee_Lookups!$O$14,L306)-J306)/365.25,2)</f>
        <v>0.4</v>
      </c>
      <c r="AE306" t="str">
        <f t="shared" si="33"/>
        <v>&lt; 1 Yr (New)</v>
      </c>
      <c r="AF306" t="str">
        <f t="shared" si="34"/>
        <v>Exited</v>
      </c>
    </row>
    <row r="307" spans="1:32" x14ac:dyDescent="0.45">
      <c r="A307" t="s">
        <v>797</v>
      </c>
      <c r="B307" t="s">
        <v>747</v>
      </c>
      <c r="C307" t="s">
        <v>55</v>
      </c>
      <c r="D307" t="s">
        <v>54</v>
      </c>
      <c r="E307" t="s">
        <v>277</v>
      </c>
      <c r="F307" t="s">
        <v>81</v>
      </c>
      <c r="G307" t="s">
        <v>278</v>
      </c>
      <c r="H307" t="s">
        <v>106</v>
      </c>
      <c r="I307" t="s">
        <v>107</v>
      </c>
      <c r="J307" s="26">
        <v>44404</v>
      </c>
      <c r="K307" t="s">
        <v>162</v>
      </c>
      <c r="L307" s="26"/>
      <c r="M307" t="s">
        <v>163</v>
      </c>
      <c r="N307" t="s">
        <v>99</v>
      </c>
      <c r="O307" s="27">
        <v>666000</v>
      </c>
      <c r="P307">
        <v>4</v>
      </c>
      <c r="Q307" t="s">
        <v>164</v>
      </c>
      <c r="R307">
        <v>42</v>
      </c>
      <c r="S307" t="s">
        <v>173</v>
      </c>
      <c r="T307">
        <f t="shared" si="28"/>
        <v>11006</v>
      </c>
      <c r="U307" t="str">
        <f t="shared" si="29"/>
        <v>OPS</v>
      </c>
      <c r="V307" t="str">
        <f t="shared" si="30"/>
        <v>L1</v>
      </c>
      <c r="W307" t="str">
        <f>PROPER(TRIM(VLOOKUP(S307,Employee_Lookups!$I$4:$M$19,2,FALSE())))</f>
        <v>Deepak Patil</v>
      </c>
      <c r="X307" t="str">
        <f>VLOOKUP(C307,Employee_Lookups!$A$4:$G$9,4,FALSE())</f>
        <v>CC-303</v>
      </c>
      <c r="Y307" t="str">
        <f>INDEX(Employee_Lookups!$C$13:$C$17,MATCH(F307,Employee_Lookups!$A$13:$A$17,0))</f>
        <v>Band A (Entry)</v>
      </c>
      <c r="Z307" s="27">
        <f>_xlfn.XLOOKUP(F307,Employee_Lookups!$A$13:$A$17,Employee_Lookups!$E$13:$E$17,0)</f>
        <v>700000</v>
      </c>
      <c r="AA307" s="28">
        <f>ROUND(O307/INDEX(Employee_Lookups!$E$13:$E$17,MATCH(F307,Employee_Lookups!$A$13:$A$17,0)),3)</f>
        <v>0.95099999999999996</v>
      </c>
      <c r="AB307">
        <f t="shared" si="31"/>
        <v>2021</v>
      </c>
      <c r="AC307" t="str">
        <f t="shared" si="32"/>
        <v/>
      </c>
      <c r="AD307" s="28">
        <f>ROUND((IF(ISBLANK(L307),Employee_Lookups!$O$14,L307)-J307)/365.25,2)</f>
        <v>4.43</v>
      </c>
      <c r="AE307" t="str">
        <f t="shared" si="33"/>
        <v>3 - 5 Yrs</v>
      </c>
      <c r="AF307" t="str">
        <f t="shared" si="34"/>
        <v>Low Risk</v>
      </c>
    </row>
    <row r="308" spans="1:32" x14ac:dyDescent="0.45">
      <c r="A308" t="s">
        <v>798</v>
      </c>
      <c r="B308" t="s">
        <v>799</v>
      </c>
      <c r="C308" t="s">
        <v>51</v>
      </c>
      <c r="D308" t="s">
        <v>50</v>
      </c>
      <c r="E308" t="s">
        <v>328</v>
      </c>
      <c r="F308" t="s">
        <v>85</v>
      </c>
      <c r="G308" t="s">
        <v>329</v>
      </c>
      <c r="H308" t="s">
        <v>106</v>
      </c>
      <c r="I308" t="s">
        <v>107</v>
      </c>
      <c r="J308" s="26">
        <v>44411</v>
      </c>
      <c r="K308" t="s">
        <v>170</v>
      </c>
      <c r="L308" s="26">
        <v>45073</v>
      </c>
      <c r="M308" t="s">
        <v>171</v>
      </c>
      <c r="N308" t="s">
        <v>98</v>
      </c>
      <c r="O308" s="27">
        <v>4636000</v>
      </c>
      <c r="P308">
        <v>4</v>
      </c>
      <c r="Q308" t="s">
        <v>164</v>
      </c>
      <c r="R308">
        <v>31</v>
      </c>
      <c r="S308" t="s">
        <v>244</v>
      </c>
      <c r="T308">
        <f t="shared" si="28"/>
        <v>10092</v>
      </c>
      <c r="U308" t="str">
        <f t="shared" si="29"/>
        <v>ENG</v>
      </c>
      <c r="V308" t="str">
        <f t="shared" si="30"/>
        <v>L5</v>
      </c>
      <c r="W308" t="str">
        <f>PROPER(TRIM(VLOOKUP(S308,Employee_Lookups!$I$4:$M$19,2,FALSE())))</f>
        <v>Siddharth Nair</v>
      </c>
      <c r="X308" t="str">
        <f>VLOOKUP(C308,Employee_Lookups!$A$4:$G$9,4,FALSE())</f>
        <v>CC-101</v>
      </c>
      <c r="Y308" t="str">
        <f>INDEX(Employee_Lookups!$C$13:$C$17,MATCH(F308,Employee_Lookups!$A$13:$A$17,0))</f>
        <v>Band E (Executive)</v>
      </c>
      <c r="Z308" s="27">
        <f>_xlfn.XLOOKUP(F308,Employee_Lookups!$A$13:$A$17,Employee_Lookups!$E$13:$E$17,0)</f>
        <v>4300000</v>
      </c>
      <c r="AA308" s="28">
        <f>ROUND(O308/INDEX(Employee_Lookups!$E$13:$E$17,MATCH(F308,Employee_Lookups!$A$13:$A$17,0)),3)</f>
        <v>1.0780000000000001</v>
      </c>
      <c r="AB308">
        <f t="shared" si="31"/>
        <v>2021</v>
      </c>
      <c r="AC308">
        <f t="shared" si="32"/>
        <v>2023</v>
      </c>
      <c r="AD308" s="28">
        <f>ROUND((IF(ISBLANK(L308),Employee_Lookups!$O$14,L308)-J308)/365.25,2)</f>
        <v>1.81</v>
      </c>
      <c r="AE308" t="str">
        <f t="shared" si="33"/>
        <v>1 - 3 Yrs</v>
      </c>
      <c r="AF308" t="str">
        <f t="shared" si="34"/>
        <v>Exited</v>
      </c>
    </row>
    <row r="309" spans="1:32" x14ac:dyDescent="0.45">
      <c r="A309" t="s">
        <v>800</v>
      </c>
      <c r="B309" t="s">
        <v>755</v>
      </c>
      <c r="C309" t="s">
        <v>57</v>
      </c>
      <c r="D309" t="s">
        <v>56</v>
      </c>
      <c r="E309" t="s">
        <v>391</v>
      </c>
      <c r="F309" t="s">
        <v>83</v>
      </c>
      <c r="G309" t="s">
        <v>392</v>
      </c>
      <c r="H309" t="s">
        <v>106</v>
      </c>
      <c r="I309" t="s">
        <v>107</v>
      </c>
      <c r="J309" s="26">
        <v>44411</v>
      </c>
      <c r="K309" t="s">
        <v>162</v>
      </c>
      <c r="L309" s="26"/>
      <c r="M309" t="s">
        <v>163</v>
      </c>
      <c r="N309" t="s">
        <v>99</v>
      </c>
      <c r="O309" s="27">
        <v>1857000</v>
      </c>
      <c r="P309">
        <v>3</v>
      </c>
      <c r="Q309" t="s">
        <v>164</v>
      </c>
      <c r="R309">
        <v>47</v>
      </c>
      <c r="S309" t="s">
        <v>165</v>
      </c>
      <c r="T309">
        <f t="shared" si="28"/>
        <v>11159</v>
      </c>
      <c r="U309" t="str">
        <f t="shared" si="29"/>
        <v>MKT</v>
      </c>
      <c r="V309" t="str">
        <f t="shared" si="30"/>
        <v>L3</v>
      </c>
      <c r="W309" t="str">
        <f>PROPER(TRIM(VLOOKUP(S309,Employee_Lookups!$I$4:$M$19,2,FALSE())))</f>
        <v>Arjun Sengupta</v>
      </c>
      <c r="X309" t="str">
        <f>VLOOKUP(C309,Employee_Lookups!$A$4:$G$9,4,FALSE())</f>
        <v>CC-606</v>
      </c>
      <c r="Y309" t="str">
        <f>INDEX(Employee_Lookups!$C$13:$C$17,MATCH(F309,Employee_Lookups!$A$13:$A$17,0))</f>
        <v>Band C (Senior)</v>
      </c>
      <c r="Z309" s="27">
        <f>_xlfn.XLOOKUP(F309,Employee_Lookups!$A$13:$A$17,Employee_Lookups!$E$13:$E$17,0)</f>
        <v>1725000</v>
      </c>
      <c r="AA309" s="28">
        <f>ROUND(O309/INDEX(Employee_Lookups!$E$13:$E$17,MATCH(F309,Employee_Lookups!$A$13:$A$17,0)),3)</f>
        <v>1.077</v>
      </c>
      <c r="AB309">
        <f t="shared" si="31"/>
        <v>2021</v>
      </c>
      <c r="AC309" t="str">
        <f t="shared" si="32"/>
        <v/>
      </c>
      <c r="AD309" s="28">
        <f>ROUND((IF(ISBLANK(L309),Employee_Lookups!$O$14,L309)-J309)/365.25,2)</f>
        <v>4.41</v>
      </c>
      <c r="AE309" t="str">
        <f t="shared" si="33"/>
        <v>3 - 5 Yrs</v>
      </c>
      <c r="AF309" t="str">
        <f t="shared" si="34"/>
        <v>Low Risk</v>
      </c>
    </row>
    <row r="310" spans="1:32" x14ac:dyDescent="0.45">
      <c r="A310" t="s">
        <v>801</v>
      </c>
      <c r="B310" t="s">
        <v>802</v>
      </c>
      <c r="C310" t="s">
        <v>55</v>
      </c>
      <c r="D310" t="s">
        <v>54</v>
      </c>
      <c r="E310" t="s">
        <v>277</v>
      </c>
      <c r="F310" t="s">
        <v>81</v>
      </c>
      <c r="G310" t="s">
        <v>278</v>
      </c>
      <c r="H310" t="s">
        <v>109</v>
      </c>
      <c r="I310" t="s">
        <v>110</v>
      </c>
      <c r="J310" s="26">
        <v>44412</v>
      </c>
      <c r="K310" t="s">
        <v>170</v>
      </c>
      <c r="L310" s="26">
        <v>45657</v>
      </c>
      <c r="M310" t="s">
        <v>171</v>
      </c>
      <c r="N310" t="s">
        <v>99</v>
      </c>
      <c r="O310" s="27">
        <v>569000</v>
      </c>
      <c r="P310">
        <v>2</v>
      </c>
      <c r="Q310" t="s">
        <v>172</v>
      </c>
      <c r="R310">
        <v>38</v>
      </c>
      <c r="S310" t="s">
        <v>274</v>
      </c>
      <c r="T310">
        <f t="shared" si="28"/>
        <v>10022</v>
      </c>
      <c r="U310" t="str">
        <f t="shared" si="29"/>
        <v>OPS</v>
      </c>
      <c r="V310" t="str">
        <f t="shared" si="30"/>
        <v>L1</v>
      </c>
      <c r="W310" t="str">
        <f>PROPER(TRIM(VLOOKUP(S310,Employee_Lookups!$I$4:$M$19,2,FALSE())))</f>
        <v>Meera Krishnan</v>
      </c>
      <c r="X310" t="str">
        <f>VLOOKUP(C310,Employee_Lookups!$A$4:$G$9,4,FALSE())</f>
        <v>CC-303</v>
      </c>
      <c r="Y310" t="str">
        <f>INDEX(Employee_Lookups!$C$13:$C$17,MATCH(F310,Employee_Lookups!$A$13:$A$17,0))</f>
        <v>Band A (Entry)</v>
      </c>
      <c r="Z310" s="27">
        <f>_xlfn.XLOOKUP(F310,Employee_Lookups!$A$13:$A$17,Employee_Lookups!$E$13:$E$17,0)</f>
        <v>700000</v>
      </c>
      <c r="AA310" s="28">
        <f>ROUND(O310/INDEX(Employee_Lookups!$E$13:$E$17,MATCH(F310,Employee_Lookups!$A$13:$A$17,0)),3)</f>
        <v>0.81299999999999994</v>
      </c>
      <c r="AB310">
        <f t="shared" si="31"/>
        <v>2021</v>
      </c>
      <c r="AC310">
        <f t="shared" si="32"/>
        <v>2024</v>
      </c>
      <c r="AD310" s="28">
        <f>ROUND((IF(ISBLANK(L310),Employee_Lookups!$O$14,L310)-J310)/365.25,2)</f>
        <v>3.41</v>
      </c>
      <c r="AE310" t="str">
        <f t="shared" si="33"/>
        <v>3 - 5 Yrs</v>
      </c>
      <c r="AF310" t="str">
        <f t="shared" si="34"/>
        <v>Exited</v>
      </c>
    </row>
    <row r="311" spans="1:32" x14ac:dyDescent="0.45">
      <c r="A311" t="s">
        <v>803</v>
      </c>
      <c r="B311" t="s">
        <v>804</v>
      </c>
      <c r="C311" t="s">
        <v>51</v>
      </c>
      <c r="D311" t="s">
        <v>50</v>
      </c>
      <c r="E311" t="s">
        <v>181</v>
      </c>
      <c r="F311" t="s">
        <v>81</v>
      </c>
      <c r="G311" t="s">
        <v>182</v>
      </c>
      <c r="H311" t="s">
        <v>106</v>
      </c>
      <c r="I311" t="s">
        <v>107</v>
      </c>
      <c r="J311" s="26">
        <v>44413</v>
      </c>
      <c r="K311" t="s">
        <v>187</v>
      </c>
      <c r="L311" s="26">
        <v>44675</v>
      </c>
      <c r="M311" t="s">
        <v>282</v>
      </c>
      <c r="N311" t="s">
        <v>96</v>
      </c>
      <c r="O311" s="27">
        <v>557000</v>
      </c>
      <c r="P311">
        <v>3</v>
      </c>
      <c r="Q311" t="s">
        <v>164</v>
      </c>
      <c r="R311">
        <v>24</v>
      </c>
      <c r="S311" t="s">
        <v>197</v>
      </c>
      <c r="T311">
        <f t="shared" si="28"/>
        <v>10943</v>
      </c>
      <c r="U311" t="str">
        <f t="shared" si="29"/>
        <v>ENG</v>
      </c>
      <c r="V311" t="str">
        <f t="shared" si="30"/>
        <v>L1</v>
      </c>
      <c r="W311" t="str">
        <f>PROPER(TRIM(VLOOKUP(S311,Employee_Lookups!$I$4:$M$19,2,FALSE())))</f>
        <v>Rohan Verma</v>
      </c>
      <c r="X311" t="str">
        <f>VLOOKUP(C311,Employee_Lookups!$A$4:$G$9,4,FALSE())</f>
        <v>CC-101</v>
      </c>
      <c r="Y311" t="str">
        <f>INDEX(Employee_Lookups!$C$13:$C$17,MATCH(F311,Employee_Lookups!$A$13:$A$17,0))</f>
        <v>Band A (Entry)</v>
      </c>
      <c r="Z311" s="27">
        <f>_xlfn.XLOOKUP(F311,Employee_Lookups!$A$13:$A$17,Employee_Lookups!$E$13:$E$17,0)</f>
        <v>700000</v>
      </c>
      <c r="AA311" s="28">
        <f>ROUND(O311/INDEX(Employee_Lookups!$E$13:$E$17,MATCH(F311,Employee_Lookups!$A$13:$A$17,0)),3)</f>
        <v>0.79600000000000004</v>
      </c>
      <c r="AB311">
        <f t="shared" si="31"/>
        <v>2021</v>
      </c>
      <c r="AC311">
        <f t="shared" si="32"/>
        <v>2022</v>
      </c>
      <c r="AD311" s="28">
        <f>ROUND((IF(ISBLANK(L311),Employee_Lookups!$O$14,L311)-J311)/365.25,2)</f>
        <v>0.72</v>
      </c>
      <c r="AE311" t="str">
        <f t="shared" si="33"/>
        <v>&lt; 1 Yr (New)</v>
      </c>
      <c r="AF311" t="str">
        <f t="shared" si="34"/>
        <v>Exited</v>
      </c>
    </row>
    <row r="312" spans="1:32" x14ac:dyDescent="0.45">
      <c r="A312" t="s">
        <v>805</v>
      </c>
      <c r="B312" t="s">
        <v>806</v>
      </c>
      <c r="C312" t="s">
        <v>53</v>
      </c>
      <c r="D312" t="s">
        <v>52</v>
      </c>
      <c r="E312" t="s">
        <v>322</v>
      </c>
      <c r="F312" t="s">
        <v>81</v>
      </c>
      <c r="G312" t="s">
        <v>323</v>
      </c>
      <c r="H312" t="s">
        <v>108</v>
      </c>
      <c r="I312" t="s">
        <v>107</v>
      </c>
      <c r="J312" s="26">
        <v>44417</v>
      </c>
      <c r="K312" t="s">
        <v>187</v>
      </c>
      <c r="L312" s="26">
        <v>45023</v>
      </c>
      <c r="M312" t="s">
        <v>269</v>
      </c>
      <c r="N312" t="s">
        <v>98</v>
      </c>
      <c r="O312" s="27">
        <v>804000</v>
      </c>
      <c r="P312">
        <v>3</v>
      </c>
      <c r="Q312" t="s">
        <v>164</v>
      </c>
      <c r="R312">
        <v>64</v>
      </c>
      <c r="S312" t="s">
        <v>237</v>
      </c>
      <c r="T312">
        <f t="shared" si="28"/>
        <v>10039</v>
      </c>
      <c r="U312" t="str">
        <f t="shared" si="29"/>
        <v>SAL</v>
      </c>
      <c r="V312" t="str">
        <f t="shared" si="30"/>
        <v>L1</v>
      </c>
      <c r="W312" t="str">
        <f>PROPER(TRIM(VLOOKUP(S312,Employee_Lookups!$I$4:$M$19,2,FALSE())))</f>
        <v>Karan Malhotra</v>
      </c>
      <c r="X312" t="str">
        <f>VLOOKUP(C312,Employee_Lookups!$A$4:$G$9,4,FALSE())</f>
        <v>CC-202</v>
      </c>
      <c r="Y312" t="str">
        <f>INDEX(Employee_Lookups!$C$13:$C$17,MATCH(F312,Employee_Lookups!$A$13:$A$17,0))</f>
        <v>Band A (Entry)</v>
      </c>
      <c r="Z312" s="27">
        <f>_xlfn.XLOOKUP(F312,Employee_Lookups!$A$13:$A$17,Employee_Lookups!$E$13:$E$17,0)</f>
        <v>700000</v>
      </c>
      <c r="AA312" s="28">
        <f>ROUND(O312/INDEX(Employee_Lookups!$E$13:$E$17,MATCH(F312,Employee_Lookups!$A$13:$A$17,0)),3)</f>
        <v>1.149</v>
      </c>
      <c r="AB312">
        <f t="shared" si="31"/>
        <v>2021</v>
      </c>
      <c r="AC312">
        <f t="shared" si="32"/>
        <v>2023</v>
      </c>
      <c r="AD312" s="28">
        <f>ROUND((IF(ISBLANK(L312),Employee_Lookups!$O$14,L312)-J312)/365.25,2)</f>
        <v>1.66</v>
      </c>
      <c r="AE312" t="str">
        <f t="shared" si="33"/>
        <v>1 - 3 Yrs</v>
      </c>
      <c r="AF312" t="str">
        <f t="shared" si="34"/>
        <v>Exited</v>
      </c>
    </row>
    <row r="313" spans="1:32" x14ac:dyDescent="0.45">
      <c r="A313" t="s">
        <v>807</v>
      </c>
      <c r="B313" t="s">
        <v>629</v>
      </c>
      <c r="C313" t="s">
        <v>51</v>
      </c>
      <c r="D313" t="s">
        <v>50</v>
      </c>
      <c r="E313" t="s">
        <v>181</v>
      </c>
      <c r="F313" t="s">
        <v>81</v>
      </c>
      <c r="G313" t="s">
        <v>182</v>
      </c>
      <c r="H313" t="s">
        <v>109</v>
      </c>
      <c r="I313" t="s">
        <v>110</v>
      </c>
      <c r="J313" s="26">
        <v>44418</v>
      </c>
      <c r="K313" t="s">
        <v>162</v>
      </c>
      <c r="L313" s="26"/>
      <c r="M313" t="s">
        <v>163</v>
      </c>
      <c r="N313" t="s">
        <v>96</v>
      </c>
      <c r="O313" s="27">
        <v>663000</v>
      </c>
      <c r="P313">
        <v>3</v>
      </c>
      <c r="Q313" t="s">
        <v>164</v>
      </c>
      <c r="R313">
        <v>48</v>
      </c>
      <c r="S313" t="s">
        <v>219</v>
      </c>
      <c r="T313">
        <f t="shared" si="28"/>
        <v>11135</v>
      </c>
      <c r="U313" t="str">
        <f t="shared" si="29"/>
        <v>ENG</v>
      </c>
      <c r="V313" t="str">
        <f t="shared" si="30"/>
        <v>L1</v>
      </c>
      <c r="W313" t="str">
        <f>PROPER(TRIM(VLOOKUP(S313,Employee_Lookups!$I$4:$M$19,2,FALSE())))</f>
        <v>Neha Kulkarni</v>
      </c>
      <c r="X313" t="str">
        <f>VLOOKUP(C313,Employee_Lookups!$A$4:$G$9,4,FALSE())</f>
        <v>CC-101</v>
      </c>
      <c r="Y313" t="str">
        <f>INDEX(Employee_Lookups!$C$13:$C$17,MATCH(F313,Employee_Lookups!$A$13:$A$17,0))</f>
        <v>Band A (Entry)</v>
      </c>
      <c r="Z313" s="27">
        <f>_xlfn.XLOOKUP(F313,Employee_Lookups!$A$13:$A$17,Employee_Lookups!$E$13:$E$17,0)</f>
        <v>700000</v>
      </c>
      <c r="AA313" s="28">
        <f>ROUND(O313/INDEX(Employee_Lookups!$E$13:$E$17,MATCH(F313,Employee_Lookups!$A$13:$A$17,0)),3)</f>
        <v>0.94699999999999995</v>
      </c>
      <c r="AB313">
        <f t="shared" si="31"/>
        <v>2021</v>
      </c>
      <c r="AC313" t="str">
        <f t="shared" si="32"/>
        <v/>
      </c>
      <c r="AD313" s="28">
        <f>ROUND((IF(ISBLANK(L313),Employee_Lookups!$O$14,L313)-J313)/365.25,2)</f>
        <v>4.3899999999999997</v>
      </c>
      <c r="AE313" t="str">
        <f t="shared" si="33"/>
        <v>3 - 5 Yrs</v>
      </c>
      <c r="AF313" t="str">
        <f t="shared" si="34"/>
        <v>Low Risk</v>
      </c>
    </row>
    <row r="314" spans="1:32" x14ac:dyDescent="0.45">
      <c r="A314" t="s">
        <v>808</v>
      </c>
      <c r="B314" t="s">
        <v>809</v>
      </c>
      <c r="C314" t="s">
        <v>53</v>
      </c>
      <c r="D314" t="s">
        <v>52</v>
      </c>
      <c r="E314" t="s">
        <v>322</v>
      </c>
      <c r="F314" t="s">
        <v>81</v>
      </c>
      <c r="G314" t="s">
        <v>323</v>
      </c>
      <c r="H314" t="s">
        <v>111</v>
      </c>
      <c r="I314" t="s">
        <v>110</v>
      </c>
      <c r="J314" s="26">
        <v>44418</v>
      </c>
      <c r="K314" t="s">
        <v>187</v>
      </c>
      <c r="L314" s="26">
        <v>44922</v>
      </c>
      <c r="M314" t="s">
        <v>282</v>
      </c>
      <c r="N314" t="s">
        <v>98</v>
      </c>
      <c r="O314" s="27">
        <v>819000</v>
      </c>
      <c r="P314">
        <v>3</v>
      </c>
      <c r="Q314" t="s">
        <v>164</v>
      </c>
      <c r="R314">
        <v>52</v>
      </c>
      <c r="S314" t="s">
        <v>189</v>
      </c>
      <c r="T314">
        <f t="shared" si="28"/>
        <v>10814</v>
      </c>
      <c r="U314" t="str">
        <f t="shared" si="29"/>
        <v>SAL</v>
      </c>
      <c r="V314" t="str">
        <f t="shared" si="30"/>
        <v>L1</v>
      </c>
      <c r="W314" t="str">
        <f>PROPER(TRIM(VLOOKUP(S314,Employee_Lookups!$I$4:$M$19,2,FALSE())))</f>
        <v>Priya Sharma</v>
      </c>
      <c r="X314" t="str">
        <f>VLOOKUP(C314,Employee_Lookups!$A$4:$G$9,4,FALSE())</f>
        <v>CC-202</v>
      </c>
      <c r="Y314" t="str">
        <f>INDEX(Employee_Lookups!$C$13:$C$17,MATCH(F314,Employee_Lookups!$A$13:$A$17,0))</f>
        <v>Band A (Entry)</v>
      </c>
      <c r="Z314" s="27">
        <f>_xlfn.XLOOKUP(F314,Employee_Lookups!$A$13:$A$17,Employee_Lookups!$E$13:$E$17,0)</f>
        <v>700000</v>
      </c>
      <c r="AA314" s="28">
        <f>ROUND(O314/INDEX(Employee_Lookups!$E$13:$E$17,MATCH(F314,Employee_Lookups!$A$13:$A$17,0)),3)</f>
        <v>1.17</v>
      </c>
      <c r="AB314">
        <f t="shared" si="31"/>
        <v>2021</v>
      </c>
      <c r="AC314">
        <f t="shared" si="32"/>
        <v>2022</v>
      </c>
      <c r="AD314" s="28">
        <f>ROUND((IF(ISBLANK(L314),Employee_Lookups!$O$14,L314)-J314)/365.25,2)</f>
        <v>1.38</v>
      </c>
      <c r="AE314" t="str">
        <f t="shared" si="33"/>
        <v>1 - 3 Yrs</v>
      </c>
      <c r="AF314" t="str">
        <f t="shared" si="34"/>
        <v>Exited</v>
      </c>
    </row>
    <row r="315" spans="1:32" x14ac:dyDescent="0.45">
      <c r="A315" t="s">
        <v>810</v>
      </c>
      <c r="B315" t="s">
        <v>266</v>
      </c>
      <c r="C315" t="s">
        <v>53</v>
      </c>
      <c r="D315" t="s">
        <v>52</v>
      </c>
      <c r="E315" t="s">
        <v>322</v>
      </c>
      <c r="F315" t="s">
        <v>81</v>
      </c>
      <c r="G315" t="s">
        <v>323</v>
      </c>
      <c r="H315" t="s">
        <v>106</v>
      </c>
      <c r="I315" t="s">
        <v>107</v>
      </c>
      <c r="J315" s="26">
        <v>44420</v>
      </c>
      <c r="K315" t="s">
        <v>170</v>
      </c>
      <c r="L315" s="26">
        <v>44505</v>
      </c>
      <c r="M315" t="s">
        <v>171</v>
      </c>
      <c r="N315" t="s">
        <v>98</v>
      </c>
      <c r="O315" s="27">
        <v>754000</v>
      </c>
      <c r="P315">
        <v>1</v>
      </c>
      <c r="Q315" t="s">
        <v>172</v>
      </c>
      <c r="R315">
        <v>24</v>
      </c>
      <c r="S315" t="s">
        <v>194</v>
      </c>
      <c r="T315">
        <f t="shared" si="28"/>
        <v>11353</v>
      </c>
      <c r="U315" t="str">
        <f t="shared" si="29"/>
        <v>SAL</v>
      </c>
      <c r="V315" t="str">
        <f t="shared" si="30"/>
        <v>L1</v>
      </c>
      <c r="W315" t="str">
        <f>PROPER(TRIM(VLOOKUP(S315,Employee_Lookups!$I$4:$M$19,2,FALSE())))</f>
        <v>Vikramaditya Joshi</v>
      </c>
      <c r="X315" t="str">
        <f>VLOOKUP(C315,Employee_Lookups!$A$4:$G$9,4,FALSE())</f>
        <v>CC-202</v>
      </c>
      <c r="Y315" t="str">
        <f>INDEX(Employee_Lookups!$C$13:$C$17,MATCH(F315,Employee_Lookups!$A$13:$A$17,0))</f>
        <v>Band A (Entry)</v>
      </c>
      <c r="Z315" s="27">
        <f>_xlfn.XLOOKUP(F315,Employee_Lookups!$A$13:$A$17,Employee_Lookups!$E$13:$E$17,0)</f>
        <v>700000</v>
      </c>
      <c r="AA315" s="28">
        <f>ROUND(O315/INDEX(Employee_Lookups!$E$13:$E$17,MATCH(F315,Employee_Lookups!$A$13:$A$17,0)),3)</f>
        <v>1.077</v>
      </c>
      <c r="AB315">
        <f t="shared" si="31"/>
        <v>2021</v>
      </c>
      <c r="AC315">
        <f t="shared" si="32"/>
        <v>2021</v>
      </c>
      <c r="AD315" s="28">
        <f>ROUND((IF(ISBLANK(L315),Employee_Lookups!$O$14,L315)-J315)/365.25,2)</f>
        <v>0.23</v>
      </c>
      <c r="AE315" t="str">
        <f t="shared" si="33"/>
        <v>&lt; 1 Yr (New)</v>
      </c>
      <c r="AF315" t="str">
        <f t="shared" si="34"/>
        <v>Exited</v>
      </c>
    </row>
    <row r="316" spans="1:32" x14ac:dyDescent="0.45">
      <c r="A316" t="s">
        <v>811</v>
      </c>
      <c r="B316" t="s">
        <v>812</v>
      </c>
      <c r="C316" t="s">
        <v>51</v>
      </c>
      <c r="D316" t="s">
        <v>50</v>
      </c>
      <c r="E316" t="s">
        <v>217</v>
      </c>
      <c r="F316" t="s">
        <v>83</v>
      </c>
      <c r="G316" t="s">
        <v>218</v>
      </c>
      <c r="H316" t="s">
        <v>111</v>
      </c>
      <c r="I316" t="s">
        <v>110</v>
      </c>
      <c r="J316" s="26">
        <v>44421</v>
      </c>
      <c r="K316" t="s">
        <v>162</v>
      </c>
      <c r="L316" s="26"/>
      <c r="M316" t="s">
        <v>163</v>
      </c>
      <c r="N316" t="s">
        <v>96</v>
      </c>
      <c r="O316" s="27">
        <v>2071000</v>
      </c>
      <c r="P316">
        <v>4</v>
      </c>
      <c r="Q316" t="s">
        <v>172</v>
      </c>
      <c r="R316">
        <v>27</v>
      </c>
      <c r="S316" t="s">
        <v>219</v>
      </c>
      <c r="T316">
        <f t="shared" si="28"/>
        <v>10895</v>
      </c>
      <c r="U316" t="str">
        <f t="shared" si="29"/>
        <v>ENG</v>
      </c>
      <c r="V316" t="str">
        <f t="shared" si="30"/>
        <v>L3</v>
      </c>
      <c r="W316" t="str">
        <f>PROPER(TRIM(VLOOKUP(S316,Employee_Lookups!$I$4:$M$19,2,FALSE())))</f>
        <v>Neha Kulkarni</v>
      </c>
      <c r="X316" t="str">
        <f>VLOOKUP(C316,Employee_Lookups!$A$4:$G$9,4,FALSE())</f>
        <v>CC-101</v>
      </c>
      <c r="Y316" t="str">
        <f>INDEX(Employee_Lookups!$C$13:$C$17,MATCH(F316,Employee_Lookups!$A$13:$A$17,0))</f>
        <v>Band C (Senior)</v>
      </c>
      <c r="Z316" s="27">
        <f>_xlfn.XLOOKUP(F316,Employee_Lookups!$A$13:$A$17,Employee_Lookups!$E$13:$E$17,0)</f>
        <v>1725000</v>
      </c>
      <c r="AA316" s="28">
        <f>ROUND(O316/INDEX(Employee_Lookups!$E$13:$E$17,MATCH(F316,Employee_Lookups!$A$13:$A$17,0)),3)</f>
        <v>1.2010000000000001</v>
      </c>
      <c r="AB316">
        <f t="shared" si="31"/>
        <v>2021</v>
      </c>
      <c r="AC316" t="str">
        <f t="shared" si="32"/>
        <v/>
      </c>
      <c r="AD316" s="28">
        <f>ROUND((IF(ISBLANK(L316),Employee_Lookups!$O$14,L316)-J316)/365.25,2)</f>
        <v>4.38</v>
      </c>
      <c r="AE316" t="str">
        <f t="shared" si="33"/>
        <v>3 - 5 Yrs</v>
      </c>
      <c r="AF316" t="str">
        <f t="shared" si="34"/>
        <v>High Risk</v>
      </c>
    </row>
    <row r="317" spans="1:32" x14ac:dyDescent="0.45">
      <c r="A317" t="s">
        <v>813</v>
      </c>
      <c r="B317" t="s">
        <v>814</v>
      </c>
      <c r="C317" t="s">
        <v>59</v>
      </c>
      <c r="D317" t="s">
        <v>58</v>
      </c>
      <c r="E317" t="s">
        <v>206</v>
      </c>
      <c r="F317" t="s">
        <v>81</v>
      </c>
      <c r="G317" t="s">
        <v>207</v>
      </c>
      <c r="H317" t="s">
        <v>106</v>
      </c>
      <c r="I317" t="s">
        <v>107</v>
      </c>
      <c r="J317" s="26">
        <v>44422</v>
      </c>
      <c r="K317" t="s">
        <v>187</v>
      </c>
      <c r="L317" s="26">
        <v>44570</v>
      </c>
      <c r="M317" t="s">
        <v>308</v>
      </c>
      <c r="N317" t="s">
        <v>99</v>
      </c>
      <c r="O317" s="27">
        <v>823000</v>
      </c>
      <c r="P317">
        <v>3</v>
      </c>
      <c r="Q317" t="s">
        <v>172</v>
      </c>
      <c r="R317">
        <v>0</v>
      </c>
      <c r="S317" t="s">
        <v>214</v>
      </c>
      <c r="T317">
        <f t="shared" si="28"/>
        <v>10839</v>
      </c>
      <c r="U317" t="str">
        <f t="shared" si="29"/>
        <v>FIN</v>
      </c>
      <c r="V317" t="str">
        <f t="shared" si="30"/>
        <v>L1</v>
      </c>
      <c r="W317" t="str">
        <f>PROPER(TRIM(VLOOKUP(S317,Employee_Lookups!$I$4:$M$19,2,FALSE())))</f>
        <v>Aditya Gokhale</v>
      </c>
      <c r="X317" t="str">
        <f>VLOOKUP(C317,Employee_Lookups!$A$4:$G$9,4,FALSE())</f>
        <v>CC-404</v>
      </c>
      <c r="Y317" t="str">
        <f>INDEX(Employee_Lookups!$C$13:$C$17,MATCH(F317,Employee_Lookups!$A$13:$A$17,0))</f>
        <v>Band A (Entry)</v>
      </c>
      <c r="Z317" s="27">
        <f>_xlfn.XLOOKUP(F317,Employee_Lookups!$A$13:$A$17,Employee_Lookups!$E$13:$E$17,0)</f>
        <v>700000</v>
      </c>
      <c r="AA317" s="28">
        <f>ROUND(O317/INDEX(Employee_Lookups!$E$13:$E$17,MATCH(F317,Employee_Lookups!$A$13:$A$17,0)),3)</f>
        <v>1.1759999999999999</v>
      </c>
      <c r="AB317">
        <f t="shared" si="31"/>
        <v>2021</v>
      </c>
      <c r="AC317">
        <f t="shared" si="32"/>
        <v>2022</v>
      </c>
      <c r="AD317" s="28">
        <f>ROUND((IF(ISBLANK(L317),Employee_Lookups!$O$14,L317)-J317)/365.25,2)</f>
        <v>0.41</v>
      </c>
      <c r="AE317" t="str">
        <f t="shared" si="33"/>
        <v>&lt; 1 Yr (New)</v>
      </c>
      <c r="AF317" t="str">
        <f t="shared" si="34"/>
        <v>Exited</v>
      </c>
    </row>
    <row r="318" spans="1:32" x14ac:dyDescent="0.45">
      <c r="A318" t="s">
        <v>815</v>
      </c>
      <c r="B318" t="s">
        <v>816</v>
      </c>
      <c r="C318" t="s">
        <v>55</v>
      </c>
      <c r="D318" t="s">
        <v>54</v>
      </c>
      <c r="E318" t="s">
        <v>240</v>
      </c>
      <c r="F318" t="s">
        <v>83</v>
      </c>
      <c r="G318" t="s">
        <v>241</v>
      </c>
      <c r="H318" t="s">
        <v>106</v>
      </c>
      <c r="I318" t="s">
        <v>107</v>
      </c>
      <c r="J318" s="26">
        <v>44424</v>
      </c>
      <c r="K318" t="s">
        <v>162</v>
      </c>
      <c r="L318" s="26"/>
      <c r="M318" t="s">
        <v>163</v>
      </c>
      <c r="N318" t="s">
        <v>96</v>
      </c>
      <c r="O318" s="27">
        <v>1651000</v>
      </c>
      <c r="P318">
        <v>3</v>
      </c>
      <c r="Q318" t="s">
        <v>172</v>
      </c>
      <c r="R318">
        <v>25</v>
      </c>
      <c r="S318" t="s">
        <v>274</v>
      </c>
      <c r="T318">
        <f t="shared" si="28"/>
        <v>11043</v>
      </c>
      <c r="U318" t="str">
        <f t="shared" si="29"/>
        <v>OPS</v>
      </c>
      <c r="V318" t="str">
        <f t="shared" si="30"/>
        <v>L3</v>
      </c>
      <c r="W318" t="str">
        <f>PROPER(TRIM(VLOOKUP(S318,Employee_Lookups!$I$4:$M$19,2,FALSE())))</f>
        <v>Meera Krishnan</v>
      </c>
      <c r="X318" t="str">
        <f>VLOOKUP(C318,Employee_Lookups!$A$4:$G$9,4,FALSE())</f>
        <v>CC-303</v>
      </c>
      <c r="Y318" t="str">
        <f>INDEX(Employee_Lookups!$C$13:$C$17,MATCH(F318,Employee_Lookups!$A$13:$A$17,0))</f>
        <v>Band C (Senior)</v>
      </c>
      <c r="Z318" s="27">
        <f>_xlfn.XLOOKUP(F318,Employee_Lookups!$A$13:$A$17,Employee_Lookups!$E$13:$E$17,0)</f>
        <v>1725000</v>
      </c>
      <c r="AA318" s="28">
        <f>ROUND(O318/INDEX(Employee_Lookups!$E$13:$E$17,MATCH(F318,Employee_Lookups!$A$13:$A$17,0)),3)</f>
        <v>0.95699999999999996</v>
      </c>
      <c r="AB318">
        <f t="shared" si="31"/>
        <v>2021</v>
      </c>
      <c r="AC318" t="str">
        <f t="shared" si="32"/>
        <v/>
      </c>
      <c r="AD318" s="28">
        <f>ROUND((IF(ISBLANK(L318),Employee_Lookups!$O$14,L318)-J318)/365.25,2)</f>
        <v>4.38</v>
      </c>
      <c r="AE318" t="str">
        <f t="shared" si="33"/>
        <v>3 - 5 Yrs</v>
      </c>
      <c r="AF318" t="str">
        <f t="shared" si="34"/>
        <v>Moderate Risk</v>
      </c>
    </row>
    <row r="319" spans="1:32" x14ac:dyDescent="0.45">
      <c r="A319" t="s">
        <v>817</v>
      </c>
      <c r="B319" t="s">
        <v>818</v>
      </c>
      <c r="C319" t="s">
        <v>61</v>
      </c>
      <c r="D319" t="s">
        <v>60</v>
      </c>
      <c r="E319" t="s">
        <v>356</v>
      </c>
      <c r="F319" t="s">
        <v>81</v>
      </c>
      <c r="G319" t="s">
        <v>357</v>
      </c>
      <c r="H319" t="s">
        <v>109</v>
      </c>
      <c r="I319" t="s">
        <v>110</v>
      </c>
      <c r="J319" s="26">
        <v>44425</v>
      </c>
      <c r="K319" t="s">
        <v>162</v>
      </c>
      <c r="L319" s="26"/>
      <c r="M319" t="s">
        <v>163</v>
      </c>
      <c r="N319" t="s">
        <v>95</v>
      </c>
      <c r="O319" s="27">
        <v>580000</v>
      </c>
      <c r="P319">
        <v>4</v>
      </c>
      <c r="Q319" t="s">
        <v>164</v>
      </c>
      <c r="R319">
        <v>29</v>
      </c>
      <c r="S319" t="s">
        <v>253</v>
      </c>
      <c r="T319">
        <f t="shared" si="28"/>
        <v>10150</v>
      </c>
      <c r="U319" t="str">
        <f t="shared" si="29"/>
        <v>-HR</v>
      </c>
      <c r="V319" t="str">
        <f t="shared" si="30"/>
        <v>L1</v>
      </c>
      <c r="W319" t="str">
        <f>PROPER(TRIM(VLOOKUP(S319,Employee_Lookups!$I$4:$M$19,2,FALSE())))</f>
        <v>Nikhil Chatterjee</v>
      </c>
      <c r="X319" t="str">
        <f>VLOOKUP(C319,Employee_Lookups!$A$4:$G$9,4,FALSE())</f>
        <v>CC-505</v>
      </c>
      <c r="Y319" t="str">
        <f>INDEX(Employee_Lookups!$C$13:$C$17,MATCH(F319,Employee_Lookups!$A$13:$A$17,0))</f>
        <v>Band A (Entry)</v>
      </c>
      <c r="Z319" s="27">
        <f>_xlfn.XLOOKUP(F319,Employee_Lookups!$A$13:$A$17,Employee_Lookups!$E$13:$E$17,0)</f>
        <v>700000</v>
      </c>
      <c r="AA319" s="28">
        <f>ROUND(O319/INDEX(Employee_Lookups!$E$13:$E$17,MATCH(F319,Employee_Lookups!$A$13:$A$17,0)),3)</f>
        <v>0.82899999999999996</v>
      </c>
      <c r="AB319">
        <f t="shared" si="31"/>
        <v>2021</v>
      </c>
      <c r="AC319" t="str">
        <f t="shared" si="32"/>
        <v/>
      </c>
      <c r="AD319" s="28">
        <f>ROUND((IF(ISBLANK(L319),Employee_Lookups!$O$14,L319)-J319)/365.25,2)</f>
        <v>4.37</v>
      </c>
      <c r="AE319" t="str">
        <f t="shared" si="33"/>
        <v>3 - 5 Yrs</v>
      </c>
      <c r="AF319" t="str">
        <f t="shared" si="34"/>
        <v>Low Risk</v>
      </c>
    </row>
    <row r="320" spans="1:32" x14ac:dyDescent="0.45">
      <c r="A320" t="s">
        <v>819</v>
      </c>
      <c r="B320" t="s">
        <v>820</v>
      </c>
      <c r="C320" t="s">
        <v>55</v>
      </c>
      <c r="D320" t="s">
        <v>54</v>
      </c>
      <c r="E320" t="s">
        <v>229</v>
      </c>
      <c r="F320" t="s">
        <v>82</v>
      </c>
      <c r="G320" t="s">
        <v>230</v>
      </c>
      <c r="H320" t="s">
        <v>106</v>
      </c>
      <c r="I320" t="s">
        <v>107</v>
      </c>
      <c r="J320" s="26">
        <v>44427</v>
      </c>
      <c r="K320" t="s">
        <v>187</v>
      </c>
      <c r="L320" s="26">
        <v>44772</v>
      </c>
      <c r="M320" t="s">
        <v>213</v>
      </c>
      <c r="N320" t="s">
        <v>99</v>
      </c>
      <c r="O320" s="27">
        <v>1076000</v>
      </c>
      <c r="P320">
        <v>3</v>
      </c>
      <c r="Q320" t="s">
        <v>172</v>
      </c>
      <c r="R320">
        <v>28</v>
      </c>
      <c r="S320" t="s">
        <v>173</v>
      </c>
      <c r="T320">
        <f t="shared" si="28"/>
        <v>10983</v>
      </c>
      <c r="U320" t="str">
        <f t="shared" si="29"/>
        <v>OPS</v>
      </c>
      <c r="V320" t="str">
        <f t="shared" si="30"/>
        <v>L2</v>
      </c>
      <c r="W320" t="str">
        <f>PROPER(TRIM(VLOOKUP(S320,Employee_Lookups!$I$4:$M$19,2,FALSE())))</f>
        <v>Deepak Patil</v>
      </c>
      <c r="X320" t="str">
        <f>VLOOKUP(C320,Employee_Lookups!$A$4:$G$9,4,FALSE())</f>
        <v>CC-303</v>
      </c>
      <c r="Y320" t="str">
        <f>INDEX(Employee_Lookups!$C$13:$C$17,MATCH(F320,Employee_Lookups!$A$13:$A$17,0))</f>
        <v>Band B (Mid)</v>
      </c>
      <c r="Z320" s="27">
        <f>_xlfn.XLOOKUP(F320,Employee_Lookups!$A$13:$A$17,Employee_Lookups!$E$13:$E$17,0)</f>
        <v>1100000</v>
      </c>
      <c r="AA320" s="28">
        <f>ROUND(O320/INDEX(Employee_Lookups!$E$13:$E$17,MATCH(F320,Employee_Lookups!$A$13:$A$17,0)),3)</f>
        <v>0.97799999999999998</v>
      </c>
      <c r="AB320">
        <f t="shared" si="31"/>
        <v>2021</v>
      </c>
      <c r="AC320">
        <f t="shared" si="32"/>
        <v>2022</v>
      </c>
      <c r="AD320" s="28">
        <f>ROUND((IF(ISBLANK(L320),Employee_Lookups!$O$14,L320)-J320)/365.25,2)</f>
        <v>0.94</v>
      </c>
      <c r="AE320" t="str">
        <f t="shared" si="33"/>
        <v>&lt; 1 Yr (New)</v>
      </c>
      <c r="AF320" t="str">
        <f t="shared" si="34"/>
        <v>Exited</v>
      </c>
    </row>
    <row r="321" spans="1:32" x14ac:dyDescent="0.45">
      <c r="A321" t="s">
        <v>821</v>
      </c>
      <c r="B321" t="s">
        <v>822</v>
      </c>
      <c r="C321" t="s">
        <v>51</v>
      </c>
      <c r="D321" t="s">
        <v>50</v>
      </c>
      <c r="E321" t="s">
        <v>328</v>
      </c>
      <c r="F321" t="s">
        <v>85</v>
      </c>
      <c r="G321" t="s">
        <v>329</v>
      </c>
      <c r="H321" t="s">
        <v>111</v>
      </c>
      <c r="I321" t="s">
        <v>110</v>
      </c>
      <c r="J321" s="26">
        <v>44428</v>
      </c>
      <c r="K321" t="s">
        <v>162</v>
      </c>
      <c r="L321" s="26"/>
      <c r="M321" t="s">
        <v>163</v>
      </c>
      <c r="N321" t="s">
        <v>96</v>
      </c>
      <c r="O321" s="27">
        <v>3655000</v>
      </c>
      <c r="P321">
        <v>3</v>
      </c>
      <c r="Q321" t="s">
        <v>172</v>
      </c>
      <c r="R321">
        <v>37</v>
      </c>
      <c r="S321" t="s">
        <v>178</v>
      </c>
      <c r="T321">
        <f t="shared" si="28"/>
        <v>11294</v>
      </c>
      <c r="U321" t="str">
        <f t="shared" si="29"/>
        <v>ENG</v>
      </c>
      <c r="V321" t="str">
        <f t="shared" si="30"/>
        <v>L5</v>
      </c>
      <c r="W321" t="str">
        <f>PROPER(TRIM(VLOOKUP(S321,Employee_Lookups!$I$4:$M$19,2,FALSE())))</f>
        <v>Aarav Deshmukh</v>
      </c>
      <c r="X321" t="str">
        <f>VLOOKUP(C321,Employee_Lookups!$A$4:$G$9,4,FALSE())</f>
        <v>CC-101</v>
      </c>
      <c r="Y321" t="str">
        <f>INDEX(Employee_Lookups!$C$13:$C$17,MATCH(F321,Employee_Lookups!$A$13:$A$17,0))</f>
        <v>Band E (Executive)</v>
      </c>
      <c r="Z321" s="27">
        <f>_xlfn.XLOOKUP(F321,Employee_Lookups!$A$13:$A$17,Employee_Lookups!$E$13:$E$17,0)</f>
        <v>4300000</v>
      </c>
      <c r="AA321" s="28">
        <f>ROUND(O321/INDEX(Employee_Lookups!$E$13:$E$17,MATCH(F321,Employee_Lookups!$A$13:$A$17,0)),3)</f>
        <v>0.85</v>
      </c>
      <c r="AB321">
        <f t="shared" si="31"/>
        <v>2021</v>
      </c>
      <c r="AC321" t="str">
        <f t="shared" si="32"/>
        <v/>
      </c>
      <c r="AD321" s="28">
        <f>ROUND((IF(ISBLANK(L321),Employee_Lookups!$O$14,L321)-J321)/365.25,2)</f>
        <v>4.3600000000000003</v>
      </c>
      <c r="AE321" t="str">
        <f t="shared" si="33"/>
        <v>3 - 5 Yrs</v>
      </c>
      <c r="AF321" t="str">
        <f t="shared" si="34"/>
        <v>High Risk</v>
      </c>
    </row>
    <row r="322" spans="1:32" x14ac:dyDescent="0.45">
      <c r="A322" t="s">
        <v>823</v>
      </c>
      <c r="B322" t="s">
        <v>824</v>
      </c>
      <c r="C322" t="s">
        <v>53</v>
      </c>
      <c r="D322" t="s">
        <v>52</v>
      </c>
      <c r="E322" t="s">
        <v>192</v>
      </c>
      <c r="F322" t="s">
        <v>83</v>
      </c>
      <c r="G322" t="s">
        <v>193</v>
      </c>
      <c r="H322" t="s">
        <v>109</v>
      </c>
      <c r="I322" t="s">
        <v>110</v>
      </c>
      <c r="J322" s="26">
        <v>44428</v>
      </c>
      <c r="K322" t="s">
        <v>187</v>
      </c>
      <c r="L322" s="26">
        <v>45173</v>
      </c>
      <c r="M322" t="s">
        <v>269</v>
      </c>
      <c r="N322" t="s">
        <v>98</v>
      </c>
      <c r="O322" s="27">
        <v>2070000</v>
      </c>
      <c r="P322">
        <v>4</v>
      </c>
      <c r="Q322" t="s">
        <v>172</v>
      </c>
      <c r="R322">
        <v>37</v>
      </c>
      <c r="S322" t="s">
        <v>189</v>
      </c>
      <c r="T322">
        <f t="shared" ref="T322:T385" si="35">VALUE(MID(A322,5,5))</f>
        <v>10443</v>
      </c>
      <c r="U322" t="str">
        <f t="shared" ref="U322:U385" si="36">LEFT(E322,3)</f>
        <v>SAL</v>
      </c>
      <c r="V322" t="str">
        <f t="shared" ref="V322:V385" si="37">RIGHT(E322,2)</f>
        <v>L3</v>
      </c>
      <c r="W322" t="str">
        <f>PROPER(TRIM(VLOOKUP(S322,Employee_Lookups!$I$4:$M$19,2,FALSE())))</f>
        <v>Priya Sharma</v>
      </c>
      <c r="X322" t="str">
        <f>VLOOKUP(C322,Employee_Lookups!$A$4:$G$9,4,FALSE())</f>
        <v>CC-202</v>
      </c>
      <c r="Y322" t="str">
        <f>INDEX(Employee_Lookups!$C$13:$C$17,MATCH(F322,Employee_Lookups!$A$13:$A$17,0))</f>
        <v>Band C (Senior)</v>
      </c>
      <c r="Z322" s="27">
        <f>_xlfn.XLOOKUP(F322,Employee_Lookups!$A$13:$A$17,Employee_Lookups!$E$13:$E$17,0)</f>
        <v>1725000</v>
      </c>
      <c r="AA322" s="28">
        <f>ROUND(O322/INDEX(Employee_Lookups!$E$13:$E$17,MATCH(F322,Employee_Lookups!$A$13:$A$17,0)),3)</f>
        <v>1.2</v>
      </c>
      <c r="AB322">
        <f t="shared" ref="AB322:AB385" si="38">YEAR(J322)</f>
        <v>2021</v>
      </c>
      <c r="AC322">
        <f t="shared" ref="AC322:AC385" si="39">IF(ISBLANK(L322),"",YEAR(L322))</f>
        <v>2023</v>
      </c>
      <c r="AD322" s="28">
        <f>ROUND((IF(ISBLANK(L322),Employee_Lookups!$O$14,L322)-J322)/365.25,2)</f>
        <v>2.04</v>
      </c>
      <c r="AE322" t="str">
        <f t="shared" ref="AE322:AE385" si="40">IF(AD322&lt;1,"&lt; 1 Yr (New)",IF(AD322&lt;3,"1 - 3 Yrs",IF(AD322&lt;5,"3 - 5 Yrs","5+ Yrs")))</f>
        <v>1 - 3 Yrs</v>
      </c>
      <c r="AF322" t="str">
        <f t="shared" ref="AF322:AF385" si="41">IF(K322&lt;&gt;"Active","Exited",IF(AND(Q322="Yes",OR(P322&gt;=4,AA322&lt;0.95)),"High Risk",IF(OR(Q322="Yes",AND(NOT(ISBLANK(P322)),P322&lt;=2)),"Moderate Risk","Low Risk")))</f>
        <v>Exited</v>
      </c>
    </row>
    <row r="323" spans="1:32" x14ac:dyDescent="0.45">
      <c r="A323" t="s">
        <v>825</v>
      </c>
      <c r="B323" t="s">
        <v>826</v>
      </c>
      <c r="C323" t="s">
        <v>57</v>
      </c>
      <c r="D323" t="s">
        <v>56</v>
      </c>
      <c r="E323" t="s">
        <v>222</v>
      </c>
      <c r="F323" t="s">
        <v>82</v>
      </c>
      <c r="G323" t="s">
        <v>223</v>
      </c>
      <c r="H323" t="s">
        <v>106</v>
      </c>
      <c r="I323" t="s">
        <v>107</v>
      </c>
      <c r="J323" s="26">
        <v>44428</v>
      </c>
      <c r="K323" t="s">
        <v>187</v>
      </c>
      <c r="L323" s="26">
        <v>44523</v>
      </c>
      <c r="M323" t="s">
        <v>282</v>
      </c>
      <c r="N323" t="s">
        <v>99</v>
      </c>
      <c r="O323" s="27">
        <v>1335000</v>
      </c>
      <c r="P323">
        <v>3</v>
      </c>
      <c r="Q323" t="s">
        <v>164</v>
      </c>
      <c r="R323">
        <v>60</v>
      </c>
      <c r="S323" t="s">
        <v>224</v>
      </c>
      <c r="T323">
        <f t="shared" si="35"/>
        <v>10842</v>
      </c>
      <c r="U323" t="str">
        <f t="shared" si="36"/>
        <v>MKT</v>
      </c>
      <c r="V323" t="str">
        <f t="shared" si="37"/>
        <v>L2</v>
      </c>
      <c r="W323" t="str">
        <f>PROPER(TRIM(VLOOKUP(S323,Employee_Lookups!$I$4:$M$19,2,FALSE())))</f>
        <v>Tanvi Chitnis</v>
      </c>
      <c r="X323" t="str">
        <f>VLOOKUP(C323,Employee_Lookups!$A$4:$G$9,4,FALSE())</f>
        <v>CC-606</v>
      </c>
      <c r="Y323" t="str">
        <f>INDEX(Employee_Lookups!$C$13:$C$17,MATCH(F323,Employee_Lookups!$A$13:$A$17,0))</f>
        <v>Band B (Mid)</v>
      </c>
      <c r="Z323" s="27">
        <f>_xlfn.XLOOKUP(F323,Employee_Lookups!$A$13:$A$17,Employee_Lookups!$E$13:$E$17,0)</f>
        <v>1100000</v>
      </c>
      <c r="AA323" s="28">
        <f>ROUND(O323/INDEX(Employee_Lookups!$E$13:$E$17,MATCH(F323,Employee_Lookups!$A$13:$A$17,0)),3)</f>
        <v>1.214</v>
      </c>
      <c r="AB323">
        <f t="shared" si="38"/>
        <v>2021</v>
      </c>
      <c r="AC323">
        <f t="shared" si="39"/>
        <v>2021</v>
      </c>
      <c r="AD323" s="28">
        <f>ROUND((IF(ISBLANK(L323),Employee_Lookups!$O$14,L323)-J323)/365.25,2)</f>
        <v>0.26</v>
      </c>
      <c r="AE323" t="str">
        <f t="shared" si="40"/>
        <v>&lt; 1 Yr (New)</v>
      </c>
      <c r="AF323" t="str">
        <f t="shared" si="41"/>
        <v>Exited</v>
      </c>
    </row>
    <row r="324" spans="1:32" x14ac:dyDescent="0.45">
      <c r="A324" t="s">
        <v>827</v>
      </c>
      <c r="B324" t="s">
        <v>828</v>
      </c>
      <c r="C324" t="s">
        <v>51</v>
      </c>
      <c r="D324" t="s">
        <v>50</v>
      </c>
      <c r="E324" t="s">
        <v>181</v>
      </c>
      <c r="F324" t="s">
        <v>81</v>
      </c>
      <c r="G324" t="s">
        <v>182</v>
      </c>
      <c r="H324" t="s">
        <v>108</v>
      </c>
      <c r="I324" t="s">
        <v>107</v>
      </c>
      <c r="J324" s="26">
        <v>44433</v>
      </c>
      <c r="K324" t="s">
        <v>162</v>
      </c>
      <c r="L324" s="26"/>
      <c r="M324" t="s">
        <v>163</v>
      </c>
      <c r="N324" t="s">
        <v>97</v>
      </c>
      <c r="O324" s="27">
        <v>659000</v>
      </c>
      <c r="P324">
        <v>3</v>
      </c>
      <c r="Q324" t="s">
        <v>164</v>
      </c>
      <c r="R324">
        <v>52</v>
      </c>
      <c r="S324" t="s">
        <v>197</v>
      </c>
      <c r="T324">
        <f t="shared" si="35"/>
        <v>10599</v>
      </c>
      <c r="U324" t="str">
        <f t="shared" si="36"/>
        <v>ENG</v>
      </c>
      <c r="V324" t="str">
        <f t="shared" si="37"/>
        <v>L1</v>
      </c>
      <c r="W324" t="str">
        <f>PROPER(TRIM(VLOOKUP(S324,Employee_Lookups!$I$4:$M$19,2,FALSE())))</f>
        <v>Rohan Verma</v>
      </c>
      <c r="X324" t="str">
        <f>VLOOKUP(C324,Employee_Lookups!$A$4:$G$9,4,FALSE())</f>
        <v>CC-101</v>
      </c>
      <c r="Y324" t="str">
        <f>INDEX(Employee_Lookups!$C$13:$C$17,MATCH(F324,Employee_Lookups!$A$13:$A$17,0))</f>
        <v>Band A (Entry)</v>
      </c>
      <c r="Z324" s="27">
        <f>_xlfn.XLOOKUP(F324,Employee_Lookups!$A$13:$A$17,Employee_Lookups!$E$13:$E$17,0)</f>
        <v>700000</v>
      </c>
      <c r="AA324" s="28">
        <f>ROUND(O324/INDEX(Employee_Lookups!$E$13:$E$17,MATCH(F324,Employee_Lookups!$A$13:$A$17,0)),3)</f>
        <v>0.94099999999999995</v>
      </c>
      <c r="AB324">
        <f t="shared" si="38"/>
        <v>2021</v>
      </c>
      <c r="AC324" t="str">
        <f t="shared" si="39"/>
        <v/>
      </c>
      <c r="AD324" s="28">
        <f>ROUND((IF(ISBLANK(L324),Employee_Lookups!$O$14,L324)-J324)/365.25,2)</f>
        <v>4.3499999999999996</v>
      </c>
      <c r="AE324" t="str">
        <f t="shared" si="40"/>
        <v>3 - 5 Yrs</v>
      </c>
      <c r="AF324" t="str">
        <f t="shared" si="41"/>
        <v>Low Risk</v>
      </c>
    </row>
    <row r="325" spans="1:32" x14ac:dyDescent="0.45">
      <c r="A325" t="s">
        <v>829</v>
      </c>
      <c r="B325" t="s">
        <v>830</v>
      </c>
      <c r="C325" t="s">
        <v>51</v>
      </c>
      <c r="D325" t="s">
        <v>50</v>
      </c>
      <c r="E325" t="s">
        <v>217</v>
      </c>
      <c r="F325" t="s">
        <v>83</v>
      </c>
      <c r="G325" t="s">
        <v>218</v>
      </c>
      <c r="H325" t="s">
        <v>108</v>
      </c>
      <c r="I325" t="s">
        <v>107</v>
      </c>
      <c r="J325" s="26">
        <v>44435</v>
      </c>
      <c r="K325" t="s">
        <v>162</v>
      </c>
      <c r="L325" s="26"/>
      <c r="M325" t="s">
        <v>163</v>
      </c>
      <c r="N325" t="s">
        <v>99</v>
      </c>
      <c r="O325" s="27">
        <v>1558000</v>
      </c>
      <c r="P325">
        <v>4</v>
      </c>
      <c r="Q325" t="s">
        <v>172</v>
      </c>
      <c r="R325">
        <v>41</v>
      </c>
      <c r="S325" t="s">
        <v>178</v>
      </c>
      <c r="T325">
        <f t="shared" si="35"/>
        <v>11403</v>
      </c>
      <c r="U325" t="str">
        <f t="shared" si="36"/>
        <v>ENG</v>
      </c>
      <c r="V325" t="str">
        <f t="shared" si="37"/>
        <v>L3</v>
      </c>
      <c r="W325" t="str">
        <f>PROPER(TRIM(VLOOKUP(S325,Employee_Lookups!$I$4:$M$19,2,FALSE())))</f>
        <v>Aarav Deshmukh</v>
      </c>
      <c r="X325" t="str">
        <f>VLOOKUP(C325,Employee_Lookups!$A$4:$G$9,4,FALSE())</f>
        <v>CC-101</v>
      </c>
      <c r="Y325" t="str">
        <f>INDEX(Employee_Lookups!$C$13:$C$17,MATCH(F325,Employee_Lookups!$A$13:$A$17,0))</f>
        <v>Band C (Senior)</v>
      </c>
      <c r="Z325" s="27">
        <f>_xlfn.XLOOKUP(F325,Employee_Lookups!$A$13:$A$17,Employee_Lookups!$E$13:$E$17,0)</f>
        <v>1725000</v>
      </c>
      <c r="AA325" s="28">
        <f>ROUND(O325/INDEX(Employee_Lookups!$E$13:$E$17,MATCH(F325,Employee_Lookups!$A$13:$A$17,0)),3)</f>
        <v>0.90300000000000002</v>
      </c>
      <c r="AB325">
        <f t="shared" si="38"/>
        <v>2021</v>
      </c>
      <c r="AC325" t="str">
        <f t="shared" si="39"/>
        <v/>
      </c>
      <c r="AD325" s="28">
        <f>ROUND((IF(ISBLANK(L325),Employee_Lookups!$O$14,L325)-J325)/365.25,2)</f>
        <v>4.34</v>
      </c>
      <c r="AE325" t="str">
        <f t="shared" si="40"/>
        <v>3 - 5 Yrs</v>
      </c>
      <c r="AF325" t="str">
        <f t="shared" si="41"/>
        <v>High Risk</v>
      </c>
    </row>
    <row r="326" spans="1:32" x14ac:dyDescent="0.45">
      <c r="A326" t="s">
        <v>831</v>
      </c>
      <c r="B326" t="s">
        <v>832</v>
      </c>
      <c r="C326" t="s">
        <v>59</v>
      </c>
      <c r="D326" t="s">
        <v>58</v>
      </c>
      <c r="E326" t="s">
        <v>211</v>
      </c>
      <c r="F326" t="s">
        <v>82</v>
      </c>
      <c r="G326" t="s">
        <v>212</v>
      </c>
      <c r="H326" t="s">
        <v>109</v>
      </c>
      <c r="I326" t="s">
        <v>110</v>
      </c>
      <c r="J326" s="26">
        <v>44436</v>
      </c>
      <c r="K326" t="s">
        <v>162</v>
      </c>
      <c r="L326" s="26"/>
      <c r="M326" t="s">
        <v>163</v>
      </c>
      <c r="N326" t="s">
        <v>96</v>
      </c>
      <c r="O326" s="27">
        <v>877000</v>
      </c>
      <c r="P326">
        <v>1</v>
      </c>
      <c r="Q326" t="s">
        <v>172</v>
      </c>
      <c r="R326">
        <v>28</v>
      </c>
      <c r="S326" t="s">
        <v>214</v>
      </c>
      <c r="T326">
        <f t="shared" si="35"/>
        <v>10457</v>
      </c>
      <c r="U326" t="str">
        <f t="shared" si="36"/>
        <v>FIN</v>
      </c>
      <c r="V326" t="str">
        <f t="shared" si="37"/>
        <v>L2</v>
      </c>
      <c r="W326" t="str">
        <f>PROPER(TRIM(VLOOKUP(S326,Employee_Lookups!$I$4:$M$19,2,FALSE())))</f>
        <v>Aditya Gokhale</v>
      </c>
      <c r="X326" t="str">
        <f>VLOOKUP(C326,Employee_Lookups!$A$4:$G$9,4,FALSE())</f>
        <v>CC-404</v>
      </c>
      <c r="Y326" t="str">
        <f>INDEX(Employee_Lookups!$C$13:$C$17,MATCH(F326,Employee_Lookups!$A$13:$A$17,0))</f>
        <v>Band B (Mid)</v>
      </c>
      <c r="Z326" s="27">
        <f>_xlfn.XLOOKUP(F326,Employee_Lookups!$A$13:$A$17,Employee_Lookups!$E$13:$E$17,0)</f>
        <v>1100000</v>
      </c>
      <c r="AA326" s="28">
        <f>ROUND(O326/INDEX(Employee_Lookups!$E$13:$E$17,MATCH(F326,Employee_Lookups!$A$13:$A$17,0)),3)</f>
        <v>0.79700000000000004</v>
      </c>
      <c r="AB326">
        <f t="shared" si="38"/>
        <v>2021</v>
      </c>
      <c r="AC326" t="str">
        <f t="shared" si="39"/>
        <v/>
      </c>
      <c r="AD326" s="28">
        <f>ROUND((IF(ISBLANK(L326),Employee_Lookups!$O$14,L326)-J326)/365.25,2)</f>
        <v>4.34</v>
      </c>
      <c r="AE326" t="str">
        <f t="shared" si="40"/>
        <v>3 - 5 Yrs</v>
      </c>
      <c r="AF326" t="str">
        <f t="shared" si="41"/>
        <v>High Risk</v>
      </c>
    </row>
    <row r="327" spans="1:32" x14ac:dyDescent="0.45">
      <c r="A327" t="s">
        <v>833</v>
      </c>
      <c r="B327" t="s">
        <v>834</v>
      </c>
      <c r="C327" t="s">
        <v>51</v>
      </c>
      <c r="D327" t="s">
        <v>50</v>
      </c>
      <c r="E327" t="s">
        <v>181</v>
      </c>
      <c r="F327" t="s">
        <v>81</v>
      </c>
      <c r="G327" t="s">
        <v>182</v>
      </c>
      <c r="H327" t="s">
        <v>108</v>
      </c>
      <c r="I327" t="s">
        <v>107</v>
      </c>
      <c r="J327" s="26">
        <v>44441</v>
      </c>
      <c r="K327" t="s">
        <v>162</v>
      </c>
      <c r="L327" s="26"/>
      <c r="M327" t="s">
        <v>163</v>
      </c>
      <c r="N327" t="s">
        <v>96</v>
      </c>
      <c r="O327" s="27">
        <v>668000</v>
      </c>
      <c r="P327">
        <v>4</v>
      </c>
      <c r="Q327" t="s">
        <v>164</v>
      </c>
      <c r="R327">
        <v>31</v>
      </c>
      <c r="S327" t="s">
        <v>244</v>
      </c>
      <c r="T327">
        <f t="shared" si="35"/>
        <v>10586</v>
      </c>
      <c r="U327" t="str">
        <f t="shared" si="36"/>
        <v>ENG</v>
      </c>
      <c r="V327" t="str">
        <f t="shared" si="37"/>
        <v>L1</v>
      </c>
      <c r="W327" t="str">
        <f>PROPER(TRIM(VLOOKUP(S327,Employee_Lookups!$I$4:$M$19,2,FALSE())))</f>
        <v>Siddharth Nair</v>
      </c>
      <c r="X327" t="str">
        <f>VLOOKUP(C327,Employee_Lookups!$A$4:$G$9,4,FALSE())</f>
        <v>CC-101</v>
      </c>
      <c r="Y327" t="str">
        <f>INDEX(Employee_Lookups!$C$13:$C$17,MATCH(F327,Employee_Lookups!$A$13:$A$17,0))</f>
        <v>Band A (Entry)</v>
      </c>
      <c r="Z327" s="27">
        <f>_xlfn.XLOOKUP(F327,Employee_Lookups!$A$13:$A$17,Employee_Lookups!$E$13:$E$17,0)</f>
        <v>700000</v>
      </c>
      <c r="AA327" s="28">
        <f>ROUND(O327/INDEX(Employee_Lookups!$E$13:$E$17,MATCH(F327,Employee_Lookups!$A$13:$A$17,0)),3)</f>
        <v>0.95399999999999996</v>
      </c>
      <c r="AB327">
        <f t="shared" si="38"/>
        <v>2021</v>
      </c>
      <c r="AC327" t="str">
        <f t="shared" si="39"/>
        <v/>
      </c>
      <c r="AD327" s="28">
        <f>ROUND((IF(ISBLANK(L327),Employee_Lookups!$O$14,L327)-J327)/365.25,2)</f>
        <v>4.33</v>
      </c>
      <c r="AE327" t="str">
        <f t="shared" si="40"/>
        <v>3 - 5 Yrs</v>
      </c>
      <c r="AF327" t="str">
        <f t="shared" si="41"/>
        <v>Low Risk</v>
      </c>
    </row>
    <row r="328" spans="1:32" x14ac:dyDescent="0.45">
      <c r="A328" t="s">
        <v>835</v>
      </c>
      <c r="B328" t="s">
        <v>724</v>
      </c>
      <c r="C328" t="s">
        <v>55</v>
      </c>
      <c r="D328" t="s">
        <v>54</v>
      </c>
      <c r="E328" t="s">
        <v>277</v>
      </c>
      <c r="F328" t="s">
        <v>81</v>
      </c>
      <c r="G328" t="s">
        <v>278</v>
      </c>
      <c r="H328" t="s">
        <v>106</v>
      </c>
      <c r="I328" t="s">
        <v>107</v>
      </c>
      <c r="J328" s="26">
        <v>44442</v>
      </c>
      <c r="K328" t="s">
        <v>170</v>
      </c>
      <c r="L328" s="26">
        <v>44628</v>
      </c>
      <c r="M328" t="s">
        <v>171</v>
      </c>
      <c r="N328" t="s">
        <v>97</v>
      </c>
      <c r="O328" s="27">
        <v>580000</v>
      </c>
      <c r="P328">
        <v>4</v>
      </c>
      <c r="Q328" t="s">
        <v>164</v>
      </c>
      <c r="R328">
        <v>40</v>
      </c>
      <c r="S328" t="s">
        <v>262</v>
      </c>
      <c r="T328">
        <f t="shared" si="35"/>
        <v>10475</v>
      </c>
      <c r="U328" t="str">
        <f t="shared" si="36"/>
        <v>OPS</v>
      </c>
      <c r="V328" t="str">
        <f t="shared" si="37"/>
        <v>L1</v>
      </c>
      <c r="W328" t="str">
        <f>PROPER(TRIM(VLOOKUP(S328,Employee_Lookups!$I$4:$M$19,2,FALSE())))</f>
        <v>Ananya Iyer</v>
      </c>
      <c r="X328" t="str">
        <f>VLOOKUP(C328,Employee_Lookups!$A$4:$G$9,4,FALSE())</f>
        <v>CC-303</v>
      </c>
      <c r="Y328" t="str">
        <f>INDEX(Employee_Lookups!$C$13:$C$17,MATCH(F328,Employee_Lookups!$A$13:$A$17,0))</f>
        <v>Band A (Entry)</v>
      </c>
      <c r="Z328" s="27">
        <f>_xlfn.XLOOKUP(F328,Employee_Lookups!$A$13:$A$17,Employee_Lookups!$E$13:$E$17,0)</f>
        <v>700000</v>
      </c>
      <c r="AA328" s="28">
        <f>ROUND(O328/INDEX(Employee_Lookups!$E$13:$E$17,MATCH(F328,Employee_Lookups!$A$13:$A$17,0)),3)</f>
        <v>0.82899999999999996</v>
      </c>
      <c r="AB328">
        <f t="shared" si="38"/>
        <v>2021</v>
      </c>
      <c r="AC328">
        <f t="shared" si="39"/>
        <v>2022</v>
      </c>
      <c r="AD328" s="28">
        <f>ROUND((IF(ISBLANK(L328),Employee_Lookups!$O$14,L328)-J328)/365.25,2)</f>
        <v>0.51</v>
      </c>
      <c r="AE328" t="str">
        <f t="shared" si="40"/>
        <v>&lt; 1 Yr (New)</v>
      </c>
      <c r="AF328" t="str">
        <f t="shared" si="41"/>
        <v>Exited</v>
      </c>
    </row>
    <row r="329" spans="1:32" x14ac:dyDescent="0.45">
      <c r="A329" t="s">
        <v>836</v>
      </c>
      <c r="B329" t="s">
        <v>837</v>
      </c>
      <c r="C329" t="s">
        <v>55</v>
      </c>
      <c r="D329" t="s">
        <v>54</v>
      </c>
      <c r="E329" t="s">
        <v>277</v>
      </c>
      <c r="F329" t="s">
        <v>81</v>
      </c>
      <c r="G329" t="s">
        <v>278</v>
      </c>
      <c r="H329" t="s">
        <v>109</v>
      </c>
      <c r="I329" t="s">
        <v>110</v>
      </c>
      <c r="J329" s="26">
        <v>44444</v>
      </c>
      <c r="K329" t="s">
        <v>162</v>
      </c>
      <c r="L329" s="26"/>
      <c r="M329" t="s">
        <v>163</v>
      </c>
      <c r="N329" t="s">
        <v>95</v>
      </c>
      <c r="O329" s="27">
        <v>687000</v>
      </c>
      <c r="P329">
        <v>2</v>
      </c>
      <c r="Q329" t="s">
        <v>172</v>
      </c>
      <c r="R329">
        <v>4</v>
      </c>
      <c r="S329" t="s">
        <v>262</v>
      </c>
      <c r="T329">
        <f t="shared" si="35"/>
        <v>10978</v>
      </c>
      <c r="U329" t="str">
        <f t="shared" si="36"/>
        <v>OPS</v>
      </c>
      <c r="V329" t="str">
        <f t="shared" si="37"/>
        <v>L1</v>
      </c>
      <c r="W329" t="str">
        <f>PROPER(TRIM(VLOOKUP(S329,Employee_Lookups!$I$4:$M$19,2,FALSE())))</f>
        <v>Ananya Iyer</v>
      </c>
      <c r="X329" t="str">
        <f>VLOOKUP(C329,Employee_Lookups!$A$4:$G$9,4,FALSE())</f>
        <v>CC-303</v>
      </c>
      <c r="Y329" t="str">
        <f>INDEX(Employee_Lookups!$C$13:$C$17,MATCH(F329,Employee_Lookups!$A$13:$A$17,0))</f>
        <v>Band A (Entry)</v>
      </c>
      <c r="Z329" s="27">
        <f>_xlfn.XLOOKUP(F329,Employee_Lookups!$A$13:$A$17,Employee_Lookups!$E$13:$E$17,0)</f>
        <v>700000</v>
      </c>
      <c r="AA329" s="28">
        <f>ROUND(O329/INDEX(Employee_Lookups!$E$13:$E$17,MATCH(F329,Employee_Lookups!$A$13:$A$17,0)),3)</f>
        <v>0.98099999999999998</v>
      </c>
      <c r="AB329">
        <f t="shared" si="38"/>
        <v>2021</v>
      </c>
      <c r="AC329" t="str">
        <f t="shared" si="39"/>
        <v/>
      </c>
      <c r="AD329" s="28">
        <f>ROUND((IF(ISBLANK(L329),Employee_Lookups!$O$14,L329)-J329)/365.25,2)</f>
        <v>4.32</v>
      </c>
      <c r="AE329" t="str">
        <f t="shared" si="40"/>
        <v>3 - 5 Yrs</v>
      </c>
      <c r="AF329" t="str">
        <f t="shared" si="41"/>
        <v>Moderate Risk</v>
      </c>
    </row>
    <row r="330" spans="1:32" x14ac:dyDescent="0.45">
      <c r="A330" t="s">
        <v>838</v>
      </c>
      <c r="B330" t="s">
        <v>839</v>
      </c>
      <c r="C330" t="s">
        <v>61</v>
      </c>
      <c r="D330" t="s">
        <v>60</v>
      </c>
      <c r="E330" t="s">
        <v>356</v>
      </c>
      <c r="F330" t="s">
        <v>81</v>
      </c>
      <c r="G330" t="s">
        <v>357</v>
      </c>
      <c r="H330" t="s">
        <v>106</v>
      </c>
      <c r="I330" t="s">
        <v>107</v>
      </c>
      <c r="J330" s="26">
        <v>44444</v>
      </c>
      <c r="K330" t="s">
        <v>162</v>
      </c>
      <c r="L330" s="26"/>
      <c r="M330" t="s">
        <v>163</v>
      </c>
      <c r="N330" t="s">
        <v>99</v>
      </c>
      <c r="O330" s="27">
        <v>647000</v>
      </c>
      <c r="P330">
        <v>2</v>
      </c>
      <c r="Q330" t="s">
        <v>164</v>
      </c>
      <c r="R330">
        <v>24</v>
      </c>
      <c r="S330" t="s">
        <v>253</v>
      </c>
      <c r="T330">
        <f t="shared" si="35"/>
        <v>10631</v>
      </c>
      <c r="U330" t="str">
        <f t="shared" si="36"/>
        <v>-HR</v>
      </c>
      <c r="V330" t="str">
        <f t="shared" si="37"/>
        <v>L1</v>
      </c>
      <c r="W330" t="str">
        <f>PROPER(TRIM(VLOOKUP(S330,Employee_Lookups!$I$4:$M$19,2,FALSE())))</f>
        <v>Nikhil Chatterjee</v>
      </c>
      <c r="X330" t="str">
        <f>VLOOKUP(C330,Employee_Lookups!$A$4:$G$9,4,FALSE())</f>
        <v>CC-505</v>
      </c>
      <c r="Y330" t="str">
        <f>INDEX(Employee_Lookups!$C$13:$C$17,MATCH(F330,Employee_Lookups!$A$13:$A$17,0))</f>
        <v>Band A (Entry)</v>
      </c>
      <c r="Z330" s="27">
        <f>_xlfn.XLOOKUP(F330,Employee_Lookups!$A$13:$A$17,Employee_Lookups!$E$13:$E$17,0)</f>
        <v>700000</v>
      </c>
      <c r="AA330" s="28">
        <f>ROUND(O330/INDEX(Employee_Lookups!$E$13:$E$17,MATCH(F330,Employee_Lookups!$A$13:$A$17,0)),3)</f>
        <v>0.92400000000000004</v>
      </c>
      <c r="AB330">
        <f t="shared" si="38"/>
        <v>2021</v>
      </c>
      <c r="AC330" t="str">
        <f t="shared" si="39"/>
        <v/>
      </c>
      <c r="AD330" s="28">
        <f>ROUND((IF(ISBLANK(L330),Employee_Lookups!$O$14,L330)-J330)/365.25,2)</f>
        <v>4.32</v>
      </c>
      <c r="AE330" t="str">
        <f t="shared" si="40"/>
        <v>3 - 5 Yrs</v>
      </c>
      <c r="AF330" t="str">
        <f t="shared" si="41"/>
        <v>Moderate Risk</v>
      </c>
    </row>
    <row r="331" spans="1:32" x14ac:dyDescent="0.45">
      <c r="A331" t="s">
        <v>840</v>
      </c>
      <c r="B331" t="s">
        <v>597</v>
      </c>
      <c r="C331" t="s">
        <v>51</v>
      </c>
      <c r="D331" t="s">
        <v>50</v>
      </c>
      <c r="E331" t="s">
        <v>181</v>
      </c>
      <c r="F331" t="s">
        <v>81</v>
      </c>
      <c r="G331" t="s">
        <v>182</v>
      </c>
      <c r="H331" t="s">
        <v>106</v>
      </c>
      <c r="I331" t="s">
        <v>107</v>
      </c>
      <c r="J331" s="26">
        <v>44445</v>
      </c>
      <c r="K331" t="s">
        <v>170</v>
      </c>
      <c r="L331" s="26">
        <v>44782</v>
      </c>
      <c r="M331" t="s">
        <v>171</v>
      </c>
      <c r="N331" t="s">
        <v>95</v>
      </c>
      <c r="O331" s="27">
        <v>586000</v>
      </c>
      <c r="P331">
        <v>2</v>
      </c>
      <c r="Q331" t="s">
        <v>164</v>
      </c>
      <c r="R331">
        <v>38</v>
      </c>
      <c r="S331" t="s">
        <v>244</v>
      </c>
      <c r="T331">
        <f t="shared" si="35"/>
        <v>10818</v>
      </c>
      <c r="U331" t="str">
        <f t="shared" si="36"/>
        <v>ENG</v>
      </c>
      <c r="V331" t="str">
        <f t="shared" si="37"/>
        <v>L1</v>
      </c>
      <c r="W331" t="str">
        <f>PROPER(TRIM(VLOOKUP(S331,Employee_Lookups!$I$4:$M$19,2,FALSE())))</f>
        <v>Siddharth Nair</v>
      </c>
      <c r="X331" t="str">
        <f>VLOOKUP(C331,Employee_Lookups!$A$4:$G$9,4,FALSE())</f>
        <v>CC-101</v>
      </c>
      <c r="Y331" t="str">
        <f>INDEX(Employee_Lookups!$C$13:$C$17,MATCH(F331,Employee_Lookups!$A$13:$A$17,0))</f>
        <v>Band A (Entry)</v>
      </c>
      <c r="Z331" s="27">
        <f>_xlfn.XLOOKUP(F331,Employee_Lookups!$A$13:$A$17,Employee_Lookups!$E$13:$E$17,0)</f>
        <v>700000</v>
      </c>
      <c r="AA331" s="28">
        <f>ROUND(O331/INDEX(Employee_Lookups!$E$13:$E$17,MATCH(F331,Employee_Lookups!$A$13:$A$17,0)),3)</f>
        <v>0.83699999999999997</v>
      </c>
      <c r="AB331">
        <f t="shared" si="38"/>
        <v>2021</v>
      </c>
      <c r="AC331">
        <f t="shared" si="39"/>
        <v>2022</v>
      </c>
      <c r="AD331" s="28">
        <f>ROUND((IF(ISBLANK(L331),Employee_Lookups!$O$14,L331)-J331)/365.25,2)</f>
        <v>0.92</v>
      </c>
      <c r="AE331" t="str">
        <f t="shared" si="40"/>
        <v>&lt; 1 Yr (New)</v>
      </c>
      <c r="AF331" t="str">
        <f t="shared" si="41"/>
        <v>Exited</v>
      </c>
    </row>
    <row r="332" spans="1:32" x14ac:dyDescent="0.45">
      <c r="A332" t="s">
        <v>841</v>
      </c>
      <c r="B332" t="s">
        <v>429</v>
      </c>
      <c r="C332" t="s">
        <v>55</v>
      </c>
      <c r="D332" t="s">
        <v>54</v>
      </c>
      <c r="E332" t="s">
        <v>229</v>
      </c>
      <c r="F332" t="s">
        <v>82</v>
      </c>
      <c r="G332" t="s">
        <v>230</v>
      </c>
      <c r="H332" t="s">
        <v>106</v>
      </c>
      <c r="I332" t="s">
        <v>107</v>
      </c>
      <c r="J332" s="26">
        <v>44448</v>
      </c>
      <c r="K332" t="s">
        <v>162</v>
      </c>
      <c r="L332" s="26"/>
      <c r="M332" t="s">
        <v>163</v>
      </c>
      <c r="N332" t="s">
        <v>97</v>
      </c>
      <c r="O332" s="27">
        <v>905000</v>
      </c>
      <c r="P332">
        <v>3</v>
      </c>
      <c r="Q332" t="s">
        <v>164</v>
      </c>
      <c r="R332">
        <v>41</v>
      </c>
      <c r="S332" t="s">
        <v>262</v>
      </c>
      <c r="T332">
        <f t="shared" si="35"/>
        <v>10144</v>
      </c>
      <c r="U332" t="str">
        <f t="shared" si="36"/>
        <v>OPS</v>
      </c>
      <c r="V332" t="str">
        <f t="shared" si="37"/>
        <v>L2</v>
      </c>
      <c r="W332" t="str">
        <f>PROPER(TRIM(VLOOKUP(S332,Employee_Lookups!$I$4:$M$19,2,FALSE())))</f>
        <v>Ananya Iyer</v>
      </c>
      <c r="X332" t="str">
        <f>VLOOKUP(C332,Employee_Lookups!$A$4:$G$9,4,FALSE())</f>
        <v>CC-303</v>
      </c>
      <c r="Y332" t="str">
        <f>INDEX(Employee_Lookups!$C$13:$C$17,MATCH(F332,Employee_Lookups!$A$13:$A$17,0))</f>
        <v>Band B (Mid)</v>
      </c>
      <c r="Z332" s="27">
        <f>_xlfn.XLOOKUP(F332,Employee_Lookups!$A$13:$A$17,Employee_Lookups!$E$13:$E$17,0)</f>
        <v>1100000</v>
      </c>
      <c r="AA332" s="28">
        <f>ROUND(O332/INDEX(Employee_Lookups!$E$13:$E$17,MATCH(F332,Employee_Lookups!$A$13:$A$17,0)),3)</f>
        <v>0.82299999999999995</v>
      </c>
      <c r="AB332">
        <f t="shared" si="38"/>
        <v>2021</v>
      </c>
      <c r="AC332" t="str">
        <f t="shared" si="39"/>
        <v/>
      </c>
      <c r="AD332" s="28">
        <f>ROUND((IF(ISBLANK(L332),Employee_Lookups!$O$14,L332)-J332)/365.25,2)</f>
        <v>4.3099999999999996</v>
      </c>
      <c r="AE332" t="str">
        <f t="shared" si="40"/>
        <v>3 - 5 Yrs</v>
      </c>
      <c r="AF332" t="str">
        <f t="shared" si="41"/>
        <v>Low Risk</v>
      </c>
    </row>
    <row r="333" spans="1:32" x14ac:dyDescent="0.45">
      <c r="A333" t="s">
        <v>842</v>
      </c>
      <c r="B333" t="s">
        <v>732</v>
      </c>
      <c r="C333" t="s">
        <v>51</v>
      </c>
      <c r="D333" t="s">
        <v>50</v>
      </c>
      <c r="E333" t="s">
        <v>181</v>
      </c>
      <c r="F333" t="s">
        <v>81</v>
      </c>
      <c r="G333" t="s">
        <v>182</v>
      </c>
      <c r="H333" t="s">
        <v>106</v>
      </c>
      <c r="I333" t="s">
        <v>107</v>
      </c>
      <c r="J333" s="26">
        <v>44449</v>
      </c>
      <c r="K333" t="s">
        <v>170</v>
      </c>
      <c r="L333" s="26">
        <v>44747</v>
      </c>
      <c r="M333" t="s">
        <v>171</v>
      </c>
      <c r="N333" t="s">
        <v>97</v>
      </c>
      <c r="O333" s="27">
        <v>648000</v>
      </c>
      <c r="P333">
        <v>1</v>
      </c>
      <c r="Q333" t="s">
        <v>164</v>
      </c>
      <c r="R333">
        <v>4</v>
      </c>
      <c r="S333" t="s">
        <v>219</v>
      </c>
      <c r="T333">
        <f t="shared" si="35"/>
        <v>11040</v>
      </c>
      <c r="U333" t="str">
        <f t="shared" si="36"/>
        <v>ENG</v>
      </c>
      <c r="V333" t="str">
        <f t="shared" si="37"/>
        <v>L1</v>
      </c>
      <c r="W333" t="str">
        <f>PROPER(TRIM(VLOOKUP(S333,Employee_Lookups!$I$4:$M$19,2,FALSE())))</f>
        <v>Neha Kulkarni</v>
      </c>
      <c r="X333" t="str">
        <f>VLOOKUP(C333,Employee_Lookups!$A$4:$G$9,4,FALSE())</f>
        <v>CC-101</v>
      </c>
      <c r="Y333" t="str">
        <f>INDEX(Employee_Lookups!$C$13:$C$17,MATCH(F333,Employee_Lookups!$A$13:$A$17,0))</f>
        <v>Band A (Entry)</v>
      </c>
      <c r="Z333" s="27">
        <f>_xlfn.XLOOKUP(F333,Employee_Lookups!$A$13:$A$17,Employee_Lookups!$E$13:$E$17,0)</f>
        <v>700000</v>
      </c>
      <c r="AA333" s="28">
        <f>ROUND(O333/INDEX(Employee_Lookups!$E$13:$E$17,MATCH(F333,Employee_Lookups!$A$13:$A$17,0)),3)</f>
        <v>0.92600000000000005</v>
      </c>
      <c r="AB333">
        <f t="shared" si="38"/>
        <v>2021</v>
      </c>
      <c r="AC333">
        <f t="shared" si="39"/>
        <v>2022</v>
      </c>
      <c r="AD333" s="28">
        <f>ROUND((IF(ISBLANK(L333),Employee_Lookups!$O$14,L333)-J333)/365.25,2)</f>
        <v>0.82</v>
      </c>
      <c r="AE333" t="str">
        <f t="shared" si="40"/>
        <v>&lt; 1 Yr (New)</v>
      </c>
      <c r="AF333" t="str">
        <f t="shared" si="41"/>
        <v>Exited</v>
      </c>
    </row>
    <row r="334" spans="1:32" x14ac:dyDescent="0.45">
      <c r="A334" t="s">
        <v>843</v>
      </c>
      <c r="B334" t="s">
        <v>844</v>
      </c>
      <c r="C334" t="s">
        <v>57</v>
      </c>
      <c r="D334" t="s">
        <v>56</v>
      </c>
      <c r="E334" t="s">
        <v>222</v>
      </c>
      <c r="F334" t="s">
        <v>82</v>
      </c>
      <c r="G334" t="s">
        <v>223</v>
      </c>
      <c r="H334" t="s">
        <v>111</v>
      </c>
      <c r="I334" t="s">
        <v>110</v>
      </c>
      <c r="J334" s="26">
        <v>44449</v>
      </c>
      <c r="K334" t="s">
        <v>170</v>
      </c>
      <c r="L334" s="26">
        <v>44664</v>
      </c>
      <c r="M334" t="s">
        <v>171</v>
      </c>
      <c r="N334" t="s">
        <v>95</v>
      </c>
      <c r="O334" s="27">
        <v>1047000</v>
      </c>
      <c r="P334">
        <v>2</v>
      </c>
      <c r="Q334" t="s">
        <v>172</v>
      </c>
      <c r="R334">
        <v>32</v>
      </c>
      <c r="S334" t="s">
        <v>224</v>
      </c>
      <c r="T334">
        <f t="shared" si="35"/>
        <v>10664</v>
      </c>
      <c r="U334" t="str">
        <f t="shared" si="36"/>
        <v>MKT</v>
      </c>
      <c r="V334" t="str">
        <f t="shared" si="37"/>
        <v>L2</v>
      </c>
      <c r="W334" t="str">
        <f>PROPER(TRIM(VLOOKUP(S334,Employee_Lookups!$I$4:$M$19,2,FALSE())))</f>
        <v>Tanvi Chitnis</v>
      </c>
      <c r="X334" t="str">
        <f>VLOOKUP(C334,Employee_Lookups!$A$4:$G$9,4,FALSE())</f>
        <v>CC-606</v>
      </c>
      <c r="Y334" t="str">
        <f>INDEX(Employee_Lookups!$C$13:$C$17,MATCH(F334,Employee_Lookups!$A$13:$A$17,0))</f>
        <v>Band B (Mid)</v>
      </c>
      <c r="Z334" s="27">
        <f>_xlfn.XLOOKUP(F334,Employee_Lookups!$A$13:$A$17,Employee_Lookups!$E$13:$E$17,0)</f>
        <v>1100000</v>
      </c>
      <c r="AA334" s="28">
        <f>ROUND(O334/INDEX(Employee_Lookups!$E$13:$E$17,MATCH(F334,Employee_Lookups!$A$13:$A$17,0)),3)</f>
        <v>0.95199999999999996</v>
      </c>
      <c r="AB334">
        <f t="shared" si="38"/>
        <v>2021</v>
      </c>
      <c r="AC334">
        <f t="shared" si="39"/>
        <v>2022</v>
      </c>
      <c r="AD334" s="28">
        <f>ROUND((IF(ISBLANK(L334),Employee_Lookups!$O$14,L334)-J334)/365.25,2)</f>
        <v>0.59</v>
      </c>
      <c r="AE334" t="str">
        <f t="shared" si="40"/>
        <v>&lt; 1 Yr (New)</v>
      </c>
      <c r="AF334" t="str">
        <f t="shared" si="41"/>
        <v>Exited</v>
      </c>
    </row>
    <row r="335" spans="1:32" x14ac:dyDescent="0.45">
      <c r="A335" t="s">
        <v>845</v>
      </c>
      <c r="B335" t="s">
        <v>767</v>
      </c>
      <c r="C335" t="s">
        <v>57</v>
      </c>
      <c r="D335" t="s">
        <v>56</v>
      </c>
      <c r="E335" t="s">
        <v>222</v>
      </c>
      <c r="F335" t="s">
        <v>82</v>
      </c>
      <c r="G335" t="s">
        <v>223</v>
      </c>
      <c r="H335" t="s">
        <v>106</v>
      </c>
      <c r="I335" t="s">
        <v>107</v>
      </c>
      <c r="J335" s="26">
        <v>44449</v>
      </c>
      <c r="K335" t="s">
        <v>162</v>
      </c>
      <c r="L335" s="26"/>
      <c r="M335" t="s">
        <v>163</v>
      </c>
      <c r="N335" t="s">
        <v>98</v>
      </c>
      <c r="O335" s="27">
        <v>1122000</v>
      </c>
      <c r="P335">
        <v>3</v>
      </c>
      <c r="Q335" t="s">
        <v>164</v>
      </c>
      <c r="R335">
        <v>39</v>
      </c>
      <c r="S335" t="s">
        <v>224</v>
      </c>
      <c r="T335">
        <f t="shared" si="35"/>
        <v>11154</v>
      </c>
      <c r="U335" t="str">
        <f t="shared" si="36"/>
        <v>MKT</v>
      </c>
      <c r="V335" t="str">
        <f t="shared" si="37"/>
        <v>L2</v>
      </c>
      <c r="W335" t="str">
        <f>PROPER(TRIM(VLOOKUP(S335,Employee_Lookups!$I$4:$M$19,2,FALSE())))</f>
        <v>Tanvi Chitnis</v>
      </c>
      <c r="X335" t="str">
        <f>VLOOKUP(C335,Employee_Lookups!$A$4:$G$9,4,FALSE())</f>
        <v>CC-606</v>
      </c>
      <c r="Y335" t="str">
        <f>INDEX(Employee_Lookups!$C$13:$C$17,MATCH(F335,Employee_Lookups!$A$13:$A$17,0))</f>
        <v>Band B (Mid)</v>
      </c>
      <c r="Z335" s="27">
        <f>_xlfn.XLOOKUP(F335,Employee_Lookups!$A$13:$A$17,Employee_Lookups!$E$13:$E$17,0)</f>
        <v>1100000</v>
      </c>
      <c r="AA335" s="28">
        <f>ROUND(O335/INDEX(Employee_Lookups!$E$13:$E$17,MATCH(F335,Employee_Lookups!$A$13:$A$17,0)),3)</f>
        <v>1.02</v>
      </c>
      <c r="AB335">
        <f t="shared" si="38"/>
        <v>2021</v>
      </c>
      <c r="AC335" t="str">
        <f t="shared" si="39"/>
        <v/>
      </c>
      <c r="AD335" s="28">
        <f>ROUND((IF(ISBLANK(L335),Employee_Lookups!$O$14,L335)-J335)/365.25,2)</f>
        <v>4.3099999999999996</v>
      </c>
      <c r="AE335" t="str">
        <f t="shared" si="40"/>
        <v>3 - 5 Yrs</v>
      </c>
      <c r="AF335" t="str">
        <f t="shared" si="41"/>
        <v>Low Risk</v>
      </c>
    </row>
    <row r="336" spans="1:32" x14ac:dyDescent="0.45">
      <c r="A336" t="s">
        <v>846</v>
      </c>
      <c r="B336" t="s">
        <v>847</v>
      </c>
      <c r="C336" t="s">
        <v>53</v>
      </c>
      <c r="D336" t="s">
        <v>52</v>
      </c>
      <c r="E336" t="s">
        <v>185</v>
      </c>
      <c r="F336" t="s">
        <v>82</v>
      </c>
      <c r="G336" t="s">
        <v>186</v>
      </c>
      <c r="H336" t="s">
        <v>111</v>
      </c>
      <c r="I336" t="s">
        <v>110</v>
      </c>
      <c r="J336" s="26">
        <v>44452</v>
      </c>
      <c r="K336" t="s">
        <v>187</v>
      </c>
      <c r="L336" s="26">
        <v>44940</v>
      </c>
      <c r="M336" t="s">
        <v>188</v>
      </c>
      <c r="N336" t="s">
        <v>96</v>
      </c>
      <c r="O336" s="27">
        <v>913000</v>
      </c>
      <c r="P336">
        <v>3</v>
      </c>
      <c r="Q336" t="s">
        <v>164</v>
      </c>
      <c r="R336">
        <v>43</v>
      </c>
      <c r="S336" t="s">
        <v>194</v>
      </c>
      <c r="T336">
        <f t="shared" si="35"/>
        <v>11243</v>
      </c>
      <c r="U336" t="str">
        <f t="shared" si="36"/>
        <v>SAL</v>
      </c>
      <c r="V336" t="str">
        <f t="shared" si="37"/>
        <v>L2</v>
      </c>
      <c r="W336" t="str">
        <f>PROPER(TRIM(VLOOKUP(S336,Employee_Lookups!$I$4:$M$19,2,FALSE())))</f>
        <v>Vikramaditya Joshi</v>
      </c>
      <c r="X336" t="str">
        <f>VLOOKUP(C336,Employee_Lookups!$A$4:$G$9,4,FALSE())</f>
        <v>CC-202</v>
      </c>
      <c r="Y336" t="str">
        <f>INDEX(Employee_Lookups!$C$13:$C$17,MATCH(F336,Employee_Lookups!$A$13:$A$17,0))</f>
        <v>Band B (Mid)</v>
      </c>
      <c r="Z336" s="27">
        <f>_xlfn.XLOOKUP(F336,Employee_Lookups!$A$13:$A$17,Employee_Lookups!$E$13:$E$17,0)</f>
        <v>1100000</v>
      </c>
      <c r="AA336" s="28">
        <f>ROUND(O336/INDEX(Employee_Lookups!$E$13:$E$17,MATCH(F336,Employee_Lookups!$A$13:$A$17,0)),3)</f>
        <v>0.83</v>
      </c>
      <c r="AB336">
        <f t="shared" si="38"/>
        <v>2021</v>
      </c>
      <c r="AC336">
        <f t="shared" si="39"/>
        <v>2023</v>
      </c>
      <c r="AD336" s="28">
        <f>ROUND((IF(ISBLANK(L336),Employee_Lookups!$O$14,L336)-J336)/365.25,2)</f>
        <v>1.34</v>
      </c>
      <c r="AE336" t="str">
        <f t="shared" si="40"/>
        <v>1 - 3 Yrs</v>
      </c>
      <c r="AF336" t="str">
        <f t="shared" si="41"/>
        <v>Exited</v>
      </c>
    </row>
    <row r="337" spans="1:32" x14ac:dyDescent="0.45">
      <c r="A337" t="s">
        <v>848</v>
      </c>
      <c r="B337" t="s">
        <v>849</v>
      </c>
      <c r="C337" t="s">
        <v>53</v>
      </c>
      <c r="D337" t="s">
        <v>52</v>
      </c>
      <c r="E337" t="s">
        <v>322</v>
      </c>
      <c r="F337" t="s">
        <v>81</v>
      </c>
      <c r="G337" t="s">
        <v>323</v>
      </c>
      <c r="H337" t="s">
        <v>106</v>
      </c>
      <c r="I337" t="s">
        <v>107</v>
      </c>
      <c r="J337" s="26">
        <v>44455</v>
      </c>
      <c r="K337" t="s">
        <v>187</v>
      </c>
      <c r="L337" s="26">
        <v>44514</v>
      </c>
      <c r="M337" t="s">
        <v>269</v>
      </c>
      <c r="N337" t="s">
        <v>98</v>
      </c>
      <c r="O337" s="27">
        <v>776000</v>
      </c>
      <c r="P337">
        <v>3</v>
      </c>
      <c r="Q337" t="s">
        <v>172</v>
      </c>
      <c r="R337">
        <v>47</v>
      </c>
      <c r="S337" t="s">
        <v>189</v>
      </c>
      <c r="T337">
        <f t="shared" si="35"/>
        <v>10202</v>
      </c>
      <c r="U337" t="str">
        <f t="shared" si="36"/>
        <v>SAL</v>
      </c>
      <c r="V337" t="str">
        <f t="shared" si="37"/>
        <v>L1</v>
      </c>
      <c r="W337" t="str">
        <f>PROPER(TRIM(VLOOKUP(S337,Employee_Lookups!$I$4:$M$19,2,FALSE())))</f>
        <v>Priya Sharma</v>
      </c>
      <c r="X337" t="str">
        <f>VLOOKUP(C337,Employee_Lookups!$A$4:$G$9,4,FALSE())</f>
        <v>CC-202</v>
      </c>
      <c r="Y337" t="str">
        <f>INDEX(Employee_Lookups!$C$13:$C$17,MATCH(F337,Employee_Lookups!$A$13:$A$17,0))</f>
        <v>Band A (Entry)</v>
      </c>
      <c r="Z337" s="27">
        <f>_xlfn.XLOOKUP(F337,Employee_Lookups!$A$13:$A$17,Employee_Lookups!$E$13:$E$17,0)</f>
        <v>700000</v>
      </c>
      <c r="AA337" s="28">
        <f>ROUND(O337/INDEX(Employee_Lookups!$E$13:$E$17,MATCH(F337,Employee_Lookups!$A$13:$A$17,0)),3)</f>
        <v>1.109</v>
      </c>
      <c r="AB337">
        <f t="shared" si="38"/>
        <v>2021</v>
      </c>
      <c r="AC337">
        <f t="shared" si="39"/>
        <v>2021</v>
      </c>
      <c r="AD337" s="28">
        <f>ROUND((IF(ISBLANK(L337),Employee_Lookups!$O$14,L337)-J337)/365.25,2)</f>
        <v>0.16</v>
      </c>
      <c r="AE337" t="str">
        <f t="shared" si="40"/>
        <v>&lt; 1 Yr (New)</v>
      </c>
      <c r="AF337" t="str">
        <f t="shared" si="41"/>
        <v>Exited</v>
      </c>
    </row>
    <row r="338" spans="1:32" x14ac:dyDescent="0.45">
      <c r="A338" t="s">
        <v>850</v>
      </c>
      <c r="B338" t="s">
        <v>851</v>
      </c>
      <c r="C338" t="s">
        <v>51</v>
      </c>
      <c r="D338" t="s">
        <v>50</v>
      </c>
      <c r="E338" t="s">
        <v>176</v>
      </c>
      <c r="F338" t="s">
        <v>82</v>
      </c>
      <c r="G338" t="s">
        <v>177</v>
      </c>
      <c r="H338" t="s">
        <v>108</v>
      </c>
      <c r="I338" t="s">
        <v>107</v>
      </c>
      <c r="J338" s="26">
        <v>44456</v>
      </c>
      <c r="K338" t="s">
        <v>187</v>
      </c>
      <c r="L338" s="26">
        <v>44805</v>
      </c>
      <c r="M338" t="s">
        <v>213</v>
      </c>
      <c r="N338" t="s">
        <v>95</v>
      </c>
      <c r="O338" s="27">
        <v>1032000</v>
      </c>
      <c r="P338">
        <v>3</v>
      </c>
      <c r="Q338" t="s">
        <v>172</v>
      </c>
      <c r="R338">
        <v>38</v>
      </c>
      <c r="S338" t="s">
        <v>244</v>
      </c>
      <c r="T338">
        <f t="shared" si="35"/>
        <v>10541</v>
      </c>
      <c r="U338" t="str">
        <f t="shared" si="36"/>
        <v>ENG</v>
      </c>
      <c r="V338" t="str">
        <f t="shared" si="37"/>
        <v>L2</v>
      </c>
      <c r="W338" t="str">
        <f>PROPER(TRIM(VLOOKUP(S338,Employee_Lookups!$I$4:$M$19,2,FALSE())))</f>
        <v>Siddharth Nair</v>
      </c>
      <c r="X338" t="str">
        <f>VLOOKUP(C338,Employee_Lookups!$A$4:$G$9,4,FALSE())</f>
        <v>CC-101</v>
      </c>
      <c r="Y338" t="str">
        <f>INDEX(Employee_Lookups!$C$13:$C$17,MATCH(F338,Employee_Lookups!$A$13:$A$17,0))</f>
        <v>Band B (Mid)</v>
      </c>
      <c r="Z338" s="27">
        <f>_xlfn.XLOOKUP(F338,Employee_Lookups!$A$13:$A$17,Employee_Lookups!$E$13:$E$17,0)</f>
        <v>1100000</v>
      </c>
      <c r="AA338" s="28">
        <f>ROUND(O338/INDEX(Employee_Lookups!$E$13:$E$17,MATCH(F338,Employee_Lookups!$A$13:$A$17,0)),3)</f>
        <v>0.93799999999999994</v>
      </c>
      <c r="AB338">
        <f t="shared" si="38"/>
        <v>2021</v>
      </c>
      <c r="AC338">
        <f t="shared" si="39"/>
        <v>2022</v>
      </c>
      <c r="AD338" s="28">
        <f>ROUND((IF(ISBLANK(L338),Employee_Lookups!$O$14,L338)-J338)/365.25,2)</f>
        <v>0.96</v>
      </c>
      <c r="AE338" t="str">
        <f t="shared" si="40"/>
        <v>&lt; 1 Yr (New)</v>
      </c>
      <c r="AF338" t="str">
        <f t="shared" si="41"/>
        <v>Exited</v>
      </c>
    </row>
    <row r="339" spans="1:32" x14ac:dyDescent="0.45">
      <c r="A339" t="s">
        <v>852</v>
      </c>
      <c r="B339" t="s">
        <v>853</v>
      </c>
      <c r="C339" t="s">
        <v>53</v>
      </c>
      <c r="D339" t="s">
        <v>52</v>
      </c>
      <c r="E339" t="s">
        <v>185</v>
      </c>
      <c r="F339" t="s">
        <v>82</v>
      </c>
      <c r="G339" t="s">
        <v>186</v>
      </c>
      <c r="H339" t="s">
        <v>108</v>
      </c>
      <c r="I339" t="s">
        <v>107</v>
      </c>
      <c r="J339" s="26">
        <v>44456</v>
      </c>
      <c r="K339" t="s">
        <v>162</v>
      </c>
      <c r="L339" s="26"/>
      <c r="M339" t="s">
        <v>163</v>
      </c>
      <c r="N339" t="s">
        <v>95</v>
      </c>
      <c r="O339" s="27">
        <v>985000</v>
      </c>
      <c r="P339">
        <v>3</v>
      </c>
      <c r="Q339" t="s">
        <v>172</v>
      </c>
      <c r="R339">
        <v>35</v>
      </c>
      <c r="S339" t="s">
        <v>237</v>
      </c>
      <c r="T339">
        <f t="shared" si="35"/>
        <v>11424</v>
      </c>
      <c r="U339" t="str">
        <f t="shared" si="36"/>
        <v>SAL</v>
      </c>
      <c r="V339" t="str">
        <f t="shared" si="37"/>
        <v>L2</v>
      </c>
      <c r="W339" t="str">
        <f>PROPER(TRIM(VLOOKUP(S339,Employee_Lookups!$I$4:$M$19,2,FALSE())))</f>
        <v>Karan Malhotra</v>
      </c>
      <c r="X339" t="str">
        <f>VLOOKUP(C339,Employee_Lookups!$A$4:$G$9,4,FALSE())</f>
        <v>CC-202</v>
      </c>
      <c r="Y339" t="str">
        <f>INDEX(Employee_Lookups!$C$13:$C$17,MATCH(F339,Employee_Lookups!$A$13:$A$17,0))</f>
        <v>Band B (Mid)</v>
      </c>
      <c r="Z339" s="27">
        <f>_xlfn.XLOOKUP(F339,Employee_Lookups!$A$13:$A$17,Employee_Lookups!$E$13:$E$17,0)</f>
        <v>1100000</v>
      </c>
      <c r="AA339" s="28">
        <f>ROUND(O339/INDEX(Employee_Lookups!$E$13:$E$17,MATCH(F339,Employee_Lookups!$A$13:$A$17,0)),3)</f>
        <v>0.89500000000000002</v>
      </c>
      <c r="AB339">
        <f t="shared" si="38"/>
        <v>2021</v>
      </c>
      <c r="AC339" t="str">
        <f t="shared" si="39"/>
        <v/>
      </c>
      <c r="AD339" s="28">
        <f>ROUND((IF(ISBLANK(L339),Employee_Lookups!$O$14,L339)-J339)/365.25,2)</f>
        <v>4.29</v>
      </c>
      <c r="AE339" t="str">
        <f t="shared" si="40"/>
        <v>3 - 5 Yrs</v>
      </c>
      <c r="AF339" t="str">
        <f t="shared" si="41"/>
        <v>High Risk</v>
      </c>
    </row>
    <row r="340" spans="1:32" x14ac:dyDescent="0.45">
      <c r="A340" t="s">
        <v>854</v>
      </c>
      <c r="B340" t="s">
        <v>855</v>
      </c>
      <c r="C340" t="s">
        <v>51</v>
      </c>
      <c r="D340" t="s">
        <v>50</v>
      </c>
      <c r="E340" t="s">
        <v>181</v>
      </c>
      <c r="F340" t="s">
        <v>81</v>
      </c>
      <c r="G340" t="s">
        <v>182</v>
      </c>
      <c r="H340" t="s">
        <v>108</v>
      </c>
      <c r="I340" t="s">
        <v>107</v>
      </c>
      <c r="J340" s="26">
        <v>44459</v>
      </c>
      <c r="K340" t="s">
        <v>162</v>
      </c>
      <c r="L340" s="26"/>
      <c r="M340" t="s">
        <v>163</v>
      </c>
      <c r="N340" t="s">
        <v>99</v>
      </c>
      <c r="O340" s="27">
        <v>843000</v>
      </c>
      <c r="P340">
        <v>1</v>
      </c>
      <c r="Q340" t="s">
        <v>164</v>
      </c>
      <c r="R340">
        <v>6</v>
      </c>
      <c r="S340" t="s">
        <v>197</v>
      </c>
      <c r="T340">
        <f t="shared" si="35"/>
        <v>10913</v>
      </c>
      <c r="U340" t="str">
        <f t="shared" si="36"/>
        <v>ENG</v>
      </c>
      <c r="V340" t="str">
        <f t="shared" si="37"/>
        <v>L1</v>
      </c>
      <c r="W340" t="str">
        <f>PROPER(TRIM(VLOOKUP(S340,Employee_Lookups!$I$4:$M$19,2,FALSE())))</f>
        <v>Rohan Verma</v>
      </c>
      <c r="X340" t="str">
        <f>VLOOKUP(C340,Employee_Lookups!$A$4:$G$9,4,FALSE())</f>
        <v>CC-101</v>
      </c>
      <c r="Y340" t="str">
        <f>INDEX(Employee_Lookups!$C$13:$C$17,MATCH(F340,Employee_Lookups!$A$13:$A$17,0))</f>
        <v>Band A (Entry)</v>
      </c>
      <c r="Z340" s="27">
        <f>_xlfn.XLOOKUP(F340,Employee_Lookups!$A$13:$A$17,Employee_Lookups!$E$13:$E$17,0)</f>
        <v>700000</v>
      </c>
      <c r="AA340" s="28">
        <f>ROUND(O340/INDEX(Employee_Lookups!$E$13:$E$17,MATCH(F340,Employee_Lookups!$A$13:$A$17,0)),3)</f>
        <v>1.204</v>
      </c>
      <c r="AB340">
        <f t="shared" si="38"/>
        <v>2021</v>
      </c>
      <c r="AC340" t="str">
        <f t="shared" si="39"/>
        <v/>
      </c>
      <c r="AD340" s="28">
        <f>ROUND((IF(ISBLANK(L340),Employee_Lookups!$O$14,L340)-J340)/365.25,2)</f>
        <v>4.28</v>
      </c>
      <c r="AE340" t="str">
        <f t="shared" si="40"/>
        <v>3 - 5 Yrs</v>
      </c>
      <c r="AF340" t="str">
        <f t="shared" si="41"/>
        <v>Moderate Risk</v>
      </c>
    </row>
    <row r="341" spans="1:32" x14ac:dyDescent="0.45">
      <c r="A341" t="s">
        <v>856</v>
      </c>
      <c r="B341" t="s">
        <v>724</v>
      </c>
      <c r="C341" t="s">
        <v>51</v>
      </c>
      <c r="D341" t="s">
        <v>50</v>
      </c>
      <c r="E341" t="s">
        <v>176</v>
      </c>
      <c r="F341" t="s">
        <v>82</v>
      </c>
      <c r="G341" t="s">
        <v>177</v>
      </c>
      <c r="H341" t="s">
        <v>109</v>
      </c>
      <c r="I341" t="s">
        <v>110</v>
      </c>
      <c r="J341" s="26">
        <v>44460</v>
      </c>
      <c r="K341" t="s">
        <v>162</v>
      </c>
      <c r="L341" s="26"/>
      <c r="M341" t="s">
        <v>163</v>
      </c>
      <c r="N341" t="s">
        <v>96</v>
      </c>
      <c r="O341" s="27">
        <v>1058000</v>
      </c>
      <c r="P341">
        <v>4</v>
      </c>
      <c r="Q341" t="s">
        <v>172</v>
      </c>
      <c r="R341">
        <v>43</v>
      </c>
      <c r="S341" t="s">
        <v>219</v>
      </c>
      <c r="T341">
        <f t="shared" si="35"/>
        <v>10811</v>
      </c>
      <c r="U341" t="str">
        <f t="shared" si="36"/>
        <v>ENG</v>
      </c>
      <c r="V341" t="str">
        <f t="shared" si="37"/>
        <v>L2</v>
      </c>
      <c r="W341" t="str">
        <f>PROPER(TRIM(VLOOKUP(S341,Employee_Lookups!$I$4:$M$19,2,FALSE())))</f>
        <v>Neha Kulkarni</v>
      </c>
      <c r="X341" t="str">
        <f>VLOOKUP(C341,Employee_Lookups!$A$4:$G$9,4,FALSE())</f>
        <v>CC-101</v>
      </c>
      <c r="Y341" t="str">
        <f>INDEX(Employee_Lookups!$C$13:$C$17,MATCH(F341,Employee_Lookups!$A$13:$A$17,0))</f>
        <v>Band B (Mid)</v>
      </c>
      <c r="Z341" s="27">
        <f>_xlfn.XLOOKUP(F341,Employee_Lookups!$A$13:$A$17,Employee_Lookups!$E$13:$E$17,0)</f>
        <v>1100000</v>
      </c>
      <c r="AA341" s="28">
        <f>ROUND(O341/INDEX(Employee_Lookups!$E$13:$E$17,MATCH(F341,Employee_Lookups!$A$13:$A$17,0)),3)</f>
        <v>0.96199999999999997</v>
      </c>
      <c r="AB341">
        <f t="shared" si="38"/>
        <v>2021</v>
      </c>
      <c r="AC341" t="str">
        <f t="shared" si="39"/>
        <v/>
      </c>
      <c r="AD341" s="28">
        <f>ROUND((IF(ISBLANK(L341),Employee_Lookups!$O$14,L341)-J341)/365.25,2)</f>
        <v>4.28</v>
      </c>
      <c r="AE341" t="str">
        <f t="shared" si="40"/>
        <v>3 - 5 Yrs</v>
      </c>
      <c r="AF341" t="str">
        <f t="shared" si="41"/>
        <v>High Risk</v>
      </c>
    </row>
    <row r="342" spans="1:32" x14ac:dyDescent="0.45">
      <c r="A342" t="s">
        <v>857</v>
      </c>
      <c r="B342" t="s">
        <v>858</v>
      </c>
      <c r="C342" t="s">
        <v>61</v>
      </c>
      <c r="D342" t="s">
        <v>60</v>
      </c>
      <c r="E342" t="s">
        <v>251</v>
      </c>
      <c r="F342" t="s">
        <v>82</v>
      </c>
      <c r="G342" t="s">
        <v>252</v>
      </c>
      <c r="H342" t="s">
        <v>106</v>
      </c>
      <c r="I342" t="s">
        <v>107</v>
      </c>
      <c r="J342" s="26">
        <v>44463</v>
      </c>
      <c r="K342" t="s">
        <v>162</v>
      </c>
      <c r="L342" s="26"/>
      <c r="M342" t="s">
        <v>163</v>
      </c>
      <c r="N342" t="s">
        <v>96</v>
      </c>
      <c r="O342" s="27">
        <v>1058000</v>
      </c>
      <c r="P342">
        <v>4</v>
      </c>
      <c r="Q342" t="s">
        <v>164</v>
      </c>
      <c r="R342">
        <v>39</v>
      </c>
      <c r="S342" t="s">
        <v>253</v>
      </c>
      <c r="T342">
        <f t="shared" si="35"/>
        <v>10635</v>
      </c>
      <c r="U342" t="str">
        <f t="shared" si="36"/>
        <v>-HR</v>
      </c>
      <c r="V342" t="str">
        <f t="shared" si="37"/>
        <v>L2</v>
      </c>
      <c r="W342" t="str">
        <f>PROPER(TRIM(VLOOKUP(S342,Employee_Lookups!$I$4:$M$19,2,FALSE())))</f>
        <v>Nikhil Chatterjee</v>
      </c>
      <c r="X342" t="str">
        <f>VLOOKUP(C342,Employee_Lookups!$A$4:$G$9,4,FALSE())</f>
        <v>CC-505</v>
      </c>
      <c r="Y342" t="str">
        <f>INDEX(Employee_Lookups!$C$13:$C$17,MATCH(F342,Employee_Lookups!$A$13:$A$17,0))</f>
        <v>Band B (Mid)</v>
      </c>
      <c r="Z342" s="27">
        <f>_xlfn.XLOOKUP(F342,Employee_Lookups!$A$13:$A$17,Employee_Lookups!$E$13:$E$17,0)</f>
        <v>1100000</v>
      </c>
      <c r="AA342" s="28">
        <f>ROUND(O342/INDEX(Employee_Lookups!$E$13:$E$17,MATCH(F342,Employee_Lookups!$A$13:$A$17,0)),3)</f>
        <v>0.96199999999999997</v>
      </c>
      <c r="AB342">
        <f t="shared" si="38"/>
        <v>2021</v>
      </c>
      <c r="AC342" t="str">
        <f t="shared" si="39"/>
        <v/>
      </c>
      <c r="AD342" s="28">
        <f>ROUND((IF(ISBLANK(L342),Employee_Lookups!$O$14,L342)-J342)/365.25,2)</f>
        <v>4.2699999999999996</v>
      </c>
      <c r="AE342" t="str">
        <f t="shared" si="40"/>
        <v>3 - 5 Yrs</v>
      </c>
      <c r="AF342" t="str">
        <f t="shared" si="41"/>
        <v>Low Risk</v>
      </c>
    </row>
    <row r="343" spans="1:32" x14ac:dyDescent="0.45">
      <c r="A343" t="s">
        <v>859</v>
      </c>
      <c r="B343" t="s">
        <v>860</v>
      </c>
      <c r="C343" t="s">
        <v>51</v>
      </c>
      <c r="D343" t="s">
        <v>50</v>
      </c>
      <c r="E343" t="s">
        <v>181</v>
      </c>
      <c r="F343" t="s">
        <v>81</v>
      </c>
      <c r="G343" t="s">
        <v>182</v>
      </c>
      <c r="H343" t="s">
        <v>111</v>
      </c>
      <c r="I343" t="s">
        <v>110</v>
      </c>
      <c r="J343" s="26">
        <v>44464</v>
      </c>
      <c r="K343" t="s">
        <v>162</v>
      </c>
      <c r="L343" s="26"/>
      <c r="M343" t="s">
        <v>163</v>
      </c>
      <c r="N343" t="s">
        <v>99</v>
      </c>
      <c r="O343" s="27">
        <v>581000</v>
      </c>
      <c r="P343">
        <v>2</v>
      </c>
      <c r="Q343" t="s">
        <v>164</v>
      </c>
      <c r="R343">
        <v>17</v>
      </c>
      <c r="S343" t="s">
        <v>244</v>
      </c>
      <c r="T343">
        <f t="shared" si="35"/>
        <v>10602</v>
      </c>
      <c r="U343" t="str">
        <f t="shared" si="36"/>
        <v>ENG</v>
      </c>
      <c r="V343" t="str">
        <f t="shared" si="37"/>
        <v>L1</v>
      </c>
      <c r="W343" t="str">
        <f>PROPER(TRIM(VLOOKUP(S343,Employee_Lookups!$I$4:$M$19,2,FALSE())))</f>
        <v>Siddharth Nair</v>
      </c>
      <c r="X343" t="str">
        <f>VLOOKUP(C343,Employee_Lookups!$A$4:$G$9,4,FALSE())</f>
        <v>CC-101</v>
      </c>
      <c r="Y343" t="str">
        <f>INDEX(Employee_Lookups!$C$13:$C$17,MATCH(F343,Employee_Lookups!$A$13:$A$17,0))</f>
        <v>Band A (Entry)</v>
      </c>
      <c r="Z343" s="27">
        <f>_xlfn.XLOOKUP(F343,Employee_Lookups!$A$13:$A$17,Employee_Lookups!$E$13:$E$17,0)</f>
        <v>700000</v>
      </c>
      <c r="AA343" s="28">
        <f>ROUND(O343/INDEX(Employee_Lookups!$E$13:$E$17,MATCH(F343,Employee_Lookups!$A$13:$A$17,0)),3)</f>
        <v>0.83</v>
      </c>
      <c r="AB343">
        <f t="shared" si="38"/>
        <v>2021</v>
      </c>
      <c r="AC343" t="str">
        <f t="shared" si="39"/>
        <v/>
      </c>
      <c r="AD343" s="28">
        <f>ROUND((IF(ISBLANK(L343),Employee_Lookups!$O$14,L343)-J343)/365.25,2)</f>
        <v>4.2699999999999996</v>
      </c>
      <c r="AE343" t="str">
        <f t="shared" si="40"/>
        <v>3 - 5 Yrs</v>
      </c>
      <c r="AF343" t="str">
        <f t="shared" si="41"/>
        <v>Moderate Risk</v>
      </c>
    </row>
    <row r="344" spans="1:32" x14ac:dyDescent="0.45">
      <c r="A344" t="s">
        <v>861</v>
      </c>
      <c r="B344" t="s">
        <v>619</v>
      </c>
      <c r="C344" t="s">
        <v>51</v>
      </c>
      <c r="D344" t="s">
        <v>50</v>
      </c>
      <c r="E344" t="s">
        <v>176</v>
      </c>
      <c r="F344" t="s">
        <v>82</v>
      </c>
      <c r="G344" t="s">
        <v>177</v>
      </c>
      <c r="H344" t="s">
        <v>108</v>
      </c>
      <c r="I344" t="s">
        <v>107</v>
      </c>
      <c r="J344" s="26">
        <v>44466</v>
      </c>
      <c r="K344" t="s">
        <v>162</v>
      </c>
      <c r="L344" s="26"/>
      <c r="M344" t="s">
        <v>163</v>
      </c>
      <c r="N344" t="s">
        <v>97</v>
      </c>
      <c r="O344" s="27">
        <v>1338000</v>
      </c>
      <c r="P344">
        <v>1</v>
      </c>
      <c r="Q344" t="s">
        <v>164</v>
      </c>
      <c r="R344">
        <v>17</v>
      </c>
      <c r="S344" t="s">
        <v>219</v>
      </c>
      <c r="T344">
        <f t="shared" si="35"/>
        <v>10521</v>
      </c>
      <c r="U344" t="str">
        <f t="shared" si="36"/>
        <v>ENG</v>
      </c>
      <c r="V344" t="str">
        <f t="shared" si="37"/>
        <v>L2</v>
      </c>
      <c r="W344" t="str">
        <f>PROPER(TRIM(VLOOKUP(S344,Employee_Lookups!$I$4:$M$19,2,FALSE())))</f>
        <v>Neha Kulkarni</v>
      </c>
      <c r="X344" t="str">
        <f>VLOOKUP(C344,Employee_Lookups!$A$4:$G$9,4,FALSE())</f>
        <v>CC-101</v>
      </c>
      <c r="Y344" t="str">
        <f>INDEX(Employee_Lookups!$C$13:$C$17,MATCH(F344,Employee_Lookups!$A$13:$A$17,0))</f>
        <v>Band B (Mid)</v>
      </c>
      <c r="Z344" s="27">
        <f>_xlfn.XLOOKUP(F344,Employee_Lookups!$A$13:$A$17,Employee_Lookups!$E$13:$E$17,0)</f>
        <v>1100000</v>
      </c>
      <c r="AA344" s="28">
        <f>ROUND(O344/INDEX(Employee_Lookups!$E$13:$E$17,MATCH(F344,Employee_Lookups!$A$13:$A$17,0)),3)</f>
        <v>1.216</v>
      </c>
      <c r="AB344">
        <f t="shared" si="38"/>
        <v>2021</v>
      </c>
      <c r="AC344" t="str">
        <f t="shared" si="39"/>
        <v/>
      </c>
      <c r="AD344" s="28">
        <f>ROUND((IF(ISBLANK(L344),Employee_Lookups!$O$14,L344)-J344)/365.25,2)</f>
        <v>4.26</v>
      </c>
      <c r="AE344" t="str">
        <f t="shared" si="40"/>
        <v>3 - 5 Yrs</v>
      </c>
      <c r="AF344" t="str">
        <f t="shared" si="41"/>
        <v>Moderate Risk</v>
      </c>
    </row>
    <row r="345" spans="1:32" x14ac:dyDescent="0.45">
      <c r="A345" t="s">
        <v>862</v>
      </c>
      <c r="B345" t="s">
        <v>863</v>
      </c>
      <c r="C345" t="s">
        <v>53</v>
      </c>
      <c r="D345" t="s">
        <v>52</v>
      </c>
      <c r="E345" t="s">
        <v>185</v>
      </c>
      <c r="F345" t="s">
        <v>82</v>
      </c>
      <c r="G345" t="s">
        <v>186</v>
      </c>
      <c r="H345" t="s">
        <v>109</v>
      </c>
      <c r="I345" t="s">
        <v>110</v>
      </c>
      <c r="J345" s="26">
        <v>44470</v>
      </c>
      <c r="K345" t="s">
        <v>187</v>
      </c>
      <c r="L345" s="26">
        <v>45671</v>
      </c>
      <c r="M345" t="s">
        <v>282</v>
      </c>
      <c r="N345" t="s">
        <v>99</v>
      </c>
      <c r="O345" s="27">
        <v>974000</v>
      </c>
      <c r="P345">
        <v>5</v>
      </c>
      <c r="Q345" t="s">
        <v>172</v>
      </c>
      <c r="R345">
        <v>38</v>
      </c>
      <c r="S345" t="s">
        <v>189</v>
      </c>
      <c r="T345">
        <f t="shared" si="35"/>
        <v>11339</v>
      </c>
      <c r="U345" t="str">
        <f t="shared" si="36"/>
        <v>SAL</v>
      </c>
      <c r="V345" t="str">
        <f t="shared" si="37"/>
        <v>L2</v>
      </c>
      <c r="W345" t="str">
        <f>PROPER(TRIM(VLOOKUP(S345,Employee_Lookups!$I$4:$M$19,2,FALSE())))</f>
        <v>Priya Sharma</v>
      </c>
      <c r="X345" t="str">
        <f>VLOOKUP(C345,Employee_Lookups!$A$4:$G$9,4,FALSE())</f>
        <v>CC-202</v>
      </c>
      <c r="Y345" t="str">
        <f>INDEX(Employee_Lookups!$C$13:$C$17,MATCH(F345,Employee_Lookups!$A$13:$A$17,0))</f>
        <v>Band B (Mid)</v>
      </c>
      <c r="Z345" s="27">
        <f>_xlfn.XLOOKUP(F345,Employee_Lookups!$A$13:$A$17,Employee_Lookups!$E$13:$E$17,0)</f>
        <v>1100000</v>
      </c>
      <c r="AA345" s="28">
        <f>ROUND(O345/INDEX(Employee_Lookups!$E$13:$E$17,MATCH(F345,Employee_Lookups!$A$13:$A$17,0)),3)</f>
        <v>0.88500000000000001</v>
      </c>
      <c r="AB345">
        <f t="shared" si="38"/>
        <v>2021</v>
      </c>
      <c r="AC345">
        <f t="shared" si="39"/>
        <v>2025</v>
      </c>
      <c r="AD345" s="28">
        <f>ROUND((IF(ISBLANK(L345),Employee_Lookups!$O$14,L345)-J345)/365.25,2)</f>
        <v>3.29</v>
      </c>
      <c r="AE345" t="str">
        <f t="shared" si="40"/>
        <v>3 - 5 Yrs</v>
      </c>
      <c r="AF345" t="str">
        <f t="shared" si="41"/>
        <v>Exited</v>
      </c>
    </row>
    <row r="346" spans="1:32" x14ac:dyDescent="0.45">
      <c r="A346" t="s">
        <v>864</v>
      </c>
      <c r="B346" t="s">
        <v>865</v>
      </c>
      <c r="C346" t="s">
        <v>51</v>
      </c>
      <c r="D346" t="s">
        <v>50</v>
      </c>
      <c r="E346" t="s">
        <v>181</v>
      </c>
      <c r="F346" t="s">
        <v>81</v>
      </c>
      <c r="G346" t="s">
        <v>182</v>
      </c>
      <c r="H346" t="s">
        <v>106</v>
      </c>
      <c r="I346" t="s">
        <v>107</v>
      </c>
      <c r="J346" s="26">
        <v>44474</v>
      </c>
      <c r="K346" t="s">
        <v>162</v>
      </c>
      <c r="L346" s="26"/>
      <c r="M346" t="s">
        <v>163</v>
      </c>
      <c r="N346" t="s">
        <v>96</v>
      </c>
      <c r="O346" s="27">
        <v>835000</v>
      </c>
      <c r="P346">
        <v>3</v>
      </c>
      <c r="Q346" t="s">
        <v>164</v>
      </c>
      <c r="R346">
        <v>29</v>
      </c>
      <c r="S346" t="s">
        <v>178</v>
      </c>
      <c r="T346">
        <f t="shared" si="35"/>
        <v>10210</v>
      </c>
      <c r="U346" t="str">
        <f t="shared" si="36"/>
        <v>ENG</v>
      </c>
      <c r="V346" t="str">
        <f t="shared" si="37"/>
        <v>L1</v>
      </c>
      <c r="W346" t="str">
        <f>PROPER(TRIM(VLOOKUP(S346,Employee_Lookups!$I$4:$M$19,2,FALSE())))</f>
        <v>Aarav Deshmukh</v>
      </c>
      <c r="X346" t="str">
        <f>VLOOKUP(C346,Employee_Lookups!$A$4:$G$9,4,FALSE())</f>
        <v>CC-101</v>
      </c>
      <c r="Y346" t="str">
        <f>INDEX(Employee_Lookups!$C$13:$C$17,MATCH(F346,Employee_Lookups!$A$13:$A$17,0))</f>
        <v>Band A (Entry)</v>
      </c>
      <c r="Z346" s="27">
        <f>_xlfn.XLOOKUP(F346,Employee_Lookups!$A$13:$A$17,Employee_Lookups!$E$13:$E$17,0)</f>
        <v>700000</v>
      </c>
      <c r="AA346" s="28">
        <f>ROUND(O346/INDEX(Employee_Lookups!$E$13:$E$17,MATCH(F346,Employee_Lookups!$A$13:$A$17,0)),3)</f>
        <v>1.1930000000000001</v>
      </c>
      <c r="AB346">
        <f t="shared" si="38"/>
        <v>2021</v>
      </c>
      <c r="AC346" t="str">
        <f t="shared" si="39"/>
        <v/>
      </c>
      <c r="AD346" s="28">
        <f>ROUND((IF(ISBLANK(L346),Employee_Lookups!$O$14,L346)-J346)/365.25,2)</f>
        <v>4.24</v>
      </c>
      <c r="AE346" t="str">
        <f t="shared" si="40"/>
        <v>3 - 5 Yrs</v>
      </c>
      <c r="AF346" t="str">
        <f t="shared" si="41"/>
        <v>Low Risk</v>
      </c>
    </row>
    <row r="347" spans="1:32" x14ac:dyDescent="0.45">
      <c r="A347" t="s">
        <v>866</v>
      </c>
      <c r="B347" t="s">
        <v>617</v>
      </c>
      <c r="C347" t="s">
        <v>51</v>
      </c>
      <c r="D347" t="s">
        <v>50</v>
      </c>
      <c r="E347" t="s">
        <v>181</v>
      </c>
      <c r="F347" t="s">
        <v>81</v>
      </c>
      <c r="G347" t="s">
        <v>182</v>
      </c>
      <c r="H347" t="s">
        <v>112</v>
      </c>
      <c r="I347" t="s">
        <v>113</v>
      </c>
      <c r="J347" s="26">
        <v>44474</v>
      </c>
      <c r="K347" t="s">
        <v>162</v>
      </c>
      <c r="L347" s="26"/>
      <c r="M347" t="s">
        <v>163</v>
      </c>
      <c r="N347" t="s">
        <v>97</v>
      </c>
      <c r="O347" s="27">
        <v>791000</v>
      </c>
      <c r="P347">
        <v>3</v>
      </c>
      <c r="Q347" t="s">
        <v>172</v>
      </c>
      <c r="R347">
        <v>50</v>
      </c>
      <c r="S347" t="s">
        <v>244</v>
      </c>
      <c r="T347">
        <f t="shared" si="35"/>
        <v>10720</v>
      </c>
      <c r="U347" t="str">
        <f t="shared" si="36"/>
        <v>ENG</v>
      </c>
      <c r="V347" t="str">
        <f t="shared" si="37"/>
        <v>L1</v>
      </c>
      <c r="W347" t="str">
        <f>PROPER(TRIM(VLOOKUP(S347,Employee_Lookups!$I$4:$M$19,2,FALSE())))</f>
        <v>Siddharth Nair</v>
      </c>
      <c r="X347" t="str">
        <f>VLOOKUP(C347,Employee_Lookups!$A$4:$G$9,4,FALSE())</f>
        <v>CC-101</v>
      </c>
      <c r="Y347" t="str">
        <f>INDEX(Employee_Lookups!$C$13:$C$17,MATCH(F347,Employee_Lookups!$A$13:$A$17,0))</f>
        <v>Band A (Entry)</v>
      </c>
      <c r="Z347" s="27">
        <f>_xlfn.XLOOKUP(F347,Employee_Lookups!$A$13:$A$17,Employee_Lookups!$E$13:$E$17,0)</f>
        <v>700000</v>
      </c>
      <c r="AA347" s="28">
        <f>ROUND(O347/INDEX(Employee_Lookups!$E$13:$E$17,MATCH(F347,Employee_Lookups!$A$13:$A$17,0)),3)</f>
        <v>1.1299999999999999</v>
      </c>
      <c r="AB347">
        <f t="shared" si="38"/>
        <v>2021</v>
      </c>
      <c r="AC347" t="str">
        <f t="shared" si="39"/>
        <v/>
      </c>
      <c r="AD347" s="28">
        <f>ROUND((IF(ISBLANK(L347),Employee_Lookups!$O$14,L347)-J347)/365.25,2)</f>
        <v>4.24</v>
      </c>
      <c r="AE347" t="str">
        <f t="shared" si="40"/>
        <v>3 - 5 Yrs</v>
      </c>
      <c r="AF347" t="str">
        <f t="shared" si="41"/>
        <v>Moderate Risk</v>
      </c>
    </row>
    <row r="348" spans="1:32" x14ac:dyDescent="0.45">
      <c r="A348" t="s">
        <v>867</v>
      </c>
      <c r="B348" t="s">
        <v>868</v>
      </c>
      <c r="C348" t="s">
        <v>51</v>
      </c>
      <c r="D348" t="s">
        <v>50</v>
      </c>
      <c r="E348" t="s">
        <v>176</v>
      </c>
      <c r="F348" t="s">
        <v>82</v>
      </c>
      <c r="G348" t="s">
        <v>177</v>
      </c>
      <c r="H348" t="s">
        <v>106</v>
      </c>
      <c r="I348" t="s">
        <v>107</v>
      </c>
      <c r="J348" s="26">
        <v>44476</v>
      </c>
      <c r="K348" t="s">
        <v>162</v>
      </c>
      <c r="L348" s="26"/>
      <c r="M348" t="s">
        <v>163</v>
      </c>
      <c r="N348" t="s">
        <v>96</v>
      </c>
      <c r="O348" s="27">
        <v>873000</v>
      </c>
      <c r="P348">
        <v>4</v>
      </c>
      <c r="Q348" t="s">
        <v>164</v>
      </c>
      <c r="R348">
        <v>58</v>
      </c>
      <c r="S348" t="s">
        <v>197</v>
      </c>
      <c r="T348">
        <f t="shared" si="35"/>
        <v>10006</v>
      </c>
      <c r="U348" t="str">
        <f t="shared" si="36"/>
        <v>ENG</v>
      </c>
      <c r="V348" t="str">
        <f t="shared" si="37"/>
        <v>L2</v>
      </c>
      <c r="W348" t="str">
        <f>PROPER(TRIM(VLOOKUP(S348,Employee_Lookups!$I$4:$M$19,2,FALSE())))</f>
        <v>Rohan Verma</v>
      </c>
      <c r="X348" t="str">
        <f>VLOOKUP(C348,Employee_Lookups!$A$4:$G$9,4,FALSE())</f>
        <v>CC-101</v>
      </c>
      <c r="Y348" t="str">
        <f>INDEX(Employee_Lookups!$C$13:$C$17,MATCH(F348,Employee_Lookups!$A$13:$A$17,0))</f>
        <v>Band B (Mid)</v>
      </c>
      <c r="Z348" s="27">
        <f>_xlfn.XLOOKUP(F348,Employee_Lookups!$A$13:$A$17,Employee_Lookups!$E$13:$E$17,0)</f>
        <v>1100000</v>
      </c>
      <c r="AA348" s="28">
        <f>ROUND(O348/INDEX(Employee_Lookups!$E$13:$E$17,MATCH(F348,Employee_Lookups!$A$13:$A$17,0)),3)</f>
        <v>0.79400000000000004</v>
      </c>
      <c r="AB348">
        <f t="shared" si="38"/>
        <v>2021</v>
      </c>
      <c r="AC348" t="str">
        <f t="shared" si="39"/>
        <v/>
      </c>
      <c r="AD348" s="28">
        <f>ROUND((IF(ISBLANK(L348),Employee_Lookups!$O$14,L348)-J348)/365.25,2)</f>
        <v>4.2300000000000004</v>
      </c>
      <c r="AE348" t="str">
        <f t="shared" si="40"/>
        <v>3 - 5 Yrs</v>
      </c>
      <c r="AF348" t="str">
        <f t="shared" si="41"/>
        <v>Low Risk</v>
      </c>
    </row>
    <row r="349" spans="1:32" x14ac:dyDescent="0.45">
      <c r="A349" t="s">
        <v>869</v>
      </c>
      <c r="B349" t="s">
        <v>405</v>
      </c>
      <c r="C349" t="s">
        <v>59</v>
      </c>
      <c r="D349" t="s">
        <v>58</v>
      </c>
      <c r="E349" t="s">
        <v>211</v>
      </c>
      <c r="F349" t="s">
        <v>82</v>
      </c>
      <c r="G349" t="s">
        <v>212</v>
      </c>
      <c r="H349" t="s">
        <v>106</v>
      </c>
      <c r="I349" t="s">
        <v>107</v>
      </c>
      <c r="J349" s="26">
        <v>44477</v>
      </c>
      <c r="K349" t="s">
        <v>162</v>
      </c>
      <c r="L349" s="26"/>
      <c r="M349" t="s">
        <v>163</v>
      </c>
      <c r="N349" t="s">
        <v>99</v>
      </c>
      <c r="O349" s="27">
        <v>900000</v>
      </c>
      <c r="P349">
        <v>3</v>
      </c>
      <c r="Q349" t="s">
        <v>164</v>
      </c>
      <c r="R349">
        <v>24</v>
      </c>
      <c r="S349" t="s">
        <v>214</v>
      </c>
      <c r="T349">
        <f t="shared" si="35"/>
        <v>10402</v>
      </c>
      <c r="U349" t="str">
        <f t="shared" si="36"/>
        <v>FIN</v>
      </c>
      <c r="V349" t="str">
        <f t="shared" si="37"/>
        <v>L2</v>
      </c>
      <c r="W349" t="str">
        <f>PROPER(TRIM(VLOOKUP(S349,Employee_Lookups!$I$4:$M$19,2,FALSE())))</f>
        <v>Aditya Gokhale</v>
      </c>
      <c r="X349" t="str">
        <f>VLOOKUP(C349,Employee_Lookups!$A$4:$G$9,4,FALSE())</f>
        <v>CC-404</v>
      </c>
      <c r="Y349" t="str">
        <f>INDEX(Employee_Lookups!$C$13:$C$17,MATCH(F349,Employee_Lookups!$A$13:$A$17,0))</f>
        <v>Band B (Mid)</v>
      </c>
      <c r="Z349" s="27">
        <f>_xlfn.XLOOKUP(F349,Employee_Lookups!$A$13:$A$17,Employee_Lookups!$E$13:$E$17,0)</f>
        <v>1100000</v>
      </c>
      <c r="AA349" s="28">
        <f>ROUND(O349/INDEX(Employee_Lookups!$E$13:$E$17,MATCH(F349,Employee_Lookups!$A$13:$A$17,0)),3)</f>
        <v>0.81799999999999995</v>
      </c>
      <c r="AB349">
        <f t="shared" si="38"/>
        <v>2021</v>
      </c>
      <c r="AC349" t="str">
        <f t="shared" si="39"/>
        <v/>
      </c>
      <c r="AD349" s="28">
        <f>ROUND((IF(ISBLANK(L349),Employee_Lookups!$O$14,L349)-J349)/365.25,2)</f>
        <v>4.2300000000000004</v>
      </c>
      <c r="AE349" t="str">
        <f t="shared" si="40"/>
        <v>3 - 5 Yrs</v>
      </c>
      <c r="AF349" t="str">
        <f t="shared" si="41"/>
        <v>Low Risk</v>
      </c>
    </row>
    <row r="350" spans="1:32" x14ac:dyDescent="0.45">
      <c r="A350" t="s">
        <v>870</v>
      </c>
      <c r="B350" t="s">
        <v>321</v>
      </c>
      <c r="C350" t="s">
        <v>51</v>
      </c>
      <c r="D350" t="s">
        <v>50</v>
      </c>
      <c r="E350" t="s">
        <v>181</v>
      </c>
      <c r="F350" t="s">
        <v>81</v>
      </c>
      <c r="G350" t="s">
        <v>182</v>
      </c>
      <c r="H350" t="s">
        <v>106</v>
      </c>
      <c r="I350" t="s">
        <v>107</v>
      </c>
      <c r="J350" s="26">
        <v>44481</v>
      </c>
      <c r="K350" t="s">
        <v>187</v>
      </c>
      <c r="L350" s="26">
        <v>45054</v>
      </c>
      <c r="M350" t="s">
        <v>213</v>
      </c>
      <c r="N350" t="s">
        <v>95</v>
      </c>
      <c r="O350" s="27">
        <v>769000</v>
      </c>
      <c r="P350">
        <v>3</v>
      </c>
      <c r="Q350" t="s">
        <v>172</v>
      </c>
      <c r="R350">
        <v>78</v>
      </c>
      <c r="S350" t="s">
        <v>219</v>
      </c>
      <c r="T350">
        <f t="shared" si="35"/>
        <v>11158</v>
      </c>
      <c r="U350" t="str">
        <f t="shared" si="36"/>
        <v>ENG</v>
      </c>
      <c r="V350" t="str">
        <f t="shared" si="37"/>
        <v>L1</v>
      </c>
      <c r="W350" t="str">
        <f>PROPER(TRIM(VLOOKUP(S350,Employee_Lookups!$I$4:$M$19,2,FALSE())))</f>
        <v>Neha Kulkarni</v>
      </c>
      <c r="X350" t="str">
        <f>VLOOKUP(C350,Employee_Lookups!$A$4:$G$9,4,FALSE())</f>
        <v>CC-101</v>
      </c>
      <c r="Y350" t="str">
        <f>INDEX(Employee_Lookups!$C$13:$C$17,MATCH(F350,Employee_Lookups!$A$13:$A$17,0))</f>
        <v>Band A (Entry)</v>
      </c>
      <c r="Z350" s="27">
        <f>_xlfn.XLOOKUP(F350,Employee_Lookups!$A$13:$A$17,Employee_Lookups!$E$13:$E$17,0)</f>
        <v>700000</v>
      </c>
      <c r="AA350" s="28">
        <f>ROUND(O350/INDEX(Employee_Lookups!$E$13:$E$17,MATCH(F350,Employee_Lookups!$A$13:$A$17,0)),3)</f>
        <v>1.099</v>
      </c>
      <c r="AB350">
        <f t="shared" si="38"/>
        <v>2021</v>
      </c>
      <c r="AC350">
        <f t="shared" si="39"/>
        <v>2023</v>
      </c>
      <c r="AD350" s="28">
        <f>ROUND((IF(ISBLANK(L350),Employee_Lookups!$O$14,L350)-J350)/365.25,2)</f>
        <v>1.57</v>
      </c>
      <c r="AE350" t="str">
        <f t="shared" si="40"/>
        <v>1 - 3 Yrs</v>
      </c>
      <c r="AF350" t="str">
        <f t="shared" si="41"/>
        <v>Exited</v>
      </c>
    </row>
    <row r="351" spans="1:32" x14ac:dyDescent="0.45">
      <c r="A351" t="s">
        <v>871</v>
      </c>
      <c r="B351" t="s">
        <v>314</v>
      </c>
      <c r="C351" t="s">
        <v>55</v>
      </c>
      <c r="D351" t="s">
        <v>54</v>
      </c>
      <c r="E351" t="s">
        <v>277</v>
      </c>
      <c r="F351" t="s">
        <v>81</v>
      </c>
      <c r="G351" t="s">
        <v>278</v>
      </c>
      <c r="H351" t="s">
        <v>108</v>
      </c>
      <c r="I351" t="s">
        <v>107</v>
      </c>
      <c r="J351" s="26">
        <v>44482</v>
      </c>
      <c r="K351" t="s">
        <v>170</v>
      </c>
      <c r="L351" s="26">
        <v>44622</v>
      </c>
      <c r="M351" t="s">
        <v>171</v>
      </c>
      <c r="N351" t="s">
        <v>97</v>
      </c>
      <c r="O351" s="27">
        <v>809000</v>
      </c>
      <c r="P351">
        <v>4</v>
      </c>
      <c r="Q351" t="s">
        <v>172</v>
      </c>
      <c r="R351">
        <v>57</v>
      </c>
      <c r="S351" t="s">
        <v>173</v>
      </c>
      <c r="T351">
        <f t="shared" si="35"/>
        <v>11404</v>
      </c>
      <c r="U351" t="str">
        <f t="shared" si="36"/>
        <v>OPS</v>
      </c>
      <c r="V351" t="str">
        <f t="shared" si="37"/>
        <v>L1</v>
      </c>
      <c r="W351" t="str">
        <f>PROPER(TRIM(VLOOKUP(S351,Employee_Lookups!$I$4:$M$19,2,FALSE())))</f>
        <v>Deepak Patil</v>
      </c>
      <c r="X351" t="str">
        <f>VLOOKUP(C351,Employee_Lookups!$A$4:$G$9,4,FALSE())</f>
        <v>CC-303</v>
      </c>
      <c r="Y351" t="str">
        <f>INDEX(Employee_Lookups!$C$13:$C$17,MATCH(F351,Employee_Lookups!$A$13:$A$17,0))</f>
        <v>Band A (Entry)</v>
      </c>
      <c r="Z351" s="27">
        <f>_xlfn.XLOOKUP(F351,Employee_Lookups!$A$13:$A$17,Employee_Lookups!$E$13:$E$17,0)</f>
        <v>700000</v>
      </c>
      <c r="AA351" s="28">
        <f>ROUND(O351/INDEX(Employee_Lookups!$E$13:$E$17,MATCH(F351,Employee_Lookups!$A$13:$A$17,0)),3)</f>
        <v>1.1559999999999999</v>
      </c>
      <c r="AB351">
        <f t="shared" si="38"/>
        <v>2021</v>
      </c>
      <c r="AC351">
        <f t="shared" si="39"/>
        <v>2022</v>
      </c>
      <c r="AD351" s="28">
        <f>ROUND((IF(ISBLANK(L351),Employee_Lookups!$O$14,L351)-J351)/365.25,2)</f>
        <v>0.38</v>
      </c>
      <c r="AE351" t="str">
        <f t="shared" si="40"/>
        <v>&lt; 1 Yr (New)</v>
      </c>
      <c r="AF351" t="str">
        <f t="shared" si="41"/>
        <v>Exited</v>
      </c>
    </row>
    <row r="352" spans="1:32" x14ac:dyDescent="0.45">
      <c r="A352" t="s">
        <v>872</v>
      </c>
      <c r="B352" t="s">
        <v>873</v>
      </c>
      <c r="C352" t="s">
        <v>61</v>
      </c>
      <c r="D352" t="s">
        <v>60</v>
      </c>
      <c r="E352" t="s">
        <v>251</v>
      </c>
      <c r="F352" t="s">
        <v>82</v>
      </c>
      <c r="G352" t="s">
        <v>252</v>
      </c>
      <c r="H352" t="s">
        <v>106</v>
      </c>
      <c r="I352" t="s">
        <v>107</v>
      </c>
      <c r="J352" s="26">
        <v>44485</v>
      </c>
      <c r="K352" t="s">
        <v>162</v>
      </c>
      <c r="L352" s="26"/>
      <c r="M352" t="s">
        <v>163</v>
      </c>
      <c r="N352" t="s">
        <v>99</v>
      </c>
      <c r="O352" s="27">
        <v>1117000</v>
      </c>
      <c r="P352">
        <v>2</v>
      </c>
      <c r="Q352" t="s">
        <v>164</v>
      </c>
      <c r="R352">
        <v>6</v>
      </c>
      <c r="S352" t="s">
        <v>253</v>
      </c>
      <c r="T352">
        <f t="shared" si="35"/>
        <v>10323</v>
      </c>
      <c r="U352" t="str">
        <f t="shared" si="36"/>
        <v>-HR</v>
      </c>
      <c r="V352" t="str">
        <f t="shared" si="37"/>
        <v>L2</v>
      </c>
      <c r="W352" t="str">
        <f>PROPER(TRIM(VLOOKUP(S352,Employee_Lookups!$I$4:$M$19,2,FALSE())))</f>
        <v>Nikhil Chatterjee</v>
      </c>
      <c r="X352" t="str">
        <f>VLOOKUP(C352,Employee_Lookups!$A$4:$G$9,4,FALSE())</f>
        <v>CC-505</v>
      </c>
      <c r="Y352" t="str">
        <f>INDEX(Employee_Lookups!$C$13:$C$17,MATCH(F352,Employee_Lookups!$A$13:$A$17,0))</f>
        <v>Band B (Mid)</v>
      </c>
      <c r="Z352" s="27">
        <f>_xlfn.XLOOKUP(F352,Employee_Lookups!$A$13:$A$17,Employee_Lookups!$E$13:$E$17,0)</f>
        <v>1100000</v>
      </c>
      <c r="AA352" s="28">
        <f>ROUND(O352/INDEX(Employee_Lookups!$E$13:$E$17,MATCH(F352,Employee_Lookups!$A$13:$A$17,0)),3)</f>
        <v>1.0149999999999999</v>
      </c>
      <c r="AB352">
        <f t="shared" si="38"/>
        <v>2021</v>
      </c>
      <c r="AC352" t="str">
        <f t="shared" si="39"/>
        <v/>
      </c>
      <c r="AD352" s="28">
        <f>ROUND((IF(ISBLANK(L352),Employee_Lookups!$O$14,L352)-J352)/365.25,2)</f>
        <v>4.21</v>
      </c>
      <c r="AE352" t="str">
        <f t="shared" si="40"/>
        <v>3 - 5 Yrs</v>
      </c>
      <c r="AF352" t="str">
        <f t="shared" si="41"/>
        <v>Moderate Risk</v>
      </c>
    </row>
    <row r="353" spans="1:32" x14ac:dyDescent="0.45">
      <c r="A353" t="s">
        <v>874</v>
      </c>
      <c r="B353" t="s">
        <v>875</v>
      </c>
      <c r="C353" t="s">
        <v>53</v>
      </c>
      <c r="D353" t="s">
        <v>52</v>
      </c>
      <c r="E353" t="s">
        <v>185</v>
      </c>
      <c r="F353" t="s">
        <v>82</v>
      </c>
      <c r="G353" t="s">
        <v>186</v>
      </c>
      <c r="H353" t="s">
        <v>106</v>
      </c>
      <c r="I353" t="s">
        <v>107</v>
      </c>
      <c r="J353" s="26">
        <v>44490</v>
      </c>
      <c r="K353" t="s">
        <v>162</v>
      </c>
      <c r="L353" s="26"/>
      <c r="M353" t="s">
        <v>163</v>
      </c>
      <c r="N353" t="s">
        <v>95</v>
      </c>
      <c r="O353" s="27">
        <v>1294000</v>
      </c>
      <c r="P353">
        <v>3</v>
      </c>
      <c r="Q353" t="s">
        <v>172</v>
      </c>
      <c r="R353">
        <v>28</v>
      </c>
      <c r="S353" t="s">
        <v>189</v>
      </c>
      <c r="T353">
        <f t="shared" si="35"/>
        <v>10224</v>
      </c>
      <c r="U353" t="str">
        <f t="shared" si="36"/>
        <v>SAL</v>
      </c>
      <c r="V353" t="str">
        <f t="shared" si="37"/>
        <v>L2</v>
      </c>
      <c r="W353" t="str">
        <f>PROPER(TRIM(VLOOKUP(S353,Employee_Lookups!$I$4:$M$19,2,FALSE())))</f>
        <v>Priya Sharma</v>
      </c>
      <c r="X353" t="str">
        <f>VLOOKUP(C353,Employee_Lookups!$A$4:$G$9,4,FALSE())</f>
        <v>CC-202</v>
      </c>
      <c r="Y353" t="str">
        <f>INDEX(Employee_Lookups!$C$13:$C$17,MATCH(F353,Employee_Lookups!$A$13:$A$17,0))</f>
        <v>Band B (Mid)</v>
      </c>
      <c r="Z353" s="27">
        <f>_xlfn.XLOOKUP(F353,Employee_Lookups!$A$13:$A$17,Employee_Lookups!$E$13:$E$17,0)</f>
        <v>1100000</v>
      </c>
      <c r="AA353" s="28">
        <f>ROUND(O353/INDEX(Employee_Lookups!$E$13:$E$17,MATCH(F353,Employee_Lookups!$A$13:$A$17,0)),3)</f>
        <v>1.1759999999999999</v>
      </c>
      <c r="AB353">
        <f t="shared" si="38"/>
        <v>2021</v>
      </c>
      <c r="AC353" t="str">
        <f t="shared" si="39"/>
        <v/>
      </c>
      <c r="AD353" s="28">
        <f>ROUND((IF(ISBLANK(L353),Employee_Lookups!$O$14,L353)-J353)/365.25,2)</f>
        <v>4.1900000000000004</v>
      </c>
      <c r="AE353" t="str">
        <f t="shared" si="40"/>
        <v>3 - 5 Yrs</v>
      </c>
      <c r="AF353" t="str">
        <f t="shared" si="41"/>
        <v>Moderate Risk</v>
      </c>
    </row>
    <row r="354" spans="1:32" x14ac:dyDescent="0.45">
      <c r="A354" t="s">
        <v>876</v>
      </c>
      <c r="B354" t="s">
        <v>877</v>
      </c>
      <c r="C354" t="s">
        <v>53</v>
      </c>
      <c r="D354" t="s">
        <v>52</v>
      </c>
      <c r="E354" t="s">
        <v>185</v>
      </c>
      <c r="F354" t="s">
        <v>82</v>
      </c>
      <c r="G354" t="s">
        <v>186</v>
      </c>
      <c r="H354" t="s">
        <v>106</v>
      </c>
      <c r="I354" t="s">
        <v>107</v>
      </c>
      <c r="J354" s="26">
        <v>44490</v>
      </c>
      <c r="K354" t="s">
        <v>187</v>
      </c>
      <c r="L354" s="26">
        <v>45303</v>
      </c>
      <c r="M354" t="s">
        <v>269</v>
      </c>
      <c r="N354" t="s">
        <v>99</v>
      </c>
      <c r="O354" s="27">
        <v>1312000</v>
      </c>
      <c r="P354">
        <v>3</v>
      </c>
      <c r="Q354" t="s">
        <v>164</v>
      </c>
      <c r="R354">
        <v>43</v>
      </c>
      <c r="S354" t="s">
        <v>189</v>
      </c>
      <c r="T354">
        <f t="shared" si="35"/>
        <v>11379</v>
      </c>
      <c r="U354" t="str">
        <f t="shared" si="36"/>
        <v>SAL</v>
      </c>
      <c r="V354" t="str">
        <f t="shared" si="37"/>
        <v>L2</v>
      </c>
      <c r="W354" t="str">
        <f>PROPER(TRIM(VLOOKUP(S354,Employee_Lookups!$I$4:$M$19,2,FALSE())))</f>
        <v>Priya Sharma</v>
      </c>
      <c r="X354" t="str">
        <f>VLOOKUP(C354,Employee_Lookups!$A$4:$G$9,4,FALSE())</f>
        <v>CC-202</v>
      </c>
      <c r="Y354" t="str">
        <f>INDEX(Employee_Lookups!$C$13:$C$17,MATCH(F354,Employee_Lookups!$A$13:$A$17,0))</f>
        <v>Band B (Mid)</v>
      </c>
      <c r="Z354" s="27">
        <f>_xlfn.XLOOKUP(F354,Employee_Lookups!$A$13:$A$17,Employee_Lookups!$E$13:$E$17,0)</f>
        <v>1100000</v>
      </c>
      <c r="AA354" s="28">
        <f>ROUND(O354/INDEX(Employee_Lookups!$E$13:$E$17,MATCH(F354,Employee_Lookups!$A$13:$A$17,0)),3)</f>
        <v>1.1930000000000001</v>
      </c>
      <c r="AB354">
        <f t="shared" si="38"/>
        <v>2021</v>
      </c>
      <c r="AC354">
        <f t="shared" si="39"/>
        <v>2024</v>
      </c>
      <c r="AD354" s="28">
        <f>ROUND((IF(ISBLANK(L354),Employee_Lookups!$O$14,L354)-J354)/365.25,2)</f>
        <v>2.23</v>
      </c>
      <c r="AE354" t="str">
        <f t="shared" si="40"/>
        <v>1 - 3 Yrs</v>
      </c>
      <c r="AF354" t="str">
        <f t="shared" si="41"/>
        <v>Exited</v>
      </c>
    </row>
    <row r="355" spans="1:32" x14ac:dyDescent="0.45">
      <c r="A355" t="s">
        <v>878</v>
      </c>
      <c r="B355" t="s">
        <v>689</v>
      </c>
      <c r="C355" t="s">
        <v>59</v>
      </c>
      <c r="D355" t="s">
        <v>58</v>
      </c>
      <c r="E355" t="s">
        <v>579</v>
      </c>
      <c r="F355" t="s">
        <v>84</v>
      </c>
      <c r="G355" t="s">
        <v>580</v>
      </c>
      <c r="H355" t="s">
        <v>109</v>
      </c>
      <c r="I355" t="s">
        <v>110</v>
      </c>
      <c r="J355" s="26">
        <v>44491</v>
      </c>
      <c r="K355" t="s">
        <v>162</v>
      </c>
      <c r="L355" s="26"/>
      <c r="M355" t="s">
        <v>163</v>
      </c>
      <c r="N355" t="s">
        <v>97</v>
      </c>
      <c r="O355" s="27">
        <v>2835000</v>
      </c>
      <c r="P355">
        <v>4</v>
      </c>
      <c r="Q355" t="s">
        <v>172</v>
      </c>
      <c r="R355">
        <v>52</v>
      </c>
      <c r="S355" t="s">
        <v>214</v>
      </c>
      <c r="T355">
        <f t="shared" si="35"/>
        <v>10820</v>
      </c>
      <c r="U355" t="str">
        <f t="shared" si="36"/>
        <v>FIN</v>
      </c>
      <c r="V355" t="str">
        <f t="shared" si="37"/>
        <v>L4</v>
      </c>
      <c r="W355" t="str">
        <f>PROPER(TRIM(VLOOKUP(S355,Employee_Lookups!$I$4:$M$19,2,FALSE())))</f>
        <v>Aditya Gokhale</v>
      </c>
      <c r="X355" t="str">
        <f>VLOOKUP(C355,Employee_Lookups!$A$4:$G$9,4,FALSE())</f>
        <v>CC-404</v>
      </c>
      <c r="Y355" t="str">
        <f>INDEX(Employee_Lookups!$C$13:$C$17,MATCH(F355,Employee_Lookups!$A$13:$A$17,0))</f>
        <v>Band D (Leadership)</v>
      </c>
      <c r="Z355" s="27">
        <f>_xlfn.XLOOKUP(F355,Employee_Lookups!$A$13:$A$17,Employee_Lookups!$E$13:$E$17,0)</f>
        <v>2750000</v>
      </c>
      <c r="AA355" s="28">
        <f>ROUND(O355/INDEX(Employee_Lookups!$E$13:$E$17,MATCH(F355,Employee_Lookups!$A$13:$A$17,0)),3)</f>
        <v>1.0309999999999999</v>
      </c>
      <c r="AB355">
        <f t="shared" si="38"/>
        <v>2021</v>
      </c>
      <c r="AC355" t="str">
        <f t="shared" si="39"/>
        <v/>
      </c>
      <c r="AD355" s="28">
        <f>ROUND((IF(ISBLANK(L355),Employee_Lookups!$O$14,L355)-J355)/365.25,2)</f>
        <v>4.1900000000000004</v>
      </c>
      <c r="AE355" t="str">
        <f t="shared" si="40"/>
        <v>3 - 5 Yrs</v>
      </c>
      <c r="AF355" t="str">
        <f t="shared" si="41"/>
        <v>High Risk</v>
      </c>
    </row>
    <row r="356" spans="1:32" x14ac:dyDescent="0.45">
      <c r="A356" t="s">
        <v>879</v>
      </c>
      <c r="B356" t="s">
        <v>633</v>
      </c>
      <c r="C356" t="s">
        <v>57</v>
      </c>
      <c r="D356" t="s">
        <v>56</v>
      </c>
      <c r="E356" t="s">
        <v>160</v>
      </c>
      <c r="F356" t="s">
        <v>81</v>
      </c>
      <c r="G356" t="s">
        <v>161</v>
      </c>
      <c r="H356" t="s">
        <v>109</v>
      </c>
      <c r="I356" t="s">
        <v>110</v>
      </c>
      <c r="J356" s="26">
        <v>44491</v>
      </c>
      <c r="K356" t="s">
        <v>187</v>
      </c>
      <c r="L356" s="26">
        <v>44537</v>
      </c>
      <c r="M356" t="s">
        <v>213</v>
      </c>
      <c r="N356" t="s">
        <v>96</v>
      </c>
      <c r="O356" s="27">
        <v>747000</v>
      </c>
      <c r="P356">
        <v>4</v>
      </c>
      <c r="Q356" t="s">
        <v>164</v>
      </c>
      <c r="R356">
        <v>38</v>
      </c>
      <c r="S356" t="s">
        <v>165</v>
      </c>
      <c r="T356">
        <f t="shared" si="35"/>
        <v>11366</v>
      </c>
      <c r="U356" t="str">
        <f t="shared" si="36"/>
        <v>MKT</v>
      </c>
      <c r="V356" t="str">
        <f t="shared" si="37"/>
        <v>L1</v>
      </c>
      <c r="W356" t="str">
        <f>PROPER(TRIM(VLOOKUP(S356,Employee_Lookups!$I$4:$M$19,2,FALSE())))</f>
        <v>Arjun Sengupta</v>
      </c>
      <c r="X356" t="str">
        <f>VLOOKUP(C356,Employee_Lookups!$A$4:$G$9,4,FALSE())</f>
        <v>CC-606</v>
      </c>
      <c r="Y356" t="str">
        <f>INDEX(Employee_Lookups!$C$13:$C$17,MATCH(F356,Employee_Lookups!$A$13:$A$17,0))</f>
        <v>Band A (Entry)</v>
      </c>
      <c r="Z356" s="27">
        <f>_xlfn.XLOOKUP(F356,Employee_Lookups!$A$13:$A$17,Employee_Lookups!$E$13:$E$17,0)</f>
        <v>700000</v>
      </c>
      <c r="AA356" s="28">
        <f>ROUND(O356/INDEX(Employee_Lookups!$E$13:$E$17,MATCH(F356,Employee_Lookups!$A$13:$A$17,0)),3)</f>
        <v>1.0669999999999999</v>
      </c>
      <c r="AB356">
        <f t="shared" si="38"/>
        <v>2021</v>
      </c>
      <c r="AC356">
        <f t="shared" si="39"/>
        <v>2021</v>
      </c>
      <c r="AD356" s="28">
        <f>ROUND((IF(ISBLANK(L356),Employee_Lookups!$O$14,L356)-J356)/365.25,2)</f>
        <v>0.13</v>
      </c>
      <c r="AE356" t="str">
        <f t="shared" si="40"/>
        <v>&lt; 1 Yr (New)</v>
      </c>
      <c r="AF356" t="str">
        <f t="shared" si="41"/>
        <v>Exited</v>
      </c>
    </row>
    <row r="357" spans="1:32" x14ac:dyDescent="0.45">
      <c r="A357" t="s">
        <v>880</v>
      </c>
      <c r="B357" t="s">
        <v>353</v>
      </c>
      <c r="C357" t="s">
        <v>55</v>
      </c>
      <c r="D357" t="s">
        <v>54</v>
      </c>
      <c r="E357" t="s">
        <v>277</v>
      </c>
      <c r="F357" t="s">
        <v>81</v>
      </c>
      <c r="G357" t="s">
        <v>278</v>
      </c>
      <c r="H357" t="s">
        <v>106</v>
      </c>
      <c r="I357" t="s">
        <v>107</v>
      </c>
      <c r="J357" s="26">
        <v>44492</v>
      </c>
      <c r="K357" t="s">
        <v>187</v>
      </c>
      <c r="L357" s="26">
        <v>45311</v>
      </c>
      <c r="M357" t="s">
        <v>269</v>
      </c>
      <c r="N357" t="s">
        <v>96</v>
      </c>
      <c r="O357" s="27">
        <v>825000</v>
      </c>
      <c r="P357">
        <v>4</v>
      </c>
      <c r="Q357" t="s">
        <v>172</v>
      </c>
      <c r="R357">
        <v>46</v>
      </c>
      <c r="S357" t="s">
        <v>274</v>
      </c>
      <c r="T357">
        <f t="shared" si="35"/>
        <v>10287</v>
      </c>
      <c r="U357" t="str">
        <f t="shared" si="36"/>
        <v>OPS</v>
      </c>
      <c r="V357" t="str">
        <f t="shared" si="37"/>
        <v>L1</v>
      </c>
      <c r="W357" t="str">
        <f>PROPER(TRIM(VLOOKUP(S357,Employee_Lookups!$I$4:$M$19,2,FALSE())))</f>
        <v>Meera Krishnan</v>
      </c>
      <c r="X357" t="str">
        <f>VLOOKUP(C357,Employee_Lookups!$A$4:$G$9,4,FALSE())</f>
        <v>CC-303</v>
      </c>
      <c r="Y357" t="str">
        <f>INDEX(Employee_Lookups!$C$13:$C$17,MATCH(F357,Employee_Lookups!$A$13:$A$17,0))</f>
        <v>Band A (Entry)</v>
      </c>
      <c r="Z357" s="27">
        <f>_xlfn.XLOOKUP(F357,Employee_Lookups!$A$13:$A$17,Employee_Lookups!$E$13:$E$17,0)</f>
        <v>700000</v>
      </c>
      <c r="AA357" s="28">
        <f>ROUND(O357/INDEX(Employee_Lookups!$E$13:$E$17,MATCH(F357,Employee_Lookups!$A$13:$A$17,0)),3)</f>
        <v>1.179</v>
      </c>
      <c r="AB357">
        <f t="shared" si="38"/>
        <v>2021</v>
      </c>
      <c r="AC357">
        <f t="shared" si="39"/>
        <v>2024</v>
      </c>
      <c r="AD357" s="28">
        <f>ROUND((IF(ISBLANK(L357),Employee_Lookups!$O$14,L357)-J357)/365.25,2)</f>
        <v>2.2400000000000002</v>
      </c>
      <c r="AE357" t="str">
        <f t="shared" si="40"/>
        <v>1 - 3 Yrs</v>
      </c>
      <c r="AF357" t="str">
        <f t="shared" si="41"/>
        <v>Exited</v>
      </c>
    </row>
    <row r="358" spans="1:32" x14ac:dyDescent="0.45">
      <c r="A358" t="s">
        <v>881</v>
      </c>
      <c r="B358" t="s">
        <v>882</v>
      </c>
      <c r="C358" t="s">
        <v>53</v>
      </c>
      <c r="D358" t="s">
        <v>52</v>
      </c>
      <c r="E358" t="s">
        <v>185</v>
      </c>
      <c r="F358" t="s">
        <v>82</v>
      </c>
      <c r="G358" t="s">
        <v>186</v>
      </c>
      <c r="H358" t="s">
        <v>108</v>
      </c>
      <c r="I358" t="s">
        <v>107</v>
      </c>
      <c r="J358" s="26">
        <v>44492</v>
      </c>
      <c r="K358" t="s">
        <v>170</v>
      </c>
      <c r="L358" s="26">
        <v>44631</v>
      </c>
      <c r="M358" t="s">
        <v>171</v>
      </c>
      <c r="N358" t="s">
        <v>96</v>
      </c>
      <c r="O358" s="27">
        <v>859000</v>
      </c>
      <c r="P358">
        <v>2</v>
      </c>
      <c r="Q358" t="s">
        <v>172</v>
      </c>
      <c r="R358">
        <v>6</v>
      </c>
      <c r="S358" t="s">
        <v>194</v>
      </c>
      <c r="T358">
        <f t="shared" si="35"/>
        <v>10242</v>
      </c>
      <c r="U358" t="str">
        <f t="shared" si="36"/>
        <v>SAL</v>
      </c>
      <c r="V358" t="str">
        <f t="shared" si="37"/>
        <v>L2</v>
      </c>
      <c r="W358" t="str">
        <f>PROPER(TRIM(VLOOKUP(S358,Employee_Lookups!$I$4:$M$19,2,FALSE())))</f>
        <v>Vikramaditya Joshi</v>
      </c>
      <c r="X358" t="str">
        <f>VLOOKUP(C358,Employee_Lookups!$A$4:$G$9,4,FALSE())</f>
        <v>CC-202</v>
      </c>
      <c r="Y358" t="str">
        <f>INDEX(Employee_Lookups!$C$13:$C$17,MATCH(F358,Employee_Lookups!$A$13:$A$17,0))</f>
        <v>Band B (Mid)</v>
      </c>
      <c r="Z358" s="27">
        <f>_xlfn.XLOOKUP(F358,Employee_Lookups!$A$13:$A$17,Employee_Lookups!$E$13:$E$17,0)</f>
        <v>1100000</v>
      </c>
      <c r="AA358" s="28">
        <f>ROUND(O358/INDEX(Employee_Lookups!$E$13:$E$17,MATCH(F358,Employee_Lookups!$A$13:$A$17,0)),3)</f>
        <v>0.78100000000000003</v>
      </c>
      <c r="AB358">
        <f t="shared" si="38"/>
        <v>2021</v>
      </c>
      <c r="AC358">
        <f t="shared" si="39"/>
        <v>2022</v>
      </c>
      <c r="AD358" s="28">
        <f>ROUND((IF(ISBLANK(L358),Employee_Lookups!$O$14,L358)-J358)/365.25,2)</f>
        <v>0.38</v>
      </c>
      <c r="AE358" t="str">
        <f t="shared" si="40"/>
        <v>&lt; 1 Yr (New)</v>
      </c>
      <c r="AF358" t="str">
        <f t="shared" si="41"/>
        <v>Exited</v>
      </c>
    </row>
    <row r="359" spans="1:32" x14ac:dyDescent="0.45">
      <c r="A359" t="s">
        <v>883</v>
      </c>
      <c r="B359" t="s">
        <v>860</v>
      </c>
      <c r="C359" t="s">
        <v>53</v>
      </c>
      <c r="D359" t="s">
        <v>52</v>
      </c>
      <c r="E359" t="s">
        <v>200</v>
      </c>
      <c r="F359" t="s">
        <v>84</v>
      </c>
      <c r="G359" t="s">
        <v>201</v>
      </c>
      <c r="H359" t="s">
        <v>106</v>
      </c>
      <c r="I359" t="s">
        <v>107</v>
      </c>
      <c r="J359" s="26">
        <v>44492</v>
      </c>
      <c r="K359" t="s">
        <v>162</v>
      </c>
      <c r="L359" s="26"/>
      <c r="M359" t="s">
        <v>163</v>
      </c>
      <c r="N359" t="s">
        <v>96</v>
      </c>
      <c r="O359" s="27">
        <v>3107000</v>
      </c>
      <c r="P359">
        <v>4</v>
      </c>
      <c r="Q359" t="s">
        <v>164</v>
      </c>
      <c r="R359">
        <v>32</v>
      </c>
      <c r="S359" t="s">
        <v>194</v>
      </c>
      <c r="T359">
        <f t="shared" si="35"/>
        <v>10408</v>
      </c>
      <c r="U359" t="str">
        <f t="shared" si="36"/>
        <v>SAL</v>
      </c>
      <c r="V359" t="str">
        <f t="shared" si="37"/>
        <v>L4</v>
      </c>
      <c r="W359" t="str">
        <f>PROPER(TRIM(VLOOKUP(S359,Employee_Lookups!$I$4:$M$19,2,FALSE())))</f>
        <v>Vikramaditya Joshi</v>
      </c>
      <c r="X359" t="str">
        <f>VLOOKUP(C359,Employee_Lookups!$A$4:$G$9,4,FALSE())</f>
        <v>CC-202</v>
      </c>
      <c r="Y359" t="str">
        <f>INDEX(Employee_Lookups!$C$13:$C$17,MATCH(F359,Employee_Lookups!$A$13:$A$17,0))</f>
        <v>Band D (Leadership)</v>
      </c>
      <c r="Z359" s="27">
        <f>_xlfn.XLOOKUP(F359,Employee_Lookups!$A$13:$A$17,Employee_Lookups!$E$13:$E$17,0)</f>
        <v>2750000</v>
      </c>
      <c r="AA359" s="28">
        <f>ROUND(O359/INDEX(Employee_Lookups!$E$13:$E$17,MATCH(F359,Employee_Lookups!$A$13:$A$17,0)),3)</f>
        <v>1.1299999999999999</v>
      </c>
      <c r="AB359">
        <f t="shared" si="38"/>
        <v>2021</v>
      </c>
      <c r="AC359" t="str">
        <f t="shared" si="39"/>
        <v/>
      </c>
      <c r="AD359" s="28">
        <f>ROUND((IF(ISBLANK(L359),Employee_Lookups!$O$14,L359)-J359)/365.25,2)</f>
        <v>4.1900000000000004</v>
      </c>
      <c r="AE359" t="str">
        <f t="shared" si="40"/>
        <v>3 - 5 Yrs</v>
      </c>
      <c r="AF359" t="str">
        <f t="shared" si="41"/>
        <v>Low Risk</v>
      </c>
    </row>
    <row r="360" spans="1:32" x14ac:dyDescent="0.45">
      <c r="A360" t="s">
        <v>884</v>
      </c>
      <c r="B360" t="s">
        <v>751</v>
      </c>
      <c r="C360" t="s">
        <v>61</v>
      </c>
      <c r="D360" t="s">
        <v>60</v>
      </c>
      <c r="E360" t="s">
        <v>251</v>
      </c>
      <c r="F360" t="s">
        <v>82</v>
      </c>
      <c r="G360" t="s">
        <v>252</v>
      </c>
      <c r="H360" t="s">
        <v>106</v>
      </c>
      <c r="I360" t="s">
        <v>107</v>
      </c>
      <c r="J360" s="26">
        <v>44493</v>
      </c>
      <c r="K360" t="s">
        <v>162</v>
      </c>
      <c r="L360" s="26"/>
      <c r="M360" t="s">
        <v>163</v>
      </c>
      <c r="N360" t="s">
        <v>99</v>
      </c>
      <c r="O360" s="27">
        <v>1338000</v>
      </c>
      <c r="P360">
        <v>4</v>
      </c>
      <c r="Q360" t="s">
        <v>164</v>
      </c>
      <c r="R360">
        <v>31</v>
      </c>
      <c r="S360" t="s">
        <v>253</v>
      </c>
      <c r="T360">
        <f t="shared" si="35"/>
        <v>10801</v>
      </c>
      <c r="U360" t="str">
        <f t="shared" si="36"/>
        <v>-HR</v>
      </c>
      <c r="V360" t="str">
        <f t="shared" si="37"/>
        <v>L2</v>
      </c>
      <c r="W360" t="str">
        <f>PROPER(TRIM(VLOOKUP(S360,Employee_Lookups!$I$4:$M$19,2,FALSE())))</f>
        <v>Nikhil Chatterjee</v>
      </c>
      <c r="X360" t="str">
        <f>VLOOKUP(C360,Employee_Lookups!$A$4:$G$9,4,FALSE())</f>
        <v>CC-505</v>
      </c>
      <c r="Y360" t="str">
        <f>INDEX(Employee_Lookups!$C$13:$C$17,MATCH(F360,Employee_Lookups!$A$13:$A$17,0))</f>
        <v>Band B (Mid)</v>
      </c>
      <c r="Z360" s="27">
        <f>_xlfn.XLOOKUP(F360,Employee_Lookups!$A$13:$A$17,Employee_Lookups!$E$13:$E$17,0)</f>
        <v>1100000</v>
      </c>
      <c r="AA360" s="28">
        <f>ROUND(O360/INDEX(Employee_Lookups!$E$13:$E$17,MATCH(F360,Employee_Lookups!$A$13:$A$17,0)),3)</f>
        <v>1.216</v>
      </c>
      <c r="AB360">
        <f t="shared" si="38"/>
        <v>2021</v>
      </c>
      <c r="AC360" t="str">
        <f t="shared" si="39"/>
        <v/>
      </c>
      <c r="AD360" s="28">
        <f>ROUND((IF(ISBLANK(L360),Employee_Lookups!$O$14,L360)-J360)/365.25,2)</f>
        <v>4.1900000000000004</v>
      </c>
      <c r="AE360" t="str">
        <f t="shared" si="40"/>
        <v>3 - 5 Yrs</v>
      </c>
      <c r="AF360" t="str">
        <f t="shared" si="41"/>
        <v>Low Risk</v>
      </c>
    </row>
    <row r="361" spans="1:32" x14ac:dyDescent="0.45">
      <c r="A361" t="s">
        <v>885</v>
      </c>
      <c r="B361" t="s">
        <v>574</v>
      </c>
      <c r="C361" t="s">
        <v>57</v>
      </c>
      <c r="D361" t="s">
        <v>56</v>
      </c>
      <c r="E361" t="s">
        <v>160</v>
      </c>
      <c r="F361" t="s">
        <v>81</v>
      </c>
      <c r="G361" t="s">
        <v>161</v>
      </c>
      <c r="H361" t="s">
        <v>106</v>
      </c>
      <c r="I361" t="s">
        <v>107</v>
      </c>
      <c r="J361" s="26">
        <v>44495</v>
      </c>
      <c r="K361" t="s">
        <v>187</v>
      </c>
      <c r="L361" s="26">
        <v>44638</v>
      </c>
      <c r="M361" t="s">
        <v>213</v>
      </c>
      <c r="N361" t="s">
        <v>99</v>
      </c>
      <c r="O361" s="27">
        <v>620000</v>
      </c>
      <c r="P361">
        <v>3</v>
      </c>
      <c r="Q361" t="s">
        <v>172</v>
      </c>
      <c r="R361">
        <v>26</v>
      </c>
      <c r="S361" t="s">
        <v>165</v>
      </c>
      <c r="T361">
        <f t="shared" si="35"/>
        <v>11309</v>
      </c>
      <c r="U361" t="str">
        <f t="shared" si="36"/>
        <v>MKT</v>
      </c>
      <c r="V361" t="str">
        <f t="shared" si="37"/>
        <v>L1</v>
      </c>
      <c r="W361" t="str">
        <f>PROPER(TRIM(VLOOKUP(S361,Employee_Lookups!$I$4:$M$19,2,FALSE())))</f>
        <v>Arjun Sengupta</v>
      </c>
      <c r="X361" t="str">
        <f>VLOOKUP(C361,Employee_Lookups!$A$4:$G$9,4,FALSE())</f>
        <v>CC-606</v>
      </c>
      <c r="Y361" t="str">
        <f>INDEX(Employee_Lookups!$C$13:$C$17,MATCH(F361,Employee_Lookups!$A$13:$A$17,0))</f>
        <v>Band A (Entry)</v>
      </c>
      <c r="Z361" s="27">
        <f>_xlfn.XLOOKUP(F361,Employee_Lookups!$A$13:$A$17,Employee_Lookups!$E$13:$E$17,0)</f>
        <v>700000</v>
      </c>
      <c r="AA361" s="28">
        <f>ROUND(O361/INDEX(Employee_Lookups!$E$13:$E$17,MATCH(F361,Employee_Lookups!$A$13:$A$17,0)),3)</f>
        <v>0.88600000000000001</v>
      </c>
      <c r="AB361">
        <f t="shared" si="38"/>
        <v>2021</v>
      </c>
      <c r="AC361">
        <f t="shared" si="39"/>
        <v>2022</v>
      </c>
      <c r="AD361" s="28">
        <f>ROUND((IF(ISBLANK(L361),Employee_Lookups!$O$14,L361)-J361)/365.25,2)</f>
        <v>0.39</v>
      </c>
      <c r="AE361" t="str">
        <f t="shared" si="40"/>
        <v>&lt; 1 Yr (New)</v>
      </c>
      <c r="AF361" t="str">
        <f t="shared" si="41"/>
        <v>Exited</v>
      </c>
    </row>
    <row r="362" spans="1:32" x14ac:dyDescent="0.45">
      <c r="A362" t="s">
        <v>886</v>
      </c>
      <c r="B362" t="s">
        <v>751</v>
      </c>
      <c r="C362" t="s">
        <v>51</v>
      </c>
      <c r="D362" t="s">
        <v>50</v>
      </c>
      <c r="E362" t="s">
        <v>181</v>
      </c>
      <c r="F362" t="s">
        <v>81</v>
      </c>
      <c r="G362" t="s">
        <v>182</v>
      </c>
      <c r="H362" t="s">
        <v>109</v>
      </c>
      <c r="I362" t="s">
        <v>110</v>
      </c>
      <c r="J362" s="26">
        <v>44496</v>
      </c>
      <c r="K362" t="s">
        <v>187</v>
      </c>
      <c r="L362" s="26">
        <v>44650</v>
      </c>
      <c r="M362" t="s">
        <v>269</v>
      </c>
      <c r="N362" t="s">
        <v>99</v>
      </c>
      <c r="O362" s="27">
        <v>683000</v>
      </c>
      <c r="P362">
        <v>5</v>
      </c>
      <c r="Q362" t="s">
        <v>164</v>
      </c>
      <c r="R362">
        <v>55</v>
      </c>
      <c r="S362" t="s">
        <v>197</v>
      </c>
      <c r="T362">
        <f t="shared" si="35"/>
        <v>10656</v>
      </c>
      <c r="U362" t="str">
        <f t="shared" si="36"/>
        <v>ENG</v>
      </c>
      <c r="V362" t="str">
        <f t="shared" si="37"/>
        <v>L1</v>
      </c>
      <c r="W362" t="str">
        <f>PROPER(TRIM(VLOOKUP(S362,Employee_Lookups!$I$4:$M$19,2,FALSE())))</f>
        <v>Rohan Verma</v>
      </c>
      <c r="X362" t="str">
        <f>VLOOKUP(C362,Employee_Lookups!$A$4:$G$9,4,FALSE())</f>
        <v>CC-101</v>
      </c>
      <c r="Y362" t="str">
        <f>INDEX(Employee_Lookups!$C$13:$C$17,MATCH(F362,Employee_Lookups!$A$13:$A$17,0))</f>
        <v>Band A (Entry)</v>
      </c>
      <c r="Z362" s="27">
        <f>_xlfn.XLOOKUP(F362,Employee_Lookups!$A$13:$A$17,Employee_Lookups!$E$13:$E$17,0)</f>
        <v>700000</v>
      </c>
      <c r="AA362" s="28">
        <f>ROUND(O362/INDEX(Employee_Lookups!$E$13:$E$17,MATCH(F362,Employee_Lookups!$A$13:$A$17,0)),3)</f>
        <v>0.97599999999999998</v>
      </c>
      <c r="AB362">
        <f t="shared" si="38"/>
        <v>2021</v>
      </c>
      <c r="AC362">
        <f t="shared" si="39"/>
        <v>2022</v>
      </c>
      <c r="AD362" s="28">
        <f>ROUND((IF(ISBLANK(L362),Employee_Lookups!$O$14,L362)-J362)/365.25,2)</f>
        <v>0.42</v>
      </c>
      <c r="AE362" t="str">
        <f t="shared" si="40"/>
        <v>&lt; 1 Yr (New)</v>
      </c>
      <c r="AF362" t="str">
        <f t="shared" si="41"/>
        <v>Exited</v>
      </c>
    </row>
    <row r="363" spans="1:32" x14ac:dyDescent="0.45">
      <c r="A363" t="s">
        <v>887</v>
      </c>
      <c r="B363" t="s">
        <v>203</v>
      </c>
      <c r="C363" t="s">
        <v>51</v>
      </c>
      <c r="D363" t="s">
        <v>50</v>
      </c>
      <c r="E363" t="s">
        <v>176</v>
      </c>
      <c r="F363" t="s">
        <v>82</v>
      </c>
      <c r="G363" t="s">
        <v>177</v>
      </c>
      <c r="H363" t="s">
        <v>111</v>
      </c>
      <c r="I363" t="s">
        <v>110</v>
      </c>
      <c r="J363" s="26">
        <v>44497</v>
      </c>
      <c r="K363" t="s">
        <v>162</v>
      </c>
      <c r="L363" s="26"/>
      <c r="M363" t="s">
        <v>163</v>
      </c>
      <c r="N363" t="s">
        <v>99</v>
      </c>
      <c r="O363" s="27">
        <v>1113000</v>
      </c>
      <c r="P363">
        <v>2</v>
      </c>
      <c r="Q363" t="s">
        <v>172</v>
      </c>
      <c r="R363">
        <v>33</v>
      </c>
      <c r="S363" t="s">
        <v>244</v>
      </c>
      <c r="T363">
        <f t="shared" si="35"/>
        <v>10697</v>
      </c>
      <c r="U363" t="str">
        <f t="shared" si="36"/>
        <v>ENG</v>
      </c>
      <c r="V363" t="str">
        <f t="shared" si="37"/>
        <v>L2</v>
      </c>
      <c r="W363" t="str">
        <f>PROPER(TRIM(VLOOKUP(S363,Employee_Lookups!$I$4:$M$19,2,FALSE())))</f>
        <v>Siddharth Nair</v>
      </c>
      <c r="X363" t="str">
        <f>VLOOKUP(C363,Employee_Lookups!$A$4:$G$9,4,FALSE())</f>
        <v>CC-101</v>
      </c>
      <c r="Y363" t="str">
        <f>INDEX(Employee_Lookups!$C$13:$C$17,MATCH(F363,Employee_Lookups!$A$13:$A$17,0))</f>
        <v>Band B (Mid)</v>
      </c>
      <c r="Z363" s="27">
        <f>_xlfn.XLOOKUP(F363,Employee_Lookups!$A$13:$A$17,Employee_Lookups!$E$13:$E$17,0)</f>
        <v>1100000</v>
      </c>
      <c r="AA363" s="28">
        <f>ROUND(O363/INDEX(Employee_Lookups!$E$13:$E$17,MATCH(F363,Employee_Lookups!$A$13:$A$17,0)),3)</f>
        <v>1.012</v>
      </c>
      <c r="AB363">
        <f t="shared" si="38"/>
        <v>2021</v>
      </c>
      <c r="AC363" t="str">
        <f t="shared" si="39"/>
        <v/>
      </c>
      <c r="AD363" s="28">
        <f>ROUND((IF(ISBLANK(L363),Employee_Lookups!$O$14,L363)-J363)/365.25,2)</f>
        <v>4.18</v>
      </c>
      <c r="AE363" t="str">
        <f t="shared" si="40"/>
        <v>3 - 5 Yrs</v>
      </c>
      <c r="AF363" t="str">
        <f t="shared" si="41"/>
        <v>Moderate Risk</v>
      </c>
    </row>
    <row r="364" spans="1:32" x14ac:dyDescent="0.45">
      <c r="A364" t="s">
        <v>888</v>
      </c>
      <c r="B364" t="s">
        <v>889</v>
      </c>
      <c r="C364" t="s">
        <v>57</v>
      </c>
      <c r="D364" t="s">
        <v>56</v>
      </c>
      <c r="E364" t="s">
        <v>455</v>
      </c>
      <c r="F364" t="s">
        <v>84</v>
      </c>
      <c r="G364" t="s">
        <v>456</v>
      </c>
      <c r="H364" t="s">
        <v>106</v>
      </c>
      <c r="I364" t="s">
        <v>107</v>
      </c>
      <c r="J364" s="26">
        <v>44497</v>
      </c>
      <c r="K364" t="s">
        <v>162</v>
      </c>
      <c r="L364" s="26"/>
      <c r="M364" t="s">
        <v>163</v>
      </c>
      <c r="N364" t="s">
        <v>97</v>
      </c>
      <c r="O364" s="27">
        <v>3205000</v>
      </c>
      <c r="P364">
        <v>5</v>
      </c>
      <c r="Q364" t="s">
        <v>164</v>
      </c>
      <c r="R364">
        <v>31</v>
      </c>
      <c r="S364" t="s">
        <v>165</v>
      </c>
      <c r="T364">
        <f t="shared" si="35"/>
        <v>11140</v>
      </c>
      <c r="U364" t="str">
        <f t="shared" si="36"/>
        <v>MKT</v>
      </c>
      <c r="V364" t="str">
        <f t="shared" si="37"/>
        <v>L4</v>
      </c>
      <c r="W364" t="str">
        <f>PROPER(TRIM(VLOOKUP(S364,Employee_Lookups!$I$4:$M$19,2,FALSE())))</f>
        <v>Arjun Sengupta</v>
      </c>
      <c r="X364" t="str">
        <f>VLOOKUP(C364,Employee_Lookups!$A$4:$G$9,4,FALSE())</f>
        <v>CC-606</v>
      </c>
      <c r="Y364" t="str">
        <f>INDEX(Employee_Lookups!$C$13:$C$17,MATCH(F364,Employee_Lookups!$A$13:$A$17,0))</f>
        <v>Band D (Leadership)</v>
      </c>
      <c r="Z364" s="27">
        <f>_xlfn.XLOOKUP(F364,Employee_Lookups!$A$13:$A$17,Employee_Lookups!$E$13:$E$17,0)</f>
        <v>2750000</v>
      </c>
      <c r="AA364" s="28">
        <f>ROUND(O364/INDEX(Employee_Lookups!$E$13:$E$17,MATCH(F364,Employee_Lookups!$A$13:$A$17,0)),3)</f>
        <v>1.165</v>
      </c>
      <c r="AB364">
        <f t="shared" si="38"/>
        <v>2021</v>
      </c>
      <c r="AC364" t="str">
        <f t="shared" si="39"/>
        <v/>
      </c>
      <c r="AD364" s="28">
        <f>ROUND((IF(ISBLANK(L364),Employee_Lookups!$O$14,L364)-J364)/365.25,2)</f>
        <v>4.18</v>
      </c>
      <c r="AE364" t="str">
        <f t="shared" si="40"/>
        <v>3 - 5 Yrs</v>
      </c>
      <c r="AF364" t="str">
        <f t="shared" si="41"/>
        <v>Low Risk</v>
      </c>
    </row>
    <row r="365" spans="1:32" x14ac:dyDescent="0.45">
      <c r="A365" t="s">
        <v>890</v>
      </c>
      <c r="B365" t="s">
        <v>891</v>
      </c>
      <c r="C365" t="s">
        <v>51</v>
      </c>
      <c r="D365" t="s">
        <v>50</v>
      </c>
      <c r="E365" t="s">
        <v>176</v>
      </c>
      <c r="F365" t="s">
        <v>82</v>
      </c>
      <c r="G365" t="s">
        <v>177</v>
      </c>
      <c r="H365" t="s">
        <v>109</v>
      </c>
      <c r="I365" t="s">
        <v>110</v>
      </c>
      <c r="J365" s="26">
        <v>44502</v>
      </c>
      <c r="K365" t="s">
        <v>162</v>
      </c>
      <c r="L365" s="26"/>
      <c r="M365" t="s">
        <v>163</v>
      </c>
      <c r="N365" t="s">
        <v>99</v>
      </c>
      <c r="O365" s="27">
        <v>1317000</v>
      </c>
      <c r="P365">
        <v>3</v>
      </c>
      <c r="Q365" t="s">
        <v>172</v>
      </c>
      <c r="R365">
        <v>45</v>
      </c>
      <c r="S365" t="s">
        <v>197</v>
      </c>
      <c r="T365">
        <f t="shared" si="35"/>
        <v>11293</v>
      </c>
      <c r="U365" t="str">
        <f t="shared" si="36"/>
        <v>ENG</v>
      </c>
      <c r="V365" t="str">
        <f t="shared" si="37"/>
        <v>L2</v>
      </c>
      <c r="W365" t="str">
        <f>PROPER(TRIM(VLOOKUP(S365,Employee_Lookups!$I$4:$M$19,2,FALSE())))</f>
        <v>Rohan Verma</v>
      </c>
      <c r="X365" t="str">
        <f>VLOOKUP(C365,Employee_Lookups!$A$4:$G$9,4,FALSE())</f>
        <v>CC-101</v>
      </c>
      <c r="Y365" t="str">
        <f>INDEX(Employee_Lookups!$C$13:$C$17,MATCH(F365,Employee_Lookups!$A$13:$A$17,0))</f>
        <v>Band B (Mid)</v>
      </c>
      <c r="Z365" s="27">
        <f>_xlfn.XLOOKUP(F365,Employee_Lookups!$A$13:$A$17,Employee_Lookups!$E$13:$E$17,0)</f>
        <v>1100000</v>
      </c>
      <c r="AA365" s="28">
        <f>ROUND(O365/INDEX(Employee_Lookups!$E$13:$E$17,MATCH(F365,Employee_Lookups!$A$13:$A$17,0)),3)</f>
        <v>1.1970000000000001</v>
      </c>
      <c r="AB365">
        <f t="shared" si="38"/>
        <v>2021</v>
      </c>
      <c r="AC365" t="str">
        <f t="shared" si="39"/>
        <v/>
      </c>
      <c r="AD365" s="28">
        <f>ROUND((IF(ISBLANK(L365),Employee_Lookups!$O$14,L365)-J365)/365.25,2)</f>
        <v>4.16</v>
      </c>
      <c r="AE365" t="str">
        <f t="shared" si="40"/>
        <v>3 - 5 Yrs</v>
      </c>
      <c r="AF365" t="str">
        <f t="shared" si="41"/>
        <v>Moderate Risk</v>
      </c>
    </row>
    <row r="366" spans="1:32" x14ac:dyDescent="0.45">
      <c r="A366" t="s">
        <v>892</v>
      </c>
      <c r="B366" t="s">
        <v>893</v>
      </c>
      <c r="C366" t="s">
        <v>51</v>
      </c>
      <c r="D366" t="s">
        <v>50</v>
      </c>
      <c r="E366" t="s">
        <v>181</v>
      </c>
      <c r="F366" t="s">
        <v>81</v>
      </c>
      <c r="G366" t="s">
        <v>182</v>
      </c>
      <c r="H366" t="s">
        <v>106</v>
      </c>
      <c r="I366" t="s">
        <v>107</v>
      </c>
      <c r="J366" s="26">
        <v>44503</v>
      </c>
      <c r="K366" t="s">
        <v>162</v>
      </c>
      <c r="L366" s="26"/>
      <c r="M366" t="s">
        <v>163</v>
      </c>
      <c r="N366" t="s">
        <v>97</v>
      </c>
      <c r="O366" s="27">
        <v>806000</v>
      </c>
      <c r="P366">
        <v>3</v>
      </c>
      <c r="Q366" t="s">
        <v>164</v>
      </c>
      <c r="R366">
        <v>24</v>
      </c>
      <c r="S366" t="s">
        <v>244</v>
      </c>
      <c r="T366">
        <f t="shared" si="35"/>
        <v>10118</v>
      </c>
      <c r="U366" t="str">
        <f t="shared" si="36"/>
        <v>ENG</v>
      </c>
      <c r="V366" t="str">
        <f t="shared" si="37"/>
        <v>L1</v>
      </c>
      <c r="W366" t="str">
        <f>PROPER(TRIM(VLOOKUP(S366,Employee_Lookups!$I$4:$M$19,2,FALSE())))</f>
        <v>Siddharth Nair</v>
      </c>
      <c r="X366" t="str">
        <f>VLOOKUP(C366,Employee_Lookups!$A$4:$G$9,4,FALSE())</f>
        <v>CC-101</v>
      </c>
      <c r="Y366" t="str">
        <f>INDEX(Employee_Lookups!$C$13:$C$17,MATCH(F366,Employee_Lookups!$A$13:$A$17,0))</f>
        <v>Band A (Entry)</v>
      </c>
      <c r="Z366" s="27">
        <f>_xlfn.XLOOKUP(F366,Employee_Lookups!$A$13:$A$17,Employee_Lookups!$E$13:$E$17,0)</f>
        <v>700000</v>
      </c>
      <c r="AA366" s="28">
        <f>ROUND(O366/INDEX(Employee_Lookups!$E$13:$E$17,MATCH(F366,Employee_Lookups!$A$13:$A$17,0)),3)</f>
        <v>1.151</v>
      </c>
      <c r="AB366">
        <f t="shared" si="38"/>
        <v>2021</v>
      </c>
      <c r="AC366" t="str">
        <f t="shared" si="39"/>
        <v/>
      </c>
      <c r="AD366" s="28">
        <f>ROUND((IF(ISBLANK(L366),Employee_Lookups!$O$14,L366)-J366)/365.25,2)</f>
        <v>4.16</v>
      </c>
      <c r="AE366" t="str">
        <f t="shared" si="40"/>
        <v>3 - 5 Yrs</v>
      </c>
      <c r="AF366" t="str">
        <f t="shared" si="41"/>
        <v>Low Risk</v>
      </c>
    </row>
    <row r="367" spans="1:32" x14ac:dyDescent="0.45">
      <c r="A367" t="s">
        <v>894</v>
      </c>
      <c r="B367" t="s">
        <v>769</v>
      </c>
      <c r="C367" t="s">
        <v>51</v>
      </c>
      <c r="D367" t="s">
        <v>50</v>
      </c>
      <c r="E367" t="s">
        <v>176</v>
      </c>
      <c r="F367" t="s">
        <v>82</v>
      </c>
      <c r="G367" t="s">
        <v>177</v>
      </c>
      <c r="H367" t="s">
        <v>112</v>
      </c>
      <c r="I367" t="s">
        <v>113</v>
      </c>
      <c r="J367" s="26">
        <v>44504</v>
      </c>
      <c r="K367" t="s">
        <v>162</v>
      </c>
      <c r="L367" s="26"/>
      <c r="M367" t="s">
        <v>163</v>
      </c>
      <c r="N367" t="s">
        <v>95</v>
      </c>
      <c r="O367" s="27">
        <v>1287000</v>
      </c>
      <c r="P367">
        <v>3</v>
      </c>
      <c r="Q367" t="s">
        <v>164</v>
      </c>
      <c r="R367">
        <v>51</v>
      </c>
      <c r="S367" t="s">
        <v>197</v>
      </c>
      <c r="T367">
        <f t="shared" si="35"/>
        <v>10154</v>
      </c>
      <c r="U367" t="str">
        <f t="shared" si="36"/>
        <v>ENG</v>
      </c>
      <c r="V367" t="str">
        <f t="shared" si="37"/>
        <v>L2</v>
      </c>
      <c r="W367" t="str">
        <f>PROPER(TRIM(VLOOKUP(S367,Employee_Lookups!$I$4:$M$19,2,FALSE())))</f>
        <v>Rohan Verma</v>
      </c>
      <c r="X367" t="str">
        <f>VLOOKUP(C367,Employee_Lookups!$A$4:$G$9,4,FALSE())</f>
        <v>CC-101</v>
      </c>
      <c r="Y367" t="str">
        <f>INDEX(Employee_Lookups!$C$13:$C$17,MATCH(F367,Employee_Lookups!$A$13:$A$17,0))</f>
        <v>Band B (Mid)</v>
      </c>
      <c r="Z367" s="27">
        <f>_xlfn.XLOOKUP(F367,Employee_Lookups!$A$13:$A$17,Employee_Lookups!$E$13:$E$17,0)</f>
        <v>1100000</v>
      </c>
      <c r="AA367" s="28">
        <f>ROUND(O367/INDEX(Employee_Lookups!$E$13:$E$17,MATCH(F367,Employee_Lookups!$A$13:$A$17,0)),3)</f>
        <v>1.17</v>
      </c>
      <c r="AB367">
        <f t="shared" si="38"/>
        <v>2021</v>
      </c>
      <c r="AC367" t="str">
        <f t="shared" si="39"/>
        <v/>
      </c>
      <c r="AD367" s="28">
        <f>ROUND((IF(ISBLANK(L367),Employee_Lookups!$O$14,L367)-J367)/365.25,2)</f>
        <v>4.16</v>
      </c>
      <c r="AE367" t="str">
        <f t="shared" si="40"/>
        <v>3 - 5 Yrs</v>
      </c>
      <c r="AF367" t="str">
        <f t="shared" si="41"/>
        <v>Low Risk</v>
      </c>
    </row>
    <row r="368" spans="1:32" x14ac:dyDescent="0.45">
      <c r="A368" t="s">
        <v>895</v>
      </c>
      <c r="B368" t="s">
        <v>658</v>
      </c>
      <c r="C368" t="s">
        <v>53</v>
      </c>
      <c r="D368" t="s">
        <v>52</v>
      </c>
      <c r="E368" t="s">
        <v>322</v>
      </c>
      <c r="F368" t="s">
        <v>81</v>
      </c>
      <c r="G368" t="s">
        <v>323</v>
      </c>
      <c r="H368" t="s">
        <v>112</v>
      </c>
      <c r="I368" t="s">
        <v>113</v>
      </c>
      <c r="J368" s="26">
        <v>44504</v>
      </c>
      <c r="K368" t="s">
        <v>162</v>
      </c>
      <c r="L368" s="26"/>
      <c r="M368" t="s">
        <v>163</v>
      </c>
      <c r="N368" t="s">
        <v>99</v>
      </c>
      <c r="O368" s="27">
        <v>704000</v>
      </c>
      <c r="P368">
        <v>4</v>
      </c>
      <c r="Q368" t="s">
        <v>164</v>
      </c>
      <c r="R368">
        <v>51</v>
      </c>
      <c r="S368" t="s">
        <v>189</v>
      </c>
      <c r="T368">
        <f t="shared" si="35"/>
        <v>10930</v>
      </c>
      <c r="U368" t="str">
        <f t="shared" si="36"/>
        <v>SAL</v>
      </c>
      <c r="V368" t="str">
        <f t="shared" si="37"/>
        <v>L1</v>
      </c>
      <c r="W368" t="str">
        <f>PROPER(TRIM(VLOOKUP(S368,Employee_Lookups!$I$4:$M$19,2,FALSE())))</f>
        <v>Priya Sharma</v>
      </c>
      <c r="X368" t="str">
        <f>VLOOKUP(C368,Employee_Lookups!$A$4:$G$9,4,FALSE())</f>
        <v>CC-202</v>
      </c>
      <c r="Y368" t="str">
        <f>INDEX(Employee_Lookups!$C$13:$C$17,MATCH(F368,Employee_Lookups!$A$13:$A$17,0))</f>
        <v>Band A (Entry)</v>
      </c>
      <c r="Z368" s="27">
        <f>_xlfn.XLOOKUP(F368,Employee_Lookups!$A$13:$A$17,Employee_Lookups!$E$13:$E$17,0)</f>
        <v>700000</v>
      </c>
      <c r="AA368" s="28">
        <f>ROUND(O368/INDEX(Employee_Lookups!$E$13:$E$17,MATCH(F368,Employee_Lookups!$A$13:$A$17,0)),3)</f>
        <v>1.006</v>
      </c>
      <c r="AB368">
        <f t="shared" si="38"/>
        <v>2021</v>
      </c>
      <c r="AC368" t="str">
        <f t="shared" si="39"/>
        <v/>
      </c>
      <c r="AD368" s="28">
        <f>ROUND((IF(ISBLANK(L368),Employee_Lookups!$O$14,L368)-J368)/365.25,2)</f>
        <v>4.16</v>
      </c>
      <c r="AE368" t="str">
        <f t="shared" si="40"/>
        <v>3 - 5 Yrs</v>
      </c>
      <c r="AF368" t="str">
        <f t="shared" si="41"/>
        <v>Low Risk</v>
      </c>
    </row>
    <row r="369" spans="1:32" x14ac:dyDescent="0.45">
      <c r="A369" t="s">
        <v>896</v>
      </c>
      <c r="B369" t="s">
        <v>897</v>
      </c>
      <c r="C369" t="s">
        <v>55</v>
      </c>
      <c r="D369" t="s">
        <v>54</v>
      </c>
      <c r="E369" t="s">
        <v>277</v>
      </c>
      <c r="F369" t="s">
        <v>81</v>
      </c>
      <c r="G369" t="s">
        <v>278</v>
      </c>
      <c r="H369" t="s">
        <v>112</v>
      </c>
      <c r="I369" t="s">
        <v>113</v>
      </c>
      <c r="J369" s="26">
        <v>44506</v>
      </c>
      <c r="K369" t="s">
        <v>170</v>
      </c>
      <c r="L369" s="26">
        <v>45400</v>
      </c>
      <c r="M369" t="s">
        <v>171</v>
      </c>
      <c r="N369" t="s">
        <v>99</v>
      </c>
      <c r="O369" s="27">
        <v>606000</v>
      </c>
      <c r="P369">
        <v>5</v>
      </c>
      <c r="Q369" t="s">
        <v>172</v>
      </c>
      <c r="R369">
        <v>47</v>
      </c>
      <c r="S369" t="s">
        <v>262</v>
      </c>
      <c r="T369">
        <f t="shared" si="35"/>
        <v>10736</v>
      </c>
      <c r="U369" t="str">
        <f t="shared" si="36"/>
        <v>OPS</v>
      </c>
      <c r="V369" t="str">
        <f t="shared" si="37"/>
        <v>L1</v>
      </c>
      <c r="W369" t="str">
        <f>PROPER(TRIM(VLOOKUP(S369,Employee_Lookups!$I$4:$M$19,2,FALSE())))</f>
        <v>Ananya Iyer</v>
      </c>
      <c r="X369" t="str">
        <f>VLOOKUP(C369,Employee_Lookups!$A$4:$G$9,4,FALSE())</f>
        <v>CC-303</v>
      </c>
      <c r="Y369" t="str">
        <f>INDEX(Employee_Lookups!$C$13:$C$17,MATCH(F369,Employee_Lookups!$A$13:$A$17,0))</f>
        <v>Band A (Entry)</v>
      </c>
      <c r="Z369" s="27">
        <f>_xlfn.XLOOKUP(F369,Employee_Lookups!$A$13:$A$17,Employee_Lookups!$E$13:$E$17,0)</f>
        <v>700000</v>
      </c>
      <c r="AA369" s="28">
        <f>ROUND(O369/INDEX(Employee_Lookups!$E$13:$E$17,MATCH(F369,Employee_Lookups!$A$13:$A$17,0)),3)</f>
        <v>0.86599999999999999</v>
      </c>
      <c r="AB369">
        <f t="shared" si="38"/>
        <v>2021</v>
      </c>
      <c r="AC369">
        <f t="shared" si="39"/>
        <v>2024</v>
      </c>
      <c r="AD369" s="28">
        <f>ROUND((IF(ISBLANK(L369),Employee_Lookups!$O$14,L369)-J369)/365.25,2)</f>
        <v>2.4500000000000002</v>
      </c>
      <c r="AE369" t="str">
        <f t="shared" si="40"/>
        <v>1 - 3 Yrs</v>
      </c>
      <c r="AF369" t="str">
        <f t="shared" si="41"/>
        <v>Exited</v>
      </c>
    </row>
    <row r="370" spans="1:32" x14ac:dyDescent="0.45">
      <c r="A370" t="s">
        <v>898</v>
      </c>
      <c r="B370" t="s">
        <v>899</v>
      </c>
      <c r="C370" t="s">
        <v>51</v>
      </c>
      <c r="D370" t="s">
        <v>50</v>
      </c>
      <c r="E370" t="s">
        <v>176</v>
      </c>
      <c r="F370" t="s">
        <v>82</v>
      </c>
      <c r="G370" t="s">
        <v>177</v>
      </c>
      <c r="H370" t="s">
        <v>106</v>
      </c>
      <c r="I370" t="s">
        <v>107</v>
      </c>
      <c r="J370" s="26">
        <v>44507</v>
      </c>
      <c r="K370" t="s">
        <v>187</v>
      </c>
      <c r="L370" s="26">
        <v>44767</v>
      </c>
      <c r="M370" t="s">
        <v>188</v>
      </c>
      <c r="N370" t="s">
        <v>96</v>
      </c>
      <c r="O370" s="27">
        <v>946000</v>
      </c>
      <c r="P370">
        <v>5</v>
      </c>
      <c r="Q370" t="s">
        <v>172</v>
      </c>
      <c r="R370">
        <v>53</v>
      </c>
      <c r="S370" t="s">
        <v>197</v>
      </c>
      <c r="T370">
        <f t="shared" si="35"/>
        <v>10714</v>
      </c>
      <c r="U370" t="str">
        <f t="shared" si="36"/>
        <v>ENG</v>
      </c>
      <c r="V370" t="str">
        <f t="shared" si="37"/>
        <v>L2</v>
      </c>
      <c r="W370" t="str">
        <f>PROPER(TRIM(VLOOKUP(S370,Employee_Lookups!$I$4:$M$19,2,FALSE())))</f>
        <v>Rohan Verma</v>
      </c>
      <c r="X370" t="str">
        <f>VLOOKUP(C370,Employee_Lookups!$A$4:$G$9,4,FALSE())</f>
        <v>CC-101</v>
      </c>
      <c r="Y370" t="str">
        <f>INDEX(Employee_Lookups!$C$13:$C$17,MATCH(F370,Employee_Lookups!$A$13:$A$17,0))</f>
        <v>Band B (Mid)</v>
      </c>
      <c r="Z370" s="27">
        <f>_xlfn.XLOOKUP(F370,Employee_Lookups!$A$13:$A$17,Employee_Lookups!$E$13:$E$17,0)</f>
        <v>1100000</v>
      </c>
      <c r="AA370" s="28">
        <f>ROUND(O370/INDEX(Employee_Lookups!$E$13:$E$17,MATCH(F370,Employee_Lookups!$A$13:$A$17,0)),3)</f>
        <v>0.86</v>
      </c>
      <c r="AB370">
        <f t="shared" si="38"/>
        <v>2021</v>
      </c>
      <c r="AC370">
        <f t="shared" si="39"/>
        <v>2022</v>
      </c>
      <c r="AD370" s="28">
        <f>ROUND((IF(ISBLANK(L370),Employee_Lookups!$O$14,L370)-J370)/365.25,2)</f>
        <v>0.71</v>
      </c>
      <c r="AE370" t="str">
        <f t="shared" si="40"/>
        <v>&lt; 1 Yr (New)</v>
      </c>
      <c r="AF370" t="str">
        <f t="shared" si="41"/>
        <v>Exited</v>
      </c>
    </row>
    <row r="371" spans="1:32" x14ac:dyDescent="0.45">
      <c r="A371" t="s">
        <v>900</v>
      </c>
      <c r="B371" t="s">
        <v>901</v>
      </c>
      <c r="C371" t="s">
        <v>59</v>
      </c>
      <c r="D371" t="s">
        <v>58</v>
      </c>
      <c r="E371" t="s">
        <v>211</v>
      </c>
      <c r="F371" t="s">
        <v>82</v>
      </c>
      <c r="G371" t="s">
        <v>212</v>
      </c>
      <c r="H371" t="s">
        <v>108</v>
      </c>
      <c r="I371" t="s">
        <v>107</v>
      </c>
      <c r="J371" s="26">
        <v>44508</v>
      </c>
      <c r="K371" t="s">
        <v>162</v>
      </c>
      <c r="L371" s="26"/>
      <c r="M371" t="s">
        <v>163</v>
      </c>
      <c r="N371" t="s">
        <v>99</v>
      </c>
      <c r="O371" s="27">
        <v>1027000</v>
      </c>
      <c r="P371">
        <v>3</v>
      </c>
      <c r="Q371" t="s">
        <v>164</v>
      </c>
      <c r="R371">
        <v>33</v>
      </c>
      <c r="S371" t="s">
        <v>208</v>
      </c>
      <c r="T371">
        <f t="shared" si="35"/>
        <v>10043</v>
      </c>
      <c r="U371" t="str">
        <f t="shared" si="36"/>
        <v>FIN</v>
      </c>
      <c r="V371" t="str">
        <f t="shared" si="37"/>
        <v>L2</v>
      </c>
      <c r="W371" t="str">
        <f>PROPER(TRIM(VLOOKUP(S371,Employee_Lookups!$I$4:$M$19,2,FALSE())))</f>
        <v>Rajeshwari Rao</v>
      </c>
      <c r="X371" t="str">
        <f>VLOOKUP(C371,Employee_Lookups!$A$4:$G$9,4,FALSE())</f>
        <v>CC-404</v>
      </c>
      <c r="Y371" t="str">
        <f>INDEX(Employee_Lookups!$C$13:$C$17,MATCH(F371,Employee_Lookups!$A$13:$A$17,0))</f>
        <v>Band B (Mid)</v>
      </c>
      <c r="Z371" s="27">
        <f>_xlfn.XLOOKUP(F371,Employee_Lookups!$A$13:$A$17,Employee_Lookups!$E$13:$E$17,0)</f>
        <v>1100000</v>
      </c>
      <c r="AA371" s="28">
        <f>ROUND(O371/INDEX(Employee_Lookups!$E$13:$E$17,MATCH(F371,Employee_Lookups!$A$13:$A$17,0)),3)</f>
        <v>0.93400000000000005</v>
      </c>
      <c r="AB371">
        <f t="shared" si="38"/>
        <v>2021</v>
      </c>
      <c r="AC371" t="str">
        <f t="shared" si="39"/>
        <v/>
      </c>
      <c r="AD371" s="28">
        <f>ROUND((IF(ISBLANK(L371),Employee_Lookups!$O$14,L371)-J371)/365.25,2)</f>
        <v>4.1500000000000004</v>
      </c>
      <c r="AE371" t="str">
        <f t="shared" si="40"/>
        <v>3 - 5 Yrs</v>
      </c>
      <c r="AF371" t="str">
        <f t="shared" si="41"/>
        <v>Low Risk</v>
      </c>
    </row>
    <row r="372" spans="1:32" x14ac:dyDescent="0.45">
      <c r="A372" t="s">
        <v>902</v>
      </c>
      <c r="B372" t="s">
        <v>903</v>
      </c>
      <c r="C372" t="s">
        <v>55</v>
      </c>
      <c r="D372" t="s">
        <v>54</v>
      </c>
      <c r="E372" t="s">
        <v>277</v>
      </c>
      <c r="F372" t="s">
        <v>81</v>
      </c>
      <c r="G372" t="s">
        <v>278</v>
      </c>
      <c r="H372" t="s">
        <v>109</v>
      </c>
      <c r="I372" t="s">
        <v>110</v>
      </c>
      <c r="J372" s="26">
        <v>44510</v>
      </c>
      <c r="K372" t="s">
        <v>162</v>
      </c>
      <c r="L372" s="26"/>
      <c r="M372" t="s">
        <v>163</v>
      </c>
      <c r="N372" t="s">
        <v>98</v>
      </c>
      <c r="O372" s="27">
        <v>831000</v>
      </c>
      <c r="P372">
        <v>2</v>
      </c>
      <c r="Q372" t="s">
        <v>164</v>
      </c>
      <c r="R372">
        <v>15</v>
      </c>
      <c r="S372" t="s">
        <v>274</v>
      </c>
      <c r="T372">
        <f t="shared" si="35"/>
        <v>10732</v>
      </c>
      <c r="U372" t="str">
        <f t="shared" si="36"/>
        <v>OPS</v>
      </c>
      <c r="V372" t="str">
        <f t="shared" si="37"/>
        <v>L1</v>
      </c>
      <c r="W372" t="str">
        <f>PROPER(TRIM(VLOOKUP(S372,Employee_Lookups!$I$4:$M$19,2,FALSE())))</f>
        <v>Meera Krishnan</v>
      </c>
      <c r="X372" t="str">
        <f>VLOOKUP(C372,Employee_Lookups!$A$4:$G$9,4,FALSE())</f>
        <v>CC-303</v>
      </c>
      <c r="Y372" t="str">
        <f>INDEX(Employee_Lookups!$C$13:$C$17,MATCH(F372,Employee_Lookups!$A$13:$A$17,0))</f>
        <v>Band A (Entry)</v>
      </c>
      <c r="Z372" s="27">
        <f>_xlfn.XLOOKUP(F372,Employee_Lookups!$A$13:$A$17,Employee_Lookups!$E$13:$E$17,0)</f>
        <v>700000</v>
      </c>
      <c r="AA372" s="28">
        <f>ROUND(O372/INDEX(Employee_Lookups!$E$13:$E$17,MATCH(F372,Employee_Lookups!$A$13:$A$17,0)),3)</f>
        <v>1.1870000000000001</v>
      </c>
      <c r="AB372">
        <f t="shared" si="38"/>
        <v>2021</v>
      </c>
      <c r="AC372" t="str">
        <f t="shared" si="39"/>
        <v/>
      </c>
      <c r="AD372" s="28">
        <f>ROUND((IF(ISBLANK(L372),Employee_Lookups!$O$14,L372)-J372)/365.25,2)</f>
        <v>4.1399999999999997</v>
      </c>
      <c r="AE372" t="str">
        <f t="shared" si="40"/>
        <v>3 - 5 Yrs</v>
      </c>
      <c r="AF372" t="str">
        <f t="shared" si="41"/>
        <v>Moderate Risk</v>
      </c>
    </row>
    <row r="373" spans="1:32" x14ac:dyDescent="0.45">
      <c r="A373" t="s">
        <v>904</v>
      </c>
      <c r="B373" t="s">
        <v>664</v>
      </c>
      <c r="C373" t="s">
        <v>55</v>
      </c>
      <c r="D373" t="s">
        <v>54</v>
      </c>
      <c r="E373" t="s">
        <v>240</v>
      </c>
      <c r="F373" t="s">
        <v>83</v>
      </c>
      <c r="G373" t="s">
        <v>241</v>
      </c>
      <c r="H373" t="s">
        <v>106</v>
      </c>
      <c r="I373" t="s">
        <v>107</v>
      </c>
      <c r="J373" s="26">
        <v>44514</v>
      </c>
      <c r="K373" t="s">
        <v>162</v>
      </c>
      <c r="L373" s="26"/>
      <c r="M373" t="s">
        <v>163</v>
      </c>
      <c r="N373" t="s">
        <v>95</v>
      </c>
      <c r="O373" s="27">
        <v>1735000</v>
      </c>
      <c r="P373">
        <v>5</v>
      </c>
      <c r="Q373" t="s">
        <v>172</v>
      </c>
      <c r="R373">
        <v>8</v>
      </c>
      <c r="S373" t="s">
        <v>173</v>
      </c>
      <c r="T373">
        <f t="shared" si="35"/>
        <v>10932</v>
      </c>
      <c r="U373" t="str">
        <f t="shared" si="36"/>
        <v>OPS</v>
      </c>
      <c r="V373" t="str">
        <f t="shared" si="37"/>
        <v>L3</v>
      </c>
      <c r="W373" t="str">
        <f>PROPER(TRIM(VLOOKUP(S373,Employee_Lookups!$I$4:$M$19,2,FALSE())))</f>
        <v>Deepak Patil</v>
      </c>
      <c r="X373" t="str">
        <f>VLOOKUP(C373,Employee_Lookups!$A$4:$G$9,4,FALSE())</f>
        <v>CC-303</v>
      </c>
      <c r="Y373" t="str">
        <f>INDEX(Employee_Lookups!$C$13:$C$17,MATCH(F373,Employee_Lookups!$A$13:$A$17,0))</f>
        <v>Band C (Senior)</v>
      </c>
      <c r="Z373" s="27">
        <f>_xlfn.XLOOKUP(F373,Employee_Lookups!$A$13:$A$17,Employee_Lookups!$E$13:$E$17,0)</f>
        <v>1725000</v>
      </c>
      <c r="AA373" s="28">
        <f>ROUND(O373/INDEX(Employee_Lookups!$E$13:$E$17,MATCH(F373,Employee_Lookups!$A$13:$A$17,0)),3)</f>
        <v>1.006</v>
      </c>
      <c r="AB373">
        <f t="shared" si="38"/>
        <v>2021</v>
      </c>
      <c r="AC373" t="str">
        <f t="shared" si="39"/>
        <v/>
      </c>
      <c r="AD373" s="28">
        <f>ROUND((IF(ISBLANK(L373),Employee_Lookups!$O$14,L373)-J373)/365.25,2)</f>
        <v>4.13</v>
      </c>
      <c r="AE373" t="str">
        <f t="shared" si="40"/>
        <v>3 - 5 Yrs</v>
      </c>
      <c r="AF373" t="str">
        <f t="shared" si="41"/>
        <v>High Risk</v>
      </c>
    </row>
    <row r="374" spans="1:32" x14ac:dyDescent="0.45">
      <c r="A374" t="s">
        <v>905</v>
      </c>
      <c r="B374" t="s">
        <v>266</v>
      </c>
      <c r="C374" t="s">
        <v>55</v>
      </c>
      <c r="D374" t="s">
        <v>54</v>
      </c>
      <c r="E374" t="s">
        <v>168</v>
      </c>
      <c r="F374" t="s">
        <v>84</v>
      </c>
      <c r="G374" t="s">
        <v>169</v>
      </c>
      <c r="H374" t="s">
        <v>111</v>
      </c>
      <c r="I374" t="s">
        <v>110</v>
      </c>
      <c r="J374" s="26">
        <v>44515</v>
      </c>
      <c r="K374" t="s">
        <v>162</v>
      </c>
      <c r="L374" s="26"/>
      <c r="M374" t="s">
        <v>163</v>
      </c>
      <c r="N374" t="s">
        <v>99</v>
      </c>
      <c r="O374" s="27">
        <v>2468000</v>
      </c>
      <c r="P374">
        <v>3</v>
      </c>
      <c r="Q374" t="s">
        <v>172</v>
      </c>
      <c r="R374">
        <v>17</v>
      </c>
      <c r="S374" t="s">
        <v>173</v>
      </c>
      <c r="T374">
        <f t="shared" si="35"/>
        <v>11133</v>
      </c>
      <c r="U374" t="str">
        <f t="shared" si="36"/>
        <v>OPS</v>
      </c>
      <c r="V374" t="str">
        <f t="shared" si="37"/>
        <v>L4</v>
      </c>
      <c r="W374" t="str">
        <f>PROPER(TRIM(VLOOKUP(S374,Employee_Lookups!$I$4:$M$19,2,FALSE())))</f>
        <v>Deepak Patil</v>
      </c>
      <c r="X374" t="str">
        <f>VLOOKUP(C374,Employee_Lookups!$A$4:$G$9,4,FALSE())</f>
        <v>CC-303</v>
      </c>
      <c r="Y374" t="str">
        <f>INDEX(Employee_Lookups!$C$13:$C$17,MATCH(F374,Employee_Lookups!$A$13:$A$17,0))</f>
        <v>Band D (Leadership)</v>
      </c>
      <c r="Z374" s="27">
        <f>_xlfn.XLOOKUP(F374,Employee_Lookups!$A$13:$A$17,Employee_Lookups!$E$13:$E$17,0)</f>
        <v>2750000</v>
      </c>
      <c r="AA374" s="28">
        <f>ROUND(O374/INDEX(Employee_Lookups!$E$13:$E$17,MATCH(F374,Employee_Lookups!$A$13:$A$17,0)),3)</f>
        <v>0.89700000000000002</v>
      </c>
      <c r="AB374">
        <f t="shared" si="38"/>
        <v>2021</v>
      </c>
      <c r="AC374" t="str">
        <f t="shared" si="39"/>
        <v/>
      </c>
      <c r="AD374" s="28">
        <f>ROUND((IF(ISBLANK(L374),Employee_Lookups!$O$14,L374)-J374)/365.25,2)</f>
        <v>4.13</v>
      </c>
      <c r="AE374" t="str">
        <f t="shared" si="40"/>
        <v>3 - 5 Yrs</v>
      </c>
      <c r="AF374" t="str">
        <f t="shared" si="41"/>
        <v>High Risk</v>
      </c>
    </row>
    <row r="375" spans="1:32" x14ac:dyDescent="0.45">
      <c r="A375" t="s">
        <v>906</v>
      </c>
      <c r="B375" t="s">
        <v>907</v>
      </c>
      <c r="C375" t="s">
        <v>51</v>
      </c>
      <c r="D375" t="s">
        <v>50</v>
      </c>
      <c r="E375" t="s">
        <v>181</v>
      </c>
      <c r="F375" t="s">
        <v>81</v>
      </c>
      <c r="G375" t="s">
        <v>182</v>
      </c>
      <c r="H375" t="s">
        <v>106</v>
      </c>
      <c r="I375" t="s">
        <v>107</v>
      </c>
      <c r="J375" s="26">
        <v>44517</v>
      </c>
      <c r="K375" t="s">
        <v>162</v>
      </c>
      <c r="L375" s="26"/>
      <c r="M375" t="s">
        <v>163</v>
      </c>
      <c r="N375" t="s">
        <v>97</v>
      </c>
      <c r="O375" s="27">
        <v>630000</v>
      </c>
      <c r="P375">
        <v>2</v>
      </c>
      <c r="Q375" t="s">
        <v>164</v>
      </c>
      <c r="R375">
        <v>25</v>
      </c>
      <c r="S375" t="s">
        <v>244</v>
      </c>
      <c r="T375">
        <f t="shared" si="35"/>
        <v>11329</v>
      </c>
      <c r="U375" t="str">
        <f t="shared" si="36"/>
        <v>ENG</v>
      </c>
      <c r="V375" t="str">
        <f t="shared" si="37"/>
        <v>L1</v>
      </c>
      <c r="W375" t="str">
        <f>PROPER(TRIM(VLOOKUP(S375,Employee_Lookups!$I$4:$M$19,2,FALSE())))</f>
        <v>Siddharth Nair</v>
      </c>
      <c r="X375" t="str">
        <f>VLOOKUP(C375,Employee_Lookups!$A$4:$G$9,4,FALSE())</f>
        <v>CC-101</v>
      </c>
      <c r="Y375" t="str">
        <f>INDEX(Employee_Lookups!$C$13:$C$17,MATCH(F375,Employee_Lookups!$A$13:$A$17,0))</f>
        <v>Band A (Entry)</v>
      </c>
      <c r="Z375" s="27">
        <f>_xlfn.XLOOKUP(F375,Employee_Lookups!$A$13:$A$17,Employee_Lookups!$E$13:$E$17,0)</f>
        <v>700000</v>
      </c>
      <c r="AA375" s="28">
        <f>ROUND(O375/INDEX(Employee_Lookups!$E$13:$E$17,MATCH(F375,Employee_Lookups!$A$13:$A$17,0)),3)</f>
        <v>0.9</v>
      </c>
      <c r="AB375">
        <f t="shared" si="38"/>
        <v>2021</v>
      </c>
      <c r="AC375" t="str">
        <f t="shared" si="39"/>
        <v/>
      </c>
      <c r="AD375" s="28">
        <f>ROUND((IF(ISBLANK(L375),Employee_Lookups!$O$14,L375)-J375)/365.25,2)</f>
        <v>4.12</v>
      </c>
      <c r="AE375" t="str">
        <f t="shared" si="40"/>
        <v>3 - 5 Yrs</v>
      </c>
      <c r="AF375" t="str">
        <f t="shared" si="41"/>
        <v>Moderate Risk</v>
      </c>
    </row>
    <row r="376" spans="1:32" x14ac:dyDescent="0.45">
      <c r="A376" t="s">
        <v>908</v>
      </c>
      <c r="B376" t="s">
        <v>909</v>
      </c>
      <c r="C376" t="s">
        <v>55</v>
      </c>
      <c r="D376" t="s">
        <v>54</v>
      </c>
      <c r="E376" t="s">
        <v>229</v>
      </c>
      <c r="F376" t="s">
        <v>82</v>
      </c>
      <c r="G376" t="s">
        <v>230</v>
      </c>
      <c r="H376" t="s">
        <v>106</v>
      </c>
      <c r="I376" t="s">
        <v>107</v>
      </c>
      <c r="J376" s="26">
        <v>44518</v>
      </c>
      <c r="K376" t="s">
        <v>162</v>
      </c>
      <c r="L376" s="26"/>
      <c r="M376" t="s">
        <v>163</v>
      </c>
      <c r="N376" t="s">
        <v>98</v>
      </c>
      <c r="O376" s="27">
        <v>1334000</v>
      </c>
      <c r="P376">
        <v>3</v>
      </c>
      <c r="Q376" t="s">
        <v>164</v>
      </c>
      <c r="R376">
        <v>21</v>
      </c>
      <c r="S376" t="s">
        <v>262</v>
      </c>
      <c r="T376">
        <f t="shared" si="35"/>
        <v>10028</v>
      </c>
      <c r="U376" t="str">
        <f t="shared" si="36"/>
        <v>OPS</v>
      </c>
      <c r="V376" t="str">
        <f t="shared" si="37"/>
        <v>L2</v>
      </c>
      <c r="W376" t="str">
        <f>PROPER(TRIM(VLOOKUP(S376,Employee_Lookups!$I$4:$M$19,2,FALSE())))</f>
        <v>Ananya Iyer</v>
      </c>
      <c r="X376" t="str">
        <f>VLOOKUP(C376,Employee_Lookups!$A$4:$G$9,4,FALSE())</f>
        <v>CC-303</v>
      </c>
      <c r="Y376" t="str">
        <f>INDEX(Employee_Lookups!$C$13:$C$17,MATCH(F376,Employee_Lookups!$A$13:$A$17,0))</f>
        <v>Band B (Mid)</v>
      </c>
      <c r="Z376" s="27">
        <f>_xlfn.XLOOKUP(F376,Employee_Lookups!$A$13:$A$17,Employee_Lookups!$E$13:$E$17,0)</f>
        <v>1100000</v>
      </c>
      <c r="AA376" s="28">
        <f>ROUND(O376/INDEX(Employee_Lookups!$E$13:$E$17,MATCH(F376,Employee_Lookups!$A$13:$A$17,0)),3)</f>
        <v>1.2130000000000001</v>
      </c>
      <c r="AB376">
        <f t="shared" si="38"/>
        <v>2021</v>
      </c>
      <c r="AC376" t="str">
        <f t="shared" si="39"/>
        <v/>
      </c>
      <c r="AD376" s="28">
        <f>ROUND((IF(ISBLANK(L376),Employee_Lookups!$O$14,L376)-J376)/365.25,2)</f>
        <v>4.12</v>
      </c>
      <c r="AE376" t="str">
        <f t="shared" si="40"/>
        <v>3 - 5 Yrs</v>
      </c>
      <c r="AF376" t="str">
        <f t="shared" si="41"/>
        <v>Low Risk</v>
      </c>
    </row>
    <row r="377" spans="1:32" x14ac:dyDescent="0.45">
      <c r="A377" t="s">
        <v>910</v>
      </c>
      <c r="B377" t="s">
        <v>415</v>
      </c>
      <c r="C377" t="s">
        <v>51</v>
      </c>
      <c r="D377" t="s">
        <v>50</v>
      </c>
      <c r="E377" t="s">
        <v>176</v>
      </c>
      <c r="F377" t="s">
        <v>82</v>
      </c>
      <c r="G377" t="s">
        <v>177</v>
      </c>
      <c r="H377" t="s">
        <v>106</v>
      </c>
      <c r="I377" t="s">
        <v>107</v>
      </c>
      <c r="J377" s="26">
        <v>44518</v>
      </c>
      <c r="K377" t="s">
        <v>170</v>
      </c>
      <c r="L377" s="26">
        <v>44850</v>
      </c>
      <c r="M377" t="s">
        <v>171</v>
      </c>
      <c r="N377" t="s">
        <v>95</v>
      </c>
      <c r="O377" s="27">
        <v>1186000</v>
      </c>
      <c r="P377">
        <v>2</v>
      </c>
      <c r="Q377" t="s">
        <v>172</v>
      </c>
      <c r="R377">
        <v>28</v>
      </c>
      <c r="S377" t="s">
        <v>244</v>
      </c>
      <c r="T377">
        <f t="shared" si="35"/>
        <v>10532</v>
      </c>
      <c r="U377" t="str">
        <f t="shared" si="36"/>
        <v>ENG</v>
      </c>
      <c r="V377" t="str">
        <f t="shared" si="37"/>
        <v>L2</v>
      </c>
      <c r="W377" t="str">
        <f>PROPER(TRIM(VLOOKUP(S377,Employee_Lookups!$I$4:$M$19,2,FALSE())))</f>
        <v>Siddharth Nair</v>
      </c>
      <c r="X377" t="str">
        <f>VLOOKUP(C377,Employee_Lookups!$A$4:$G$9,4,FALSE())</f>
        <v>CC-101</v>
      </c>
      <c r="Y377" t="str">
        <f>INDEX(Employee_Lookups!$C$13:$C$17,MATCH(F377,Employee_Lookups!$A$13:$A$17,0))</f>
        <v>Band B (Mid)</v>
      </c>
      <c r="Z377" s="27">
        <f>_xlfn.XLOOKUP(F377,Employee_Lookups!$A$13:$A$17,Employee_Lookups!$E$13:$E$17,0)</f>
        <v>1100000</v>
      </c>
      <c r="AA377" s="28">
        <f>ROUND(O377/INDEX(Employee_Lookups!$E$13:$E$17,MATCH(F377,Employee_Lookups!$A$13:$A$17,0)),3)</f>
        <v>1.0780000000000001</v>
      </c>
      <c r="AB377">
        <f t="shared" si="38"/>
        <v>2021</v>
      </c>
      <c r="AC377">
        <f t="shared" si="39"/>
        <v>2022</v>
      </c>
      <c r="AD377" s="28">
        <f>ROUND((IF(ISBLANK(L377),Employee_Lookups!$O$14,L377)-J377)/365.25,2)</f>
        <v>0.91</v>
      </c>
      <c r="AE377" t="str">
        <f t="shared" si="40"/>
        <v>&lt; 1 Yr (New)</v>
      </c>
      <c r="AF377" t="str">
        <f t="shared" si="41"/>
        <v>Exited</v>
      </c>
    </row>
    <row r="378" spans="1:32" x14ac:dyDescent="0.45">
      <c r="A378" t="s">
        <v>911</v>
      </c>
      <c r="B378" t="s">
        <v>912</v>
      </c>
      <c r="C378" t="s">
        <v>59</v>
      </c>
      <c r="D378" t="s">
        <v>58</v>
      </c>
      <c r="E378" t="s">
        <v>211</v>
      </c>
      <c r="F378" t="s">
        <v>82</v>
      </c>
      <c r="G378" t="s">
        <v>212</v>
      </c>
      <c r="H378" t="s">
        <v>109</v>
      </c>
      <c r="I378" t="s">
        <v>110</v>
      </c>
      <c r="J378" s="26">
        <v>44518</v>
      </c>
      <c r="K378" t="s">
        <v>162</v>
      </c>
      <c r="L378" s="26"/>
      <c r="M378" t="s">
        <v>163</v>
      </c>
      <c r="N378" t="s">
        <v>99</v>
      </c>
      <c r="O378" s="27">
        <v>1088000</v>
      </c>
      <c r="P378">
        <v>3</v>
      </c>
      <c r="Q378" t="s">
        <v>164</v>
      </c>
      <c r="R378">
        <v>40</v>
      </c>
      <c r="S378" t="s">
        <v>208</v>
      </c>
      <c r="T378">
        <f t="shared" si="35"/>
        <v>10453</v>
      </c>
      <c r="U378" t="str">
        <f t="shared" si="36"/>
        <v>FIN</v>
      </c>
      <c r="V378" t="str">
        <f t="shared" si="37"/>
        <v>L2</v>
      </c>
      <c r="W378" t="str">
        <f>PROPER(TRIM(VLOOKUP(S378,Employee_Lookups!$I$4:$M$19,2,FALSE())))</f>
        <v>Rajeshwari Rao</v>
      </c>
      <c r="X378" t="str">
        <f>VLOOKUP(C378,Employee_Lookups!$A$4:$G$9,4,FALSE())</f>
        <v>CC-404</v>
      </c>
      <c r="Y378" t="str">
        <f>INDEX(Employee_Lookups!$C$13:$C$17,MATCH(F378,Employee_Lookups!$A$13:$A$17,0))</f>
        <v>Band B (Mid)</v>
      </c>
      <c r="Z378" s="27">
        <f>_xlfn.XLOOKUP(F378,Employee_Lookups!$A$13:$A$17,Employee_Lookups!$E$13:$E$17,0)</f>
        <v>1100000</v>
      </c>
      <c r="AA378" s="28">
        <f>ROUND(O378/INDEX(Employee_Lookups!$E$13:$E$17,MATCH(F378,Employee_Lookups!$A$13:$A$17,0)),3)</f>
        <v>0.98899999999999999</v>
      </c>
      <c r="AB378">
        <f t="shared" si="38"/>
        <v>2021</v>
      </c>
      <c r="AC378" t="str">
        <f t="shared" si="39"/>
        <v/>
      </c>
      <c r="AD378" s="28">
        <f>ROUND((IF(ISBLANK(L378),Employee_Lookups!$O$14,L378)-J378)/365.25,2)</f>
        <v>4.12</v>
      </c>
      <c r="AE378" t="str">
        <f t="shared" si="40"/>
        <v>3 - 5 Yrs</v>
      </c>
      <c r="AF378" t="str">
        <f t="shared" si="41"/>
        <v>Low Risk</v>
      </c>
    </row>
    <row r="379" spans="1:32" x14ac:dyDescent="0.45">
      <c r="A379" t="s">
        <v>913</v>
      </c>
      <c r="B379" t="s">
        <v>914</v>
      </c>
      <c r="C379" t="s">
        <v>51</v>
      </c>
      <c r="D379" t="s">
        <v>50</v>
      </c>
      <c r="E379" t="s">
        <v>176</v>
      </c>
      <c r="F379" t="s">
        <v>82</v>
      </c>
      <c r="G379" t="s">
        <v>177</v>
      </c>
      <c r="H379" t="s">
        <v>109</v>
      </c>
      <c r="I379" t="s">
        <v>110</v>
      </c>
      <c r="J379" s="26">
        <v>44519</v>
      </c>
      <c r="K379" t="s">
        <v>162</v>
      </c>
      <c r="L379" s="26"/>
      <c r="M379" t="s">
        <v>163</v>
      </c>
      <c r="N379" t="s">
        <v>99</v>
      </c>
      <c r="O379" s="27">
        <v>1011000</v>
      </c>
      <c r="P379">
        <v>4</v>
      </c>
      <c r="Q379" t="s">
        <v>164</v>
      </c>
      <c r="R379">
        <v>40</v>
      </c>
      <c r="S379" t="s">
        <v>178</v>
      </c>
      <c r="T379">
        <f t="shared" si="35"/>
        <v>10778</v>
      </c>
      <c r="U379" t="str">
        <f t="shared" si="36"/>
        <v>ENG</v>
      </c>
      <c r="V379" t="str">
        <f t="shared" si="37"/>
        <v>L2</v>
      </c>
      <c r="W379" t="str">
        <f>PROPER(TRIM(VLOOKUP(S379,Employee_Lookups!$I$4:$M$19,2,FALSE())))</f>
        <v>Aarav Deshmukh</v>
      </c>
      <c r="X379" t="str">
        <f>VLOOKUP(C379,Employee_Lookups!$A$4:$G$9,4,FALSE())</f>
        <v>CC-101</v>
      </c>
      <c r="Y379" t="str">
        <f>INDEX(Employee_Lookups!$C$13:$C$17,MATCH(F379,Employee_Lookups!$A$13:$A$17,0))</f>
        <v>Band B (Mid)</v>
      </c>
      <c r="Z379" s="27">
        <f>_xlfn.XLOOKUP(F379,Employee_Lookups!$A$13:$A$17,Employee_Lookups!$E$13:$E$17,0)</f>
        <v>1100000</v>
      </c>
      <c r="AA379" s="28">
        <f>ROUND(O379/INDEX(Employee_Lookups!$E$13:$E$17,MATCH(F379,Employee_Lookups!$A$13:$A$17,0)),3)</f>
        <v>0.91900000000000004</v>
      </c>
      <c r="AB379">
        <f t="shared" si="38"/>
        <v>2021</v>
      </c>
      <c r="AC379" t="str">
        <f t="shared" si="39"/>
        <v/>
      </c>
      <c r="AD379" s="28">
        <f>ROUND((IF(ISBLANK(L379),Employee_Lookups!$O$14,L379)-J379)/365.25,2)</f>
        <v>4.1100000000000003</v>
      </c>
      <c r="AE379" t="str">
        <f t="shared" si="40"/>
        <v>3 - 5 Yrs</v>
      </c>
      <c r="AF379" t="str">
        <f t="shared" si="41"/>
        <v>Low Risk</v>
      </c>
    </row>
    <row r="380" spans="1:32" x14ac:dyDescent="0.45">
      <c r="A380" t="s">
        <v>915</v>
      </c>
      <c r="B380" t="s">
        <v>681</v>
      </c>
      <c r="C380" t="s">
        <v>51</v>
      </c>
      <c r="D380" t="s">
        <v>50</v>
      </c>
      <c r="E380" t="s">
        <v>397</v>
      </c>
      <c r="F380" t="s">
        <v>84</v>
      </c>
      <c r="G380" t="s">
        <v>398</v>
      </c>
      <c r="H380" t="s">
        <v>109</v>
      </c>
      <c r="I380" t="s">
        <v>110</v>
      </c>
      <c r="J380" s="26">
        <v>44520</v>
      </c>
      <c r="K380" t="s">
        <v>162</v>
      </c>
      <c r="L380" s="26"/>
      <c r="M380" t="s">
        <v>163</v>
      </c>
      <c r="N380" t="s">
        <v>98</v>
      </c>
      <c r="O380" s="27">
        <v>3361000</v>
      </c>
      <c r="P380">
        <v>2</v>
      </c>
      <c r="Q380" t="s">
        <v>164</v>
      </c>
      <c r="R380">
        <v>5</v>
      </c>
      <c r="S380" t="s">
        <v>178</v>
      </c>
      <c r="T380">
        <f t="shared" si="35"/>
        <v>10624</v>
      </c>
      <c r="U380" t="str">
        <f t="shared" si="36"/>
        <v>ENG</v>
      </c>
      <c r="V380" t="str">
        <f t="shared" si="37"/>
        <v>L4</v>
      </c>
      <c r="W380" t="str">
        <f>PROPER(TRIM(VLOOKUP(S380,Employee_Lookups!$I$4:$M$19,2,FALSE())))</f>
        <v>Aarav Deshmukh</v>
      </c>
      <c r="X380" t="str">
        <f>VLOOKUP(C380,Employee_Lookups!$A$4:$G$9,4,FALSE())</f>
        <v>CC-101</v>
      </c>
      <c r="Y380" t="str">
        <f>INDEX(Employee_Lookups!$C$13:$C$17,MATCH(F380,Employee_Lookups!$A$13:$A$17,0))</f>
        <v>Band D (Leadership)</v>
      </c>
      <c r="Z380" s="27">
        <f>_xlfn.XLOOKUP(F380,Employee_Lookups!$A$13:$A$17,Employee_Lookups!$E$13:$E$17,0)</f>
        <v>2750000</v>
      </c>
      <c r="AA380" s="28">
        <f>ROUND(O380/INDEX(Employee_Lookups!$E$13:$E$17,MATCH(F380,Employee_Lookups!$A$13:$A$17,0)),3)</f>
        <v>1.222</v>
      </c>
      <c r="AB380">
        <f t="shared" si="38"/>
        <v>2021</v>
      </c>
      <c r="AC380" t="str">
        <f t="shared" si="39"/>
        <v/>
      </c>
      <c r="AD380" s="28">
        <f>ROUND((IF(ISBLANK(L380),Employee_Lookups!$O$14,L380)-J380)/365.25,2)</f>
        <v>4.1100000000000003</v>
      </c>
      <c r="AE380" t="str">
        <f t="shared" si="40"/>
        <v>3 - 5 Yrs</v>
      </c>
      <c r="AF380" t="str">
        <f t="shared" si="41"/>
        <v>Moderate Risk</v>
      </c>
    </row>
    <row r="381" spans="1:32" x14ac:dyDescent="0.45">
      <c r="A381" t="s">
        <v>916</v>
      </c>
      <c r="B381" t="s">
        <v>464</v>
      </c>
      <c r="C381" t="s">
        <v>55</v>
      </c>
      <c r="D381" t="s">
        <v>54</v>
      </c>
      <c r="E381" t="s">
        <v>229</v>
      </c>
      <c r="F381" t="s">
        <v>82</v>
      </c>
      <c r="G381" t="s">
        <v>230</v>
      </c>
      <c r="H381" t="s">
        <v>106</v>
      </c>
      <c r="I381" t="s">
        <v>107</v>
      </c>
      <c r="J381" s="26">
        <v>44521</v>
      </c>
      <c r="K381" t="s">
        <v>187</v>
      </c>
      <c r="L381" s="26">
        <v>44871</v>
      </c>
      <c r="M381" t="s">
        <v>213</v>
      </c>
      <c r="N381" t="s">
        <v>99</v>
      </c>
      <c r="O381" s="27">
        <v>1083000</v>
      </c>
      <c r="P381">
        <v>3</v>
      </c>
      <c r="Q381" t="s">
        <v>164</v>
      </c>
      <c r="R381">
        <v>55</v>
      </c>
      <c r="S381" t="s">
        <v>173</v>
      </c>
      <c r="T381">
        <f t="shared" si="35"/>
        <v>10721</v>
      </c>
      <c r="U381" t="str">
        <f t="shared" si="36"/>
        <v>OPS</v>
      </c>
      <c r="V381" t="str">
        <f t="shared" si="37"/>
        <v>L2</v>
      </c>
      <c r="W381" t="str">
        <f>PROPER(TRIM(VLOOKUP(S381,Employee_Lookups!$I$4:$M$19,2,FALSE())))</f>
        <v>Deepak Patil</v>
      </c>
      <c r="X381" t="str">
        <f>VLOOKUP(C381,Employee_Lookups!$A$4:$G$9,4,FALSE())</f>
        <v>CC-303</v>
      </c>
      <c r="Y381" t="str">
        <f>INDEX(Employee_Lookups!$C$13:$C$17,MATCH(F381,Employee_Lookups!$A$13:$A$17,0))</f>
        <v>Band B (Mid)</v>
      </c>
      <c r="Z381" s="27">
        <f>_xlfn.XLOOKUP(F381,Employee_Lookups!$A$13:$A$17,Employee_Lookups!$E$13:$E$17,0)</f>
        <v>1100000</v>
      </c>
      <c r="AA381" s="28">
        <f>ROUND(O381/INDEX(Employee_Lookups!$E$13:$E$17,MATCH(F381,Employee_Lookups!$A$13:$A$17,0)),3)</f>
        <v>0.98499999999999999</v>
      </c>
      <c r="AB381">
        <f t="shared" si="38"/>
        <v>2021</v>
      </c>
      <c r="AC381">
        <f t="shared" si="39"/>
        <v>2022</v>
      </c>
      <c r="AD381" s="28">
        <f>ROUND((IF(ISBLANK(L381),Employee_Lookups!$O$14,L381)-J381)/365.25,2)</f>
        <v>0.96</v>
      </c>
      <c r="AE381" t="str">
        <f t="shared" si="40"/>
        <v>&lt; 1 Yr (New)</v>
      </c>
      <c r="AF381" t="str">
        <f t="shared" si="41"/>
        <v>Exited</v>
      </c>
    </row>
    <row r="382" spans="1:32" x14ac:dyDescent="0.45">
      <c r="A382" t="s">
        <v>917</v>
      </c>
      <c r="B382" t="s">
        <v>918</v>
      </c>
      <c r="C382" t="s">
        <v>55</v>
      </c>
      <c r="D382" t="s">
        <v>54</v>
      </c>
      <c r="E382" t="s">
        <v>277</v>
      </c>
      <c r="F382" t="s">
        <v>81</v>
      </c>
      <c r="G382" t="s">
        <v>278</v>
      </c>
      <c r="H382" t="s">
        <v>106</v>
      </c>
      <c r="I382" t="s">
        <v>107</v>
      </c>
      <c r="J382" s="26">
        <v>44521</v>
      </c>
      <c r="K382" t="s">
        <v>162</v>
      </c>
      <c r="L382" s="26"/>
      <c r="M382" t="s">
        <v>163</v>
      </c>
      <c r="N382" t="s">
        <v>96</v>
      </c>
      <c r="O382" s="27">
        <v>766000</v>
      </c>
      <c r="P382">
        <v>3</v>
      </c>
      <c r="Q382" t="s">
        <v>172</v>
      </c>
      <c r="R382">
        <v>13</v>
      </c>
      <c r="S382" t="s">
        <v>262</v>
      </c>
      <c r="T382">
        <f t="shared" si="35"/>
        <v>11252</v>
      </c>
      <c r="U382" t="str">
        <f t="shared" si="36"/>
        <v>OPS</v>
      </c>
      <c r="V382" t="str">
        <f t="shared" si="37"/>
        <v>L1</v>
      </c>
      <c r="W382" t="str">
        <f>PROPER(TRIM(VLOOKUP(S382,Employee_Lookups!$I$4:$M$19,2,FALSE())))</f>
        <v>Ananya Iyer</v>
      </c>
      <c r="X382" t="str">
        <f>VLOOKUP(C382,Employee_Lookups!$A$4:$G$9,4,FALSE())</f>
        <v>CC-303</v>
      </c>
      <c r="Y382" t="str">
        <f>INDEX(Employee_Lookups!$C$13:$C$17,MATCH(F382,Employee_Lookups!$A$13:$A$17,0))</f>
        <v>Band A (Entry)</v>
      </c>
      <c r="Z382" s="27">
        <f>_xlfn.XLOOKUP(F382,Employee_Lookups!$A$13:$A$17,Employee_Lookups!$E$13:$E$17,0)</f>
        <v>700000</v>
      </c>
      <c r="AA382" s="28">
        <f>ROUND(O382/INDEX(Employee_Lookups!$E$13:$E$17,MATCH(F382,Employee_Lookups!$A$13:$A$17,0)),3)</f>
        <v>1.0940000000000001</v>
      </c>
      <c r="AB382">
        <f t="shared" si="38"/>
        <v>2021</v>
      </c>
      <c r="AC382" t="str">
        <f t="shared" si="39"/>
        <v/>
      </c>
      <c r="AD382" s="28">
        <f>ROUND((IF(ISBLANK(L382),Employee_Lookups!$O$14,L382)-J382)/365.25,2)</f>
        <v>4.1100000000000003</v>
      </c>
      <c r="AE382" t="str">
        <f t="shared" si="40"/>
        <v>3 - 5 Yrs</v>
      </c>
      <c r="AF382" t="str">
        <f t="shared" si="41"/>
        <v>Moderate Risk</v>
      </c>
    </row>
    <row r="383" spans="1:32" x14ac:dyDescent="0.45">
      <c r="A383" t="s">
        <v>919</v>
      </c>
      <c r="B383" t="s">
        <v>671</v>
      </c>
      <c r="C383" t="s">
        <v>51</v>
      </c>
      <c r="D383" t="s">
        <v>50</v>
      </c>
      <c r="E383" t="s">
        <v>181</v>
      </c>
      <c r="F383" t="s">
        <v>81</v>
      </c>
      <c r="G383" t="s">
        <v>182</v>
      </c>
      <c r="H383" t="s">
        <v>108</v>
      </c>
      <c r="I383" t="s">
        <v>107</v>
      </c>
      <c r="J383" s="26">
        <v>44523</v>
      </c>
      <c r="K383" t="s">
        <v>162</v>
      </c>
      <c r="L383" s="26"/>
      <c r="M383" t="s">
        <v>163</v>
      </c>
      <c r="N383" t="s">
        <v>96</v>
      </c>
      <c r="O383" s="27">
        <v>629000</v>
      </c>
      <c r="P383">
        <v>2</v>
      </c>
      <c r="Q383" t="s">
        <v>164</v>
      </c>
      <c r="R383">
        <v>12</v>
      </c>
      <c r="S383" t="s">
        <v>244</v>
      </c>
      <c r="T383">
        <f t="shared" si="35"/>
        <v>10752</v>
      </c>
      <c r="U383" t="str">
        <f t="shared" si="36"/>
        <v>ENG</v>
      </c>
      <c r="V383" t="str">
        <f t="shared" si="37"/>
        <v>L1</v>
      </c>
      <c r="W383" t="str">
        <f>PROPER(TRIM(VLOOKUP(S383,Employee_Lookups!$I$4:$M$19,2,FALSE())))</f>
        <v>Siddharth Nair</v>
      </c>
      <c r="X383" t="str">
        <f>VLOOKUP(C383,Employee_Lookups!$A$4:$G$9,4,FALSE())</f>
        <v>CC-101</v>
      </c>
      <c r="Y383" t="str">
        <f>INDEX(Employee_Lookups!$C$13:$C$17,MATCH(F383,Employee_Lookups!$A$13:$A$17,0))</f>
        <v>Band A (Entry)</v>
      </c>
      <c r="Z383" s="27">
        <f>_xlfn.XLOOKUP(F383,Employee_Lookups!$A$13:$A$17,Employee_Lookups!$E$13:$E$17,0)</f>
        <v>700000</v>
      </c>
      <c r="AA383" s="28">
        <f>ROUND(O383/INDEX(Employee_Lookups!$E$13:$E$17,MATCH(F383,Employee_Lookups!$A$13:$A$17,0)),3)</f>
        <v>0.89900000000000002</v>
      </c>
      <c r="AB383">
        <f t="shared" si="38"/>
        <v>2021</v>
      </c>
      <c r="AC383" t="str">
        <f t="shared" si="39"/>
        <v/>
      </c>
      <c r="AD383" s="28">
        <f>ROUND((IF(ISBLANK(L383),Employee_Lookups!$O$14,L383)-J383)/365.25,2)</f>
        <v>4.0999999999999996</v>
      </c>
      <c r="AE383" t="str">
        <f t="shared" si="40"/>
        <v>3 - 5 Yrs</v>
      </c>
      <c r="AF383" t="str">
        <f t="shared" si="41"/>
        <v>Moderate Risk</v>
      </c>
    </row>
    <row r="384" spans="1:32" x14ac:dyDescent="0.45">
      <c r="A384" t="s">
        <v>920</v>
      </c>
      <c r="B384" t="s">
        <v>921</v>
      </c>
      <c r="C384" t="s">
        <v>51</v>
      </c>
      <c r="D384" t="s">
        <v>50</v>
      </c>
      <c r="E384" t="s">
        <v>181</v>
      </c>
      <c r="F384" t="s">
        <v>81</v>
      </c>
      <c r="G384" t="s">
        <v>182</v>
      </c>
      <c r="H384" t="s">
        <v>106</v>
      </c>
      <c r="I384" t="s">
        <v>107</v>
      </c>
      <c r="J384" s="26">
        <v>44524</v>
      </c>
      <c r="K384" t="s">
        <v>187</v>
      </c>
      <c r="L384" s="26">
        <v>44755</v>
      </c>
      <c r="M384" t="s">
        <v>213</v>
      </c>
      <c r="N384" t="s">
        <v>97</v>
      </c>
      <c r="O384" s="27">
        <v>758000</v>
      </c>
      <c r="P384">
        <v>3</v>
      </c>
      <c r="Q384" t="s">
        <v>172</v>
      </c>
      <c r="R384">
        <v>39</v>
      </c>
      <c r="S384" t="s">
        <v>178</v>
      </c>
      <c r="T384">
        <f t="shared" si="35"/>
        <v>10464</v>
      </c>
      <c r="U384" t="str">
        <f t="shared" si="36"/>
        <v>ENG</v>
      </c>
      <c r="V384" t="str">
        <f t="shared" si="37"/>
        <v>L1</v>
      </c>
      <c r="W384" t="str">
        <f>PROPER(TRIM(VLOOKUP(S384,Employee_Lookups!$I$4:$M$19,2,FALSE())))</f>
        <v>Aarav Deshmukh</v>
      </c>
      <c r="X384" t="str">
        <f>VLOOKUP(C384,Employee_Lookups!$A$4:$G$9,4,FALSE())</f>
        <v>CC-101</v>
      </c>
      <c r="Y384" t="str">
        <f>INDEX(Employee_Lookups!$C$13:$C$17,MATCH(F384,Employee_Lookups!$A$13:$A$17,0))</f>
        <v>Band A (Entry)</v>
      </c>
      <c r="Z384" s="27">
        <f>_xlfn.XLOOKUP(F384,Employee_Lookups!$A$13:$A$17,Employee_Lookups!$E$13:$E$17,0)</f>
        <v>700000</v>
      </c>
      <c r="AA384" s="28">
        <f>ROUND(O384/INDEX(Employee_Lookups!$E$13:$E$17,MATCH(F384,Employee_Lookups!$A$13:$A$17,0)),3)</f>
        <v>1.083</v>
      </c>
      <c r="AB384">
        <f t="shared" si="38"/>
        <v>2021</v>
      </c>
      <c r="AC384">
        <f t="shared" si="39"/>
        <v>2022</v>
      </c>
      <c r="AD384" s="28">
        <f>ROUND((IF(ISBLANK(L384),Employee_Lookups!$O$14,L384)-J384)/365.25,2)</f>
        <v>0.63</v>
      </c>
      <c r="AE384" t="str">
        <f t="shared" si="40"/>
        <v>&lt; 1 Yr (New)</v>
      </c>
      <c r="AF384" t="str">
        <f t="shared" si="41"/>
        <v>Exited</v>
      </c>
    </row>
    <row r="385" spans="1:32" x14ac:dyDescent="0.45">
      <c r="A385" t="s">
        <v>922</v>
      </c>
      <c r="B385" t="s">
        <v>196</v>
      </c>
      <c r="C385" t="s">
        <v>61</v>
      </c>
      <c r="D385" t="s">
        <v>60</v>
      </c>
      <c r="E385" t="s">
        <v>923</v>
      </c>
      <c r="F385" t="s">
        <v>85</v>
      </c>
      <c r="G385" t="s">
        <v>924</v>
      </c>
      <c r="H385" t="s">
        <v>108</v>
      </c>
      <c r="I385" t="s">
        <v>107</v>
      </c>
      <c r="J385" s="26">
        <v>44531</v>
      </c>
      <c r="K385" t="s">
        <v>162</v>
      </c>
      <c r="L385" s="26"/>
      <c r="M385" t="s">
        <v>163</v>
      </c>
      <c r="N385" t="s">
        <v>99</v>
      </c>
      <c r="O385" s="27">
        <v>4833000</v>
      </c>
      <c r="P385">
        <v>3</v>
      </c>
      <c r="Q385" t="s">
        <v>164</v>
      </c>
      <c r="R385">
        <v>30</v>
      </c>
      <c r="S385" t="s">
        <v>319</v>
      </c>
      <c r="T385">
        <f t="shared" si="35"/>
        <v>10986</v>
      </c>
      <c r="U385" t="str">
        <f t="shared" si="36"/>
        <v>-HR</v>
      </c>
      <c r="V385" t="str">
        <f t="shared" si="37"/>
        <v>L5</v>
      </c>
      <c r="W385" t="str">
        <f>PROPER(TRIM(VLOOKUP(S385,Employee_Lookups!$I$4:$M$19,2,FALSE())))</f>
        <v>Kavita Menon</v>
      </c>
      <c r="X385" t="str">
        <f>VLOOKUP(C385,Employee_Lookups!$A$4:$G$9,4,FALSE())</f>
        <v>CC-505</v>
      </c>
      <c r="Y385" t="str">
        <f>INDEX(Employee_Lookups!$C$13:$C$17,MATCH(F385,Employee_Lookups!$A$13:$A$17,0))</f>
        <v>Band E (Executive)</v>
      </c>
      <c r="Z385" s="27">
        <f>_xlfn.XLOOKUP(F385,Employee_Lookups!$A$13:$A$17,Employee_Lookups!$E$13:$E$17,0)</f>
        <v>4300000</v>
      </c>
      <c r="AA385" s="28">
        <f>ROUND(O385/INDEX(Employee_Lookups!$E$13:$E$17,MATCH(F385,Employee_Lookups!$A$13:$A$17,0)),3)</f>
        <v>1.1240000000000001</v>
      </c>
      <c r="AB385">
        <f t="shared" si="38"/>
        <v>2021</v>
      </c>
      <c r="AC385" t="str">
        <f t="shared" si="39"/>
        <v/>
      </c>
      <c r="AD385" s="28">
        <f>ROUND((IF(ISBLANK(L385),Employee_Lookups!$O$14,L385)-J385)/365.25,2)</f>
        <v>4.08</v>
      </c>
      <c r="AE385" t="str">
        <f t="shared" si="40"/>
        <v>3 - 5 Yrs</v>
      </c>
      <c r="AF385" t="str">
        <f t="shared" si="41"/>
        <v>Low Risk</v>
      </c>
    </row>
    <row r="386" spans="1:32" x14ac:dyDescent="0.45">
      <c r="A386" t="s">
        <v>925</v>
      </c>
      <c r="B386" t="s">
        <v>858</v>
      </c>
      <c r="C386" t="s">
        <v>51</v>
      </c>
      <c r="D386" t="s">
        <v>50</v>
      </c>
      <c r="E386" t="s">
        <v>176</v>
      </c>
      <c r="F386" t="s">
        <v>82</v>
      </c>
      <c r="G386" t="s">
        <v>177</v>
      </c>
      <c r="H386" t="s">
        <v>109</v>
      </c>
      <c r="I386" t="s">
        <v>110</v>
      </c>
      <c r="J386" s="26">
        <v>44532</v>
      </c>
      <c r="K386" t="s">
        <v>162</v>
      </c>
      <c r="L386" s="26"/>
      <c r="M386" t="s">
        <v>163</v>
      </c>
      <c r="N386" t="s">
        <v>97</v>
      </c>
      <c r="O386" s="27">
        <v>938000</v>
      </c>
      <c r="P386">
        <v>4</v>
      </c>
      <c r="Q386" t="s">
        <v>164</v>
      </c>
      <c r="R386">
        <v>0</v>
      </c>
      <c r="S386" t="s">
        <v>178</v>
      </c>
      <c r="T386">
        <f t="shared" ref="T386:T449" si="42">VALUE(MID(A386,5,5))</f>
        <v>10788</v>
      </c>
      <c r="U386" t="str">
        <f t="shared" ref="U386:U449" si="43">LEFT(E386,3)</f>
        <v>ENG</v>
      </c>
      <c r="V386" t="str">
        <f t="shared" ref="V386:V449" si="44">RIGHT(E386,2)</f>
        <v>L2</v>
      </c>
      <c r="W386" t="str">
        <f>PROPER(TRIM(VLOOKUP(S386,Employee_Lookups!$I$4:$M$19,2,FALSE())))</f>
        <v>Aarav Deshmukh</v>
      </c>
      <c r="X386" t="str">
        <f>VLOOKUP(C386,Employee_Lookups!$A$4:$G$9,4,FALSE())</f>
        <v>CC-101</v>
      </c>
      <c r="Y386" t="str">
        <f>INDEX(Employee_Lookups!$C$13:$C$17,MATCH(F386,Employee_Lookups!$A$13:$A$17,0))</f>
        <v>Band B (Mid)</v>
      </c>
      <c r="Z386" s="27">
        <f>_xlfn.XLOOKUP(F386,Employee_Lookups!$A$13:$A$17,Employee_Lookups!$E$13:$E$17,0)</f>
        <v>1100000</v>
      </c>
      <c r="AA386" s="28">
        <f>ROUND(O386/INDEX(Employee_Lookups!$E$13:$E$17,MATCH(F386,Employee_Lookups!$A$13:$A$17,0)),3)</f>
        <v>0.85299999999999998</v>
      </c>
      <c r="AB386">
        <f t="shared" ref="AB386:AB449" si="45">YEAR(J386)</f>
        <v>2021</v>
      </c>
      <c r="AC386" t="str">
        <f t="shared" ref="AC386:AC449" si="46">IF(ISBLANK(L386),"",YEAR(L386))</f>
        <v/>
      </c>
      <c r="AD386" s="28">
        <f>ROUND((IF(ISBLANK(L386),Employee_Lookups!$O$14,L386)-J386)/365.25,2)</f>
        <v>4.08</v>
      </c>
      <c r="AE386" t="str">
        <f t="shared" ref="AE386:AE449" si="47">IF(AD386&lt;1,"&lt; 1 Yr (New)",IF(AD386&lt;3,"1 - 3 Yrs",IF(AD386&lt;5,"3 - 5 Yrs","5+ Yrs")))</f>
        <v>3 - 5 Yrs</v>
      </c>
      <c r="AF386" t="str">
        <f t="shared" ref="AF386:AF449" si="48">IF(K386&lt;&gt;"Active","Exited",IF(AND(Q386="Yes",OR(P386&gt;=4,AA386&lt;0.95)),"High Risk",IF(OR(Q386="Yes",AND(NOT(ISBLANK(P386)),P386&lt;=2)),"Moderate Risk","Low Risk")))</f>
        <v>Low Risk</v>
      </c>
    </row>
    <row r="387" spans="1:32" x14ac:dyDescent="0.45">
      <c r="A387" t="s">
        <v>926</v>
      </c>
      <c r="B387" t="s">
        <v>927</v>
      </c>
      <c r="C387" t="s">
        <v>53</v>
      </c>
      <c r="D387" t="s">
        <v>52</v>
      </c>
      <c r="E387" t="s">
        <v>322</v>
      </c>
      <c r="F387" t="s">
        <v>81</v>
      </c>
      <c r="G387" t="s">
        <v>323</v>
      </c>
      <c r="H387" t="s">
        <v>106</v>
      </c>
      <c r="I387" t="s">
        <v>107</v>
      </c>
      <c r="J387" s="26">
        <v>44532</v>
      </c>
      <c r="K387" t="s">
        <v>162</v>
      </c>
      <c r="L387" s="26"/>
      <c r="M387" t="s">
        <v>163</v>
      </c>
      <c r="N387" t="s">
        <v>97</v>
      </c>
      <c r="O387" s="27">
        <v>628000</v>
      </c>
      <c r="P387">
        <v>3</v>
      </c>
      <c r="Q387" t="s">
        <v>164</v>
      </c>
      <c r="R387">
        <v>44</v>
      </c>
      <c r="S387" t="s">
        <v>194</v>
      </c>
      <c r="T387">
        <f t="shared" si="42"/>
        <v>10971</v>
      </c>
      <c r="U387" t="str">
        <f t="shared" si="43"/>
        <v>SAL</v>
      </c>
      <c r="V387" t="str">
        <f t="shared" si="44"/>
        <v>L1</v>
      </c>
      <c r="W387" t="str">
        <f>PROPER(TRIM(VLOOKUP(S387,Employee_Lookups!$I$4:$M$19,2,FALSE())))</f>
        <v>Vikramaditya Joshi</v>
      </c>
      <c r="X387" t="str">
        <f>VLOOKUP(C387,Employee_Lookups!$A$4:$G$9,4,FALSE())</f>
        <v>CC-202</v>
      </c>
      <c r="Y387" t="str">
        <f>INDEX(Employee_Lookups!$C$13:$C$17,MATCH(F387,Employee_Lookups!$A$13:$A$17,0))</f>
        <v>Band A (Entry)</v>
      </c>
      <c r="Z387" s="27">
        <f>_xlfn.XLOOKUP(F387,Employee_Lookups!$A$13:$A$17,Employee_Lookups!$E$13:$E$17,0)</f>
        <v>700000</v>
      </c>
      <c r="AA387" s="28">
        <f>ROUND(O387/INDEX(Employee_Lookups!$E$13:$E$17,MATCH(F387,Employee_Lookups!$A$13:$A$17,0)),3)</f>
        <v>0.89700000000000002</v>
      </c>
      <c r="AB387">
        <f t="shared" si="45"/>
        <v>2021</v>
      </c>
      <c r="AC387" t="str">
        <f t="shared" si="46"/>
        <v/>
      </c>
      <c r="AD387" s="28">
        <f>ROUND((IF(ISBLANK(L387),Employee_Lookups!$O$14,L387)-J387)/365.25,2)</f>
        <v>4.08</v>
      </c>
      <c r="AE387" t="str">
        <f t="shared" si="47"/>
        <v>3 - 5 Yrs</v>
      </c>
      <c r="AF387" t="str">
        <f t="shared" si="48"/>
        <v>Low Risk</v>
      </c>
    </row>
    <row r="388" spans="1:32" x14ac:dyDescent="0.45">
      <c r="A388" t="s">
        <v>928</v>
      </c>
      <c r="B388" t="s">
        <v>929</v>
      </c>
      <c r="C388" t="s">
        <v>51</v>
      </c>
      <c r="D388" t="s">
        <v>50</v>
      </c>
      <c r="E388" t="s">
        <v>181</v>
      </c>
      <c r="F388" t="s">
        <v>81</v>
      </c>
      <c r="G388" t="s">
        <v>182</v>
      </c>
      <c r="H388" t="s">
        <v>109</v>
      </c>
      <c r="I388" t="s">
        <v>110</v>
      </c>
      <c r="J388" s="26">
        <v>44533</v>
      </c>
      <c r="K388" t="s">
        <v>162</v>
      </c>
      <c r="L388" s="26"/>
      <c r="M388" t="s">
        <v>163</v>
      </c>
      <c r="N388" t="s">
        <v>99</v>
      </c>
      <c r="O388" s="27">
        <v>830000</v>
      </c>
      <c r="P388">
        <v>3</v>
      </c>
      <c r="Q388" t="s">
        <v>172</v>
      </c>
      <c r="R388">
        <v>27</v>
      </c>
      <c r="S388" t="s">
        <v>219</v>
      </c>
      <c r="T388">
        <f t="shared" si="42"/>
        <v>11011</v>
      </c>
      <c r="U388" t="str">
        <f t="shared" si="43"/>
        <v>ENG</v>
      </c>
      <c r="V388" t="str">
        <f t="shared" si="44"/>
        <v>L1</v>
      </c>
      <c r="W388" t="str">
        <f>PROPER(TRIM(VLOOKUP(S388,Employee_Lookups!$I$4:$M$19,2,FALSE())))</f>
        <v>Neha Kulkarni</v>
      </c>
      <c r="X388" t="str">
        <f>VLOOKUP(C388,Employee_Lookups!$A$4:$G$9,4,FALSE())</f>
        <v>CC-101</v>
      </c>
      <c r="Y388" t="str">
        <f>INDEX(Employee_Lookups!$C$13:$C$17,MATCH(F388,Employee_Lookups!$A$13:$A$17,0))</f>
        <v>Band A (Entry)</v>
      </c>
      <c r="Z388" s="27">
        <f>_xlfn.XLOOKUP(F388,Employee_Lookups!$A$13:$A$17,Employee_Lookups!$E$13:$E$17,0)</f>
        <v>700000</v>
      </c>
      <c r="AA388" s="28">
        <f>ROUND(O388/INDEX(Employee_Lookups!$E$13:$E$17,MATCH(F388,Employee_Lookups!$A$13:$A$17,0)),3)</f>
        <v>1.1859999999999999</v>
      </c>
      <c r="AB388">
        <f t="shared" si="45"/>
        <v>2021</v>
      </c>
      <c r="AC388" t="str">
        <f t="shared" si="46"/>
        <v/>
      </c>
      <c r="AD388" s="28">
        <f>ROUND((IF(ISBLANK(L388),Employee_Lookups!$O$14,L388)-J388)/365.25,2)</f>
        <v>4.08</v>
      </c>
      <c r="AE388" t="str">
        <f t="shared" si="47"/>
        <v>3 - 5 Yrs</v>
      </c>
      <c r="AF388" t="str">
        <f t="shared" si="48"/>
        <v>Moderate Risk</v>
      </c>
    </row>
    <row r="389" spans="1:32" x14ac:dyDescent="0.45">
      <c r="A389" t="s">
        <v>930</v>
      </c>
      <c r="B389" t="s">
        <v>847</v>
      </c>
      <c r="C389" t="s">
        <v>53</v>
      </c>
      <c r="D389" t="s">
        <v>52</v>
      </c>
      <c r="E389" t="s">
        <v>322</v>
      </c>
      <c r="F389" t="s">
        <v>81</v>
      </c>
      <c r="G389" t="s">
        <v>323</v>
      </c>
      <c r="H389" t="s">
        <v>106</v>
      </c>
      <c r="I389" t="s">
        <v>107</v>
      </c>
      <c r="J389" s="26">
        <v>44533</v>
      </c>
      <c r="K389" t="s">
        <v>187</v>
      </c>
      <c r="L389" s="26">
        <v>45011</v>
      </c>
      <c r="M389" t="s">
        <v>213</v>
      </c>
      <c r="N389" t="s">
        <v>98</v>
      </c>
      <c r="O389" s="27">
        <v>666000</v>
      </c>
      <c r="P389">
        <v>3</v>
      </c>
      <c r="Q389" t="s">
        <v>172</v>
      </c>
      <c r="R389">
        <v>35</v>
      </c>
      <c r="S389" t="s">
        <v>237</v>
      </c>
      <c r="T389">
        <f t="shared" si="42"/>
        <v>10444</v>
      </c>
      <c r="U389" t="str">
        <f t="shared" si="43"/>
        <v>SAL</v>
      </c>
      <c r="V389" t="str">
        <f t="shared" si="44"/>
        <v>L1</v>
      </c>
      <c r="W389" t="str">
        <f>PROPER(TRIM(VLOOKUP(S389,Employee_Lookups!$I$4:$M$19,2,FALSE())))</f>
        <v>Karan Malhotra</v>
      </c>
      <c r="X389" t="str">
        <f>VLOOKUP(C389,Employee_Lookups!$A$4:$G$9,4,FALSE())</f>
        <v>CC-202</v>
      </c>
      <c r="Y389" t="str">
        <f>INDEX(Employee_Lookups!$C$13:$C$17,MATCH(F389,Employee_Lookups!$A$13:$A$17,0))</f>
        <v>Band A (Entry)</v>
      </c>
      <c r="Z389" s="27">
        <f>_xlfn.XLOOKUP(F389,Employee_Lookups!$A$13:$A$17,Employee_Lookups!$E$13:$E$17,0)</f>
        <v>700000</v>
      </c>
      <c r="AA389" s="28">
        <f>ROUND(O389/INDEX(Employee_Lookups!$E$13:$E$17,MATCH(F389,Employee_Lookups!$A$13:$A$17,0)),3)</f>
        <v>0.95099999999999996</v>
      </c>
      <c r="AB389">
        <f t="shared" si="45"/>
        <v>2021</v>
      </c>
      <c r="AC389">
        <f t="shared" si="46"/>
        <v>2023</v>
      </c>
      <c r="AD389" s="28">
        <f>ROUND((IF(ISBLANK(L389),Employee_Lookups!$O$14,L389)-J389)/365.25,2)</f>
        <v>1.31</v>
      </c>
      <c r="AE389" t="str">
        <f t="shared" si="47"/>
        <v>1 - 3 Yrs</v>
      </c>
      <c r="AF389" t="str">
        <f t="shared" si="48"/>
        <v>Exited</v>
      </c>
    </row>
    <row r="390" spans="1:32" x14ac:dyDescent="0.45">
      <c r="A390" t="s">
        <v>931</v>
      </c>
      <c r="B390" t="s">
        <v>932</v>
      </c>
      <c r="C390" t="s">
        <v>57</v>
      </c>
      <c r="D390" t="s">
        <v>56</v>
      </c>
      <c r="E390" t="s">
        <v>160</v>
      </c>
      <c r="F390" t="s">
        <v>81</v>
      </c>
      <c r="G390" t="s">
        <v>161</v>
      </c>
      <c r="H390" t="s">
        <v>111</v>
      </c>
      <c r="I390" t="s">
        <v>110</v>
      </c>
      <c r="J390" s="26">
        <v>44539</v>
      </c>
      <c r="K390" t="s">
        <v>162</v>
      </c>
      <c r="L390" s="26"/>
      <c r="M390" t="s">
        <v>163</v>
      </c>
      <c r="N390" t="s">
        <v>99</v>
      </c>
      <c r="O390" s="27">
        <v>600000</v>
      </c>
      <c r="P390">
        <v>3</v>
      </c>
      <c r="Q390" t="s">
        <v>164</v>
      </c>
      <c r="R390">
        <v>35</v>
      </c>
      <c r="S390" t="s">
        <v>165</v>
      </c>
      <c r="T390">
        <f t="shared" si="42"/>
        <v>10075</v>
      </c>
      <c r="U390" t="str">
        <f t="shared" si="43"/>
        <v>MKT</v>
      </c>
      <c r="V390" t="str">
        <f t="shared" si="44"/>
        <v>L1</v>
      </c>
      <c r="W390" t="str">
        <f>PROPER(TRIM(VLOOKUP(S390,Employee_Lookups!$I$4:$M$19,2,FALSE())))</f>
        <v>Arjun Sengupta</v>
      </c>
      <c r="X390" t="str">
        <f>VLOOKUP(C390,Employee_Lookups!$A$4:$G$9,4,FALSE())</f>
        <v>CC-606</v>
      </c>
      <c r="Y390" t="str">
        <f>INDEX(Employee_Lookups!$C$13:$C$17,MATCH(F390,Employee_Lookups!$A$13:$A$17,0))</f>
        <v>Band A (Entry)</v>
      </c>
      <c r="Z390" s="27">
        <f>_xlfn.XLOOKUP(F390,Employee_Lookups!$A$13:$A$17,Employee_Lookups!$E$13:$E$17,0)</f>
        <v>700000</v>
      </c>
      <c r="AA390" s="28">
        <f>ROUND(O390/INDEX(Employee_Lookups!$E$13:$E$17,MATCH(F390,Employee_Lookups!$A$13:$A$17,0)),3)</f>
        <v>0.85699999999999998</v>
      </c>
      <c r="AB390">
        <f t="shared" si="45"/>
        <v>2021</v>
      </c>
      <c r="AC390" t="str">
        <f t="shared" si="46"/>
        <v/>
      </c>
      <c r="AD390" s="28">
        <f>ROUND((IF(ISBLANK(L390),Employee_Lookups!$O$14,L390)-J390)/365.25,2)</f>
        <v>4.0599999999999996</v>
      </c>
      <c r="AE390" t="str">
        <f t="shared" si="47"/>
        <v>3 - 5 Yrs</v>
      </c>
      <c r="AF390" t="str">
        <f t="shared" si="48"/>
        <v>Low Risk</v>
      </c>
    </row>
    <row r="391" spans="1:32" x14ac:dyDescent="0.45">
      <c r="A391" t="s">
        <v>933</v>
      </c>
      <c r="B391" t="s">
        <v>205</v>
      </c>
      <c r="C391" t="s">
        <v>55</v>
      </c>
      <c r="D391" t="s">
        <v>54</v>
      </c>
      <c r="E391" t="s">
        <v>229</v>
      </c>
      <c r="F391" t="s">
        <v>82</v>
      </c>
      <c r="G391" t="s">
        <v>230</v>
      </c>
      <c r="H391" t="s">
        <v>111</v>
      </c>
      <c r="I391" t="s">
        <v>110</v>
      </c>
      <c r="J391" s="26">
        <v>44540</v>
      </c>
      <c r="K391" t="s">
        <v>170</v>
      </c>
      <c r="L391" s="26">
        <v>45221</v>
      </c>
      <c r="M391" t="s">
        <v>171</v>
      </c>
      <c r="N391" t="s">
        <v>97</v>
      </c>
      <c r="O391" s="27">
        <v>1227000</v>
      </c>
      <c r="P391">
        <v>1</v>
      </c>
      <c r="Q391" t="s">
        <v>172</v>
      </c>
      <c r="R391">
        <v>4</v>
      </c>
      <c r="S391" t="s">
        <v>173</v>
      </c>
      <c r="T391">
        <f t="shared" si="42"/>
        <v>11315</v>
      </c>
      <c r="U391" t="str">
        <f t="shared" si="43"/>
        <v>OPS</v>
      </c>
      <c r="V391" t="str">
        <f t="shared" si="44"/>
        <v>L2</v>
      </c>
      <c r="W391" t="str">
        <f>PROPER(TRIM(VLOOKUP(S391,Employee_Lookups!$I$4:$M$19,2,FALSE())))</f>
        <v>Deepak Patil</v>
      </c>
      <c r="X391" t="str">
        <f>VLOOKUP(C391,Employee_Lookups!$A$4:$G$9,4,FALSE())</f>
        <v>CC-303</v>
      </c>
      <c r="Y391" t="str">
        <f>INDEX(Employee_Lookups!$C$13:$C$17,MATCH(F391,Employee_Lookups!$A$13:$A$17,0))</f>
        <v>Band B (Mid)</v>
      </c>
      <c r="Z391" s="27">
        <f>_xlfn.XLOOKUP(F391,Employee_Lookups!$A$13:$A$17,Employee_Lookups!$E$13:$E$17,0)</f>
        <v>1100000</v>
      </c>
      <c r="AA391" s="28">
        <f>ROUND(O391/INDEX(Employee_Lookups!$E$13:$E$17,MATCH(F391,Employee_Lookups!$A$13:$A$17,0)),3)</f>
        <v>1.115</v>
      </c>
      <c r="AB391">
        <f t="shared" si="45"/>
        <v>2021</v>
      </c>
      <c r="AC391">
        <f t="shared" si="46"/>
        <v>2023</v>
      </c>
      <c r="AD391" s="28">
        <f>ROUND((IF(ISBLANK(L391),Employee_Lookups!$O$14,L391)-J391)/365.25,2)</f>
        <v>1.86</v>
      </c>
      <c r="AE391" t="str">
        <f t="shared" si="47"/>
        <v>1 - 3 Yrs</v>
      </c>
      <c r="AF391" t="str">
        <f t="shared" si="48"/>
        <v>Exited</v>
      </c>
    </row>
    <row r="392" spans="1:32" x14ac:dyDescent="0.45">
      <c r="A392" t="s">
        <v>934</v>
      </c>
      <c r="B392" t="s">
        <v>601</v>
      </c>
      <c r="C392" t="s">
        <v>59</v>
      </c>
      <c r="D392" t="s">
        <v>58</v>
      </c>
      <c r="E392" t="s">
        <v>287</v>
      </c>
      <c r="F392" t="s">
        <v>83</v>
      </c>
      <c r="G392" t="s">
        <v>288</v>
      </c>
      <c r="H392" t="s">
        <v>106</v>
      </c>
      <c r="I392" t="s">
        <v>107</v>
      </c>
      <c r="J392" s="26">
        <v>44543</v>
      </c>
      <c r="K392" t="s">
        <v>162</v>
      </c>
      <c r="L392" s="26"/>
      <c r="M392" t="s">
        <v>163</v>
      </c>
      <c r="N392" t="s">
        <v>97</v>
      </c>
      <c r="O392" s="27">
        <v>1488000</v>
      </c>
      <c r="P392">
        <v>2</v>
      </c>
      <c r="Q392" t="s">
        <v>172</v>
      </c>
      <c r="R392">
        <v>20</v>
      </c>
      <c r="S392" t="s">
        <v>214</v>
      </c>
      <c r="T392">
        <f t="shared" si="42"/>
        <v>11033</v>
      </c>
      <c r="U392" t="str">
        <f t="shared" si="43"/>
        <v>FIN</v>
      </c>
      <c r="V392" t="str">
        <f t="shared" si="44"/>
        <v>L3</v>
      </c>
      <c r="W392" t="str">
        <f>PROPER(TRIM(VLOOKUP(S392,Employee_Lookups!$I$4:$M$19,2,FALSE())))</f>
        <v>Aditya Gokhale</v>
      </c>
      <c r="X392" t="str">
        <f>VLOOKUP(C392,Employee_Lookups!$A$4:$G$9,4,FALSE())</f>
        <v>CC-404</v>
      </c>
      <c r="Y392" t="str">
        <f>INDEX(Employee_Lookups!$C$13:$C$17,MATCH(F392,Employee_Lookups!$A$13:$A$17,0))</f>
        <v>Band C (Senior)</v>
      </c>
      <c r="Z392" s="27">
        <f>_xlfn.XLOOKUP(F392,Employee_Lookups!$A$13:$A$17,Employee_Lookups!$E$13:$E$17,0)</f>
        <v>1725000</v>
      </c>
      <c r="AA392" s="28">
        <f>ROUND(O392/INDEX(Employee_Lookups!$E$13:$E$17,MATCH(F392,Employee_Lookups!$A$13:$A$17,0)),3)</f>
        <v>0.86299999999999999</v>
      </c>
      <c r="AB392">
        <f t="shared" si="45"/>
        <v>2021</v>
      </c>
      <c r="AC392" t="str">
        <f t="shared" si="46"/>
        <v/>
      </c>
      <c r="AD392" s="28">
        <f>ROUND((IF(ISBLANK(L392),Employee_Lookups!$O$14,L392)-J392)/365.25,2)</f>
        <v>4.05</v>
      </c>
      <c r="AE392" t="str">
        <f t="shared" si="47"/>
        <v>3 - 5 Yrs</v>
      </c>
      <c r="AF392" t="str">
        <f t="shared" si="48"/>
        <v>High Risk</v>
      </c>
    </row>
    <row r="393" spans="1:32" x14ac:dyDescent="0.45">
      <c r="A393" t="s">
        <v>935</v>
      </c>
      <c r="B393" t="s">
        <v>936</v>
      </c>
      <c r="C393" t="s">
        <v>57</v>
      </c>
      <c r="D393" t="s">
        <v>56</v>
      </c>
      <c r="E393" t="s">
        <v>160</v>
      </c>
      <c r="F393" t="s">
        <v>81</v>
      </c>
      <c r="G393" t="s">
        <v>161</v>
      </c>
      <c r="H393" t="s">
        <v>112</v>
      </c>
      <c r="I393" t="s">
        <v>113</v>
      </c>
      <c r="J393" s="26">
        <v>44543</v>
      </c>
      <c r="K393" t="s">
        <v>187</v>
      </c>
      <c r="L393" s="26">
        <v>45669</v>
      </c>
      <c r="M393" t="s">
        <v>188</v>
      </c>
      <c r="N393" t="s">
        <v>96</v>
      </c>
      <c r="O393" s="27">
        <v>816000</v>
      </c>
      <c r="P393">
        <v>4</v>
      </c>
      <c r="Q393" t="s">
        <v>164</v>
      </c>
      <c r="R393">
        <v>24</v>
      </c>
      <c r="S393" t="s">
        <v>165</v>
      </c>
      <c r="T393">
        <f t="shared" si="42"/>
        <v>11118</v>
      </c>
      <c r="U393" t="str">
        <f t="shared" si="43"/>
        <v>MKT</v>
      </c>
      <c r="V393" t="str">
        <f t="shared" si="44"/>
        <v>L1</v>
      </c>
      <c r="W393" t="str">
        <f>PROPER(TRIM(VLOOKUP(S393,Employee_Lookups!$I$4:$M$19,2,FALSE())))</f>
        <v>Arjun Sengupta</v>
      </c>
      <c r="X393" t="str">
        <f>VLOOKUP(C393,Employee_Lookups!$A$4:$G$9,4,FALSE())</f>
        <v>CC-606</v>
      </c>
      <c r="Y393" t="str">
        <f>INDEX(Employee_Lookups!$C$13:$C$17,MATCH(F393,Employee_Lookups!$A$13:$A$17,0))</f>
        <v>Band A (Entry)</v>
      </c>
      <c r="Z393" s="27">
        <f>_xlfn.XLOOKUP(F393,Employee_Lookups!$A$13:$A$17,Employee_Lookups!$E$13:$E$17,0)</f>
        <v>700000</v>
      </c>
      <c r="AA393" s="28">
        <f>ROUND(O393/INDEX(Employee_Lookups!$E$13:$E$17,MATCH(F393,Employee_Lookups!$A$13:$A$17,0)),3)</f>
        <v>1.1659999999999999</v>
      </c>
      <c r="AB393">
        <f t="shared" si="45"/>
        <v>2021</v>
      </c>
      <c r="AC393">
        <f t="shared" si="46"/>
        <v>2025</v>
      </c>
      <c r="AD393" s="28">
        <f>ROUND((IF(ISBLANK(L393),Employee_Lookups!$O$14,L393)-J393)/365.25,2)</f>
        <v>3.08</v>
      </c>
      <c r="AE393" t="str">
        <f t="shared" si="47"/>
        <v>3 - 5 Yrs</v>
      </c>
      <c r="AF393" t="str">
        <f t="shared" si="48"/>
        <v>Exited</v>
      </c>
    </row>
    <row r="394" spans="1:32" x14ac:dyDescent="0.45">
      <c r="A394" t="s">
        <v>937</v>
      </c>
      <c r="B394" t="s">
        <v>239</v>
      </c>
      <c r="C394" t="s">
        <v>51</v>
      </c>
      <c r="D394" t="s">
        <v>50</v>
      </c>
      <c r="E394" t="s">
        <v>397</v>
      </c>
      <c r="F394" t="s">
        <v>84</v>
      </c>
      <c r="G394" t="s">
        <v>398</v>
      </c>
      <c r="H394" t="s">
        <v>106</v>
      </c>
      <c r="I394" t="s">
        <v>107</v>
      </c>
      <c r="J394" s="26">
        <v>44547</v>
      </c>
      <c r="K394" t="s">
        <v>170</v>
      </c>
      <c r="L394" s="26">
        <v>44768</v>
      </c>
      <c r="M394" t="s">
        <v>171</v>
      </c>
      <c r="N394" t="s">
        <v>99</v>
      </c>
      <c r="O394" s="27">
        <v>3216000</v>
      </c>
      <c r="P394">
        <v>1</v>
      </c>
      <c r="Q394" t="s">
        <v>172</v>
      </c>
      <c r="R394">
        <v>17</v>
      </c>
      <c r="S394" t="s">
        <v>219</v>
      </c>
      <c r="T394">
        <f t="shared" si="42"/>
        <v>10377</v>
      </c>
      <c r="U394" t="str">
        <f t="shared" si="43"/>
        <v>ENG</v>
      </c>
      <c r="V394" t="str">
        <f t="shared" si="44"/>
        <v>L4</v>
      </c>
      <c r="W394" t="str">
        <f>PROPER(TRIM(VLOOKUP(S394,Employee_Lookups!$I$4:$M$19,2,FALSE())))</f>
        <v>Neha Kulkarni</v>
      </c>
      <c r="X394" t="str">
        <f>VLOOKUP(C394,Employee_Lookups!$A$4:$G$9,4,FALSE())</f>
        <v>CC-101</v>
      </c>
      <c r="Y394" t="str">
        <f>INDEX(Employee_Lookups!$C$13:$C$17,MATCH(F394,Employee_Lookups!$A$13:$A$17,0))</f>
        <v>Band D (Leadership)</v>
      </c>
      <c r="Z394" s="27">
        <f>_xlfn.XLOOKUP(F394,Employee_Lookups!$A$13:$A$17,Employee_Lookups!$E$13:$E$17,0)</f>
        <v>2750000</v>
      </c>
      <c r="AA394" s="28">
        <f>ROUND(O394/INDEX(Employee_Lookups!$E$13:$E$17,MATCH(F394,Employee_Lookups!$A$13:$A$17,0)),3)</f>
        <v>1.169</v>
      </c>
      <c r="AB394">
        <f t="shared" si="45"/>
        <v>2021</v>
      </c>
      <c r="AC394">
        <f t="shared" si="46"/>
        <v>2022</v>
      </c>
      <c r="AD394" s="28">
        <f>ROUND((IF(ISBLANK(L394),Employee_Lookups!$O$14,L394)-J394)/365.25,2)</f>
        <v>0.61</v>
      </c>
      <c r="AE394" t="str">
        <f t="shared" si="47"/>
        <v>&lt; 1 Yr (New)</v>
      </c>
      <c r="AF394" t="str">
        <f t="shared" si="48"/>
        <v>Exited</v>
      </c>
    </row>
    <row r="395" spans="1:32" x14ac:dyDescent="0.45">
      <c r="A395" t="s">
        <v>938</v>
      </c>
      <c r="B395" t="s">
        <v>570</v>
      </c>
      <c r="C395" t="s">
        <v>59</v>
      </c>
      <c r="D395" t="s">
        <v>58</v>
      </c>
      <c r="E395" t="s">
        <v>206</v>
      </c>
      <c r="F395" t="s">
        <v>81</v>
      </c>
      <c r="G395" t="s">
        <v>207</v>
      </c>
      <c r="H395" t="s">
        <v>106</v>
      </c>
      <c r="I395" t="s">
        <v>107</v>
      </c>
      <c r="J395" s="26">
        <v>44547</v>
      </c>
      <c r="K395" t="s">
        <v>170</v>
      </c>
      <c r="L395" s="26">
        <v>45369</v>
      </c>
      <c r="M395" t="s">
        <v>171</v>
      </c>
      <c r="N395" t="s">
        <v>98</v>
      </c>
      <c r="O395" s="27">
        <v>792000</v>
      </c>
      <c r="P395">
        <v>2</v>
      </c>
      <c r="Q395" t="s">
        <v>172</v>
      </c>
      <c r="R395">
        <v>9</v>
      </c>
      <c r="S395" t="s">
        <v>214</v>
      </c>
      <c r="T395">
        <f t="shared" si="42"/>
        <v>11250</v>
      </c>
      <c r="U395" t="str">
        <f t="shared" si="43"/>
        <v>FIN</v>
      </c>
      <c r="V395" t="str">
        <f t="shared" si="44"/>
        <v>L1</v>
      </c>
      <c r="W395" t="str">
        <f>PROPER(TRIM(VLOOKUP(S395,Employee_Lookups!$I$4:$M$19,2,FALSE())))</f>
        <v>Aditya Gokhale</v>
      </c>
      <c r="X395" t="str">
        <f>VLOOKUP(C395,Employee_Lookups!$A$4:$G$9,4,FALSE())</f>
        <v>CC-404</v>
      </c>
      <c r="Y395" t="str">
        <f>INDEX(Employee_Lookups!$C$13:$C$17,MATCH(F395,Employee_Lookups!$A$13:$A$17,0))</f>
        <v>Band A (Entry)</v>
      </c>
      <c r="Z395" s="27">
        <f>_xlfn.XLOOKUP(F395,Employee_Lookups!$A$13:$A$17,Employee_Lookups!$E$13:$E$17,0)</f>
        <v>700000</v>
      </c>
      <c r="AA395" s="28">
        <f>ROUND(O395/INDEX(Employee_Lookups!$E$13:$E$17,MATCH(F395,Employee_Lookups!$A$13:$A$17,0)),3)</f>
        <v>1.131</v>
      </c>
      <c r="AB395">
        <f t="shared" si="45"/>
        <v>2021</v>
      </c>
      <c r="AC395">
        <f t="shared" si="46"/>
        <v>2024</v>
      </c>
      <c r="AD395" s="28">
        <f>ROUND((IF(ISBLANK(L395),Employee_Lookups!$O$14,L395)-J395)/365.25,2)</f>
        <v>2.25</v>
      </c>
      <c r="AE395" t="str">
        <f t="shared" si="47"/>
        <v>1 - 3 Yrs</v>
      </c>
      <c r="AF395" t="str">
        <f t="shared" si="48"/>
        <v>Exited</v>
      </c>
    </row>
    <row r="396" spans="1:32" x14ac:dyDescent="0.45">
      <c r="A396" t="s">
        <v>939</v>
      </c>
      <c r="B396" t="s">
        <v>940</v>
      </c>
      <c r="C396" t="s">
        <v>59</v>
      </c>
      <c r="D396" t="s">
        <v>58</v>
      </c>
      <c r="E396" t="s">
        <v>211</v>
      </c>
      <c r="F396" t="s">
        <v>82</v>
      </c>
      <c r="G396" t="s">
        <v>212</v>
      </c>
      <c r="H396" t="s">
        <v>108</v>
      </c>
      <c r="I396" t="s">
        <v>107</v>
      </c>
      <c r="J396" s="26">
        <v>44550</v>
      </c>
      <c r="K396" t="s">
        <v>170</v>
      </c>
      <c r="L396" s="26">
        <v>44638</v>
      </c>
      <c r="M396" t="s">
        <v>171</v>
      </c>
      <c r="N396" t="s">
        <v>97</v>
      </c>
      <c r="O396" s="27">
        <v>1303000</v>
      </c>
      <c r="P396">
        <v>2</v>
      </c>
      <c r="Q396" t="s">
        <v>164</v>
      </c>
      <c r="R396">
        <v>12</v>
      </c>
      <c r="S396" t="s">
        <v>214</v>
      </c>
      <c r="T396">
        <f t="shared" si="42"/>
        <v>11279</v>
      </c>
      <c r="U396" t="str">
        <f t="shared" si="43"/>
        <v>FIN</v>
      </c>
      <c r="V396" t="str">
        <f t="shared" si="44"/>
        <v>L2</v>
      </c>
      <c r="W396" t="str">
        <f>PROPER(TRIM(VLOOKUP(S396,Employee_Lookups!$I$4:$M$19,2,FALSE())))</f>
        <v>Aditya Gokhale</v>
      </c>
      <c r="X396" t="str">
        <f>VLOOKUP(C396,Employee_Lookups!$A$4:$G$9,4,FALSE())</f>
        <v>CC-404</v>
      </c>
      <c r="Y396" t="str">
        <f>INDEX(Employee_Lookups!$C$13:$C$17,MATCH(F396,Employee_Lookups!$A$13:$A$17,0))</f>
        <v>Band B (Mid)</v>
      </c>
      <c r="Z396" s="27">
        <f>_xlfn.XLOOKUP(F396,Employee_Lookups!$A$13:$A$17,Employee_Lookups!$E$13:$E$17,0)</f>
        <v>1100000</v>
      </c>
      <c r="AA396" s="28">
        <f>ROUND(O396/INDEX(Employee_Lookups!$E$13:$E$17,MATCH(F396,Employee_Lookups!$A$13:$A$17,0)),3)</f>
        <v>1.1850000000000001</v>
      </c>
      <c r="AB396">
        <f t="shared" si="45"/>
        <v>2021</v>
      </c>
      <c r="AC396">
        <f t="shared" si="46"/>
        <v>2022</v>
      </c>
      <c r="AD396" s="28">
        <f>ROUND((IF(ISBLANK(L396),Employee_Lookups!$O$14,L396)-J396)/365.25,2)</f>
        <v>0.24</v>
      </c>
      <c r="AE396" t="str">
        <f t="shared" si="47"/>
        <v>&lt; 1 Yr (New)</v>
      </c>
      <c r="AF396" t="str">
        <f t="shared" si="48"/>
        <v>Exited</v>
      </c>
    </row>
    <row r="397" spans="1:32" x14ac:dyDescent="0.45">
      <c r="A397" t="s">
        <v>941</v>
      </c>
      <c r="B397" t="s">
        <v>942</v>
      </c>
      <c r="C397" t="s">
        <v>57</v>
      </c>
      <c r="D397" t="s">
        <v>56</v>
      </c>
      <c r="E397" t="s">
        <v>222</v>
      </c>
      <c r="F397" t="s">
        <v>82</v>
      </c>
      <c r="G397" t="s">
        <v>223</v>
      </c>
      <c r="H397" t="s">
        <v>106</v>
      </c>
      <c r="I397" t="s">
        <v>107</v>
      </c>
      <c r="J397" s="26">
        <v>44550</v>
      </c>
      <c r="K397" t="s">
        <v>170</v>
      </c>
      <c r="L397" s="26">
        <v>45171</v>
      </c>
      <c r="M397" t="s">
        <v>171</v>
      </c>
      <c r="N397" t="s">
        <v>98</v>
      </c>
      <c r="O397" s="27">
        <v>943000</v>
      </c>
      <c r="P397">
        <v>4</v>
      </c>
      <c r="Q397" t="s">
        <v>164</v>
      </c>
      <c r="R397">
        <v>60</v>
      </c>
      <c r="S397" t="s">
        <v>224</v>
      </c>
      <c r="T397">
        <f t="shared" si="42"/>
        <v>11059</v>
      </c>
      <c r="U397" t="str">
        <f t="shared" si="43"/>
        <v>MKT</v>
      </c>
      <c r="V397" t="str">
        <f t="shared" si="44"/>
        <v>L2</v>
      </c>
      <c r="W397" t="str">
        <f>PROPER(TRIM(VLOOKUP(S397,Employee_Lookups!$I$4:$M$19,2,FALSE())))</f>
        <v>Tanvi Chitnis</v>
      </c>
      <c r="X397" t="str">
        <f>VLOOKUP(C397,Employee_Lookups!$A$4:$G$9,4,FALSE())</f>
        <v>CC-606</v>
      </c>
      <c r="Y397" t="str">
        <f>INDEX(Employee_Lookups!$C$13:$C$17,MATCH(F397,Employee_Lookups!$A$13:$A$17,0))</f>
        <v>Band B (Mid)</v>
      </c>
      <c r="Z397" s="27">
        <f>_xlfn.XLOOKUP(F397,Employee_Lookups!$A$13:$A$17,Employee_Lookups!$E$13:$E$17,0)</f>
        <v>1100000</v>
      </c>
      <c r="AA397" s="28">
        <f>ROUND(O397/INDEX(Employee_Lookups!$E$13:$E$17,MATCH(F397,Employee_Lookups!$A$13:$A$17,0)),3)</f>
        <v>0.85699999999999998</v>
      </c>
      <c r="AB397">
        <f t="shared" si="45"/>
        <v>2021</v>
      </c>
      <c r="AC397">
        <f t="shared" si="46"/>
        <v>2023</v>
      </c>
      <c r="AD397" s="28">
        <f>ROUND((IF(ISBLANK(L397),Employee_Lookups!$O$14,L397)-J397)/365.25,2)</f>
        <v>1.7</v>
      </c>
      <c r="AE397" t="str">
        <f t="shared" si="47"/>
        <v>1 - 3 Yrs</v>
      </c>
      <c r="AF397" t="str">
        <f t="shared" si="48"/>
        <v>Exited</v>
      </c>
    </row>
    <row r="398" spans="1:32" x14ac:dyDescent="0.45">
      <c r="A398" t="s">
        <v>943</v>
      </c>
      <c r="B398" t="s">
        <v>882</v>
      </c>
      <c r="C398" t="s">
        <v>55</v>
      </c>
      <c r="D398" t="s">
        <v>54</v>
      </c>
      <c r="E398" t="s">
        <v>240</v>
      </c>
      <c r="F398" t="s">
        <v>83</v>
      </c>
      <c r="G398" t="s">
        <v>241</v>
      </c>
      <c r="H398" t="s">
        <v>106</v>
      </c>
      <c r="I398" t="s">
        <v>107</v>
      </c>
      <c r="J398" s="26">
        <v>44552</v>
      </c>
      <c r="K398" t="s">
        <v>162</v>
      </c>
      <c r="L398" s="26"/>
      <c r="M398" t="s">
        <v>163</v>
      </c>
      <c r="N398" t="s">
        <v>99</v>
      </c>
      <c r="O398" s="27">
        <v>2075000</v>
      </c>
      <c r="P398">
        <v>5</v>
      </c>
      <c r="Q398" t="s">
        <v>164</v>
      </c>
      <c r="R398">
        <v>41</v>
      </c>
      <c r="S398" t="s">
        <v>274</v>
      </c>
      <c r="T398">
        <f t="shared" si="42"/>
        <v>10133</v>
      </c>
      <c r="U398" t="str">
        <f t="shared" si="43"/>
        <v>OPS</v>
      </c>
      <c r="V398" t="str">
        <f t="shared" si="44"/>
        <v>L3</v>
      </c>
      <c r="W398" t="str">
        <f>PROPER(TRIM(VLOOKUP(S398,Employee_Lookups!$I$4:$M$19,2,FALSE())))</f>
        <v>Meera Krishnan</v>
      </c>
      <c r="X398" t="str">
        <f>VLOOKUP(C398,Employee_Lookups!$A$4:$G$9,4,FALSE())</f>
        <v>CC-303</v>
      </c>
      <c r="Y398" t="str">
        <f>INDEX(Employee_Lookups!$C$13:$C$17,MATCH(F398,Employee_Lookups!$A$13:$A$17,0))</f>
        <v>Band C (Senior)</v>
      </c>
      <c r="Z398" s="27">
        <f>_xlfn.XLOOKUP(F398,Employee_Lookups!$A$13:$A$17,Employee_Lookups!$E$13:$E$17,0)</f>
        <v>1725000</v>
      </c>
      <c r="AA398" s="28">
        <f>ROUND(O398/INDEX(Employee_Lookups!$E$13:$E$17,MATCH(F398,Employee_Lookups!$A$13:$A$17,0)),3)</f>
        <v>1.2030000000000001</v>
      </c>
      <c r="AB398">
        <f t="shared" si="45"/>
        <v>2021</v>
      </c>
      <c r="AC398" t="str">
        <f t="shared" si="46"/>
        <v/>
      </c>
      <c r="AD398" s="28">
        <f>ROUND((IF(ISBLANK(L398),Employee_Lookups!$O$14,L398)-J398)/365.25,2)</f>
        <v>4.0199999999999996</v>
      </c>
      <c r="AE398" t="str">
        <f t="shared" si="47"/>
        <v>3 - 5 Yrs</v>
      </c>
      <c r="AF398" t="str">
        <f t="shared" si="48"/>
        <v>Low Risk</v>
      </c>
    </row>
    <row r="399" spans="1:32" x14ac:dyDescent="0.45">
      <c r="A399" t="s">
        <v>944</v>
      </c>
      <c r="B399" t="s">
        <v>945</v>
      </c>
      <c r="C399" t="s">
        <v>51</v>
      </c>
      <c r="D399" t="s">
        <v>50</v>
      </c>
      <c r="E399" t="s">
        <v>181</v>
      </c>
      <c r="F399" t="s">
        <v>81</v>
      </c>
      <c r="G399" t="s">
        <v>182</v>
      </c>
      <c r="H399" t="s">
        <v>108</v>
      </c>
      <c r="I399" t="s">
        <v>107</v>
      </c>
      <c r="J399" s="26">
        <v>44555</v>
      </c>
      <c r="K399" t="s">
        <v>187</v>
      </c>
      <c r="L399" s="26">
        <v>45162</v>
      </c>
      <c r="M399" t="s">
        <v>269</v>
      </c>
      <c r="N399" t="s">
        <v>98</v>
      </c>
      <c r="O399" s="27">
        <v>656000</v>
      </c>
      <c r="P399">
        <v>4</v>
      </c>
      <c r="Q399" t="s">
        <v>172</v>
      </c>
      <c r="R399">
        <v>35</v>
      </c>
      <c r="S399" t="s">
        <v>219</v>
      </c>
      <c r="T399">
        <f t="shared" si="42"/>
        <v>10807</v>
      </c>
      <c r="U399" t="str">
        <f t="shared" si="43"/>
        <v>ENG</v>
      </c>
      <c r="V399" t="str">
        <f t="shared" si="44"/>
        <v>L1</v>
      </c>
      <c r="W399" t="str">
        <f>PROPER(TRIM(VLOOKUP(S399,Employee_Lookups!$I$4:$M$19,2,FALSE())))</f>
        <v>Neha Kulkarni</v>
      </c>
      <c r="X399" t="str">
        <f>VLOOKUP(C399,Employee_Lookups!$A$4:$G$9,4,FALSE())</f>
        <v>CC-101</v>
      </c>
      <c r="Y399" t="str">
        <f>INDEX(Employee_Lookups!$C$13:$C$17,MATCH(F399,Employee_Lookups!$A$13:$A$17,0))</f>
        <v>Band A (Entry)</v>
      </c>
      <c r="Z399" s="27">
        <f>_xlfn.XLOOKUP(F399,Employee_Lookups!$A$13:$A$17,Employee_Lookups!$E$13:$E$17,0)</f>
        <v>700000</v>
      </c>
      <c r="AA399" s="28">
        <f>ROUND(O399/INDEX(Employee_Lookups!$E$13:$E$17,MATCH(F399,Employee_Lookups!$A$13:$A$17,0)),3)</f>
        <v>0.93700000000000006</v>
      </c>
      <c r="AB399">
        <f t="shared" si="45"/>
        <v>2021</v>
      </c>
      <c r="AC399">
        <f t="shared" si="46"/>
        <v>2023</v>
      </c>
      <c r="AD399" s="28">
        <f>ROUND((IF(ISBLANK(L399),Employee_Lookups!$O$14,L399)-J399)/365.25,2)</f>
        <v>1.66</v>
      </c>
      <c r="AE399" t="str">
        <f t="shared" si="47"/>
        <v>1 - 3 Yrs</v>
      </c>
      <c r="AF399" t="str">
        <f t="shared" si="48"/>
        <v>Exited</v>
      </c>
    </row>
    <row r="400" spans="1:32" x14ac:dyDescent="0.45">
      <c r="A400" t="s">
        <v>946</v>
      </c>
      <c r="B400" t="s">
        <v>947</v>
      </c>
      <c r="C400" t="s">
        <v>53</v>
      </c>
      <c r="D400" t="s">
        <v>52</v>
      </c>
      <c r="E400" t="s">
        <v>192</v>
      </c>
      <c r="F400" t="s">
        <v>83</v>
      </c>
      <c r="G400" t="s">
        <v>193</v>
      </c>
      <c r="H400" t="s">
        <v>109</v>
      </c>
      <c r="I400" t="s">
        <v>110</v>
      </c>
      <c r="J400" s="26">
        <v>44555</v>
      </c>
      <c r="K400" t="s">
        <v>162</v>
      </c>
      <c r="L400" s="26"/>
      <c r="M400" t="s">
        <v>163</v>
      </c>
      <c r="N400" t="s">
        <v>99</v>
      </c>
      <c r="O400" s="27">
        <v>1756000</v>
      </c>
      <c r="P400">
        <v>3</v>
      </c>
      <c r="Q400" t="s">
        <v>164</v>
      </c>
      <c r="R400">
        <v>17</v>
      </c>
      <c r="S400" t="s">
        <v>237</v>
      </c>
      <c r="T400">
        <f t="shared" si="42"/>
        <v>10119</v>
      </c>
      <c r="U400" t="str">
        <f t="shared" si="43"/>
        <v>SAL</v>
      </c>
      <c r="V400" t="str">
        <f t="shared" si="44"/>
        <v>L3</v>
      </c>
      <c r="W400" t="str">
        <f>PROPER(TRIM(VLOOKUP(S400,Employee_Lookups!$I$4:$M$19,2,FALSE())))</f>
        <v>Karan Malhotra</v>
      </c>
      <c r="X400" t="str">
        <f>VLOOKUP(C400,Employee_Lookups!$A$4:$G$9,4,FALSE())</f>
        <v>CC-202</v>
      </c>
      <c r="Y400" t="str">
        <f>INDEX(Employee_Lookups!$C$13:$C$17,MATCH(F400,Employee_Lookups!$A$13:$A$17,0))</f>
        <v>Band C (Senior)</v>
      </c>
      <c r="Z400" s="27">
        <f>_xlfn.XLOOKUP(F400,Employee_Lookups!$A$13:$A$17,Employee_Lookups!$E$13:$E$17,0)</f>
        <v>1725000</v>
      </c>
      <c r="AA400" s="28">
        <f>ROUND(O400/INDEX(Employee_Lookups!$E$13:$E$17,MATCH(F400,Employee_Lookups!$A$13:$A$17,0)),3)</f>
        <v>1.018</v>
      </c>
      <c r="AB400">
        <f t="shared" si="45"/>
        <v>2021</v>
      </c>
      <c r="AC400" t="str">
        <f t="shared" si="46"/>
        <v/>
      </c>
      <c r="AD400" s="28">
        <f>ROUND((IF(ISBLANK(L400),Employee_Lookups!$O$14,L400)-J400)/365.25,2)</f>
        <v>4.0199999999999996</v>
      </c>
      <c r="AE400" t="str">
        <f t="shared" si="47"/>
        <v>3 - 5 Yrs</v>
      </c>
      <c r="AF400" t="str">
        <f t="shared" si="48"/>
        <v>Low Risk</v>
      </c>
    </row>
    <row r="401" spans="1:32" x14ac:dyDescent="0.45">
      <c r="A401" t="s">
        <v>948</v>
      </c>
      <c r="B401" t="s">
        <v>949</v>
      </c>
      <c r="C401" t="s">
        <v>51</v>
      </c>
      <c r="D401" t="s">
        <v>50</v>
      </c>
      <c r="E401" t="s">
        <v>181</v>
      </c>
      <c r="F401" t="s">
        <v>81</v>
      </c>
      <c r="G401" t="s">
        <v>182</v>
      </c>
      <c r="H401" t="s">
        <v>106</v>
      </c>
      <c r="I401" t="s">
        <v>107</v>
      </c>
      <c r="J401" s="26">
        <v>44556</v>
      </c>
      <c r="K401" t="s">
        <v>187</v>
      </c>
      <c r="L401" s="26">
        <v>44866</v>
      </c>
      <c r="M401" t="s">
        <v>308</v>
      </c>
      <c r="N401" t="s">
        <v>96</v>
      </c>
      <c r="O401" s="27">
        <v>685000</v>
      </c>
      <c r="P401">
        <v>4</v>
      </c>
      <c r="Q401" t="s">
        <v>172</v>
      </c>
      <c r="R401">
        <v>16</v>
      </c>
      <c r="S401" t="s">
        <v>197</v>
      </c>
      <c r="T401">
        <f t="shared" si="42"/>
        <v>10658</v>
      </c>
      <c r="U401" t="str">
        <f t="shared" si="43"/>
        <v>ENG</v>
      </c>
      <c r="V401" t="str">
        <f t="shared" si="44"/>
        <v>L1</v>
      </c>
      <c r="W401" t="str">
        <f>PROPER(TRIM(VLOOKUP(S401,Employee_Lookups!$I$4:$M$19,2,FALSE())))</f>
        <v>Rohan Verma</v>
      </c>
      <c r="X401" t="str">
        <f>VLOOKUP(C401,Employee_Lookups!$A$4:$G$9,4,FALSE())</f>
        <v>CC-101</v>
      </c>
      <c r="Y401" t="str">
        <f>INDEX(Employee_Lookups!$C$13:$C$17,MATCH(F401,Employee_Lookups!$A$13:$A$17,0))</f>
        <v>Band A (Entry)</v>
      </c>
      <c r="Z401" s="27">
        <f>_xlfn.XLOOKUP(F401,Employee_Lookups!$A$13:$A$17,Employee_Lookups!$E$13:$E$17,0)</f>
        <v>700000</v>
      </c>
      <c r="AA401" s="28">
        <f>ROUND(O401/INDEX(Employee_Lookups!$E$13:$E$17,MATCH(F401,Employee_Lookups!$A$13:$A$17,0)),3)</f>
        <v>0.97899999999999998</v>
      </c>
      <c r="AB401">
        <f t="shared" si="45"/>
        <v>2021</v>
      </c>
      <c r="AC401">
        <f t="shared" si="46"/>
        <v>2022</v>
      </c>
      <c r="AD401" s="28">
        <f>ROUND((IF(ISBLANK(L401),Employee_Lookups!$O$14,L401)-J401)/365.25,2)</f>
        <v>0.85</v>
      </c>
      <c r="AE401" t="str">
        <f t="shared" si="47"/>
        <v>&lt; 1 Yr (New)</v>
      </c>
      <c r="AF401" t="str">
        <f t="shared" si="48"/>
        <v>Exited</v>
      </c>
    </row>
    <row r="402" spans="1:32" x14ac:dyDescent="0.45">
      <c r="A402" t="s">
        <v>950</v>
      </c>
      <c r="B402" t="s">
        <v>875</v>
      </c>
      <c r="C402" t="s">
        <v>55</v>
      </c>
      <c r="D402" t="s">
        <v>54</v>
      </c>
      <c r="E402" t="s">
        <v>229</v>
      </c>
      <c r="F402" t="s">
        <v>82</v>
      </c>
      <c r="G402" t="s">
        <v>230</v>
      </c>
      <c r="H402" t="s">
        <v>109</v>
      </c>
      <c r="I402" t="s">
        <v>110</v>
      </c>
      <c r="J402" s="26">
        <v>44563</v>
      </c>
      <c r="K402" t="s">
        <v>162</v>
      </c>
      <c r="L402" s="26"/>
      <c r="M402" t="s">
        <v>163</v>
      </c>
      <c r="N402" t="s">
        <v>97</v>
      </c>
      <c r="O402" s="27">
        <v>1149000</v>
      </c>
      <c r="P402">
        <v>2</v>
      </c>
      <c r="Q402" t="s">
        <v>172</v>
      </c>
      <c r="R402">
        <v>36</v>
      </c>
      <c r="S402" t="s">
        <v>173</v>
      </c>
      <c r="T402">
        <f t="shared" si="42"/>
        <v>10231</v>
      </c>
      <c r="U402" t="str">
        <f t="shared" si="43"/>
        <v>OPS</v>
      </c>
      <c r="V402" t="str">
        <f t="shared" si="44"/>
        <v>L2</v>
      </c>
      <c r="W402" t="str">
        <f>PROPER(TRIM(VLOOKUP(S402,Employee_Lookups!$I$4:$M$19,2,FALSE())))</f>
        <v>Deepak Patil</v>
      </c>
      <c r="X402" t="str">
        <f>VLOOKUP(C402,Employee_Lookups!$A$4:$G$9,4,FALSE())</f>
        <v>CC-303</v>
      </c>
      <c r="Y402" t="str">
        <f>INDEX(Employee_Lookups!$C$13:$C$17,MATCH(F402,Employee_Lookups!$A$13:$A$17,0))</f>
        <v>Band B (Mid)</v>
      </c>
      <c r="Z402" s="27">
        <f>_xlfn.XLOOKUP(F402,Employee_Lookups!$A$13:$A$17,Employee_Lookups!$E$13:$E$17,0)</f>
        <v>1100000</v>
      </c>
      <c r="AA402" s="28">
        <f>ROUND(O402/INDEX(Employee_Lookups!$E$13:$E$17,MATCH(F402,Employee_Lookups!$A$13:$A$17,0)),3)</f>
        <v>1.0449999999999999</v>
      </c>
      <c r="AB402">
        <f t="shared" si="45"/>
        <v>2022</v>
      </c>
      <c r="AC402" t="str">
        <f t="shared" si="46"/>
        <v/>
      </c>
      <c r="AD402" s="28">
        <f>ROUND((IF(ISBLANK(L402),Employee_Lookups!$O$14,L402)-J402)/365.25,2)</f>
        <v>3.99</v>
      </c>
      <c r="AE402" t="str">
        <f t="shared" si="47"/>
        <v>3 - 5 Yrs</v>
      </c>
      <c r="AF402" t="str">
        <f t="shared" si="48"/>
        <v>Moderate Risk</v>
      </c>
    </row>
    <row r="403" spans="1:32" x14ac:dyDescent="0.45">
      <c r="A403" t="s">
        <v>951</v>
      </c>
      <c r="B403" t="s">
        <v>621</v>
      </c>
      <c r="C403" t="s">
        <v>51</v>
      </c>
      <c r="D403" t="s">
        <v>50</v>
      </c>
      <c r="E403" t="s">
        <v>397</v>
      </c>
      <c r="F403" t="s">
        <v>84</v>
      </c>
      <c r="G403" t="s">
        <v>398</v>
      </c>
      <c r="H403" t="s">
        <v>109</v>
      </c>
      <c r="I403" t="s">
        <v>110</v>
      </c>
      <c r="J403" s="26">
        <v>44563</v>
      </c>
      <c r="K403" t="s">
        <v>162</v>
      </c>
      <c r="L403" s="26"/>
      <c r="M403" t="s">
        <v>163</v>
      </c>
      <c r="N403" t="s">
        <v>99</v>
      </c>
      <c r="O403" s="27">
        <v>2533000</v>
      </c>
      <c r="P403">
        <v>3</v>
      </c>
      <c r="Q403" t="s">
        <v>172</v>
      </c>
      <c r="R403">
        <v>38</v>
      </c>
      <c r="S403" t="s">
        <v>178</v>
      </c>
      <c r="T403">
        <f t="shared" si="42"/>
        <v>10236</v>
      </c>
      <c r="U403" t="str">
        <f t="shared" si="43"/>
        <v>ENG</v>
      </c>
      <c r="V403" t="str">
        <f t="shared" si="44"/>
        <v>L4</v>
      </c>
      <c r="W403" t="str">
        <f>PROPER(TRIM(VLOOKUP(S403,Employee_Lookups!$I$4:$M$19,2,FALSE())))</f>
        <v>Aarav Deshmukh</v>
      </c>
      <c r="X403" t="str">
        <f>VLOOKUP(C403,Employee_Lookups!$A$4:$G$9,4,FALSE())</f>
        <v>CC-101</v>
      </c>
      <c r="Y403" t="str">
        <f>INDEX(Employee_Lookups!$C$13:$C$17,MATCH(F403,Employee_Lookups!$A$13:$A$17,0))</f>
        <v>Band D (Leadership)</v>
      </c>
      <c r="Z403" s="27">
        <f>_xlfn.XLOOKUP(F403,Employee_Lookups!$A$13:$A$17,Employee_Lookups!$E$13:$E$17,0)</f>
        <v>2750000</v>
      </c>
      <c r="AA403" s="28">
        <f>ROUND(O403/INDEX(Employee_Lookups!$E$13:$E$17,MATCH(F403,Employee_Lookups!$A$13:$A$17,0)),3)</f>
        <v>0.92100000000000004</v>
      </c>
      <c r="AB403">
        <f t="shared" si="45"/>
        <v>2022</v>
      </c>
      <c r="AC403" t="str">
        <f t="shared" si="46"/>
        <v/>
      </c>
      <c r="AD403" s="28">
        <f>ROUND((IF(ISBLANK(L403),Employee_Lookups!$O$14,L403)-J403)/365.25,2)</f>
        <v>3.99</v>
      </c>
      <c r="AE403" t="str">
        <f t="shared" si="47"/>
        <v>3 - 5 Yrs</v>
      </c>
      <c r="AF403" t="str">
        <f t="shared" si="48"/>
        <v>High Risk</v>
      </c>
    </row>
    <row r="404" spans="1:32" x14ac:dyDescent="0.45">
      <c r="A404" t="s">
        <v>952</v>
      </c>
      <c r="B404" t="s">
        <v>953</v>
      </c>
      <c r="C404" t="s">
        <v>51</v>
      </c>
      <c r="D404" t="s">
        <v>50</v>
      </c>
      <c r="E404" t="s">
        <v>328</v>
      </c>
      <c r="F404" t="s">
        <v>85</v>
      </c>
      <c r="G404" t="s">
        <v>329</v>
      </c>
      <c r="H404" t="s">
        <v>109</v>
      </c>
      <c r="I404" t="s">
        <v>110</v>
      </c>
      <c r="J404" s="26">
        <v>44564</v>
      </c>
      <c r="K404" t="s">
        <v>162</v>
      </c>
      <c r="L404" s="26"/>
      <c r="M404" t="s">
        <v>163</v>
      </c>
      <c r="N404" t="s">
        <v>96</v>
      </c>
      <c r="O404" s="27">
        <v>4310000</v>
      </c>
      <c r="P404">
        <v>2</v>
      </c>
      <c r="Q404" t="s">
        <v>164</v>
      </c>
      <c r="R404">
        <v>24</v>
      </c>
      <c r="S404" t="s">
        <v>244</v>
      </c>
      <c r="T404">
        <f t="shared" si="42"/>
        <v>10230</v>
      </c>
      <c r="U404" t="str">
        <f t="shared" si="43"/>
        <v>ENG</v>
      </c>
      <c r="V404" t="str">
        <f t="shared" si="44"/>
        <v>L5</v>
      </c>
      <c r="W404" t="str">
        <f>PROPER(TRIM(VLOOKUP(S404,Employee_Lookups!$I$4:$M$19,2,FALSE())))</f>
        <v>Siddharth Nair</v>
      </c>
      <c r="X404" t="str">
        <f>VLOOKUP(C404,Employee_Lookups!$A$4:$G$9,4,FALSE())</f>
        <v>CC-101</v>
      </c>
      <c r="Y404" t="str">
        <f>INDEX(Employee_Lookups!$C$13:$C$17,MATCH(F404,Employee_Lookups!$A$13:$A$17,0))</f>
        <v>Band E (Executive)</v>
      </c>
      <c r="Z404" s="27">
        <f>_xlfn.XLOOKUP(F404,Employee_Lookups!$A$13:$A$17,Employee_Lookups!$E$13:$E$17,0)</f>
        <v>4300000</v>
      </c>
      <c r="AA404" s="28">
        <f>ROUND(O404/INDEX(Employee_Lookups!$E$13:$E$17,MATCH(F404,Employee_Lookups!$A$13:$A$17,0)),3)</f>
        <v>1.002</v>
      </c>
      <c r="AB404">
        <f t="shared" si="45"/>
        <v>2022</v>
      </c>
      <c r="AC404" t="str">
        <f t="shared" si="46"/>
        <v/>
      </c>
      <c r="AD404" s="28">
        <f>ROUND((IF(ISBLANK(L404),Employee_Lookups!$O$14,L404)-J404)/365.25,2)</f>
        <v>3.99</v>
      </c>
      <c r="AE404" t="str">
        <f t="shared" si="47"/>
        <v>3 - 5 Yrs</v>
      </c>
      <c r="AF404" t="str">
        <f t="shared" si="48"/>
        <v>Moderate Risk</v>
      </c>
    </row>
    <row r="405" spans="1:32" x14ac:dyDescent="0.45">
      <c r="A405" t="s">
        <v>954</v>
      </c>
      <c r="B405" t="s">
        <v>955</v>
      </c>
      <c r="C405" t="s">
        <v>59</v>
      </c>
      <c r="D405" t="s">
        <v>58</v>
      </c>
      <c r="E405" t="s">
        <v>206</v>
      </c>
      <c r="F405" t="s">
        <v>81</v>
      </c>
      <c r="G405" t="s">
        <v>207</v>
      </c>
      <c r="H405" t="s">
        <v>108</v>
      </c>
      <c r="I405" t="s">
        <v>107</v>
      </c>
      <c r="J405" s="26">
        <v>44564</v>
      </c>
      <c r="K405" t="s">
        <v>170</v>
      </c>
      <c r="L405" s="26">
        <v>45680</v>
      </c>
      <c r="M405" t="s">
        <v>171</v>
      </c>
      <c r="N405" t="s">
        <v>98</v>
      </c>
      <c r="O405" s="27">
        <v>591000</v>
      </c>
      <c r="P405">
        <v>2</v>
      </c>
      <c r="Q405" t="s">
        <v>172</v>
      </c>
      <c r="R405">
        <v>28</v>
      </c>
      <c r="S405" t="s">
        <v>214</v>
      </c>
      <c r="T405">
        <f t="shared" si="42"/>
        <v>10399</v>
      </c>
      <c r="U405" t="str">
        <f t="shared" si="43"/>
        <v>FIN</v>
      </c>
      <c r="V405" t="str">
        <f t="shared" si="44"/>
        <v>L1</v>
      </c>
      <c r="W405" t="str">
        <f>PROPER(TRIM(VLOOKUP(S405,Employee_Lookups!$I$4:$M$19,2,FALSE())))</f>
        <v>Aditya Gokhale</v>
      </c>
      <c r="X405" t="str">
        <f>VLOOKUP(C405,Employee_Lookups!$A$4:$G$9,4,FALSE())</f>
        <v>CC-404</v>
      </c>
      <c r="Y405" t="str">
        <f>INDEX(Employee_Lookups!$C$13:$C$17,MATCH(F405,Employee_Lookups!$A$13:$A$17,0))</f>
        <v>Band A (Entry)</v>
      </c>
      <c r="Z405" s="27">
        <f>_xlfn.XLOOKUP(F405,Employee_Lookups!$A$13:$A$17,Employee_Lookups!$E$13:$E$17,0)</f>
        <v>700000</v>
      </c>
      <c r="AA405" s="28">
        <f>ROUND(O405/INDEX(Employee_Lookups!$E$13:$E$17,MATCH(F405,Employee_Lookups!$A$13:$A$17,0)),3)</f>
        <v>0.84399999999999997</v>
      </c>
      <c r="AB405">
        <f t="shared" si="45"/>
        <v>2022</v>
      </c>
      <c r="AC405">
        <f t="shared" si="46"/>
        <v>2025</v>
      </c>
      <c r="AD405" s="28">
        <f>ROUND((IF(ISBLANK(L405),Employee_Lookups!$O$14,L405)-J405)/365.25,2)</f>
        <v>3.06</v>
      </c>
      <c r="AE405" t="str">
        <f t="shared" si="47"/>
        <v>3 - 5 Yrs</v>
      </c>
      <c r="AF405" t="str">
        <f t="shared" si="48"/>
        <v>Exited</v>
      </c>
    </row>
    <row r="406" spans="1:32" x14ac:dyDescent="0.45">
      <c r="A406" t="s">
        <v>956</v>
      </c>
      <c r="B406" t="s">
        <v>199</v>
      </c>
      <c r="C406" t="s">
        <v>59</v>
      </c>
      <c r="D406" t="s">
        <v>58</v>
      </c>
      <c r="E406" t="s">
        <v>211</v>
      </c>
      <c r="F406" t="s">
        <v>82</v>
      </c>
      <c r="G406" t="s">
        <v>212</v>
      </c>
      <c r="H406" t="s">
        <v>106</v>
      </c>
      <c r="I406" t="s">
        <v>107</v>
      </c>
      <c r="J406" s="26">
        <v>44565</v>
      </c>
      <c r="K406" t="s">
        <v>162</v>
      </c>
      <c r="L406" s="26"/>
      <c r="M406" t="s">
        <v>163</v>
      </c>
      <c r="N406" t="s">
        <v>96</v>
      </c>
      <c r="O406" s="27">
        <v>901000</v>
      </c>
      <c r="P406">
        <v>4</v>
      </c>
      <c r="Q406" t="s">
        <v>164</v>
      </c>
      <c r="R406">
        <v>46</v>
      </c>
      <c r="S406" t="s">
        <v>208</v>
      </c>
      <c r="T406">
        <f t="shared" si="42"/>
        <v>11222</v>
      </c>
      <c r="U406" t="str">
        <f t="shared" si="43"/>
        <v>FIN</v>
      </c>
      <c r="V406" t="str">
        <f t="shared" si="44"/>
        <v>L2</v>
      </c>
      <c r="W406" t="str">
        <f>PROPER(TRIM(VLOOKUP(S406,Employee_Lookups!$I$4:$M$19,2,FALSE())))</f>
        <v>Rajeshwari Rao</v>
      </c>
      <c r="X406" t="str">
        <f>VLOOKUP(C406,Employee_Lookups!$A$4:$G$9,4,FALSE())</f>
        <v>CC-404</v>
      </c>
      <c r="Y406" t="str">
        <f>INDEX(Employee_Lookups!$C$13:$C$17,MATCH(F406,Employee_Lookups!$A$13:$A$17,0))</f>
        <v>Band B (Mid)</v>
      </c>
      <c r="Z406" s="27">
        <f>_xlfn.XLOOKUP(F406,Employee_Lookups!$A$13:$A$17,Employee_Lookups!$E$13:$E$17,0)</f>
        <v>1100000</v>
      </c>
      <c r="AA406" s="28">
        <f>ROUND(O406/INDEX(Employee_Lookups!$E$13:$E$17,MATCH(F406,Employee_Lookups!$A$13:$A$17,0)),3)</f>
        <v>0.81899999999999995</v>
      </c>
      <c r="AB406">
        <f t="shared" si="45"/>
        <v>2022</v>
      </c>
      <c r="AC406" t="str">
        <f t="shared" si="46"/>
        <v/>
      </c>
      <c r="AD406" s="28">
        <f>ROUND((IF(ISBLANK(L406),Employee_Lookups!$O$14,L406)-J406)/365.25,2)</f>
        <v>3.99</v>
      </c>
      <c r="AE406" t="str">
        <f t="shared" si="47"/>
        <v>3 - 5 Yrs</v>
      </c>
      <c r="AF406" t="str">
        <f t="shared" si="48"/>
        <v>Low Risk</v>
      </c>
    </row>
    <row r="407" spans="1:32" x14ac:dyDescent="0.45">
      <c r="A407" t="s">
        <v>957</v>
      </c>
      <c r="B407" t="s">
        <v>268</v>
      </c>
      <c r="C407" t="s">
        <v>55</v>
      </c>
      <c r="D407" t="s">
        <v>54</v>
      </c>
      <c r="E407" t="s">
        <v>277</v>
      </c>
      <c r="F407" t="s">
        <v>81</v>
      </c>
      <c r="G407" t="s">
        <v>278</v>
      </c>
      <c r="H407" t="s">
        <v>108</v>
      </c>
      <c r="I407" t="s">
        <v>107</v>
      </c>
      <c r="J407" s="26">
        <v>44566</v>
      </c>
      <c r="K407" t="s">
        <v>187</v>
      </c>
      <c r="L407" s="26">
        <v>44843</v>
      </c>
      <c r="M407" t="s">
        <v>282</v>
      </c>
      <c r="N407" t="s">
        <v>97</v>
      </c>
      <c r="O407" s="27">
        <v>586000</v>
      </c>
      <c r="P407">
        <v>4</v>
      </c>
      <c r="Q407" t="s">
        <v>164</v>
      </c>
      <c r="R407">
        <v>34</v>
      </c>
      <c r="S407" t="s">
        <v>262</v>
      </c>
      <c r="T407">
        <f t="shared" si="42"/>
        <v>11364</v>
      </c>
      <c r="U407" t="str">
        <f t="shared" si="43"/>
        <v>OPS</v>
      </c>
      <c r="V407" t="str">
        <f t="shared" si="44"/>
        <v>L1</v>
      </c>
      <c r="W407" t="str">
        <f>PROPER(TRIM(VLOOKUP(S407,Employee_Lookups!$I$4:$M$19,2,FALSE())))</f>
        <v>Ananya Iyer</v>
      </c>
      <c r="X407" t="str">
        <f>VLOOKUP(C407,Employee_Lookups!$A$4:$G$9,4,FALSE())</f>
        <v>CC-303</v>
      </c>
      <c r="Y407" t="str">
        <f>INDEX(Employee_Lookups!$C$13:$C$17,MATCH(F407,Employee_Lookups!$A$13:$A$17,0))</f>
        <v>Band A (Entry)</v>
      </c>
      <c r="Z407" s="27">
        <f>_xlfn.XLOOKUP(F407,Employee_Lookups!$A$13:$A$17,Employee_Lookups!$E$13:$E$17,0)</f>
        <v>700000</v>
      </c>
      <c r="AA407" s="28">
        <f>ROUND(O407/INDEX(Employee_Lookups!$E$13:$E$17,MATCH(F407,Employee_Lookups!$A$13:$A$17,0)),3)</f>
        <v>0.83699999999999997</v>
      </c>
      <c r="AB407">
        <f t="shared" si="45"/>
        <v>2022</v>
      </c>
      <c r="AC407">
        <f t="shared" si="46"/>
        <v>2022</v>
      </c>
      <c r="AD407" s="28">
        <f>ROUND((IF(ISBLANK(L407),Employee_Lookups!$O$14,L407)-J407)/365.25,2)</f>
        <v>0.76</v>
      </c>
      <c r="AE407" t="str">
        <f t="shared" si="47"/>
        <v>&lt; 1 Yr (New)</v>
      </c>
      <c r="AF407" t="str">
        <f t="shared" si="48"/>
        <v>Exited</v>
      </c>
    </row>
    <row r="408" spans="1:32" x14ac:dyDescent="0.45">
      <c r="A408" t="s">
        <v>958</v>
      </c>
      <c r="B408" t="s">
        <v>959</v>
      </c>
      <c r="C408" t="s">
        <v>57</v>
      </c>
      <c r="D408" t="s">
        <v>56</v>
      </c>
      <c r="E408" t="s">
        <v>222</v>
      </c>
      <c r="F408" t="s">
        <v>82</v>
      </c>
      <c r="G408" t="s">
        <v>223</v>
      </c>
      <c r="H408" t="s">
        <v>109</v>
      </c>
      <c r="I408" t="s">
        <v>110</v>
      </c>
      <c r="J408" s="26">
        <v>44566</v>
      </c>
      <c r="K408" t="s">
        <v>162</v>
      </c>
      <c r="L408" s="26"/>
      <c r="M408" t="s">
        <v>163</v>
      </c>
      <c r="N408" t="s">
        <v>99</v>
      </c>
      <c r="O408" s="27">
        <v>931000</v>
      </c>
      <c r="P408">
        <v>3</v>
      </c>
      <c r="Q408" t="s">
        <v>164</v>
      </c>
      <c r="R408">
        <v>50</v>
      </c>
      <c r="S408" t="s">
        <v>224</v>
      </c>
      <c r="T408">
        <f t="shared" si="42"/>
        <v>10551</v>
      </c>
      <c r="U408" t="str">
        <f t="shared" si="43"/>
        <v>MKT</v>
      </c>
      <c r="V408" t="str">
        <f t="shared" si="44"/>
        <v>L2</v>
      </c>
      <c r="W408" t="str">
        <f>PROPER(TRIM(VLOOKUP(S408,Employee_Lookups!$I$4:$M$19,2,FALSE())))</f>
        <v>Tanvi Chitnis</v>
      </c>
      <c r="X408" t="str">
        <f>VLOOKUP(C408,Employee_Lookups!$A$4:$G$9,4,FALSE())</f>
        <v>CC-606</v>
      </c>
      <c r="Y408" t="str">
        <f>INDEX(Employee_Lookups!$C$13:$C$17,MATCH(F408,Employee_Lookups!$A$13:$A$17,0))</f>
        <v>Band B (Mid)</v>
      </c>
      <c r="Z408" s="27">
        <f>_xlfn.XLOOKUP(F408,Employee_Lookups!$A$13:$A$17,Employee_Lookups!$E$13:$E$17,0)</f>
        <v>1100000</v>
      </c>
      <c r="AA408" s="28">
        <f>ROUND(O408/INDEX(Employee_Lookups!$E$13:$E$17,MATCH(F408,Employee_Lookups!$A$13:$A$17,0)),3)</f>
        <v>0.84599999999999997</v>
      </c>
      <c r="AB408">
        <f t="shared" si="45"/>
        <v>2022</v>
      </c>
      <c r="AC408" t="str">
        <f t="shared" si="46"/>
        <v/>
      </c>
      <c r="AD408" s="28">
        <f>ROUND((IF(ISBLANK(L408),Employee_Lookups!$O$14,L408)-J408)/365.25,2)</f>
        <v>3.99</v>
      </c>
      <c r="AE408" t="str">
        <f t="shared" si="47"/>
        <v>3 - 5 Yrs</v>
      </c>
      <c r="AF408" t="str">
        <f t="shared" si="48"/>
        <v>Low Risk</v>
      </c>
    </row>
    <row r="409" spans="1:32" x14ac:dyDescent="0.45">
      <c r="A409" t="s">
        <v>960</v>
      </c>
      <c r="B409" t="s">
        <v>589</v>
      </c>
      <c r="C409" t="s">
        <v>57</v>
      </c>
      <c r="D409" t="s">
        <v>56</v>
      </c>
      <c r="E409" t="s">
        <v>160</v>
      </c>
      <c r="F409" t="s">
        <v>81</v>
      </c>
      <c r="G409" t="s">
        <v>161</v>
      </c>
      <c r="H409" t="s">
        <v>108</v>
      </c>
      <c r="I409" t="s">
        <v>107</v>
      </c>
      <c r="J409" s="26">
        <v>44566</v>
      </c>
      <c r="K409" t="s">
        <v>162</v>
      </c>
      <c r="L409" s="26"/>
      <c r="M409" t="s">
        <v>163</v>
      </c>
      <c r="N409" t="s">
        <v>97</v>
      </c>
      <c r="O409" s="27">
        <v>681000</v>
      </c>
      <c r="P409">
        <v>4</v>
      </c>
      <c r="Q409" t="s">
        <v>172</v>
      </c>
      <c r="R409">
        <v>46</v>
      </c>
      <c r="S409" t="s">
        <v>224</v>
      </c>
      <c r="T409">
        <f t="shared" si="42"/>
        <v>11026</v>
      </c>
      <c r="U409" t="str">
        <f t="shared" si="43"/>
        <v>MKT</v>
      </c>
      <c r="V409" t="str">
        <f t="shared" si="44"/>
        <v>L1</v>
      </c>
      <c r="W409" t="str">
        <f>PROPER(TRIM(VLOOKUP(S409,Employee_Lookups!$I$4:$M$19,2,FALSE())))</f>
        <v>Tanvi Chitnis</v>
      </c>
      <c r="X409" t="str">
        <f>VLOOKUP(C409,Employee_Lookups!$A$4:$G$9,4,FALSE())</f>
        <v>CC-606</v>
      </c>
      <c r="Y409" t="str">
        <f>INDEX(Employee_Lookups!$C$13:$C$17,MATCH(F409,Employee_Lookups!$A$13:$A$17,0))</f>
        <v>Band A (Entry)</v>
      </c>
      <c r="Z409" s="27">
        <f>_xlfn.XLOOKUP(F409,Employee_Lookups!$A$13:$A$17,Employee_Lookups!$E$13:$E$17,0)</f>
        <v>700000</v>
      </c>
      <c r="AA409" s="28">
        <f>ROUND(O409/INDEX(Employee_Lookups!$E$13:$E$17,MATCH(F409,Employee_Lookups!$A$13:$A$17,0)),3)</f>
        <v>0.97299999999999998</v>
      </c>
      <c r="AB409">
        <f t="shared" si="45"/>
        <v>2022</v>
      </c>
      <c r="AC409" t="str">
        <f t="shared" si="46"/>
        <v/>
      </c>
      <c r="AD409" s="28">
        <f>ROUND((IF(ISBLANK(L409),Employee_Lookups!$O$14,L409)-J409)/365.25,2)</f>
        <v>3.99</v>
      </c>
      <c r="AE409" t="str">
        <f t="shared" si="47"/>
        <v>3 - 5 Yrs</v>
      </c>
      <c r="AF409" t="str">
        <f t="shared" si="48"/>
        <v>High Risk</v>
      </c>
    </row>
    <row r="410" spans="1:32" x14ac:dyDescent="0.45">
      <c r="A410" t="s">
        <v>961</v>
      </c>
      <c r="B410" t="s">
        <v>962</v>
      </c>
      <c r="C410" t="s">
        <v>53</v>
      </c>
      <c r="D410" t="s">
        <v>52</v>
      </c>
      <c r="E410" t="s">
        <v>322</v>
      </c>
      <c r="F410" t="s">
        <v>81</v>
      </c>
      <c r="G410" t="s">
        <v>323</v>
      </c>
      <c r="H410" t="s">
        <v>108</v>
      </c>
      <c r="I410" t="s">
        <v>107</v>
      </c>
      <c r="J410" s="26">
        <v>44568</v>
      </c>
      <c r="K410" t="s">
        <v>162</v>
      </c>
      <c r="L410" s="26"/>
      <c r="M410" t="s">
        <v>163</v>
      </c>
      <c r="N410" t="s">
        <v>98</v>
      </c>
      <c r="O410" s="27">
        <v>602000</v>
      </c>
      <c r="P410">
        <v>4</v>
      </c>
      <c r="Q410" t="s">
        <v>172</v>
      </c>
      <c r="R410">
        <v>34</v>
      </c>
      <c r="S410" t="s">
        <v>194</v>
      </c>
      <c r="T410">
        <f t="shared" si="42"/>
        <v>11035</v>
      </c>
      <c r="U410" t="str">
        <f t="shared" si="43"/>
        <v>SAL</v>
      </c>
      <c r="V410" t="str">
        <f t="shared" si="44"/>
        <v>L1</v>
      </c>
      <c r="W410" t="str">
        <f>PROPER(TRIM(VLOOKUP(S410,Employee_Lookups!$I$4:$M$19,2,FALSE())))</f>
        <v>Vikramaditya Joshi</v>
      </c>
      <c r="X410" t="str">
        <f>VLOOKUP(C410,Employee_Lookups!$A$4:$G$9,4,FALSE())</f>
        <v>CC-202</v>
      </c>
      <c r="Y410" t="str">
        <f>INDEX(Employee_Lookups!$C$13:$C$17,MATCH(F410,Employee_Lookups!$A$13:$A$17,0))</f>
        <v>Band A (Entry)</v>
      </c>
      <c r="Z410" s="27">
        <f>_xlfn.XLOOKUP(F410,Employee_Lookups!$A$13:$A$17,Employee_Lookups!$E$13:$E$17,0)</f>
        <v>700000</v>
      </c>
      <c r="AA410" s="28">
        <f>ROUND(O410/INDEX(Employee_Lookups!$E$13:$E$17,MATCH(F410,Employee_Lookups!$A$13:$A$17,0)),3)</f>
        <v>0.86</v>
      </c>
      <c r="AB410">
        <f t="shared" si="45"/>
        <v>2022</v>
      </c>
      <c r="AC410" t="str">
        <f t="shared" si="46"/>
        <v/>
      </c>
      <c r="AD410" s="28">
        <f>ROUND((IF(ISBLANK(L410),Employee_Lookups!$O$14,L410)-J410)/365.25,2)</f>
        <v>3.98</v>
      </c>
      <c r="AE410" t="str">
        <f t="shared" si="47"/>
        <v>3 - 5 Yrs</v>
      </c>
      <c r="AF410" t="str">
        <f t="shared" si="48"/>
        <v>High Risk</v>
      </c>
    </row>
    <row r="411" spans="1:32" x14ac:dyDescent="0.45">
      <c r="A411" t="s">
        <v>963</v>
      </c>
      <c r="B411" t="s">
        <v>734</v>
      </c>
      <c r="C411" t="s">
        <v>57</v>
      </c>
      <c r="D411" t="s">
        <v>56</v>
      </c>
      <c r="E411" t="s">
        <v>391</v>
      </c>
      <c r="F411" t="s">
        <v>83</v>
      </c>
      <c r="G411" t="s">
        <v>392</v>
      </c>
      <c r="H411" t="s">
        <v>106</v>
      </c>
      <c r="I411" t="s">
        <v>107</v>
      </c>
      <c r="J411" s="26">
        <v>44568</v>
      </c>
      <c r="K411" t="s">
        <v>162</v>
      </c>
      <c r="L411" s="26"/>
      <c r="M411" t="s">
        <v>163</v>
      </c>
      <c r="N411" t="s">
        <v>97</v>
      </c>
      <c r="O411" s="27">
        <v>1642000</v>
      </c>
      <c r="P411">
        <v>4</v>
      </c>
      <c r="Q411" t="s">
        <v>164</v>
      </c>
      <c r="R411">
        <v>0</v>
      </c>
      <c r="S411" t="s">
        <v>165</v>
      </c>
      <c r="T411">
        <f t="shared" si="42"/>
        <v>10066</v>
      </c>
      <c r="U411" t="str">
        <f t="shared" si="43"/>
        <v>MKT</v>
      </c>
      <c r="V411" t="str">
        <f t="shared" si="44"/>
        <v>L3</v>
      </c>
      <c r="W411" t="str">
        <f>PROPER(TRIM(VLOOKUP(S411,Employee_Lookups!$I$4:$M$19,2,FALSE())))</f>
        <v>Arjun Sengupta</v>
      </c>
      <c r="X411" t="str">
        <f>VLOOKUP(C411,Employee_Lookups!$A$4:$G$9,4,FALSE())</f>
        <v>CC-606</v>
      </c>
      <c r="Y411" t="str">
        <f>INDEX(Employee_Lookups!$C$13:$C$17,MATCH(F411,Employee_Lookups!$A$13:$A$17,0))</f>
        <v>Band C (Senior)</v>
      </c>
      <c r="Z411" s="27">
        <f>_xlfn.XLOOKUP(F411,Employee_Lookups!$A$13:$A$17,Employee_Lookups!$E$13:$E$17,0)</f>
        <v>1725000</v>
      </c>
      <c r="AA411" s="28">
        <f>ROUND(O411/INDEX(Employee_Lookups!$E$13:$E$17,MATCH(F411,Employee_Lookups!$A$13:$A$17,0)),3)</f>
        <v>0.95199999999999996</v>
      </c>
      <c r="AB411">
        <f t="shared" si="45"/>
        <v>2022</v>
      </c>
      <c r="AC411" t="str">
        <f t="shared" si="46"/>
        <v/>
      </c>
      <c r="AD411" s="28">
        <f>ROUND((IF(ISBLANK(L411),Employee_Lookups!$O$14,L411)-J411)/365.25,2)</f>
        <v>3.98</v>
      </c>
      <c r="AE411" t="str">
        <f t="shared" si="47"/>
        <v>3 - 5 Yrs</v>
      </c>
      <c r="AF411" t="str">
        <f t="shared" si="48"/>
        <v>Low Risk</v>
      </c>
    </row>
    <row r="412" spans="1:32" x14ac:dyDescent="0.45">
      <c r="A412" t="s">
        <v>964</v>
      </c>
      <c r="B412" t="s">
        <v>965</v>
      </c>
      <c r="C412" t="s">
        <v>57</v>
      </c>
      <c r="D412" t="s">
        <v>56</v>
      </c>
      <c r="E412" t="s">
        <v>391</v>
      </c>
      <c r="F412" t="s">
        <v>83</v>
      </c>
      <c r="G412" t="s">
        <v>392</v>
      </c>
      <c r="H412" t="s">
        <v>108</v>
      </c>
      <c r="I412" t="s">
        <v>107</v>
      </c>
      <c r="J412" s="26">
        <v>44568</v>
      </c>
      <c r="K412" t="s">
        <v>187</v>
      </c>
      <c r="L412" s="26">
        <v>44859</v>
      </c>
      <c r="M412" t="s">
        <v>282</v>
      </c>
      <c r="N412" t="s">
        <v>95</v>
      </c>
      <c r="O412" s="27">
        <v>1829000</v>
      </c>
      <c r="P412">
        <v>5</v>
      </c>
      <c r="Q412" t="s">
        <v>164</v>
      </c>
      <c r="R412">
        <v>32</v>
      </c>
      <c r="S412" t="s">
        <v>224</v>
      </c>
      <c r="T412">
        <f t="shared" si="42"/>
        <v>11009</v>
      </c>
      <c r="U412" t="str">
        <f t="shared" si="43"/>
        <v>MKT</v>
      </c>
      <c r="V412" t="str">
        <f t="shared" si="44"/>
        <v>L3</v>
      </c>
      <c r="W412" t="str">
        <f>PROPER(TRIM(VLOOKUP(S412,Employee_Lookups!$I$4:$M$19,2,FALSE())))</f>
        <v>Tanvi Chitnis</v>
      </c>
      <c r="X412" t="str">
        <f>VLOOKUP(C412,Employee_Lookups!$A$4:$G$9,4,FALSE())</f>
        <v>CC-606</v>
      </c>
      <c r="Y412" t="str">
        <f>INDEX(Employee_Lookups!$C$13:$C$17,MATCH(F412,Employee_Lookups!$A$13:$A$17,0))</f>
        <v>Band C (Senior)</v>
      </c>
      <c r="Z412" s="27">
        <f>_xlfn.XLOOKUP(F412,Employee_Lookups!$A$13:$A$17,Employee_Lookups!$E$13:$E$17,0)</f>
        <v>1725000</v>
      </c>
      <c r="AA412" s="28">
        <f>ROUND(O412/INDEX(Employee_Lookups!$E$13:$E$17,MATCH(F412,Employee_Lookups!$A$13:$A$17,0)),3)</f>
        <v>1.06</v>
      </c>
      <c r="AB412">
        <f t="shared" si="45"/>
        <v>2022</v>
      </c>
      <c r="AC412">
        <f t="shared" si="46"/>
        <v>2022</v>
      </c>
      <c r="AD412" s="28">
        <f>ROUND((IF(ISBLANK(L412),Employee_Lookups!$O$14,L412)-J412)/365.25,2)</f>
        <v>0.8</v>
      </c>
      <c r="AE412" t="str">
        <f t="shared" si="47"/>
        <v>&lt; 1 Yr (New)</v>
      </c>
      <c r="AF412" t="str">
        <f t="shared" si="48"/>
        <v>Exited</v>
      </c>
    </row>
    <row r="413" spans="1:32" x14ac:dyDescent="0.45">
      <c r="A413" t="s">
        <v>966</v>
      </c>
      <c r="B413" t="s">
        <v>967</v>
      </c>
      <c r="C413" t="s">
        <v>59</v>
      </c>
      <c r="D413" t="s">
        <v>58</v>
      </c>
      <c r="E413" t="s">
        <v>211</v>
      </c>
      <c r="F413" t="s">
        <v>82</v>
      </c>
      <c r="G413" t="s">
        <v>212</v>
      </c>
      <c r="H413" t="s">
        <v>106</v>
      </c>
      <c r="I413" t="s">
        <v>107</v>
      </c>
      <c r="J413" s="26">
        <v>44569</v>
      </c>
      <c r="K413" t="s">
        <v>162</v>
      </c>
      <c r="L413" s="26"/>
      <c r="M413" t="s">
        <v>163</v>
      </c>
      <c r="N413" t="s">
        <v>97</v>
      </c>
      <c r="O413" s="27">
        <v>1067000</v>
      </c>
      <c r="P413">
        <v>5</v>
      </c>
      <c r="Q413" t="s">
        <v>172</v>
      </c>
      <c r="R413">
        <v>21</v>
      </c>
      <c r="S413" t="s">
        <v>208</v>
      </c>
      <c r="T413">
        <f t="shared" si="42"/>
        <v>10372</v>
      </c>
      <c r="U413" t="str">
        <f t="shared" si="43"/>
        <v>FIN</v>
      </c>
      <c r="V413" t="str">
        <f t="shared" si="44"/>
        <v>L2</v>
      </c>
      <c r="W413" t="str">
        <f>PROPER(TRIM(VLOOKUP(S413,Employee_Lookups!$I$4:$M$19,2,FALSE())))</f>
        <v>Rajeshwari Rao</v>
      </c>
      <c r="X413" t="str">
        <f>VLOOKUP(C413,Employee_Lookups!$A$4:$G$9,4,FALSE())</f>
        <v>CC-404</v>
      </c>
      <c r="Y413" t="str">
        <f>INDEX(Employee_Lookups!$C$13:$C$17,MATCH(F413,Employee_Lookups!$A$13:$A$17,0))</f>
        <v>Band B (Mid)</v>
      </c>
      <c r="Z413" s="27">
        <f>_xlfn.XLOOKUP(F413,Employee_Lookups!$A$13:$A$17,Employee_Lookups!$E$13:$E$17,0)</f>
        <v>1100000</v>
      </c>
      <c r="AA413" s="28">
        <f>ROUND(O413/INDEX(Employee_Lookups!$E$13:$E$17,MATCH(F413,Employee_Lookups!$A$13:$A$17,0)),3)</f>
        <v>0.97</v>
      </c>
      <c r="AB413">
        <f t="shared" si="45"/>
        <v>2022</v>
      </c>
      <c r="AC413" t="str">
        <f t="shared" si="46"/>
        <v/>
      </c>
      <c r="AD413" s="28">
        <f>ROUND((IF(ISBLANK(L413),Employee_Lookups!$O$14,L413)-J413)/365.25,2)</f>
        <v>3.98</v>
      </c>
      <c r="AE413" t="str">
        <f t="shared" si="47"/>
        <v>3 - 5 Yrs</v>
      </c>
      <c r="AF413" t="str">
        <f t="shared" si="48"/>
        <v>High Risk</v>
      </c>
    </row>
    <row r="414" spans="1:32" x14ac:dyDescent="0.45">
      <c r="A414" t="s">
        <v>968</v>
      </c>
      <c r="B414" t="s">
        <v>969</v>
      </c>
      <c r="C414" t="s">
        <v>57</v>
      </c>
      <c r="D414" t="s">
        <v>56</v>
      </c>
      <c r="E414" t="s">
        <v>160</v>
      </c>
      <c r="F414" t="s">
        <v>81</v>
      </c>
      <c r="G414" t="s">
        <v>161</v>
      </c>
      <c r="H414" t="s">
        <v>108</v>
      </c>
      <c r="I414" t="s">
        <v>107</v>
      </c>
      <c r="J414" s="26">
        <v>44569</v>
      </c>
      <c r="K414" t="s">
        <v>187</v>
      </c>
      <c r="L414" s="26">
        <v>44662</v>
      </c>
      <c r="M414" t="s">
        <v>308</v>
      </c>
      <c r="N414" t="s">
        <v>98</v>
      </c>
      <c r="O414" s="27">
        <v>556000</v>
      </c>
      <c r="P414">
        <v>3</v>
      </c>
      <c r="Q414" t="s">
        <v>172</v>
      </c>
      <c r="R414">
        <v>11</v>
      </c>
      <c r="S414" t="s">
        <v>224</v>
      </c>
      <c r="T414">
        <f t="shared" si="42"/>
        <v>10074</v>
      </c>
      <c r="U414" t="str">
        <f t="shared" si="43"/>
        <v>MKT</v>
      </c>
      <c r="V414" t="str">
        <f t="shared" si="44"/>
        <v>L1</v>
      </c>
      <c r="W414" t="str">
        <f>PROPER(TRIM(VLOOKUP(S414,Employee_Lookups!$I$4:$M$19,2,FALSE())))</f>
        <v>Tanvi Chitnis</v>
      </c>
      <c r="X414" t="str">
        <f>VLOOKUP(C414,Employee_Lookups!$A$4:$G$9,4,FALSE())</f>
        <v>CC-606</v>
      </c>
      <c r="Y414" t="str">
        <f>INDEX(Employee_Lookups!$C$13:$C$17,MATCH(F414,Employee_Lookups!$A$13:$A$17,0))</f>
        <v>Band A (Entry)</v>
      </c>
      <c r="Z414" s="27">
        <f>_xlfn.XLOOKUP(F414,Employee_Lookups!$A$13:$A$17,Employee_Lookups!$E$13:$E$17,0)</f>
        <v>700000</v>
      </c>
      <c r="AA414" s="28">
        <f>ROUND(O414/INDEX(Employee_Lookups!$E$13:$E$17,MATCH(F414,Employee_Lookups!$A$13:$A$17,0)),3)</f>
        <v>0.79400000000000004</v>
      </c>
      <c r="AB414">
        <f t="shared" si="45"/>
        <v>2022</v>
      </c>
      <c r="AC414">
        <f t="shared" si="46"/>
        <v>2022</v>
      </c>
      <c r="AD414" s="28">
        <f>ROUND((IF(ISBLANK(L414),Employee_Lookups!$O$14,L414)-J414)/365.25,2)</f>
        <v>0.25</v>
      </c>
      <c r="AE414" t="str">
        <f t="shared" si="47"/>
        <v>&lt; 1 Yr (New)</v>
      </c>
      <c r="AF414" t="str">
        <f t="shared" si="48"/>
        <v>Exited</v>
      </c>
    </row>
    <row r="415" spans="1:32" x14ac:dyDescent="0.45">
      <c r="A415" t="s">
        <v>970</v>
      </c>
      <c r="B415" t="s">
        <v>184</v>
      </c>
      <c r="C415" t="s">
        <v>53</v>
      </c>
      <c r="D415" t="s">
        <v>52</v>
      </c>
      <c r="E415" t="s">
        <v>200</v>
      </c>
      <c r="F415" t="s">
        <v>84</v>
      </c>
      <c r="G415" t="s">
        <v>201</v>
      </c>
      <c r="H415" t="s">
        <v>106</v>
      </c>
      <c r="I415" t="s">
        <v>107</v>
      </c>
      <c r="J415" s="26">
        <v>44571</v>
      </c>
      <c r="K415" t="s">
        <v>187</v>
      </c>
      <c r="L415" s="26">
        <v>44798</v>
      </c>
      <c r="M415" t="s">
        <v>213</v>
      </c>
      <c r="N415" t="s">
        <v>98</v>
      </c>
      <c r="O415" s="27">
        <v>2439000</v>
      </c>
      <c r="P415">
        <v>3</v>
      </c>
      <c r="Q415" t="s">
        <v>172</v>
      </c>
      <c r="R415">
        <v>36</v>
      </c>
      <c r="S415" t="s">
        <v>194</v>
      </c>
      <c r="T415">
        <f t="shared" si="42"/>
        <v>10418</v>
      </c>
      <c r="U415" t="str">
        <f t="shared" si="43"/>
        <v>SAL</v>
      </c>
      <c r="V415" t="str">
        <f t="shared" si="44"/>
        <v>L4</v>
      </c>
      <c r="W415" t="str">
        <f>PROPER(TRIM(VLOOKUP(S415,Employee_Lookups!$I$4:$M$19,2,FALSE())))</f>
        <v>Vikramaditya Joshi</v>
      </c>
      <c r="X415" t="str">
        <f>VLOOKUP(C415,Employee_Lookups!$A$4:$G$9,4,FALSE())</f>
        <v>CC-202</v>
      </c>
      <c r="Y415" t="str">
        <f>INDEX(Employee_Lookups!$C$13:$C$17,MATCH(F415,Employee_Lookups!$A$13:$A$17,0))</f>
        <v>Band D (Leadership)</v>
      </c>
      <c r="Z415" s="27">
        <f>_xlfn.XLOOKUP(F415,Employee_Lookups!$A$13:$A$17,Employee_Lookups!$E$13:$E$17,0)</f>
        <v>2750000</v>
      </c>
      <c r="AA415" s="28">
        <f>ROUND(O415/INDEX(Employee_Lookups!$E$13:$E$17,MATCH(F415,Employee_Lookups!$A$13:$A$17,0)),3)</f>
        <v>0.88700000000000001</v>
      </c>
      <c r="AB415">
        <f t="shared" si="45"/>
        <v>2022</v>
      </c>
      <c r="AC415">
        <f t="shared" si="46"/>
        <v>2022</v>
      </c>
      <c r="AD415" s="28">
        <f>ROUND((IF(ISBLANK(L415),Employee_Lookups!$O$14,L415)-J415)/365.25,2)</f>
        <v>0.62</v>
      </c>
      <c r="AE415" t="str">
        <f t="shared" si="47"/>
        <v>&lt; 1 Yr (New)</v>
      </c>
      <c r="AF415" t="str">
        <f t="shared" si="48"/>
        <v>Exited</v>
      </c>
    </row>
    <row r="416" spans="1:32" x14ac:dyDescent="0.45">
      <c r="A416" t="s">
        <v>971</v>
      </c>
      <c r="B416" t="s">
        <v>558</v>
      </c>
      <c r="C416" t="s">
        <v>53</v>
      </c>
      <c r="D416" t="s">
        <v>52</v>
      </c>
      <c r="E416" t="s">
        <v>185</v>
      </c>
      <c r="F416" t="s">
        <v>82</v>
      </c>
      <c r="G416" t="s">
        <v>186</v>
      </c>
      <c r="H416" t="s">
        <v>111</v>
      </c>
      <c r="I416" t="s">
        <v>110</v>
      </c>
      <c r="J416" s="26">
        <v>44571</v>
      </c>
      <c r="K416" t="s">
        <v>162</v>
      </c>
      <c r="L416" s="26"/>
      <c r="M416" t="s">
        <v>163</v>
      </c>
      <c r="N416" t="s">
        <v>97</v>
      </c>
      <c r="O416" s="27">
        <v>1101000</v>
      </c>
      <c r="P416">
        <v>2</v>
      </c>
      <c r="Q416" t="s">
        <v>164</v>
      </c>
      <c r="R416">
        <v>39</v>
      </c>
      <c r="S416" t="s">
        <v>189</v>
      </c>
      <c r="T416">
        <f t="shared" si="42"/>
        <v>11276</v>
      </c>
      <c r="U416" t="str">
        <f t="shared" si="43"/>
        <v>SAL</v>
      </c>
      <c r="V416" t="str">
        <f t="shared" si="44"/>
        <v>L2</v>
      </c>
      <c r="W416" t="str">
        <f>PROPER(TRIM(VLOOKUP(S416,Employee_Lookups!$I$4:$M$19,2,FALSE())))</f>
        <v>Priya Sharma</v>
      </c>
      <c r="X416" t="str">
        <f>VLOOKUP(C416,Employee_Lookups!$A$4:$G$9,4,FALSE())</f>
        <v>CC-202</v>
      </c>
      <c r="Y416" t="str">
        <f>INDEX(Employee_Lookups!$C$13:$C$17,MATCH(F416,Employee_Lookups!$A$13:$A$17,0))</f>
        <v>Band B (Mid)</v>
      </c>
      <c r="Z416" s="27">
        <f>_xlfn.XLOOKUP(F416,Employee_Lookups!$A$13:$A$17,Employee_Lookups!$E$13:$E$17,0)</f>
        <v>1100000</v>
      </c>
      <c r="AA416" s="28">
        <f>ROUND(O416/INDEX(Employee_Lookups!$E$13:$E$17,MATCH(F416,Employee_Lookups!$A$13:$A$17,0)),3)</f>
        <v>1.0009999999999999</v>
      </c>
      <c r="AB416">
        <f t="shared" si="45"/>
        <v>2022</v>
      </c>
      <c r="AC416" t="str">
        <f t="shared" si="46"/>
        <v/>
      </c>
      <c r="AD416" s="28">
        <f>ROUND((IF(ISBLANK(L416),Employee_Lookups!$O$14,L416)-J416)/365.25,2)</f>
        <v>3.97</v>
      </c>
      <c r="AE416" t="str">
        <f t="shared" si="47"/>
        <v>3 - 5 Yrs</v>
      </c>
      <c r="AF416" t="str">
        <f t="shared" si="48"/>
        <v>Moderate Risk</v>
      </c>
    </row>
    <row r="417" spans="1:32" x14ac:dyDescent="0.45">
      <c r="A417" t="s">
        <v>972</v>
      </c>
      <c r="B417" t="s">
        <v>973</v>
      </c>
      <c r="C417" t="s">
        <v>57</v>
      </c>
      <c r="D417" t="s">
        <v>56</v>
      </c>
      <c r="E417" t="s">
        <v>222</v>
      </c>
      <c r="F417" t="s">
        <v>82</v>
      </c>
      <c r="G417" t="s">
        <v>223</v>
      </c>
      <c r="H417" t="s">
        <v>108</v>
      </c>
      <c r="I417" t="s">
        <v>107</v>
      </c>
      <c r="J417" s="26">
        <v>44573</v>
      </c>
      <c r="K417" t="s">
        <v>162</v>
      </c>
      <c r="L417" s="26"/>
      <c r="M417" t="s">
        <v>163</v>
      </c>
      <c r="N417" t="s">
        <v>96</v>
      </c>
      <c r="O417" s="27">
        <v>1203000</v>
      </c>
      <c r="P417">
        <v>3</v>
      </c>
      <c r="Q417" t="s">
        <v>164</v>
      </c>
      <c r="R417">
        <v>41</v>
      </c>
      <c r="S417" t="s">
        <v>224</v>
      </c>
      <c r="T417">
        <f t="shared" si="42"/>
        <v>11400</v>
      </c>
      <c r="U417" t="str">
        <f t="shared" si="43"/>
        <v>MKT</v>
      </c>
      <c r="V417" t="str">
        <f t="shared" si="44"/>
        <v>L2</v>
      </c>
      <c r="W417" t="str">
        <f>PROPER(TRIM(VLOOKUP(S417,Employee_Lookups!$I$4:$M$19,2,FALSE())))</f>
        <v>Tanvi Chitnis</v>
      </c>
      <c r="X417" t="str">
        <f>VLOOKUP(C417,Employee_Lookups!$A$4:$G$9,4,FALSE())</f>
        <v>CC-606</v>
      </c>
      <c r="Y417" t="str">
        <f>INDEX(Employee_Lookups!$C$13:$C$17,MATCH(F417,Employee_Lookups!$A$13:$A$17,0))</f>
        <v>Band B (Mid)</v>
      </c>
      <c r="Z417" s="27">
        <f>_xlfn.XLOOKUP(F417,Employee_Lookups!$A$13:$A$17,Employee_Lookups!$E$13:$E$17,0)</f>
        <v>1100000</v>
      </c>
      <c r="AA417" s="28">
        <f>ROUND(O417/INDEX(Employee_Lookups!$E$13:$E$17,MATCH(F417,Employee_Lookups!$A$13:$A$17,0)),3)</f>
        <v>1.0940000000000001</v>
      </c>
      <c r="AB417">
        <f t="shared" si="45"/>
        <v>2022</v>
      </c>
      <c r="AC417" t="str">
        <f t="shared" si="46"/>
        <v/>
      </c>
      <c r="AD417" s="28">
        <f>ROUND((IF(ISBLANK(L417),Employee_Lookups!$O$14,L417)-J417)/365.25,2)</f>
        <v>3.97</v>
      </c>
      <c r="AE417" t="str">
        <f t="shared" si="47"/>
        <v>3 - 5 Yrs</v>
      </c>
      <c r="AF417" t="str">
        <f t="shared" si="48"/>
        <v>Low Risk</v>
      </c>
    </row>
    <row r="418" spans="1:32" x14ac:dyDescent="0.45">
      <c r="A418" t="s">
        <v>974</v>
      </c>
      <c r="B418" t="s">
        <v>671</v>
      </c>
      <c r="C418" t="s">
        <v>51</v>
      </c>
      <c r="D418" t="s">
        <v>50</v>
      </c>
      <c r="E418" t="s">
        <v>181</v>
      </c>
      <c r="F418" t="s">
        <v>81</v>
      </c>
      <c r="G418" t="s">
        <v>182</v>
      </c>
      <c r="H418" t="s">
        <v>109</v>
      </c>
      <c r="I418" t="s">
        <v>110</v>
      </c>
      <c r="J418" s="26">
        <v>44575</v>
      </c>
      <c r="K418" t="s">
        <v>162</v>
      </c>
      <c r="L418" s="26"/>
      <c r="M418" t="s">
        <v>163</v>
      </c>
      <c r="N418" t="s">
        <v>97</v>
      </c>
      <c r="O418" s="27">
        <v>712000</v>
      </c>
      <c r="P418">
        <v>3</v>
      </c>
      <c r="Q418" t="s">
        <v>172</v>
      </c>
      <c r="R418">
        <v>27</v>
      </c>
      <c r="S418" t="s">
        <v>219</v>
      </c>
      <c r="T418">
        <f t="shared" si="42"/>
        <v>10383</v>
      </c>
      <c r="U418" t="str">
        <f t="shared" si="43"/>
        <v>ENG</v>
      </c>
      <c r="V418" t="str">
        <f t="shared" si="44"/>
        <v>L1</v>
      </c>
      <c r="W418" t="str">
        <f>PROPER(TRIM(VLOOKUP(S418,Employee_Lookups!$I$4:$M$19,2,FALSE())))</f>
        <v>Neha Kulkarni</v>
      </c>
      <c r="X418" t="str">
        <f>VLOOKUP(C418,Employee_Lookups!$A$4:$G$9,4,FALSE())</f>
        <v>CC-101</v>
      </c>
      <c r="Y418" t="str">
        <f>INDEX(Employee_Lookups!$C$13:$C$17,MATCH(F418,Employee_Lookups!$A$13:$A$17,0))</f>
        <v>Band A (Entry)</v>
      </c>
      <c r="Z418" s="27">
        <f>_xlfn.XLOOKUP(F418,Employee_Lookups!$A$13:$A$17,Employee_Lookups!$E$13:$E$17,0)</f>
        <v>700000</v>
      </c>
      <c r="AA418" s="28">
        <f>ROUND(O418/INDEX(Employee_Lookups!$E$13:$E$17,MATCH(F418,Employee_Lookups!$A$13:$A$17,0)),3)</f>
        <v>1.0169999999999999</v>
      </c>
      <c r="AB418">
        <f t="shared" si="45"/>
        <v>2022</v>
      </c>
      <c r="AC418" t="str">
        <f t="shared" si="46"/>
        <v/>
      </c>
      <c r="AD418" s="28">
        <f>ROUND((IF(ISBLANK(L418),Employee_Lookups!$O$14,L418)-J418)/365.25,2)</f>
        <v>3.96</v>
      </c>
      <c r="AE418" t="str">
        <f t="shared" si="47"/>
        <v>3 - 5 Yrs</v>
      </c>
      <c r="AF418" t="str">
        <f t="shared" si="48"/>
        <v>Moderate Risk</v>
      </c>
    </row>
    <row r="419" spans="1:32" x14ac:dyDescent="0.45">
      <c r="A419" t="s">
        <v>975</v>
      </c>
      <c r="B419" t="s">
        <v>976</v>
      </c>
      <c r="C419" t="s">
        <v>61</v>
      </c>
      <c r="D419" t="s">
        <v>60</v>
      </c>
      <c r="E419" t="s">
        <v>356</v>
      </c>
      <c r="F419" t="s">
        <v>81</v>
      </c>
      <c r="G419" t="s">
        <v>357</v>
      </c>
      <c r="H419" t="s">
        <v>106</v>
      </c>
      <c r="I419" t="s">
        <v>107</v>
      </c>
      <c r="J419" s="26">
        <v>44578</v>
      </c>
      <c r="K419" t="s">
        <v>187</v>
      </c>
      <c r="L419" s="26">
        <v>44749</v>
      </c>
      <c r="M419" t="s">
        <v>308</v>
      </c>
      <c r="N419" t="s">
        <v>97</v>
      </c>
      <c r="O419" s="27">
        <v>664000</v>
      </c>
      <c r="P419">
        <v>3</v>
      </c>
      <c r="Q419" t="s">
        <v>172</v>
      </c>
      <c r="R419">
        <v>19</v>
      </c>
      <c r="S419" t="s">
        <v>253</v>
      </c>
      <c r="T419">
        <f t="shared" si="42"/>
        <v>10504</v>
      </c>
      <c r="U419" t="str">
        <f t="shared" si="43"/>
        <v>-HR</v>
      </c>
      <c r="V419" t="str">
        <f t="shared" si="44"/>
        <v>L1</v>
      </c>
      <c r="W419" t="str">
        <f>PROPER(TRIM(VLOOKUP(S419,Employee_Lookups!$I$4:$M$19,2,FALSE())))</f>
        <v>Nikhil Chatterjee</v>
      </c>
      <c r="X419" t="str">
        <f>VLOOKUP(C419,Employee_Lookups!$A$4:$G$9,4,FALSE())</f>
        <v>CC-505</v>
      </c>
      <c r="Y419" t="str">
        <f>INDEX(Employee_Lookups!$C$13:$C$17,MATCH(F419,Employee_Lookups!$A$13:$A$17,0))</f>
        <v>Band A (Entry)</v>
      </c>
      <c r="Z419" s="27">
        <f>_xlfn.XLOOKUP(F419,Employee_Lookups!$A$13:$A$17,Employee_Lookups!$E$13:$E$17,0)</f>
        <v>700000</v>
      </c>
      <c r="AA419" s="28">
        <f>ROUND(O419/INDEX(Employee_Lookups!$E$13:$E$17,MATCH(F419,Employee_Lookups!$A$13:$A$17,0)),3)</f>
        <v>0.94899999999999995</v>
      </c>
      <c r="AB419">
        <f t="shared" si="45"/>
        <v>2022</v>
      </c>
      <c r="AC419">
        <f t="shared" si="46"/>
        <v>2022</v>
      </c>
      <c r="AD419" s="28">
        <f>ROUND((IF(ISBLANK(L419),Employee_Lookups!$O$14,L419)-J419)/365.25,2)</f>
        <v>0.47</v>
      </c>
      <c r="AE419" t="str">
        <f t="shared" si="47"/>
        <v>&lt; 1 Yr (New)</v>
      </c>
      <c r="AF419" t="str">
        <f t="shared" si="48"/>
        <v>Exited</v>
      </c>
    </row>
    <row r="420" spans="1:32" x14ac:dyDescent="0.45">
      <c r="A420" t="s">
        <v>977</v>
      </c>
      <c r="B420" t="s">
        <v>978</v>
      </c>
      <c r="C420" t="s">
        <v>61</v>
      </c>
      <c r="D420" t="s">
        <v>60</v>
      </c>
      <c r="E420" t="s">
        <v>251</v>
      </c>
      <c r="F420" t="s">
        <v>82</v>
      </c>
      <c r="G420" t="s">
        <v>252</v>
      </c>
      <c r="H420" t="s">
        <v>108</v>
      </c>
      <c r="I420" t="s">
        <v>107</v>
      </c>
      <c r="J420" s="26">
        <v>44578</v>
      </c>
      <c r="K420" t="s">
        <v>162</v>
      </c>
      <c r="L420" s="26"/>
      <c r="M420" t="s">
        <v>163</v>
      </c>
      <c r="N420" t="s">
        <v>97</v>
      </c>
      <c r="O420" s="27">
        <v>997000</v>
      </c>
      <c r="P420">
        <v>3</v>
      </c>
      <c r="Q420" t="s">
        <v>164</v>
      </c>
      <c r="R420">
        <v>42</v>
      </c>
      <c r="S420" t="s">
        <v>253</v>
      </c>
      <c r="T420">
        <f t="shared" si="42"/>
        <v>11155</v>
      </c>
      <c r="U420" t="str">
        <f t="shared" si="43"/>
        <v>-HR</v>
      </c>
      <c r="V420" t="str">
        <f t="shared" si="44"/>
        <v>L2</v>
      </c>
      <c r="W420" t="str">
        <f>PROPER(TRIM(VLOOKUP(S420,Employee_Lookups!$I$4:$M$19,2,FALSE())))</f>
        <v>Nikhil Chatterjee</v>
      </c>
      <c r="X420" t="str">
        <f>VLOOKUP(C420,Employee_Lookups!$A$4:$G$9,4,FALSE())</f>
        <v>CC-505</v>
      </c>
      <c r="Y420" t="str">
        <f>INDEX(Employee_Lookups!$C$13:$C$17,MATCH(F420,Employee_Lookups!$A$13:$A$17,0))</f>
        <v>Band B (Mid)</v>
      </c>
      <c r="Z420" s="27">
        <f>_xlfn.XLOOKUP(F420,Employee_Lookups!$A$13:$A$17,Employee_Lookups!$E$13:$E$17,0)</f>
        <v>1100000</v>
      </c>
      <c r="AA420" s="28">
        <f>ROUND(O420/INDEX(Employee_Lookups!$E$13:$E$17,MATCH(F420,Employee_Lookups!$A$13:$A$17,0)),3)</f>
        <v>0.90600000000000003</v>
      </c>
      <c r="AB420">
        <f t="shared" si="45"/>
        <v>2022</v>
      </c>
      <c r="AC420" t="str">
        <f t="shared" si="46"/>
        <v/>
      </c>
      <c r="AD420" s="28">
        <f>ROUND((IF(ISBLANK(L420),Employee_Lookups!$O$14,L420)-J420)/365.25,2)</f>
        <v>3.95</v>
      </c>
      <c r="AE420" t="str">
        <f t="shared" si="47"/>
        <v>3 - 5 Yrs</v>
      </c>
      <c r="AF420" t="str">
        <f t="shared" si="48"/>
        <v>Low Risk</v>
      </c>
    </row>
    <row r="421" spans="1:32" x14ac:dyDescent="0.45">
      <c r="A421" t="s">
        <v>979</v>
      </c>
      <c r="B421" t="s">
        <v>980</v>
      </c>
      <c r="C421" t="s">
        <v>51</v>
      </c>
      <c r="D421" t="s">
        <v>50</v>
      </c>
      <c r="E421" t="s">
        <v>397</v>
      </c>
      <c r="F421" t="s">
        <v>84</v>
      </c>
      <c r="G421" t="s">
        <v>398</v>
      </c>
      <c r="H421" t="s">
        <v>109</v>
      </c>
      <c r="I421" t="s">
        <v>110</v>
      </c>
      <c r="J421" s="26">
        <v>44579</v>
      </c>
      <c r="K421" t="s">
        <v>162</v>
      </c>
      <c r="L421" s="26"/>
      <c r="M421" t="s">
        <v>163</v>
      </c>
      <c r="N421" t="s">
        <v>97</v>
      </c>
      <c r="O421" s="27">
        <v>2876000</v>
      </c>
      <c r="P421">
        <v>3</v>
      </c>
      <c r="Q421" t="s">
        <v>164</v>
      </c>
      <c r="R421">
        <v>37</v>
      </c>
      <c r="S421" t="s">
        <v>244</v>
      </c>
      <c r="T421">
        <f t="shared" si="42"/>
        <v>11270</v>
      </c>
      <c r="U421" t="str">
        <f t="shared" si="43"/>
        <v>ENG</v>
      </c>
      <c r="V421" t="str">
        <f t="shared" si="44"/>
        <v>L4</v>
      </c>
      <c r="W421" t="str">
        <f>PROPER(TRIM(VLOOKUP(S421,Employee_Lookups!$I$4:$M$19,2,FALSE())))</f>
        <v>Siddharth Nair</v>
      </c>
      <c r="X421" t="str">
        <f>VLOOKUP(C421,Employee_Lookups!$A$4:$G$9,4,FALSE())</f>
        <v>CC-101</v>
      </c>
      <c r="Y421" t="str">
        <f>INDEX(Employee_Lookups!$C$13:$C$17,MATCH(F421,Employee_Lookups!$A$13:$A$17,0))</f>
        <v>Band D (Leadership)</v>
      </c>
      <c r="Z421" s="27">
        <f>_xlfn.XLOOKUP(F421,Employee_Lookups!$A$13:$A$17,Employee_Lookups!$E$13:$E$17,0)</f>
        <v>2750000</v>
      </c>
      <c r="AA421" s="28">
        <f>ROUND(O421/INDEX(Employee_Lookups!$E$13:$E$17,MATCH(F421,Employee_Lookups!$A$13:$A$17,0)),3)</f>
        <v>1.046</v>
      </c>
      <c r="AB421">
        <f t="shared" si="45"/>
        <v>2022</v>
      </c>
      <c r="AC421" t="str">
        <f t="shared" si="46"/>
        <v/>
      </c>
      <c r="AD421" s="28">
        <f>ROUND((IF(ISBLANK(L421),Employee_Lookups!$O$14,L421)-J421)/365.25,2)</f>
        <v>3.95</v>
      </c>
      <c r="AE421" t="str">
        <f t="shared" si="47"/>
        <v>3 - 5 Yrs</v>
      </c>
      <c r="AF421" t="str">
        <f t="shared" si="48"/>
        <v>Low Risk</v>
      </c>
    </row>
    <row r="422" spans="1:32" x14ac:dyDescent="0.45">
      <c r="A422" t="s">
        <v>981</v>
      </c>
      <c r="B422" t="s">
        <v>982</v>
      </c>
      <c r="C422" t="s">
        <v>53</v>
      </c>
      <c r="D422" t="s">
        <v>52</v>
      </c>
      <c r="E422" t="s">
        <v>192</v>
      </c>
      <c r="F422" t="s">
        <v>83</v>
      </c>
      <c r="G422" t="s">
        <v>193</v>
      </c>
      <c r="H422" t="s">
        <v>111</v>
      </c>
      <c r="I422" t="s">
        <v>110</v>
      </c>
      <c r="J422" s="26">
        <v>44582</v>
      </c>
      <c r="K422" t="s">
        <v>162</v>
      </c>
      <c r="L422" s="26"/>
      <c r="M422" t="s">
        <v>163</v>
      </c>
      <c r="N422" t="s">
        <v>97</v>
      </c>
      <c r="O422" s="27">
        <v>1853000</v>
      </c>
      <c r="P422">
        <v>2</v>
      </c>
      <c r="Q422" t="s">
        <v>172</v>
      </c>
      <c r="R422">
        <v>18</v>
      </c>
      <c r="S422" t="s">
        <v>237</v>
      </c>
      <c r="T422">
        <f t="shared" si="42"/>
        <v>10520</v>
      </c>
      <c r="U422" t="str">
        <f t="shared" si="43"/>
        <v>SAL</v>
      </c>
      <c r="V422" t="str">
        <f t="shared" si="44"/>
        <v>L3</v>
      </c>
      <c r="W422" t="str">
        <f>PROPER(TRIM(VLOOKUP(S422,Employee_Lookups!$I$4:$M$19,2,FALSE())))</f>
        <v>Karan Malhotra</v>
      </c>
      <c r="X422" t="str">
        <f>VLOOKUP(C422,Employee_Lookups!$A$4:$G$9,4,FALSE())</f>
        <v>CC-202</v>
      </c>
      <c r="Y422" t="str">
        <f>INDEX(Employee_Lookups!$C$13:$C$17,MATCH(F422,Employee_Lookups!$A$13:$A$17,0))</f>
        <v>Band C (Senior)</v>
      </c>
      <c r="Z422" s="27">
        <f>_xlfn.XLOOKUP(F422,Employee_Lookups!$A$13:$A$17,Employee_Lookups!$E$13:$E$17,0)</f>
        <v>1725000</v>
      </c>
      <c r="AA422" s="28">
        <f>ROUND(O422/INDEX(Employee_Lookups!$E$13:$E$17,MATCH(F422,Employee_Lookups!$A$13:$A$17,0)),3)</f>
        <v>1.0740000000000001</v>
      </c>
      <c r="AB422">
        <f t="shared" si="45"/>
        <v>2022</v>
      </c>
      <c r="AC422" t="str">
        <f t="shared" si="46"/>
        <v/>
      </c>
      <c r="AD422" s="28">
        <f>ROUND((IF(ISBLANK(L422),Employee_Lookups!$O$14,L422)-J422)/365.25,2)</f>
        <v>3.94</v>
      </c>
      <c r="AE422" t="str">
        <f t="shared" si="47"/>
        <v>3 - 5 Yrs</v>
      </c>
      <c r="AF422" t="str">
        <f t="shared" si="48"/>
        <v>Moderate Risk</v>
      </c>
    </row>
    <row r="423" spans="1:32" x14ac:dyDescent="0.45">
      <c r="A423" t="s">
        <v>983</v>
      </c>
      <c r="B423" t="s">
        <v>984</v>
      </c>
      <c r="C423" t="s">
        <v>51</v>
      </c>
      <c r="D423" t="s">
        <v>50</v>
      </c>
      <c r="E423" t="s">
        <v>328</v>
      </c>
      <c r="F423" t="s">
        <v>85</v>
      </c>
      <c r="G423" t="s">
        <v>329</v>
      </c>
      <c r="H423" t="s">
        <v>108</v>
      </c>
      <c r="I423" t="s">
        <v>107</v>
      </c>
      <c r="J423" s="26">
        <v>44583</v>
      </c>
      <c r="K423" t="s">
        <v>162</v>
      </c>
      <c r="L423" s="26"/>
      <c r="M423" t="s">
        <v>163</v>
      </c>
      <c r="N423" t="s">
        <v>96</v>
      </c>
      <c r="O423" s="27">
        <v>5047000</v>
      </c>
      <c r="P423">
        <v>4</v>
      </c>
      <c r="Q423" t="s">
        <v>164</v>
      </c>
      <c r="R423">
        <v>15</v>
      </c>
      <c r="S423" t="s">
        <v>178</v>
      </c>
      <c r="T423">
        <f t="shared" si="42"/>
        <v>10604</v>
      </c>
      <c r="U423" t="str">
        <f t="shared" si="43"/>
        <v>ENG</v>
      </c>
      <c r="V423" t="str">
        <f t="shared" si="44"/>
        <v>L5</v>
      </c>
      <c r="W423" t="str">
        <f>PROPER(TRIM(VLOOKUP(S423,Employee_Lookups!$I$4:$M$19,2,FALSE())))</f>
        <v>Aarav Deshmukh</v>
      </c>
      <c r="X423" t="str">
        <f>VLOOKUP(C423,Employee_Lookups!$A$4:$G$9,4,FALSE())</f>
        <v>CC-101</v>
      </c>
      <c r="Y423" t="str">
        <f>INDEX(Employee_Lookups!$C$13:$C$17,MATCH(F423,Employee_Lookups!$A$13:$A$17,0))</f>
        <v>Band E (Executive)</v>
      </c>
      <c r="Z423" s="27">
        <f>_xlfn.XLOOKUP(F423,Employee_Lookups!$A$13:$A$17,Employee_Lookups!$E$13:$E$17,0)</f>
        <v>4300000</v>
      </c>
      <c r="AA423" s="28">
        <f>ROUND(O423/INDEX(Employee_Lookups!$E$13:$E$17,MATCH(F423,Employee_Lookups!$A$13:$A$17,0)),3)</f>
        <v>1.1739999999999999</v>
      </c>
      <c r="AB423">
        <f t="shared" si="45"/>
        <v>2022</v>
      </c>
      <c r="AC423" t="str">
        <f t="shared" si="46"/>
        <v/>
      </c>
      <c r="AD423" s="28">
        <f>ROUND((IF(ISBLANK(L423),Employee_Lookups!$O$14,L423)-J423)/365.25,2)</f>
        <v>3.94</v>
      </c>
      <c r="AE423" t="str">
        <f t="shared" si="47"/>
        <v>3 - 5 Yrs</v>
      </c>
      <c r="AF423" t="str">
        <f t="shared" si="48"/>
        <v>Low Risk</v>
      </c>
    </row>
    <row r="424" spans="1:32" x14ac:dyDescent="0.45">
      <c r="A424" t="s">
        <v>985</v>
      </c>
      <c r="B424" t="s">
        <v>986</v>
      </c>
      <c r="C424" t="s">
        <v>55</v>
      </c>
      <c r="D424" t="s">
        <v>54</v>
      </c>
      <c r="E424" t="s">
        <v>240</v>
      </c>
      <c r="F424" t="s">
        <v>83</v>
      </c>
      <c r="G424" t="s">
        <v>241</v>
      </c>
      <c r="H424" t="s">
        <v>108</v>
      </c>
      <c r="I424" t="s">
        <v>107</v>
      </c>
      <c r="J424" s="26">
        <v>44585</v>
      </c>
      <c r="K424" t="s">
        <v>162</v>
      </c>
      <c r="L424" s="26"/>
      <c r="M424" t="s">
        <v>163</v>
      </c>
      <c r="N424" t="s">
        <v>98</v>
      </c>
      <c r="O424" s="27">
        <v>2072000</v>
      </c>
      <c r="P424">
        <v>3</v>
      </c>
      <c r="Q424" t="s">
        <v>172</v>
      </c>
      <c r="R424">
        <v>29</v>
      </c>
      <c r="S424" t="s">
        <v>262</v>
      </c>
      <c r="T424">
        <f t="shared" si="42"/>
        <v>11236</v>
      </c>
      <c r="U424" t="str">
        <f t="shared" si="43"/>
        <v>OPS</v>
      </c>
      <c r="V424" t="str">
        <f t="shared" si="44"/>
        <v>L3</v>
      </c>
      <c r="W424" t="str">
        <f>PROPER(TRIM(VLOOKUP(S424,Employee_Lookups!$I$4:$M$19,2,FALSE())))</f>
        <v>Ananya Iyer</v>
      </c>
      <c r="X424" t="str">
        <f>VLOOKUP(C424,Employee_Lookups!$A$4:$G$9,4,FALSE())</f>
        <v>CC-303</v>
      </c>
      <c r="Y424" t="str">
        <f>INDEX(Employee_Lookups!$C$13:$C$17,MATCH(F424,Employee_Lookups!$A$13:$A$17,0))</f>
        <v>Band C (Senior)</v>
      </c>
      <c r="Z424" s="27">
        <f>_xlfn.XLOOKUP(F424,Employee_Lookups!$A$13:$A$17,Employee_Lookups!$E$13:$E$17,0)</f>
        <v>1725000</v>
      </c>
      <c r="AA424" s="28">
        <f>ROUND(O424/INDEX(Employee_Lookups!$E$13:$E$17,MATCH(F424,Employee_Lookups!$A$13:$A$17,0)),3)</f>
        <v>1.2010000000000001</v>
      </c>
      <c r="AB424">
        <f t="shared" si="45"/>
        <v>2022</v>
      </c>
      <c r="AC424" t="str">
        <f t="shared" si="46"/>
        <v/>
      </c>
      <c r="AD424" s="28">
        <f>ROUND((IF(ISBLANK(L424),Employee_Lookups!$O$14,L424)-J424)/365.25,2)</f>
        <v>3.93</v>
      </c>
      <c r="AE424" t="str">
        <f t="shared" si="47"/>
        <v>3 - 5 Yrs</v>
      </c>
      <c r="AF424" t="str">
        <f t="shared" si="48"/>
        <v>Moderate Risk</v>
      </c>
    </row>
    <row r="425" spans="1:32" x14ac:dyDescent="0.45">
      <c r="A425" t="s">
        <v>987</v>
      </c>
      <c r="B425" t="s">
        <v>988</v>
      </c>
      <c r="C425" t="s">
        <v>51</v>
      </c>
      <c r="D425" t="s">
        <v>50</v>
      </c>
      <c r="E425" t="s">
        <v>176</v>
      </c>
      <c r="F425" t="s">
        <v>82</v>
      </c>
      <c r="G425" t="s">
        <v>177</v>
      </c>
      <c r="H425" t="s">
        <v>106</v>
      </c>
      <c r="I425" t="s">
        <v>107</v>
      </c>
      <c r="J425" s="26">
        <v>44586</v>
      </c>
      <c r="K425" t="s">
        <v>162</v>
      </c>
      <c r="L425" s="26"/>
      <c r="M425" t="s">
        <v>163</v>
      </c>
      <c r="N425" t="s">
        <v>97</v>
      </c>
      <c r="O425" s="27">
        <v>913000</v>
      </c>
      <c r="P425">
        <v>5</v>
      </c>
      <c r="Q425" t="s">
        <v>164</v>
      </c>
      <c r="R425">
        <v>36</v>
      </c>
      <c r="S425" t="s">
        <v>197</v>
      </c>
      <c r="T425">
        <f t="shared" si="42"/>
        <v>11359</v>
      </c>
      <c r="U425" t="str">
        <f t="shared" si="43"/>
        <v>ENG</v>
      </c>
      <c r="V425" t="str">
        <f t="shared" si="44"/>
        <v>L2</v>
      </c>
      <c r="W425" t="str">
        <f>PROPER(TRIM(VLOOKUP(S425,Employee_Lookups!$I$4:$M$19,2,FALSE())))</f>
        <v>Rohan Verma</v>
      </c>
      <c r="X425" t="str">
        <f>VLOOKUP(C425,Employee_Lookups!$A$4:$G$9,4,FALSE())</f>
        <v>CC-101</v>
      </c>
      <c r="Y425" t="str">
        <f>INDEX(Employee_Lookups!$C$13:$C$17,MATCH(F425,Employee_Lookups!$A$13:$A$17,0))</f>
        <v>Band B (Mid)</v>
      </c>
      <c r="Z425" s="27">
        <f>_xlfn.XLOOKUP(F425,Employee_Lookups!$A$13:$A$17,Employee_Lookups!$E$13:$E$17,0)</f>
        <v>1100000</v>
      </c>
      <c r="AA425" s="28">
        <f>ROUND(O425/INDEX(Employee_Lookups!$E$13:$E$17,MATCH(F425,Employee_Lookups!$A$13:$A$17,0)),3)</f>
        <v>0.83</v>
      </c>
      <c r="AB425">
        <f t="shared" si="45"/>
        <v>2022</v>
      </c>
      <c r="AC425" t="str">
        <f t="shared" si="46"/>
        <v/>
      </c>
      <c r="AD425" s="28">
        <f>ROUND((IF(ISBLANK(L425),Employee_Lookups!$O$14,L425)-J425)/365.25,2)</f>
        <v>3.93</v>
      </c>
      <c r="AE425" t="str">
        <f t="shared" si="47"/>
        <v>3 - 5 Yrs</v>
      </c>
      <c r="AF425" t="str">
        <f t="shared" si="48"/>
        <v>Low Risk</v>
      </c>
    </row>
    <row r="426" spans="1:32" x14ac:dyDescent="0.45">
      <c r="A426" t="s">
        <v>989</v>
      </c>
      <c r="B426" t="s">
        <v>232</v>
      </c>
      <c r="C426" t="s">
        <v>57</v>
      </c>
      <c r="D426" t="s">
        <v>56</v>
      </c>
      <c r="E426" t="s">
        <v>222</v>
      </c>
      <c r="F426" t="s">
        <v>82</v>
      </c>
      <c r="G426" t="s">
        <v>223</v>
      </c>
      <c r="H426" t="s">
        <v>109</v>
      </c>
      <c r="I426" t="s">
        <v>110</v>
      </c>
      <c r="J426" s="26">
        <v>44587</v>
      </c>
      <c r="K426" t="s">
        <v>187</v>
      </c>
      <c r="L426" s="26">
        <v>44930</v>
      </c>
      <c r="M426" t="s">
        <v>213</v>
      </c>
      <c r="N426" t="s">
        <v>96</v>
      </c>
      <c r="O426" s="27">
        <v>1012000</v>
      </c>
      <c r="P426">
        <v>3</v>
      </c>
      <c r="Q426" t="s">
        <v>164</v>
      </c>
      <c r="R426">
        <v>34</v>
      </c>
      <c r="S426" t="s">
        <v>224</v>
      </c>
      <c r="T426">
        <f t="shared" si="42"/>
        <v>10926</v>
      </c>
      <c r="U426" t="str">
        <f t="shared" si="43"/>
        <v>MKT</v>
      </c>
      <c r="V426" t="str">
        <f t="shared" si="44"/>
        <v>L2</v>
      </c>
      <c r="W426" t="str">
        <f>PROPER(TRIM(VLOOKUP(S426,Employee_Lookups!$I$4:$M$19,2,FALSE())))</f>
        <v>Tanvi Chitnis</v>
      </c>
      <c r="X426" t="str">
        <f>VLOOKUP(C426,Employee_Lookups!$A$4:$G$9,4,FALSE())</f>
        <v>CC-606</v>
      </c>
      <c r="Y426" t="str">
        <f>INDEX(Employee_Lookups!$C$13:$C$17,MATCH(F426,Employee_Lookups!$A$13:$A$17,0))</f>
        <v>Band B (Mid)</v>
      </c>
      <c r="Z426" s="27">
        <f>_xlfn.XLOOKUP(F426,Employee_Lookups!$A$13:$A$17,Employee_Lookups!$E$13:$E$17,0)</f>
        <v>1100000</v>
      </c>
      <c r="AA426" s="28">
        <f>ROUND(O426/INDEX(Employee_Lookups!$E$13:$E$17,MATCH(F426,Employee_Lookups!$A$13:$A$17,0)),3)</f>
        <v>0.92</v>
      </c>
      <c r="AB426">
        <f t="shared" si="45"/>
        <v>2022</v>
      </c>
      <c r="AC426">
        <f t="shared" si="46"/>
        <v>2023</v>
      </c>
      <c r="AD426" s="28">
        <f>ROUND((IF(ISBLANK(L426),Employee_Lookups!$O$14,L426)-J426)/365.25,2)</f>
        <v>0.94</v>
      </c>
      <c r="AE426" t="str">
        <f t="shared" si="47"/>
        <v>&lt; 1 Yr (New)</v>
      </c>
      <c r="AF426" t="str">
        <f t="shared" si="48"/>
        <v>Exited</v>
      </c>
    </row>
    <row r="427" spans="1:32" x14ac:dyDescent="0.45">
      <c r="A427" t="s">
        <v>990</v>
      </c>
      <c r="B427" t="s">
        <v>991</v>
      </c>
      <c r="C427" t="s">
        <v>57</v>
      </c>
      <c r="D427" t="s">
        <v>56</v>
      </c>
      <c r="E427" t="s">
        <v>160</v>
      </c>
      <c r="F427" t="s">
        <v>81</v>
      </c>
      <c r="G427" t="s">
        <v>161</v>
      </c>
      <c r="H427" t="s">
        <v>106</v>
      </c>
      <c r="I427" t="s">
        <v>107</v>
      </c>
      <c r="J427" s="26">
        <v>44593</v>
      </c>
      <c r="K427" t="s">
        <v>187</v>
      </c>
      <c r="L427" s="26">
        <v>44910</v>
      </c>
      <c r="M427" t="s">
        <v>282</v>
      </c>
      <c r="N427" t="s">
        <v>98</v>
      </c>
      <c r="O427" s="27">
        <v>733000</v>
      </c>
      <c r="P427">
        <v>3</v>
      </c>
      <c r="Q427" t="s">
        <v>164</v>
      </c>
      <c r="R427">
        <v>8</v>
      </c>
      <c r="S427" t="s">
        <v>165</v>
      </c>
      <c r="T427">
        <f t="shared" si="42"/>
        <v>10108</v>
      </c>
      <c r="U427" t="str">
        <f t="shared" si="43"/>
        <v>MKT</v>
      </c>
      <c r="V427" t="str">
        <f t="shared" si="44"/>
        <v>L1</v>
      </c>
      <c r="W427" t="str">
        <f>PROPER(TRIM(VLOOKUP(S427,Employee_Lookups!$I$4:$M$19,2,FALSE())))</f>
        <v>Arjun Sengupta</v>
      </c>
      <c r="X427" t="str">
        <f>VLOOKUP(C427,Employee_Lookups!$A$4:$G$9,4,FALSE())</f>
        <v>CC-606</v>
      </c>
      <c r="Y427" t="str">
        <f>INDEX(Employee_Lookups!$C$13:$C$17,MATCH(F427,Employee_Lookups!$A$13:$A$17,0))</f>
        <v>Band A (Entry)</v>
      </c>
      <c r="Z427" s="27">
        <f>_xlfn.XLOOKUP(F427,Employee_Lookups!$A$13:$A$17,Employee_Lookups!$E$13:$E$17,0)</f>
        <v>700000</v>
      </c>
      <c r="AA427" s="28">
        <f>ROUND(O427/INDEX(Employee_Lookups!$E$13:$E$17,MATCH(F427,Employee_Lookups!$A$13:$A$17,0)),3)</f>
        <v>1.0469999999999999</v>
      </c>
      <c r="AB427">
        <f t="shared" si="45"/>
        <v>2022</v>
      </c>
      <c r="AC427">
        <f t="shared" si="46"/>
        <v>2022</v>
      </c>
      <c r="AD427" s="28">
        <f>ROUND((IF(ISBLANK(L427),Employee_Lookups!$O$14,L427)-J427)/365.25,2)</f>
        <v>0.87</v>
      </c>
      <c r="AE427" t="str">
        <f t="shared" si="47"/>
        <v>&lt; 1 Yr (New)</v>
      </c>
      <c r="AF427" t="str">
        <f t="shared" si="48"/>
        <v>Exited</v>
      </c>
    </row>
    <row r="428" spans="1:32" x14ac:dyDescent="0.45">
      <c r="A428" t="s">
        <v>992</v>
      </c>
      <c r="B428" t="s">
        <v>228</v>
      </c>
      <c r="C428" t="s">
        <v>51</v>
      </c>
      <c r="D428" t="s">
        <v>50</v>
      </c>
      <c r="E428" t="s">
        <v>176</v>
      </c>
      <c r="F428" t="s">
        <v>82</v>
      </c>
      <c r="G428" t="s">
        <v>177</v>
      </c>
      <c r="H428" t="s">
        <v>106</v>
      </c>
      <c r="I428" t="s">
        <v>107</v>
      </c>
      <c r="J428" s="26">
        <v>44596</v>
      </c>
      <c r="K428" t="s">
        <v>162</v>
      </c>
      <c r="L428" s="26"/>
      <c r="M428" t="s">
        <v>163</v>
      </c>
      <c r="N428" t="s">
        <v>95</v>
      </c>
      <c r="O428" s="27">
        <v>876000</v>
      </c>
      <c r="P428">
        <v>5</v>
      </c>
      <c r="Q428" t="s">
        <v>164</v>
      </c>
      <c r="R428">
        <v>33</v>
      </c>
      <c r="S428" t="s">
        <v>197</v>
      </c>
      <c r="T428">
        <f t="shared" si="42"/>
        <v>11385</v>
      </c>
      <c r="U428" t="str">
        <f t="shared" si="43"/>
        <v>ENG</v>
      </c>
      <c r="V428" t="str">
        <f t="shared" si="44"/>
        <v>L2</v>
      </c>
      <c r="W428" t="str">
        <f>PROPER(TRIM(VLOOKUP(S428,Employee_Lookups!$I$4:$M$19,2,FALSE())))</f>
        <v>Rohan Verma</v>
      </c>
      <c r="X428" t="str">
        <f>VLOOKUP(C428,Employee_Lookups!$A$4:$G$9,4,FALSE())</f>
        <v>CC-101</v>
      </c>
      <c r="Y428" t="str">
        <f>INDEX(Employee_Lookups!$C$13:$C$17,MATCH(F428,Employee_Lookups!$A$13:$A$17,0))</f>
        <v>Band B (Mid)</v>
      </c>
      <c r="Z428" s="27">
        <f>_xlfn.XLOOKUP(F428,Employee_Lookups!$A$13:$A$17,Employee_Lookups!$E$13:$E$17,0)</f>
        <v>1100000</v>
      </c>
      <c r="AA428" s="28">
        <f>ROUND(O428/INDEX(Employee_Lookups!$E$13:$E$17,MATCH(F428,Employee_Lookups!$A$13:$A$17,0)),3)</f>
        <v>0.79600000000000004</v>
      </c>
      <c r="AB428">
        <f t="shared" si="45"/>
        <v>2022</v>
      </c>
      <c r="AC428" t="str">
        <f t="shared" si="46"/>
        <v/>
      </c>
      <c r="AD428" s="28">
        <f>ROUND((IF(ISBLANK(L428),Employee_Lookups!$O$14,L428)-J428)/365.25,2)</f>
        <v>3.9</v>
      </c>
      <c r="AE428" t="str">
        <f t="shared" si="47"/>
        <v>3 - 5 Yrs</v>
      </c>
      <c r="AF428" t="str">
        <f t="shared" si="48"/>
        <v>Low Risk</v>
      </c>
    </row>
    <row r="429" spans="1:32" x14ac:dyDescent="0.45">
      <c r="A429" t="s">
        <v>993</v>
      </c>
      <c r="B429" t="s">
        <v>994</v>
      </c>
      <c r="C429" t="s">
        <v>61</v>
      </c>
      <c r="D429" t="s">
        <v>60</v>
      </c>
      <c r="E429" t="s">
        <v>356</v>
      </c>
      <c r="F429" t="s">
        <v>81</v>
      </c>
      <c r="G429" t="s">
        <v>357</v>
      </c>
      <c r="H429" t="s">
        <v>109</v>
      </c>
      <c r="I429" t="s">
        <v>110</v>
      </c>
      <c r="J429" s="26">
        <v>44597</v>
      </c>
      <c r="K429" t="s">
        <v>187</v>
      </c>
      <c r="L429" s="26">
        <v>45496</v>
      </c>
      <c r="M429" t="s">
        <v>282</v>
      </c>
      <c r="N429" t="s">
        <v>95</v>
      </c>
      <c r="O429" s="27">
        <v>672000</v>
      </c>
      <c r="P429">
        <v>3</v>
      </c>
      <c r="Q429" t="s">
        <v>172</v>
      </c>
      <c r="R429">
        <v>46</v>
      </c>
      <c r="S429" t="s">
        <v>319</v>
      </c>
      <c r="T429">
        <f t="shared" si="42"/>
        <v>11267</v>
      </c>
      <c r="U429" t="str">
        <f t="shared" si="43"/>
        <v>-HR</v>
      </c>
      <c r="V429" t="str">
        <f t="shared" si="44"/>
        <v>L1</v>
      </c>
      <c r="W429" t="str">
        <f>PROPER(TRIM(VLOOKUP(S429,Employee_Lookups!$I$4:$M$19,2,FALSE())))</f>
        <v>Kavita Menon</v>
      </c>
      <c r="X429" t="str">
        <f>VLOOKUP(C429,Employee_Lookups!$A$4:$G$9,4,FALSE())</f>
        <v>CC-505</v>
      </c>
      <c r="Y429" t="str">
        <f>INDEX(Employee_Lookups!$C$13:$C$17,MATCH(F429,Employee_Lookups!$A$13:$A$17,0))</f>
        <v>Band A (Entry)</v>
      </c>
      <c r="Z429" s="27">
        <f>_xlfn.XLOOKUP(F429,Employee_Lookups!$A$13:$A$17,Employee_Lookups!$E$13:$E$17,0)</f>
        <v>700000</v>
      </c>
      <c r="AA429" s="28">
        <f>ROUND(O429/INDEX(Employee_Lookups!$E$13:$E$17,MATCH(F429,Employee_Lookups!$A$13:$A$17,0)),3)</f>
        <v>0.96</v>
      </c>
      <c r="AB429">
        <f t="shared" si="45"/>
        <v>2022</v>
      </c>
      <c r="AC429">
        <f t="shared" si="46"/>
        <v>2024</v>
      </c>
      <c r="AD429" s="28">
        <f>ROUND((IF(ISBLANK(L429),Employee_Lookups!$O$14,L429)-J429)/365.25,2)</f>
        <v>2.46</v>
      </c>
      <c r="AE429" t="str">
        <f t="shared" si="47"/>
        <v>1 - 3 Yrs</v>
      </c>
      <c r="AF429" t="str">
        <f t="shared" si="48"/>
        <v>Exited</v>
      </c>
    </row>
    <row r="430" spans="1:32" x14ac:dyDescent="0.45">
      <c r="A430" t="s">
        <v>995</v>
      </c>
      <c r="B430" t="s">
        <v>996</v>
      </c>
      <c r="C430" t="s">
        <v>55</v>
      </c>
      <c r="D430" t="s">
        <v>54</v>
      </c>
      <c r="E430" t="s">
        <v>277</v>
      </c>
      <c r="F430" t="s">
        <v>81</v>
      </c>
      <c r="G430" t="s">
        <v>278</v>
      </c>
      <c r="H430" t="s">
        <v>108</v>
      </c>
      <c r="I430" t="s">
        <v>107</v>
      </c>
      <c r="J430" s="26">
        <v>44600</v>
      </c>
      <c r="K430" t="s">
        <v>187</v>
      </c>
      <c r="L430" s="26">
        <v>44801</v>
      </c>
      <c r="M430" t="s">
        <v>188</v>
      </c>
      <c r="N430" t="s">
        <v>99</v>
      </c>
      <c r="O430" s="27">
        <v>728000</v>
      </c>
      <c r="P430">
        <v>4</v>
      </c>
      <c r="Q430" t="s">
        <v>164</v>
      </c>
      <c r="R430">
        <v>31</v>
      </c>
      <c r="S430" t="s">
        <v>262</v>
      </c>
      <c r="T430">
        <f t="shared" si="42"/>
        <v>10789</v>
      </c>
      <c r="U430" t="str">
        <f t="shared" si="43"/>
        <v>OPS</v>
      </c>
      <c r="V430" t="str">
        <f t="shared" si="44"/>
        <v>L1</v>
      </c>
      <c r="W430" t="str">
        <f>PROPER(TRIM(VLOOKUP(S430,Employee_Lookups!$I$4:$M$19,2,FALSE())))</f>
        <v>Ananya Iyer</v>
      </c>
      <c r="X430" t="str">
        <f>VLOOKUP(C430,Employee_Lookups!$A$4:$G$9,4,FALSE())</f>
        <v>CC-303</v>
      </c>
      <c r="Y430" t="str">
        <f>INDEX(Employee_Lookups!$C$13:$C$17,MATCH(F430,Employee_Lookups!$A$13:$A$17,0))</f>
        <v>Band A (Entry)</v>
      </c>
      <c r="Z430" s="27">
        <f>_xlfn.XLOOKUP(F430,Employee_Lookups!$A$13:$A$17,Employee_Lookups!$E$13:$E$17,0)</f>
        <v>700000</v>
      </c>
      <c r="AA430" s="28">
        <f>ROUND(O430/INDEX(Employee_Lookups!$E$13:$E$17,MATCH(F430,Employee_Lookups!$A$13:$A$17,0)),3)</f>
        <v>1.04</v>
      </c>
      <c r="AB430">
        <f t="shared" si="45"/>
        <v>2022</v>
      </c>
      <c r="AC430">
        <f t="shared" si="46"/>
        <v>2022</v>
      </c>
      <c r="AD430" s="28">
        <f>ROUND((IF(ISBLANK(L430),Employee_Lookups!$O$14,L430)-J430)/365.25,2)</f>
        <v>0.55000000000000004</v>
      </c>
      <c r="AE430" t="str">
        <f t="shared" si="47"/>
        <v>&lt; 1 Yr (New)</v>
      </c>
      <c r="AF430" t="str">
        <f t="shared" si="48"/>
        <v>Exited</v>
      </c>
    </row>
    <row r="431" spans="1:32" x14ac:dyDescent="0.45">
      <c r="A431" t="s">
        <v>997</v>
      </c>
      <c r="B431" t="s">
        <v>531</v>
      </c>
      <c r="C431" t="s">
        <v>57</v>
      </c>
      <c r="D431" t="s">
        <v>56</v>
      </c>
      <c r="E431" t="s">
        <v>391</v>
      </c>
      <c r="F431" t="s">
        <v>83</v>
      </c>
      <c r="G431" t="s">
        <v>392</v>
      </c>
      <c r="H431" t="s">
        <v>108</v>
      </c>
      <c r="I431" t="s">
        <v>107</v>
      </c>
      <c r="J431" s="26">
        <v>44600</v>
      </c>
      <c r="K431" t="s">
        <v>162</v>
      </c>
      <c r="L431" s="26"/>
      <c r="M431" t="s">
        <v>163</v>
      </c>
      <c r="N431" t="s">
        <v>96</v>
      </c>
      <c r="O431" s="27">
        <v>2021000</v>
      </c>
      <c r="P431">
        <v>3</v>
      </c>
      <c r="Q431" t="s">
        <v>172</v>
      </c>
      <c r="R431">
        <v>4</v>
      </c>
      <c r="S431" t="s">
        <v>224</v>
      </c>
      <c r="T431">
        <f t="shared" si="42"/>
        <v>11333</v>
      </c>
      <c r="U431" t="str">
        <f t="shared" si="43"/>
        <v>MKT</v>
      </c>
      <c r="V431" t="str">
        <f t="shared" si="44"/>
        <v>L3</v>
      </c>
      <c r="W431" t="str">
        <f>PROPER(TRIM(VLOOKUP(S431,Employee_Lookups!$I$4:$M$19,2,FALSE())))</f>
        <v>Tanvi Chitnis</v>
      </c>
      <c r="X431" t="str">
        <f>VLOOKUP(C431,Employee_Lookups!$A$4:$G$9,4,FALSE())</f>
        <v>CC-606</v>
      </c>
      <c r="Y431" t="str">
        <f>INDEX(Employee_Lookups!$C$13:$C$17,MATCH(F431,Employee_Lookups!$A$13:$A$17,0))</f>
        <v>Band C (Senior)</v>
      </c>
      <c r="Z431" s="27">
        <f>_xlfn.XLOOKUP(F431,Employee_Lookups!$A$13:$A$17,Employee_Lookups!$E$13:$E$17,0)</f>
        <v>1725000</v>
      </c>
      <c r="AA431" s="28">
        <f>ROUND(O431/INDEX(Employee_Lookups!$E$13:$E$17,MATCH(F431,Employee_Lookups!$A$13:$A$17,0)),3)</f>
        <v>1.1719999999999999</v>
      </c>
      <c r="AB431">
        <f t="shared" si="45"/>
        <v>2022</v>
      </c>
      <c r="AC431" t="str">
        <f t="shared" si="46"/>
        <v/>
      </c>
      <c r="AD431" s="28">
        <f>ROUND((IF(ISBLANK(L431),Employee_Lookups!$O$14,L431)-J431)/365.25,2)</f>
        <v>3.89</v>
      </c>
      <c r="AE431" t="str">
        <f t="shared" si="47"/>
        <v>3 - 5 Yrs</v>
      </c>
      <c r="AF431" t="str">
        <f t="shared" si="48"/>
        <v>Moderate Risk</v>
      </c>
    </row>
    <row r="432" spans="1:32" x14ac:dyDescent="0.45">
      <c r="A432" t="s">
        <v>998</v>
      </c>
      <c r="B432" t="s">
        <v>999</v>
      </c>
      <c r="C432" t="s">
        <v>55</v>
      </c>
      <c r="D432" t="s">
        <v>54</v>
      </c>
      <c r="E432" t="s">
        <v>229</v>
      </c>
      <c r="F432" t="s">
        <v>82</v>
      </c>
      <c r="G432" t="s">
        <v>230</v>
      </c>
      <c r="H432" t="s">
        <v>106</v>
      </c>
      <c r="I432" t="s">
        <v>107</v>
      </c>
      <c r="J432" s="26">
        <v>44601</v>
      </c>
      <c r="K432" t="s">
        <v>170</v>
      </c>
      <c r="L432" s="26">
        <v>44699</v>
      </c>
      <c r="M432" t="s">
        <v>171</v>
      </c>
      <c r="N432" t="s">
        <v>99</v>
      </c>
      <c r="O432" s="27">
        <v>1001000</v>
      </c>
      <c r="P432">
        <v>3</v>
      </c>
      <c r="Q432" t="s">
        <v>172</v>
      </c>
      <c r="R432">
        <v>55</v>
      </c>
      <c r="S432" t="s">
        <v>173</v>
      </c>
      <c r="T432">
        <f t="shared" si="42"/>
        <v>10845</v>
      </c>
      <c r="U432" t="str">
        <f t="shared" si="43"/>
        <v>OPS</v>
      </c>
      <c r="V432" t="str">
        <f t="shared" si="44"/>
        <v>L2</v>
      </c>
      <c r="W432" t="str">
        <f>PROPER(TRIM(VLOOKUP(S432,Employee_Lookups!$I$4:$M$19,2,FALSE())))</f>
        <v>Deepak Patil</v>
      </c>
      <c r="X432" t="str">
        <f>VLOOKUP(C432,Employee_Lookups!$A$4:$G$9,4,FALSE())</f>
        <v>CC-303</v>
      </c>
      <c r="Y432" t="str">
        <f>INDEX(Employee_Lookups!$C$13:$C$17,MATCH(F432,Employee_Lookups!$A$13:$A$17,0))</f>
        <v>Band B (Mid)</v>
      </c>
      <c r="Z432" s="27">
        <f>_xlfn.XLOOKUP(F432,Employee_Lookups!$A$13:$A$17,Employee_Lookups!$E$13:$E$17,0)</f>
        <v>1100000</v>
      </c>
      <c r="AA432" s="28">
        <f>ROUND(O432/INDEX(Employee_Lookups!$E$13:$E$17,MATCH(F432,Employee_Lookups!$A$13:$A$17,0)),3)</f>
        <v>0.91</v>
      </c>
      <c r="AB432">
        <f t="shared" si="45"/>
        <v>2022</v>
      </c>
      <c r="AC432">
        <f t="shared" si="46"/>
        <v>2022</v>
      </c>
      <c r="AD432" s="28">
        <f>ROUND((IF(ISBLANK(L432),Employee_Lookups!$O$14,L432)-J432)/365.25,2)</f>
        <v>0.27</v>
      </c>
      <c r="AE432" t="str">
        <f t="shared" si="47"/>
        <v>&lt; 1 Yr (New)</v>
      </c>
      <c r="AF432" t="str">
        <f t="shared" si="48"/>
        <v>Exited</v>
      </c>
    </row>
    <row r="433" spans="1:32" x14ac:dyDescent="0.45">
      <c r="A433" t="s">
        <v>1000</v>
      </c>
      <c r="B433" t="s">
        <v>1001</v>
      </c>
      <c r="C433" t="s">
        <v>53</v>
      </c>
      <c r="D433" t="s">
        <v>52</v>
      </c>
      <c r="E433" t="s">
        <v>185</v>
      </c>
      <c r="F433" t="s">
        <v>82</v>
      </c>
      <c r="G433" t="s">
        <v>186</v>
      </c>
      <c r="H433" t="s">
        <v>108</v>
      </c>
      <c r="I433" t="s">
        <v>107</v>
      </c>
      <c r="J433" s="26">
        <v>44601</v>
      </c>
      <c r="K433" t="s">
        <v>162</v>
      </c>
      <c r="L433" s="26"/>
      <c r="M433" t="s">
        <v>163</v>
      </c>
      <c r="N433" t="s">
        <v>99</v>
      </c>
      <c r="O433" s="27">
        <v>965000</v>
      </c>
      <c r="P433">
        <v>3</v>
      </c>
      <c r="Q433" t="s">
        <v>172</v>
      </c>
      <c r="R433">
        <v>32</v>
      </c>
      <c r="S433" t="s">
        <v>194</v>
      </c>
      <c r="T433">
        <f t="shared" si="42"/>
        <v>10859</v>
      </c>
      <c r="U433" t="str">
        <f t="shared" si="43"/>
        <v>SAL</v>
      </c>
      <c r="V433" t="str">
        <f t="shared" si="44"/>
        <v>L2</v>
      </c>
      <c r="W433" t="str">
        <f>PROPER(TRIM(VLOOKUP(S433,Employee_Lookups!$I$4:$M$19,2,FALSE())))</f>
        <v>Vikramaditya Joshi</v>
      </c>
      <c r="X433" t="str">
        <f>VLOOKUP(C433,Employee_Lookups!$A$4:$G$9,4,FALSE())</f>
        <v>CC-202</v>
      </c>
      <c r="Y433" t="str">
        <f>INDEX(Employee_Lookups!$C$13:$C$17,MATCH(F433,Employee_Lookups!$A$13:$A$17,0))</f>
        <v>Band B (Mid)</v>
      </c>
      <c r="Z433" s="27">
        <f>_xlfn.XLOOKUP(F433,Employee_Lookups!$A$13:$A$17,Employee_Lookups!$E$13:$E$17,0)</f>
        <v>1100000</v>
      </c>
      <c r="AA433" s="28">
        <f>ROUND(O433/INDEX(Employee_Lookups!$E$13:$E$17,MATCH(F433,Employee_Lookups!$A$13:$A$17,0)),3)</f>
        <v>0.877</v>
      </c>
      <c r="AB433">
        <f t="shared" si="45"/>
        <v>2022</v>
      </c>
      <c r="AC433" t="str">
        <f t="shared" si="46"/>
        <v/>
      </c>
      <c r="AD433" s="28">
        <f>ROUND((IF(ISBLANK(L433),Employee_Lookups!$O$14,L433)-J433)/365.25,2)</f>
        <v>3.89</v>
      </c>
      <c r="AE433" t="str">
        <f t="shared" si="47"/>
        <v>3 - 5 Yrs</v>
      </c>
      <c r="AF433" t="str">
        <f t="shared" si="48"/>
        <v>High Risk</v>
      </c>
    </row>
    <row r="434" spans="1:32" x14ac:dyDescent="0.45">
      <c r="A434" t="s">
        <v>1002</v>
      </c>
      <c r="B434" t="s">
        <v>1003</v>
      </c>
      <c r="C434" t="s">
        <v>51</v>
      </c>
      <c r="D434" t="s">
        <v>50</v>
      </c>
      <c r="E434" t="s">
        <v>176</v>
      </c>
      <c r="F434" t="s">
        <v>82</v>
      </c>
      <c r="G434" t="s">
        <v>177</v>
      </c>
      <c r="H434" t="s">
        <v>106</v>
      </c>
      <c r="I434" t="s">
        <v>107</v>
      </c>
      <c r="J434" s="26">
        <v>44602</v>
      </c>
      <c r="K434" t="s">
        <v>162</v>
      </c>
      <c r="L434" s="26"/>
      <c r="M434" t="s">
        <v>163</v>
      </c>
      <c r="N434" t="s">
        <v>97</v>
      </c>
      <c r="O434" s="27">
        <v>1019000</v>
      </c>
      <c r="P434">
        <v>5</v>
      </c>
      <c r="Q434" t="s">
        <v>164</v>
      </c>
      <c r="R434">
        <v>20</v>
      </c>
      <c r="S434" t="s">
        <v>219</v>
      </c>
      <c r="T434">
        <f t="shared" si="42"/>
        <v>10717</v>
      </c>
      <c r="U434" t="str">
        <f t="shared" si="43"/>
        <v>ENG</v>
      </c>
      <c r="V434" t="str">
        <f t="shared" si="44"/>
        <v>L2</v>
      </c>
      <c r="W434" t="str">
        <f>PROPER(TRIM(VLOOKUP(S434,Employee_Lookups!$I$4:$M$19,2,FALSE())))</f>
        <v>Neha Kulkarni</v>
      </c>
      <c r="X434" t="str">
        <f>VLOOKUP(C434,Employee_Lookups!$A$4:$G$9,4,FALSE())</f>
        <v>CC-101</v>
      </c>
      <c r="Y434" t="str">
        <f>INDEX(Employee_Lookups!$C$13:$C$17,MATCH(F434,Employee_Lookups!$A$13:$A$17,0))</f>
        <v>Band B (Mid)</v>
      </c>
      <c r="Z434" s="27">
        <f>_xlfn.XLOOKUP(F434,Employee_Lookups!$A$13:$A$17,Employee_Lookups!$E$13:$E$17,0)</f>
        <v>1100000</v>
      </c>
      <c r="AA434" s="28">
        <f>ROUND(O434/INDEX(Employee_Lookups!$E$13:$E$17,MATCH(F434,Employee_Lookups!$A$13:$A$17,0)),3)</f>
        <v>0.92600000000000005</v>
      </c>
      <c r="AB434">
        <f t="shared" si="45"/>
        <v>2022</v>
      </c>
      <c r="AC434" t="str">
        <f t="shared" si="46"/>
        <v/>
      </c>
      <c r="AD434" s="28">
        <f>ROUND((IF(ISBLANK(L434),Employee_Lookups!$O$14,L434)-J434)/365.25,2)</f>
        <v>3.89</v>
      </c>
      <c r="AE434" t="str">
        <f t="shared" si="47"/>
        <v>3 - 5 Yrs</v>
      </c>
      <c r="AF434" t="str">
        <f t="shared" si="48"/>
        <v>Low Risk</v>
      </c>
    </row>
    <row r="435" spans="1:32" x14ac:dyDescent="0.45">
      <c r="A435" t="s">
        <v>1004</v>
      </c>
      <c r="B435" t="s">
        <v>1005</v>
      </c>
      <c r="C435" t="s">
        <v>51</v>
      </c>
      <c r="D435" t="s">
        <v>50</v>
      </c>
      <c r="E435" t="s">
        <v>176</v>
      </c>
      <c r="F435" t="s">
        <v>82</v>
      </c>
      <c r="G435" t="s">
        <v>177</v>
      </c>
      <c r="H435" t="s">
        <v>109</v>
      </c>
      <c r="I435" t="s">
        <v>110</v>
      </c>
      <c r="J435" s="26">
        <v>44602</v>
      </c>
      <c r="K435" t="s">
        <v>162</v>
      </c>
      <c r="L435" s="26"/>
      <c r="M435" t="s">
        <v>163</v>
      </c>
      <c r="N435" t="s">
        <v>95</v>
      </c>
      <c r="O435" s="27">
        <v>1135000</v>
      </c>
      <c r="P435">
        <v>3</v>
      </c>
      <c r="Q435" t="s">
        <v>164</v>
      </c>
      <c r="R435">
        <v>43</v>
      </c>
      <c r="S435" t="s">
        <v>219</v>
      </c>
      <c r="T435">
        <f t="shared" si="42"/>
        <v>11261</v>
      </c>
      <c r="U435" t="str">
        <f t="shared" si="43"/>
        <v>ENG</v>
      </c>
      <c r="V435" t="str">
        <f t="shared" si="44"/>
        <v>L2</v>
      </c>
      <c r="W435" t="str">
        <f>PROPER(TRIM(VLOOKUP(S435,Employee_Lookups!$I$4:$M$19,2,FALSE())))</f>
        <v>Neha Kulkarni</v>
      </c>
      <c r="X435" t="str">
        <f>VLOOKUP(C435,Employee_Lookups!$A$4:$G$9,4,FALSE())</f>
        <v>CC-101</v>
      </c>
      <c r="Y435" t="str">
        <f>INDEX(Employee_Lookups!$C$13:$C$17,MATCH(F435,Employee_Lookups!$A$13:$A$17,0))</f>
        <v>Band B (Mid)</v>
      </c>
      <c r="Z435" s="27">
        <f>_xlfn.XLOOKUP(F435,Employee_Lookups!$A$13:$A$17,Employee_Lookups!$E$13:$E$17,0)</f>
        <v>1100000</v>
      </c>
      <c r="AA435" s="28">
        <f>ROUND(O435/INDEX(Employee_Lookups!$E$13:$E$17,MATCH(F435,Employee_Lookups!$A$13:$A$17,0)),3)</f>
        <v>1.032</v>
      </c>
      <c r="AB435">
        <f t="shared" si="45"/>
        <v>2022</v>
      </c>
      <c r="AC435" t="str">
        <f t="shared" si="46"/>
        <v/>
      </c>
      <c r="AD435" s="28">
        <f>ROUND((IF(ISBLANK(L435),Employee_Lookups!$O$14,L435)-J435)/365.25,2)</f>
        <v>3.89</v>
      </c>
      <c r="AE435" t="str">
        <f t="shared" si="47"/>
        <v>3 - 5 Yrs</v>
      </c>
      <c r="AF435" t="str">
        <f t="shared" si="48"/>
        <v>Low Risk</v>
      </c>
    </row>
    <row r="436" spans="1:32" x14ac:dyDescent="0.45">
      <c r="A436" t="s">
        <v>1006</v>
      </c>
      <c r="B436" t="s">
        <v>546</v>
      </c>
      <c r="C436" t="s">
        <v>61</v>
      </c>
      <c r="D436" t="s">
        <v>60</v>
      </c>
      <c r="E436" t="s">
        <v>251</v>
      </c>
      <c r="F436" t="s">
        <v>82</v>
      </c>
      <c r="G436" t="s">
        <v>252</v>
      </c>
      <c r="H436" t="s">
        <v>109</v>
      </c>
      <c r="I436" t="s">
        <v>110</v>
      </c>
      <c r="J436" s="26">
        <v>44603</v>
      </c>
      <c r="K436" t="s">
        <v>162</v>
      </c>
      <c r="L436" s="26"/>
      <c r="M436" t="s">
        <v>163</v>
      </c>
      <c r="N436" t="s">
        <v>95</v>
      </c>
      <c r="O436" s="27">
        <v>1284000</v>
      </c>
      <c r="P436">
        <v>4</v>
      </c>
      <c r="Q436" t="s">
        <v>164</v>
      </c>
      <c r="R436">
        <v>23</v>
      </c>
      <c r="S436" t="s">
        <v>319</v>
      </c>
      <c r="T436">
        <f t="shared" si="42"/>
        <v>10886</v>
      </c>
      <c r="U436" t="str">
        <f t="shared" si="43"/>
        <v>-HR</v>
      </c>
      <c r="V436" t="str">
        <f t="shared" si="44"/>
        <v>L2</v>
      </c>
      <c r="W436" t="str">
        <f>PROPER(TRIM(VLOOKUP(S436,Employee_Lookups!$I$4:$M$19,2,FALSE())))</f>
        <v>Kavita Menon</v>
      </c>
      <c r="X436" t="str">
        <f>VLOOKUP(C436,Employee_Lookups!$A$4:$G$9,4,FALSE())</f>
        <v>CC-505</v>
      </c>
      <c r="Y436" t="str">
        <f>INDEX(Employee_Lookups!$C$13:$C$17,MATCH(F436,Employee_Lookups!$A$13:$A$17,0))</f>
        <v>Band B (Mid)</v>
      </c>
      <c r="Z436" s="27">
        <f>_xlfn.XLOOKUP(F436,Employee_Lookups!$A$13:$A$17,Employee_Lookups!$E$13:$E$17,0)</f>
        <v>1100000</v>
      </c>
      <c r="AA436" s="28">
        <f>ROUND(O436/INDEX(Employee_Lookups!$E$13:$E$17,MATCH(F436,Employee_Lookups!$A$13:$A$17,0)),3)</f>
        <v>1.167</v>
      </c>
      <c r="AB436">
        <f t="shared" si="45"/>
        <v>2022</v>
      </c>
      <c r="AC436" t="str">
        <f t="shared" si="46"/>
        <v/>
      </c>
      <c r="AD436" s="28">
        <f>ROUND((IF(ISBLANK(L436),Employee_Lookups!$O$14,L436)-J436)/365.25,2)</f>
        <v>3.89</v>
      </c>
      <c r="AE436" t="str">
        <f t="shared" si="47"/>
        <v>3 - 5 Yrs</v>
      </c>
      <c r="AF436" t="str">
        <f t="shared" si="48"/>
        <v>Low Risk</v>
      </c>
    </row>
    <row r="437" spans="1:32" x14ac:dyDescent="0.45">
      <c r="A437" t="s">
        <v>1007</v>
      </c>
      <c r="B437" t="s">
        <v>533</v>
      </c>
      <c r="C437" t="s">
        <v>61</v>
      </c>
      <c r="D437" t="s">
        <v>60</v>
      </c>
      <c r="E437" t="s">
        <v>484</v>
      </c>
      <c r="F437" t="s">
        <v>83</v>
      </c>
      <c r="G437" t="s">
        <v>485</v>
      </c>
      <c r="H437" t="s">
        <v>108</v>
      </c>
      <c r="I437" t="s">
        <v>107</v>
      </c>
      <c r="J437" s="26">
        <v>44604</v>
      </c>
      <c r="K437" t="s">
        <v>162</v>
      </c>
      <c r="L437" s="26"/>
      <c r="M437" t="s">
        <v>163</v>
      </c>
      <c r="N437" t="s">
        <v>99</v>
      </c>
      <c r="O437" s="27">
        <v>1694000</v>
      </c>
      <c r="P437">
        <v>3</v>
      </c>
      <c r="Q437" t="s">
        <v>164</v>
      </c>
      <c r="R437">
        <v>43</v>
      </c>
      <c r="S437" t="s">
        <v>253</v>
      </c>
      <c r="T437">
        <f t="shared" si="42"/>
        <v>10298</v>
      </c>
      <c r="U437" t="str">
        <f t="shared" si="43"/>
        <v>-HR</v>
      </c>
      <c r="V437" t="str">
        <f t="shared" si="44"/>
        <v>L3</v>
      </c>
      <c r="W437" t="str">
        <f>PROPER(TRIM(VLOOKUP(S437,Employee_Lookups!$I$4:$M$19,2,FALSE())))</f>
        <v>Nikhil Chatterjee</v>
      </c>
      <c r="X437" t="str">
        <f>VLOOKUP(C437,Employee_Lookups!$A$4:$G$9,4,FALSE())</f>
        <v>CC-505</v>
      </c>
      <c r="Y437" t="str">
        <f>INDEX(Employee_Lookups!$C$13:$C$17,MATCH(F437,Employee_Lookups!$A$13:$A$17,0))</f>
        <v>Band C (Senior)</v>
      </c>
      <c r="Z437" s="27">
        <f>_xlfn.XLOOKUP(F437,Employee_Lookups!$A$13:$A$17,Employee_Lookups!$E$13:$E$17,0)</f>
        <v>1725000</v>
      </c>
      <c r="AA437" s="28">
        <f>ROUND(O437/INDEX(Employee_Lookups!$E$13:$E$17,MATCH(F437,Employee_Lookups!$A$13:$A$17,0)),3)</f>
        <v>0.98199999999999998</v>
      </c>
      <c r="AB437">
        <f t="shared" si="45"/>
        <v>2022</v>
      </c>
      <c r="AC437" t="str">
        <f t="shared" si="46"/>
        <v/>
      </c>
      <c r="AD437" s="28">
        <f>ROUND((IF(ISBLANK(L437),Employee_Lookups!$O$14,L437)-J437)/365.25,2)</f>
        <v>3.88</v>
      </c>
      <c r="AE437" t="str">
        <f t="shared" si="47"/>
        <v>3 - 5 Yrs</v>
      </c>
      <c r="AF437" t="str">
        <f t="shared" si="48"/>
        <v>Low Risk</v>
      </c>
    </row>
    <row r="438" spans="1:32" x14ac:dyDescent="0.45">
      <c r="A438" t="s">
        <v>1008</v>
      </c>
      <c r="B438" t="s">
        <v>1009</v>
      </c>
      <c r="C438" t="s">
        <v>61</v>
      </c>
      <c r="D438" t="s">
        <v>60</v>
      </c>
      <c r="E438" t="s">
        <v>251</v>
      </c>
      <c r="F438" t="s">
        <v>82</v>
      </c>
      <c r="G438" t="s">
        <v>252</v>
      </c>
      <c r="H438" t="s">
        <v>109</v>
      </c>
      <c r="I438" t="s">
        <v>110</v>
      </c>
      <c r="J438" s="26">
        <v>44604</v>
      </c>
      <c r="K438" t="s">
        <v>162</v>
      </c>
      <c r="L438" s="26"/>
      <c r="M438" t="s">
        <v>163</v>
      </c>
      <c r="N438" t="s">
        <v>98</v>
      </c>
      <c r="O438" s="27">
        <v>1107000</v>
      </c>
      <c r="P438">
        <v>2</v>
      </c>
      <c r="Q438" t="s">
        <v>164</v>
      </c>
      <c r="R438">
        <v>21</v>
      </c>
      <c r="S438" t="s">
        <v>319</v>
      </c>
      <c r="T438">
        <f t="shared" si="42"/>
        <v>11176</v>
      </c>
      <c r="U438" t="str">
        <f t="shared" si="43"/>
        <v>-HR</v>
      </c>
      <c r="V438" t="str">
        <f t="shared" si="44"/>
        <v>L2</v>
      </c>
      <c r="W438" t="str">
        <f>PROPER(TRIM(VLOOKUP(S438,Employee_Lookups!$I$4:$M$19,2,FALSE())))</f>
        <v>Kavita Menon</v>
      </c>
      <c r="X438" t="str">
        <f>VLOOKUP(C438,Employee_Lookups!$A$4:$G$9,4,FALSE())</f>
        <v>CC-505</v>
      </c>
      <c r="Y438" t="str">
        <f>INDEX(Employee_Lookups!$C$13:$C$17,MATCH(F438,Employee_Lookups!$A$13:$A$17,0))</f>
        <v>Band B (Mid)</v>
      </c>
      <c r="Z438" s="27">
        <f>_xlfn.XLOOKUP(F438,Employee_Lookups!$A$13:$A$17,Employee_Lookups!$E$13:$E$17,0)</f>
        <v>1100000</v>
      </c>
      <c r="AA438" s="28">
        <f>ROUND(O438/INDEX(Employee_Lookups!$E$13:$E$17,MATCH(F438,Employee_Lookups!$A$13:$A$17,0)),3)</f>
        <v>1.006</v>
      </c>
      <c r="AB438">
        <f t="shared" si="45"/>
        <v>2022</v>
      </c>
      <c r="AC438" t="str">
        <f t="shared" si="46"/>
        <v/>
      </c>
      <c r="AD438" s="28">
        <f>ROUND((IF(ISBLANK(L438),Employee_Lookups!$O$14,L438)-J438)/365.25,2)</f>
        <v>3.88</v>
      </c>
      <c r="AE438" t="str">
        <f t="shared" si="47"/>
        <v>3 - 5 Yrs</v>
      </c>
      <c r="AF438" t="str">
        <f t="shared" si="48"/>
        <v>Moderate Risk</v>
      </c>
    </row>
    <row r="439" spans="1:32" x14ac:dyDescent="0.45">
      <c r="A439" t="s">
        <v>1010</v>
      </c>
      <c r="B439" t="s">
        <v>294</v>
      </c>
      <c r="C439" t="s">
        <v>59</v>
      </c>
      <c r="D439" t="s">
        <v>58</v>
      </c>
      <c r="E439" t="s">
        <v>206</v>
      </c>
      <c r="F439" t="s">
        <v>81</v>
      </c>
      <c r="G439" t="s">
        <v>207</v>
      </c>
      <c r="H439" t="s">
        <v>112</v>
      </c>
      <c r="I439" t="s">
        <v>113</v>
      </c>
      <c r="J439" s="26">
        <v>44606</v>
      </c>
      <c r="K439" t="s">
        <v>162</v>
      </c>
      <c r="L439" s="26"/>
      <c r="M439" t="s">
        <v>163</v>
      </c>
      <c r="N439" t="s">
        <v>99</v>
      </c>
      <c r="O439" s="27">
        <v>692000</v>
      </c>
      <c r="P439">
        <v>2</v>
      </c>
      <c r="Q439" t="s">
        <v>172</v>
      </c>
      <c r="R439">
        <v>30</v>
      </c>
      <c r="S439" t="s">
        <v>208</v>
      </c>
      <c r="T439">
        <f t="shared" si="42"/>
        <v>10251</v>
      </c>
      <c r="U439" t="str">
        <f t="shared" si="43"/>
        <v>FIN</v>
      </c>
      <c r="V439" t="str">
        <f t="shared" si="44"/>
        <v>L1</v>
      </c>
      <c r="W439" t="str">
        <f>PROPER(TRIM(VLOOKUP(S439,Employee_Lookups!$I$4:$M$19,2,FALSE())))</f>
        <v>Rajeshwari Rao</v>
      </c>
      <c r="X439" t="str">
        <f>VLOOKUP(C439,Employee_Lookups!$A$4:$G$9,4,FALSE())</f>
        <v>CC-404</v>
      </c>
      <c r="Y439" t="str">
        <f>INDEX(Employee_Lookups!$C$13:$C$17,MATCH(F439,Employee_Lookups!$A$13:$A$17,0))</f>
        <v>Band A (Entry)</v>
      </c>
      <c r="Z439" s="27">
        <f>_xlfn.XLOOKUP(F439,Employee_Lookups!$A$13:$A$17,Employee_Lookups!$E$13:$E$17,0)</f>
        <v>700000</v>
      </c>
      <c r="AA439" s="28">
        <f>ROUND(O439/INDEX(Employee_Lookups!$E$13:$E$17,MATCH(F439,Employee_Lookups!$A$13:$A$17,0)),3)</f>
        <v>0.98899999999999999</v>
      </c>
      <c r="AB439">
        <f t="shared" si="45"/>
        <v>2022</v>
      </c>
      <c r="AC439" t="str">
        <f t="shared" si="46"/>
        <v/>
      </c>
      <c r="AD439" s="28">
        <f>ROUND((IF(ISBLANK(L439),Employee_Lookups!$O$14,L439)-J439)/365.25,2)</f>
        <v>3.88</v>
      </c>
      <c r="AE439" t="str">
        <f t="shared" si="47"/>
        <v>3 - 5 Yrs</v>
      </c>
      <c r="AF439" t="str">
        <f t="shared" si="48"/>
        <v>Moderate Risk</v>
      </c>
    </row>
    <row r="440" spans="1:32" x14ac:dyDescent="0.45">
      <c r="A440" t="s">
        <v>1011</v>
      </c>
      <c r="B440" t="s">
        <v>1012</v>
      </c>
      <c r="C440" t="s">
        <v>61</v>
      </c>
      <c r="D440" t="s">
        <v>60</v>
      </c>
      <c r="E440" t="s">
        <v>356</v>
      </c>
      <c r="F440" t="s">
        <v>81</v>
      </c>
      <c r="G440" t="s">
        <v>357</v>
      </c>
      <c r="H440" t="s">
        <v>109</v>
      </c>
      <c r="I440" t="s">
        <v>110</v>
      </c>
      <c r="J440" s="26">
        <v>44607</v>
      </c>
      <c r="K440" t="s">
        <v>187</v>
      </c>
      <c r="L440" s="26">
        <v>44755</v>
      </c>
      <c r="M440" t="s">
        <v>282</v>
      </c>
      <c r="N440" t="s">
        <v>96</v>
      </c>
      <c r="O440" s="27">
        <v>788000</v>
      </c>
      <c r="P440">
        <v>3</v>
      </c>
      <c r="Q440" t="s">
        <v>172</v>
      </c>
      <c r="R440">
        <v>46</v>
      </c>
      <c r="S440" t="s">
        <v>319</v>
      </c>
      <c r="T440">
        <f t="shared" si="42"/>
        <v>10393</v>
      </c>
      <c r="U440" t="str">
        <f t="shared" si="43"/>
        <v>-HR</v>
      </c>
      <c r="V440" t="str">
        <f t="shared" si="44"/>
        <v>L1</v>
      </c>
      <c r="W440" t="str">
        <f>PROPER(TRIM(VLOOKUP(S440,Employee_Lookups!$I$4:$M$19,2,FALSE())))</f>
        <v>Kavita Menon</v>
      </c>
      <c r="X440" t="str">
        <f>VLOOKUP(C440,Employee_Lookups!$A$4:$G$9,4,FALSE())</f>
        <v>CC-505</v>
      </c>
      <c r="Y440" t="str">
        <f>INDEX(Employee_Lookups!$C$13:$C$17,MATCH(F440,Employee_Lookups!$A$13:$A$17,0))</f>
        <v>Band A (Entry)</v>
      </c>
      <c r="Z440" s="27">
        <f>_xlfn.XLOOKUP(F440,Employee_Lookups!$A$13:$A$17,Employee_Lookups!$E$13:$E$17,0)</f>
        <v>700000</v>
      </c>
      <c r="AA440" s="28">
        <f>ROUND(O440/INDEX(Employee_Lookups!$E$13:$E$17,MATCH(F440,Employee_Lookups!$A$13:$A$17,0)),3)</f>
        <v>1.1259999999999999</v>
      </c>
      <c r="AB440">
        <f t="shared" si="45"/>
        <v>2022</v>
      </c>
      <c r="AC440">
        <f t="shared" si="46"/>
        <v>2022</v>
      </c>
      <c r="AD440" s="28">
        <f>ROUND((IF(ISBLANK(L440),Employee_Lookups!$O$14,L440)-J440)/365.25,2)</f>
        <v>0.41</v>
      </c>
      <c r="AE440" t="str">
        <f t="shared" si="47"/>
        <v>&lt; 1 Yr (New)</v>
      </c>
      <c r="AF440" t="str">
        <f t="shared" si="48"/>
        <v>Exited</v>
      </c>
    </row>
    <row r="441" spans="1:32" x14ac:dyDescent="0.45">
      <c r="A441" t="s">
        <v>1013</v>
      </c>
      <c r="B441" t="s">
        <v>1014</v>
      </c>
      <c r="C441" t="s">
        <v>51</v>
      </c>
      <c r="D441" t="s">
        <v>50</v>
      </c>
      <c r="E441" t="s">
        <v>217</v>
      </c>
      <c r="F441" t="s">
        <v>83</v>
      </c>
      <c r="G441" t="s">
        <v>218</v>
      </c>
      <c r="H441" t="s">
        <v>106</v>
      </c>
      <c r="I441" t="s">
        <v>107</v>
      </c>
      <c r="J441" s="26">
        <v>44608</v>
      </c>
      <c r="K441" t="s">
        <v>162</v>
      </c>
      <c r="L441" s="26"/>
      <c r="M441" t="s">
        <v>163</v>
      </c>
      <c r="N441" t="s">
        <v>97</v>
      </c>
      <c r="O441" s="27">
        <v>2079000</v>
      </c>
      <c r="P441">
        <v>1</v>
      </c>
      <c r="Q441" t="s">
        <v>164</v>
      </c>
      <c r="R441">
        <v>21</v>
      </c>
      <c r="S441" t="s">
        <v>178</v>
      </c>
      <c r="T441">
        <f t="shared" si="42"/>
        <v>10860</v>
      </c>
      <c r="U441" t="str">
        <f t="shared" si="43"/>
        <v>ENG</v>
      </c>
      <c r="V441" t="str">
        <f t="shared" si="44"/>
        <v>L3</v>
      </c>
      <c r="W441" t="str">
        <f>PROPER(TRIM(VLOOKUP(S441,Employee_Lookups!$I$4:$M$19,2,FALSE())))</f>
        <v>Aarav Deshmukh</v>
      </c>
      <c r="X441" t="str">
        <f>VLOOKUP(C441,Employee_Lookups!$A$4:$G$9,4,FALSE())</f>
        <v>CC-101</v>
      </c>
      <c r="Y441" t="str">
        <f>INDEX(Employee_Lookups!$C$13:$C$17,MATCH(F441,Employee_Lookups!$A$13:$A$17,0))</f>
        <v>Band C (Senior)</v>
      </c>
      <c r="Z441" s="27">
        <f>_xlfn.XLOOKUP(F441,Employee_Lookups!$A$13:$A$17,Employee_Lookups!$E$13:$E$17,0)</f>
        <v>1725000</v>
      </c>
      <c r="AA441" s="28">
        <f>ROUND(O441/INDEX(Employee_Lookups!$E$13:$E$17,MATCH(F441,Employee_Lookups!$A$13:$A$17,0)),3)</f>
        <v>1.2050000000000001</v>
      </c>
      <c r="AB441">
        <f t="shared" si="45"/>
        <v>2022</v>
      </c>
      <c r="AC441" t="str">
        <f t="shared" si="46"/>
        <v/>
      </c>
      <c r="AD441" s="28">
        <f>ROUND((IF(ISBLANK(L441),Employee_Lookups!$O$14,L441)-J441)/365.25,2)</f>
        <v>3.87</v>
      </c>
      <c r="AE441" t="str">
        <f t="shared" si="47"/>
        <v>3 - 5 Yrs</v>
      </c>
      <c r="AF441" t="str">
        <f t="shared" si="48"/>
        <v>Moderate Risk</v>
      </c>
    </row>
    <row r="442" spans="1:32" x14ac:dyDescent="0.45">
      <c r="A442" t="s">
        <v>1015</v>
      </c>
      <c r="B442" t="s">
        <v>973</v>
      </c>
      <c r="C442" t="s">
        <v>53</v>
      </c>
      <c r="D442" t="s">
        <v>52</v>
      </c>
      <c r="E442" t="s">
        <v>322</v>
      </c>
      <c r="F442" t="s">
        <v>81</v>
      </c>
      <c r="G442" t="s">
        <v>323</v>
      </c>
      <c r="H442" t="s">
        <v>109</v>
      </c>
      <c r="I442" t="s">
        <v>110</v>
      </c>
      <c r="J442" s="26">
        <v>44608</v>
      </c>
      <c r="K442" t="s">
        <v>162</v>
      </c>
      <c r="L442" s="26"/>
      <c r="M442" t="s">
        <v>163</v>
      </c>
      <c r="N442" t="s">
        <v>95</v>
      </c>
      <c r="O442" s="27">
        <v>821000</v>
      </c>
      <c r="P442">
        <v>5</v>
      </c>
      <c r="Q442" t="s">
        <v>164</v>
      </c>
      <c r="R442">
        <v>19</v>
      </c>
      <c r="S442" t="s">
        <v>194</v>
      </c>
      <c r="T442">
        <f t="shared" si="42"/>
        <v>10558</v>
      </c>
      <c r="U442" t="str">
        <f t="shared" si="43"/>
        <v>SAL</v>
      </c>
      <c r="V442" t="str">
        <f t="shared" si="44"/>
        <v>L1</v>
      </c>
      <c r="W442" t="str">
        <f>PROPER(TRIM(VLOOKUP(S442,Employee_Lookups!$I$4:$M$19,2,FALSE())))</f>
        <v>Vikramaditya Joshi</v>
      </c>
      <c r="X442" t="str">
        <f>VLOOKUP(C442,Employee_Lookups!$A$4:$G$9,4,FALSE())</f>
        <v>CC-202</v>
      </c>
      <c r="Y442" t="str">
        <f>INDEX(Employee_Lookups!$C$13:$C$17,MATCH(F442,Employee_Lookups!$A$13:$A$17,0))</f>
        <v>Band A (Entry)</v>
      </c>
      <c r="Z442" s="27">
        <f>_xlfn.XLOOKUP(F442,Employee_Lookups!$A$13:$A$17,Employee_Lookups!$E$13:$E$17,0)</f>
        <v>700000</v>
      </c>
      <c r="AA442" s="28">
        <f>ROUND(O442/INDEX(Employee_Lookups!$E$13:$E$17,MATCH(F442,Employee_Lookups!$A$13:$A$17,0)),3)</f>
        <v>1.173</v>
      </c>
      <c r="AB442">
        <f t="shared" si="45"/>
        <v>2022</v>
      </c>
      <c r="AC442" t="str">
        <f t="shared" si="46"/>
        <v/>
      </c>
      <c r="AD442" s="28">
        <f>ROUND((IF(ISBLANK(L442),Employee_Lookups!$O$14,L442)-J442)/365.25,2)</f>
        <v>3.87</v>
      </c>
      <c r="AE442" t="str">
        <f t="shared" si="47"/>
        <v>3 - 5 Yrs</v>
      </c>
      <c r="AF442" t="str">
        <f t="shared" si="48"/>
        <v>Low Risk</v>
      </c>
    </row>
    <row r="443" spans="1:32" x14ac:dyDescent="0.45">
      <c r="A443" t="s">
        <v>1016</v>
      </c>
      <c r="B443" t="s">
        <v>1017</v>
      </c>
      <c r="C443" t="s">
        <v>51</v>
      </c>
      <c r="D443" t="s">
        <v>50</v>
      </c>
      <c r="E443" t="s">
        <v>181</v>
      </c>
      <c r="F443" t="s">
        <v>81</v>
      </c>
      <c r="G443" t="s">
        <v>182</v>
      </c>
      <c r="H443" t="s">
        <v>108</v>
      </c>
      <c r="I443" t="s">
        <v>107</v>
      </c>
      <c r="J443" s="26">
        <v>44611</v>
      </c>
      <c r="K443" t="s">
        <v>187</v>
      </c>
      <c r="L443" s="26">
        <v>45880</v>
      </c>
      <c r="M443" t="s">
        <v>213</v>
      </c>
      <c r="N443" t="s">
        <v>97</v>
      </c>
      <c r="O443" s="27">
        <v>738000</v>
      </c>
      <c r="P443">
        <v>4</v>
      </c>
      <c r="Q443" t="s">
        <v>164</v>
      </c>
      <c r="R443">
        <v>60</v>
      </c>
      <c r="S443" t="s">
        <v>219</v>
      </c>
      <c r="T443">
        <f t="shared" si="42"/>
        <v>10077</v>
      </c>
      <c r="U443" t="str">
        <f t="shared" si="43"/>
        <v>ENG</v>
      </c>
      <c r="V443" t="str">
        <f t="shared" si="44"/>
        <v>L1</v>
      </c>
      <c r="W443" t="str">
        <f>PROPER(TRIM(VLOOKUP(S443,Employee_Lookups!$I$4:$M$19,2,FALSE())))</f>
        <v>Neha Kulkarni</v>
      </c>
      <c r="X443" t="str">
        <f>VLOOKUP(C443,Employee_Lookups!$A$4:$G$9,4,FALSE())</f>
        <v>CC-101</v>
      </c>
      <c r="Y443" t="str">
        <f>INDEX(Employee_Lookups!$C$13:$C$17,MATCH(F443,Employee_Lookups!$A$13:$A$17,0))</f>
        <v>Band A (Entry)</v>
      </c>
      <c r="Z443" s="27">
        <f>_xlfn.XLOOKUP(F443,Employee_Lookups!$A$13:$A$17,Employee_Lookups!$E$13:$E$17,0)</f>
        <v>700000</v>
      </c>
      <c r="AA443" s="28">
        <f>ROUND(O443/INDEX(Employee_Lookups!$E$13:$E$17,MATCH(F443,Employee_Lookups!$A$13:$A$17,0)),3)</f>
        <v>1.054</v>
      </c>
      <c r="AB443">
        <f t="shared" si="45"/>
        <v>2022</v>
      </c>
      <c r="AC443">
        <f t="shared" si="46"/>
        <v>2025</v>
      </c>
      <c r="AD443" s="28">
        <f>ROUND((IF(ISBLANK(L443),Employee_Lookups!$O$14,L443)-J443)/365.25,2)</f>
        <v>3.47</v>
      </c>
      <c r="AE443" t="str">
        <f t="shared" si="47"/>
        <v>3 - 5 Yrs</v>
      </c>
      <c r="AF443" t="str">
        <f t="shared" si="48"/>
        <v>Exited</v>
      </c>
    </row>
    <row r="444" spans="1:32" x14ac:dyDescent="0.45">
      <c r="A444" t="s">
        <v>1018</v>
      </c>
      <c r="B444" t="s">
        <v>932</v>
      </c>
      <c r="C444" t="s">
        <v>53</v>
      </c>
      <c r="D444" t="s">
        <v>52</v>
      </c>
      <c r="E444" t="s">
        <v>185</v>
      </c>
      <c r="F444" t="s">
        <v>82</v>
      </c>
      <c r="G444" t="s">
        <v>186</v>
      </c>
      <c r="H444" t="s">
        <v>106</v>
      </c>
      <c r="I444" t="s">
        <v>107</v>
      </c>
      <c r="J444" s="26">
        <v>44612</v>
      </c>
      <c r="K444" t="s">
        <v>187</v>
      </c>
      <c r="L444" s="26">
        <v>45397</v>
      </c>
      <c r="M444" t="s">
        <v>213</v>
      </c>
      <c r="N444" t="s">
        <v>98</v>
      </c>
      <c r="O444" s="27">
        <v>1218000</v>
      </c>
      <c r="P444">
        <v>3</v>
      </c>
      <c r="Q444" t="s">
        <v>164</v>
      </c>
      <c r="R444">
        <v>50</v>
      </c>
      <c r="S444" t="s">
        <v>237</v>
      </c>
      <c r="T444">
        <f t="shared" si="42"/>
        <v>10804</v>
      </c>
      <c r="U444" t="str">
        <f t="shared" si="43"/>
        <v>SAL</v>
      </c>
      <c r="V444" t="str">
        <f t="shared" si="44"/>
        <v>L2</v>
      </c>
      <c r="W444" t="str">
        <f>PROPER(TRIM(VLOOKUP(S444,Employee_Lookups!$I$4:$M$19,2,FALSE())))</f>
        <v>Karan Malhotra</v>
      </c>
      <c r="X444" t="str">
        <f>VLOOKUP(C444,Employee_Lookups!$A$4:$G$9,4,FALSE())</f>
        <v>CC-202</v>
      </c>
      <c r="Y444" t="str">
        <f>INDEX(Employee_Lookups!$C$13:$C$17,MATCH(F444,Employee_Lookups!$A$13:$A$17,0))</f>
        <v>Band B (Mid)</v>
      </c>
      <c r="Z444" s="27">
        <f>_xlfn.XLOOKUP(F444,Employee_Lookups!$A$13:$A$17,Employee_Lookups!$E$13:$E$17,0)</f>
        <v>1100000</v>
      </c>
      <c r="AA444" s="28">
        <f>ROUND(O444/INDEX(Employee_Lookups!$E$13:$E$17,MATCH(F444,Employee_Lookups!$A$13:$A$17,0)),3)</f>
        <v>1.107</v>
      </c>
      <c r="AB444">
        <f t="shared" si="45"/>
        <v>2022</v>
      </c>
      <c r="AC444">
        <f t="shared" si="46"/>
        <v>2024</v>
      </c>
      <c r="AD444" s="28">
        <f>ROUND((IF(ISBLANK(L444),Employee_Lookups!$O$14,L444)-J444)/365.25,2)</f>
        <v>2.15</v>
      </c>
      <c r="AE444" t="str">
        <f t="shared" si="47"/>
        <v>1 - 3 Yrs</v>
      </c>
      <c r="AF444" t="str">
        <f t="shared" si="48"/>
        <v>Exited</v>
      </c>
    </row>
    <row r="445" spans="1:32" x14ac:dyDescent="0.45">
      <c r="A445" t="s">
        <v>1019</v>
      </c>
      <c r="B445" t="s">
        <v>1020</v>
      </c>
      <c r="C445" t="s">
        <v>51</v>
      </c>
      <c r="D445" t="s">
        <v>50</v>
      </c>
      <c r="E445" t="s">
        <v>217</v>
      </c>
      <c r="F445" t="s">
        <v>83</v>
      </c>
      <c r="G445" t="s">
        <v>218</v>
      </c>
      <c r="H445" t="s">
        <v>109</v>
      </c>
      <c r="I445" t="s">
        <v>110</v>
      </c>
      <c r="J445" s="26">
        <v>44613</v>
      </c>
      <c r="K445" t="s">
        <v>162</v>
      </c>
      <c r="L445" s="26"/>
      <c r="M445" t="s">
        <v>163</v>
      </c>
      <c r="N445" t="s">
        <v>97</v>
      </c>
      <c r="O445" s="27">
        <v>2097000</v>
      </c>
      <c r="P445">
        <v>2</v>
      </c>
      <c r="Q445" t="s">
        <v>164</v>
      </c>
      <c r="R445">
        <v>22</v>
      </c>
      <c r="S445" t="s">
        <v>219</v>
      </c>
      <c r="T445">
        <f t="shared" si="42"/>
        <v>11160</v>
      </c>
      <c r="U445" t="str">
        <f t="shared" si="43"/>
        <v>ENG</v>
      </c>
      <c r="V445" t="str">
        <f t="shared" si="44"/>
        <v>L3</v>
      </c>
      <c r="W445" t="str">
        <f>PROPER(TRIM(VLOOKUP(S445,Employee_Lookups!$I$4:$M$19,2,FALSE())))</f>
        <v>Neha Kulkarni</v>
      </c>
      <c r="X445" t="str">
        <f>VLOOKUP(C445,Employee_Lookups!$A$4:$G$9,4,FALSE())</f>
        <v>CC-101</v>
      </c>
      <c r="Y445" t="str">
        <f>INDEX(Employee_Lookups!$C$13:$C$17,MATCH(F445,Employee_Lookups!$A$13:$A$17,0))</f>
        <v>Band C (Senior)</v>
      </c>
      <c r="Z445" s="27">
        <f>_xlfn.XLOOKUP(F445,Employee_Lookups!$A$13:$A$17,Employee_Lookups!$E$13:$E$17,0)</f>
        <v>1725000</v>
      </c>
      <c r="AA445" s="28">
        <f>ROUND(O445/INDEX(Employee_Lookups!$E$13:$E$17,MATCH(F445,Employee_Lookups!$A$13:$A$17,0)),3)</f>
        <v>1.216</v>
      </c>
      <c r="AB445">
        <f t="shared" si="45"/>
        <v>2022</v>
      </c>
      <c r="AC445" t="str">
        <f t="shared" si="46"/>
        <v/>
      </c>
      <c r="AD445" s="28">
        <f>ROUND((IF(ISBLANK(L445),Employee_Lookups!$O$14,L445)-J445)/365.25,2)</f>
        <v>3.86</v>
      </c>
      <c r="AE445" t="str">
        <f t="shared" si="47"/>
        <v>3 - 5 Yrs</v>
      </c>
      <c r="AF445" t="str">
        <f t="shared" si="48"/>
        <v>Moderate Risk</v>
      </c>
    </row>
    <row r="446" spans="1:32" x14ac:dyDescent="0.45">
      <c r="A446" t="s">
        <v>1021</v>
      </c>
      <c r="B446" t="s">
        <v>290</v>
      </c>
      <c r="C446" t="s">
        <v>53</v>
      </c>
      <c r="D446" t="s">
        <v>52</v>
      </c>
      <c r="E446" t="s">
        <v>192</v>
      </c>
      <c r="F446" t="s">
        <v>83</v>
      </c>
      <c r="G446" t="s">
        <v>193</v>
      </c>
      <c r="H446" t="s">
        <v>108</v>
      </c>
      <c r="I446" t="s">
        <v>107</v>
      </c>
      <c r="J446" s="26">
        <v>44613</v>
      </c>
      <c r="K446" t="s">
        <v>187</v>
      </c>
      <c r="L446" s="26">
        <v>44841</v>
      </c>
      <c r="M446" t="s">
        <v>269</v>
      </c>
      <c r="N446" t="s">
        <v>96</v>
      </c>
      <c r="O446" s="27">
        <v>1837000</v>
      </c>
      <c r="P446">
        <v>3</v>
      </c>
      <c r="Q446" t="s">
        <v>164</v>
      </c>
      <c r="R446">
        <v>50</v>
      </c>
      <c r="S446" t="s">
        <v>237</v>
      </c>
      <c r="T446">
        <f t="shared" si="42"/>
        <v>10299</v>
      </c>
      <c r="U446" t="str">
        <f t="shared" si="43"/>
        <v>SAL</v>
      </c>
      <c r="V446" t="str">
        <f t="shared" si="44"/>
        <v>L3</v>
      </c>
      <c r="W446" t="str">
        <f>PROPER(TRIM(VLOOKUP(S446,Employee_Lookups!$I$4:$M$19,2,FALSE())))</f>
        <v>Karan Malhotra</v>
      </c>
      <c r="X446" t="str">
        <f>VLOOKUP(C446,Employee_Lookups!$A$4:$G$9,4,FALSE())</f>
        <v>CC-202</v>
      </c>
      <c r="Y446" t="str">
        <f>INDEX(Employee_Lookups!$C$13:$C$17,MATCH(F446,Employee_Lookups!$A$13:$A$17,0))</f>
        <v>Band C (Senior)</v>
      </c>
      <c r="Z446" s="27">
        <f>_xlfn.XLOOKUP(F446,Employee_Lookups!$A$13:$A$17,Employee_Lookups!$E$13:$E$17,0)</f>
        <v>1725000</v>
      </c>
      <c r="AA446" s="28">
        <f>ROUND(O446/INDEX(Employee_Lookups!$E$13:$E$17,MATCH(F446,Employee_Lookups!$A$13:$A$17,0)),3)</f>
        <v>1.0649999999999999</v>
      </c>
      <c r="AB446">
        <f t="shared" si="45"/>
        <v>2022</v>
      </c>
      <c r="AC446">
        <f t="shared" si="46"/>
        <v>2022</v>
      </c>
      <c r="AD446" s="28">
        <f>ROUND((IF(ISBLANK(L446),Employee_Lookups!$O$14,L446)-J446)/365.25,2)</f>
        <v>0.62</v>
      </c>
      <c r="AE446" t="str">
        <f t="shared" si="47"/>
        <v>&lt; 1 Yr (New)</v>
      </c>
      <c r="AF446" t="str">
        <f t="shared" si="48"/>
        <v>Exited</v>
      </c>
    </row>
    <row r="447" spans="1:32" x14ac:dyDescent="0.45">
      <c r="A447" t="s">
        <v>1022</v>
      </c>
      <c r="B447" t="s">
        <v>889</v>
      </c>
      <c r="C447" t="s">
        <v>59</v>
      </c>
      <c r="D447" t="s">
        <v>58</v>
      </c>
      <c r="E447" t="s">
        <v>287</v>
      </c>
      <c r="F447" t="s">
        <v>83</v>
      </c>
      <c r="G447" t="s">
        <v>288</v>
      </c>
      <c r="H447" t="s">
        <v>109</v>
      </c>
      <c r="I447" t="s">
        <v>110</v>
      </c>
      <c r="J447" s="26">
        <v>44616</v>
      </c>
      <c r="K447" t="s">
        <v>162</v>
      </c>
      <c r="L447" s="26"/>
      <c r="M447" t="s">
        <v>163</v>
      </c>
      <c r="N447" t="s">
        <v>96</v>
      </c>
      <c r="O447" s="27">
        <v>1362000</v>
      </c>
      <c r="P447">
        <v>3</v>
      </c>
      <c r="Q447" t="s">
        <v>172</v>
      </c>
      <c r="R447">
        <v>44</v>
      </c>
      <c r="S447" t="s">
        <v>214</v>
      </c>
      <c r="T447">
        <f t="shared" si="42"/>
        <v>11328</v>
      </c>
      <c r="U447" t="str">
        <f t="shared" si="43"/>
        <v>FIN</v>
      </c>
      <c r="V447" t="str">
        <f t="shared" si="44"/>
        <v>L3</v>
      </c>
      <c r="W447" t="str">
        <f>PROPER(TRIM(VLOOKUP(S447,Employee_Lookups!$I$4:$M$19,2,FALSE())))</f>
        <v>Aditya Gokhale</v>
      </c>
      <c r="X447" t="str">
        <f>VLOOKUP(C447,Employee_Lookups!$A$4:$G$9,4,FALSE())</f>
        <v>CC-404</v>
      </c>
      <c r="Y447" t="str">
        <f>INDEX(Employee_Lookups!$C$13:$C$17,MATCH(F447,Employee_Lookups!$A$13:$A$17,0))</f>
        <v>Band C (Senior)</v>
      </c>
      <c r="Z447" s="27">
        <f>_xlfn.XLOOKUP(F447,Employee_Lookups!$A$13:$A$17,Employee_Lookups!$E$13:$E$17,0)</f>
        <v>1725000</v>
      </c>
      <c r="AA447" s="28">
        <f>ROUND(O447/INDEX(Employee_Lookups!$E$13:$E$17,MATCH(F447,Employee_Lookups!$A$13:$A$17,0)),3)</f>
        <v>0.79</v>
      </c>
      <c r="AB447">
        <f t="shared" si="45"/>
        <v>2022</v>
      </c>
      <c r="AC447" t="str">
        <f t="shared" si="46"/>
        <v/>
      </c>
      <c r="AD447" s="28">
        <f>ROUND((IF(ISBLANK(L447),Employee_Lookups!$O$14,L447)-J447)/365.25,2)</f>
        <v>3.85</v>
      </c>
      <c r="AE447" t="str">
        <f t="shared" si="47"/>
        <v>3 - 5 Yrs</v>
      </c>
      <c r="AF447" t="str">
        <f t="shared" si="48"/>
        <v>High Risk</v>
      </c>
    </row>
    <row r="448" spans="1:32" x14ac:dyDescent="0.45">
      <c r="A448" t="s">
        <v>1023</v>
      </c>
      <c r="B448" t="s">
        <v>1024</v>
      </c>
      <c r="C448" t="s">
        <v>57</v>
      </c>
      <c r="D448" t="s">
        <v>56</v>
      </c>
      <c r="E448" t="s">
        <v>160</v>
      </c>
      <c r="F448" t="s">
        <v>81</v>
      </c>
      <c r="G448" t="s">
        <v>161</v>
      </c>
      <c r="H448" t="s">
        <v>106</v>
      </c>
      <c r="I448" t="s">
        <v>107</v>
      </c>
      <c r="J448" s="26">
        <v>44616</v>
      </c>
      <c r="K448" t="s">
        <v>187</v>
      </c>
      <c r="L448" s="26">
        <v>45823</v>
      </c>
      <c r="M448" t="s">
        <v>269</v>
      </c>
      <c r="N448" t="s">
        <v>99</v>
      </c>
      <c r="O448" s="27">
        <v>666000</v>
      </c>
      <c r="P448">
        <v>3</v>
      </c>
      <c r="Q448" t="s">
        <v>172</v>
      </c>
      <c r="R448">
        <v>21</v>
      </c>
      <c r="S448" t="s">
        <v>224</v>
      </c>
      <c r="T448">
        <f t="shared" si="42"/>
        <v>10637</v>
      </c>
      <c r="U448" t="str">
        <f t="shared" si="43"/>
        <v>MKT</v>
      </c>
      <c r="V448" t="str">
        <f t="shared" si="44"/>
        <v>L1</v>
      </c>
      <c r="W448" t="str">
        <f>PROPER(TRIM(VLOOKUP(S448,Employee_Lookups!$I$4:$M$19,2,FALSE())))</f>
        <v>Tanvi Chitnis</v>
      </c>
      <c r="X448" t="str">
        <f>VLOOKUP(C448,Employee_Lookups!$A$4:$G$9,4,FALSE())</f>
        <v>CC-606</v>
      </c>
      <c r="Y448" t="str">
        <f>INDEX(Employee_Lookups!$C$13:$C$17,MATCH(F448,Employee_Lookups!$A$13:$A$17,0))</f>
        <v>Band A (Entry)</v>
      </c>
      <c r="Z448" s="27">
        <f>_xlfn.XLOOKUP(F448,Employee_Lookups!$A$13:$A$17,Employee_Lookups!$E$13:$E$17,0)</f>
        <v>700000</v>
      </c>
      <c r="AA448" s="28">
        <f>ROUND(O448/INDEX(Employee_Lookups!$E$13:$E$17,MATCH(F448,Employee_Lookups!$A$13:$A$17,0)),3)</f>
        <v>0.95099999999999996</v>
      </c>
      <c r="AB448">
        <f t="shared" si="45"/>
        <v>2022</v>
      </c>
      <c r="AC448">
        <f t="shared" si="46"/>
        <v>2025</v>
      </c>
      <c r="AD448" s="28">
        <f>ROUND((IF(ISBLANK(L448),Employee_Lookups!$O$14,L448)-J448)/365.25,2)</f>
        <v>3.3</v>
      </c>
      <c r="AE448" t="str">
        <f t="shared" si="47"/>
        <v>3 - 5 Yrs</v>
      </c>
      <c r="AF448" t="str">
        <f t="shared" si="48"/>
        <v>Exited</v>
      </c>
    </row>
    <row r="449" spans="1:32" x14ac:dyDescent="0.45">
      <c r="A449" t="s">
        <v>1025</v>
      </c>
      <c r="B449" t="s">
        <v>378</v>
      </c>
      <c r="C449" t="s">
        <v>55</v>
      </c>
      <c r="D449" t="s">
        <v>54</v>
      </c>
      <c r="E449" t="s">
        <v>277</v>
      </c>
      <c r="F449" t="s">
        <v>81</v>
      </c>
      <c r="G449" t="s">
        <v>278</v>
      </c>
      <c r="H449" t="s">
        <v>106</v>
      </c>
      <c r="I449" t="s">
        <v>107</v>
      </c>
      <c r="J449" s="26">
        <v>44617</v>
      </c>
      <c r="K449" t="s">
        <v>187</v>
      </c>
      <c r="L449" s="26">
        <v>44821</v>
      </c>
      <c r="M449" t="s">
        <v>282</v>
      </c>
      <c r="N449" t="s">
        <v>99</v>
      </c>
      <c r="O449" s="27">
        <v>763000</v>
      </c>
      <c r="P449">
        <v>4</v>
      </c>
      <c r="Q449" t="s">
        <v>172</v>
      </c>
      <c r="R449">
        <v>32</v>
      </c>
      <c r="S449" t="s">
        <v>262</v>
      </c>
      <c r="T449">
        <f t="shared" si="42"/>
        <v>11106</v>
      </c>
      <c r="U449" t="str">
        <f t="shared" si="43"/>
        <v>OPS</v>
      </c>
      <c r="V449" t="str">
        <f t="shared" si="44"/>
        <v>L1</v>
      </c>
      <c r="W449" t="str">
        <f>PROPER(TRIM(VLOOKUP(S449,Employee_Lookups!$I$4:$M$19,2,FALSE())))</f>
        <v>Ananya Iyer</v>
      </c>
      <c r="X449" t="str">
        <f>VLOOKUP(C449,Employee_Lookups!$A$4:$G$9,4,FALSE())</f>
        <v>CC-303</v>
      </c>
      <c r="Y449" t="str">
        <f>INDEX(Employee_Lookups!$C$13:$C$17,MATCH(F449,Employee_Lookups!$A$13:$A$17,0))</f>
        <v>Band A (Entry)</v>
      </c>
      <c r="Z449" s="27">
        <f>_xlfn.XLOOKUP(F449,Employee_Lookups!$A$13:$A$17,Employee_Lookups!$E$13:$E$17,0)</f>
        <v>700000</v>
      </c>
      <c r="AA449" s="28">
        <f>ROUND(O449/INDEX(Employee_Lookups!$E$13:$E$17,MATCH(F449,Employee_Lookups!$A$13:$A$17,0)),3)</f>
        <v>1.0900000000000001</v>
      </c>
      <c r="AB449">
        <f t="shared" si="45"/>
        <v>2022</v>
      </c>
      <c r="AC449">
        <f t="shared" si="46"/>
        <v>2022</v>
      </c>
      <c r="AD449" s="28">
        <f>ROUND((IF(ISBLANK(L449),Employee_Lookups!$O$14,L449)-J449)/365.25,2)</f>
        <v>0.56000000000000005</v>
      </c>
      <c r="AE449" t="str">
        <f t="shared" si="47"/>
        <v>&lt; 1 Yr (New)</v>
      </c>
      <c r="AF449" t="str">
        <f t="shared" si="48"/>
        <v>Exited</v>
      </c>
    </row>
    <row r="450" spans="1:32" x14ac:dyDescent="0.45">
      <c r="A450" t="s">
        <v>1026</v>
      </c>
      <c r="B450" t="s">
        <v>1027</v>
      </c>
      <c r="C450" t="s">
        <v>51</v>
      </c>
      <c r="D450" t="s">
        <v>50</v>
      </c>
      <c r="E450" t="s">
        <v>397</v>
      </c>
      <c r="F450" t="s">
        <v>84</v>
      </c>
      <c r="G450" t="s">
        <v>398</v>
      </c>
      <c r="H450" t="s">
        <v>109</v>
      </c>
      <c r="I450" t="s">
        <v>110</v>
      </c>
      <c r="J450" s="26">
        <v>44617</v>
      </c>
      <c r="K450" t="s">
        <v>162</v>
      </c>
      <c r="L450" s="26"/>
      <c r="M450" t="s">
        <v>163</v>
      </c>
      <c r="N450" t="s">
        <v>97</v>
      </c>
      <c r="O450" s="27">
        <v>2394000</v>
      </c>
      <c r="P450">
        <v>4</v>
      </c>
      <c r="Q450" t="s">
        <v>172</v>
      </c>
      <c r="R450">
        <v>18</v>
      </c>
      <c r="S450" t="s">
        <v>197</v>
      </c>
      <c r="T450">
        <f t="shared" ref="T450:T513" si="49">VALUE(MID(A450,5,5))</f>
        <v>10156</v>
      </c>
      <c r="U450" t="str">
        <f t="shared" ref="U450:U513" si="50">LEFT(E450,3)</f>
        <v>ENG</v>
      </c>
      <c r="V450" t="str">
        <f t="shared" ref="V450:V513" si="51">RIGHT(E450,2)</f>
        <v>L4</v>
      </c>
      <c r="W450" t="str">
        <f>PROPER(TRIM(VLOOKUP(S450,Employee_Lookups!$I$4:$M$19,2,FALSE())))</f>
        <v>Rohan Verma</v>
      </c>
      <c r="X450" t="str">
        <f>VLOOKUP(C450,Employee_Lookups!$A$4:$G$9,4,FALSE())</f>
        <v>CC-101</v>
      </c>
      <c r="Y450" t="str">
        <f>INDEX(Employee_Lookups!$C$13:$C$17,MATCH(F450,Employee_Lookups!$A$13:$A$17,0))</f>
        <v>Band D (Leadership)</v>
      </c>
      <c r="Z450" s="27">
        <f>_xlfn.XLOOKUP(F450,Employee_Lookups!$A$13:$A$17,Employee_Lookups!$E$13:$E$17,0)</f>
        <v>2750000</v>
      </c>
      <c r="AA450" s="28">
        <f>ROUND(O450/INDEX(Employee_Lookups!$E$13:$E$17,MATCH(F450,Employee_Lookups!$A$13:$A$17,0)),3)</f>
        <v>0.871</v>
      </c>
      <c r="AB450">
        <f t="shared" ref="AB450:AB513" si="52">YEAR(J450)</f>
        <v>2022</v>
      </c>
      <c r="AC450" t="str">
        <f t="shared" ref="AC450:AC513" si="53">IF(ISBLANK(L450),"",YEAR(L450))</f>
        <v/>
      </c>
      <c r="AD450" s="28">
        <f>ROUND((IF(ISBLANK(L450),Employee_Lookups!$O$14,L450)-J450)/365.25,2)</f>
        <v>3.85</v>
      </c>
      <c r="AE450" t="str">
        <f t="shared" ref="AE450:AE513" si="54">IF(AD450&lt;1,"&lt; 1 Yr (New)",IF(AD450&lt;3,"1 - 3 Yrs",IF(AD450&lt;5,"3 - 5 Yrs","5+ Yrs")))</f>
        <v>3 - 5 Yrs</v>
      </c>
      <c r="AF450" t="str">
        <f t="shared" ref="AF450:AF513" si="55">IF(K450&lt;&gt;"Active","Exited",IF(AND(Q450="Yes",OR(P450&gt;=4,AA450&lt;0.95)),"High Risk",IF(OR(Q450="Yes",AND(NOT(ISBLANK(P450)),P450&lt;=2)),"Moderate Risk","Low Risk")))</f>
        <v>High Risk</v>
      </c>
    </row>
    <row r="451" spans="1:32" x14ac:dyDescent="0.45">
      <c r="A451" t="s">
        <v>1028</v>
      </c>
      <c r="B451" t="s">
        <v>1029</v>
      </c>
      <c r="C451" t="s">
        <v>59</v>
      </c>
      <c r="D451" t="s">
        <v>58</v>
      </c>
      <c r="E451" t="s">
        <v>287</v>
      </c>
      <c r="F451" t="s">
        <v>83</v>
      </c>
      <c r="G451" t="s">
        <v>288</v>
      </c>
      <c r="H451" t="s">
        <v>108</v>
      </c>
      <c r="I451" t="s">
        <v>107</v>
      </c>
      <c r="J451" s="26">
        <v>44617</v>
      </c>
      <c r="K451" t="s">
        <v>162</v>
      </c>
      <c r="L451" s="26"/>
      <c r="M451" t="s">
        <v>163</v>
      </c>
      <c r="N451" t="s">
        <v>99</v>
      </c>
      <c r="O451" s="27">
        <v>1763000</v>
      </c>
      <c r="P451">
        <v>5</v>
      </c>
      <c r="Q451" t="s">
        <v>164</v>
      </c>
      <c r="R451">
        <v>55</v>
      </c>
      <c r="S451" t="s">
        <v>214</v>
      </c>
      <c r="T451">
        <f t="shared" si="49"/>
        <v>10694</v>
      </c>
      <c r="U451" t="str">
        <f t="shared" si="50"/>
        <v>FIN</v>
      </c>
      <c r="V451" t="str">
        <f t="shared" si="51"/>
        <v>L3</v>
      </c>
      <c r="W451" t="str">
        <f>PROPER(TRIM(VLOOKUP(S451,Employee_Lookups!$I$4:$M$19,2,FALSE())))</f>
        <v>Aditya Gokhale</v>
      </c>
      <c r="X451" t="str">
        <f>VLOOKUP(C451,Employee_Lookups!$A$4:$G$9,4,FALSE())</f>
        <v>CC-404</v>
      </c>
      <c r="Y451" t="str">
        <f>INDEX(Employee_Lookups!$C$13:$C$17,MATCH(F451,Employee_Lookups!$A$13:$A$17,0))</f>
        <v>Band C (Senior)</v>
      </c>
      <c r="Z451" s="27">
        <f>_xlfn.XLOOKUP(F451,Employee_Lookups!$A$13:$A$17,Employee_Lookups!$E$13:$E$17,0)</f>
        <v>1725000</v>
      </c>
      <c r="AA451" s="28">
        <f>ROUND(O451/INDEX(Employee_Lookups!$E$13:$E$17,MATCH(F451,Employee_Lookups!$A$13:$A$17,0)),3)</f>
        <v>1.022</v>
      </c>
      <c r="AB451">
        <f t="shared" si="52"/>
        <v>2022</v>
      </c>
      <c r="AC451" t="str">
        <f t="shared" si="53"/>
        <v/>
      </c>
      <c r="AD451" s="28">
        <f>ROUND((IF(ISBLANK(L451),Employee_Lookups!$O$14,L451)-J451)/365.25,2)</f>
        <v>3.85</v>
      </c>
      <c r="AE451" t="str">
        <f t="shared" si="54"/>
        <v>3 - 5 Yrs</v>
      </c>
      <c r="AF451" t="str">
        <f t="shared" si="55"/>
        <v>Low Risk</v>
      </c>
    </row>
    <row r="452" spans="1:32" x14ac:dyDescent="0.45">
      <c r="A452" t="s">
        <v>1030</v>
      </c>
      <c r="B452" t="s">
        <v>802</v>
      </c>
      <c r="C452" t="s">
        <v>57</v>
      </c>
      <c r="D452" t="s">
        <v>56</v>
      </c>
      <c r="E452" t="s">
        <v>222</v>
      </c>
      <c r="F452" t="s">
        <v>82</v>
      </c>
      <c r="G452" t="s">
        <v>223</v>
      </c>
      <c r="H452" t="s">
        <v>108</v>
      </c>
      <c r="I452" t="s">
        <v>107</v>
      </c>
      <c r="J452" s="26">
        <v>44617</v>
      </c>
      <c r="K452" t="s">
        <v>162</v>
      </c>
      <c r="L452" s="26"/>
      <c r="M452" t="s">
        <v>163</v>
      </c>
      <c r="N452" t="s">
        <v>99</v>
      </c>
      <c r="O452" s="27">
        <v>851000</v>
      </c>
      <c r="P452">
        <v>4</v>
      </c>
      <c r="Q452" t="s">
        <v>164</v>
      </c>
      <c r="R452">
        <v>39</v>
      </c>
      <c r="S452" t="s">
        <v>224</v>
      </c>
      <c r="T452">
        <f t="shared" si="49"/>
        <v>10492</v>
      </c>
      <c r="U452" t="str">
        <f t="shared" si="50"/>
        <v>MKT</v>
      </c>
      <c r="V452" t="str">
        <f t="shared" si="51"/>
        <v>L2</v>
      </c>
      <c r="W452" t="str">
        <f>PROPER(TRIM(VLOOKUP(S452,Employee_Lookups!$I$4:$M$19,2,FALSE())))</f>
        <v>Tanvi Chitnis</v>
      </c>
      <c r="X452" t="str">
        <f>VLOOKUP(C452,Employee_Lookups!$A$4:$G$9,4,FALSE())</f>
        <v>CC-606</v>
      </c>
      <c r="Y452" t="str">
        <f>INDEX(Employee_Lookups!$C$13:$C$17,MATCH(F452,Employee_Lookups!$A$13:$A$17,0))</f>
        <v>Band B (Mid)</v>
      </c>
      <c r="Z452" s="27">
        <f>_xlfn.XLOOKUP(F452,Employee_Lookups!$A$13:$A$17,Employee_Lookups!$E$13:$E$17,0)</f>
        <v>1100000</v>
      </c>
      <c r="AA452" s="28">
        <f>ROUND(O452/INDEX(Employee_Lookups!$E$13:$E$17,MATCH(F452,Employee_Lookups!$A$13:$A$17,0)),3)</f>
        <v>0.77400000000000002</v>
      </c>
      <c r="AB452">
        <f t="shared" si="52"/>
        <v>2022</v>
      </c>
      <c r="AC452" t="str">
        <f t="shared" si="53"/>
        <v/>
      </c>
      <c r="AD452" s="28">
        <f>ROUND((IF(ISBLANK(L452),Employee_Lookups!$O$14,L452)-J452)/365.25,2)</f>
        <v>3.85</v>
      </c>
      <c r="AE452" t="str">
        <f t="shared" si="54"/>
        <v>3 - 5 Yrs</v>
      </c>
      <c r="AF452" t="str">
        <f t="shared" si="55"/>
        <v>Low Risk</v>
      </c>
    </row>
    <row r="453" spans="1:32" x14ac:dyDescent="0.45">
      <c r="A453" t="s">
        <v>1031</v>
      </c>
      <c r="B453" t="s">
        <v>479</v>
      </c>
      <c r="C453" t="s">
        <v>55</v>
      </c>
      <c r="D453" t="s">
        <v>54</v>
      </c>
      <c r="E453" t="s">
        <v>277</v>
      </c>
      <c r="F453" t="s">
        <v>81</v>
      </c>
      <c r="G453" t="s">
        <v>278</v>
      </c>
      <c r="H453" t="s">
        <v>111</v>
      </c>
      <c r="I453" t="s">
        <v>110</v>
      </c>
      <c r="J453" s="26">
        <v>44618</v>
      </c>
      <c r="K453" t="s">
        <v>170</v>
      </c>
      <c r="L453" s="26">
        <v>44705</v>
      </c>
      <c r="M453" t="s">
        <v>171</v>
      </c>
      <c r="N453" t="s">
        <v>99</v>
      </c>
      <c r="O453" s="27">
        <v>646000</v>
      </c>
      <c r="P453">
        <v>2</v>
      </c>
      <c r="Q453" t="s">
        <v>172</v>
      </c>
      <c r="R453">
        <v>0</v>
      </c>
      <c r="S453" t="s">
        <v>173</v>
      </c>
      <c r="T453">
        <f t="shared" si="49"/>
        <v>10989</v>
      </c>
      <c r="U453" t="str">
        <f t="shared" si="50"/>
        <v>OPS</v>
      </c>
      <c r="V453" t="str">
        <f t="shared" si="51"/>
        <v>L1</v>
      </c>
      <c r="W453" t="str">
        <f>PROPER(TRIM(VLOOKUP(S453,Employee_Lookups!$I$4:$M$19,2,FALSE())))</f>
        <v>Deepak Patil</v>
      </c>
      <c r="X453" t="str">
        <f>VLOOKUP(C453,Employee_Lookups!$A$4:$G$9,4,FALSE())</f>
        <v>CC-303</v>
      </c>
      <c r="Y453" t="str">
        <f>INDEX(Employee_Lookups!$C$13:$C$17,MATCH(F453,Employee_Lookups!$A$13:$A$17,0))</f>
        <v>Band A (Entry)</v>
      </c>
      <c r="Z453" s="27">
        <f>_xlfn.XLOOKUP(F453,Employee_Lookups!$A$13:$A$17,Employee_Lookups!$E$13:$E$17,0)</f>
        <v>700000</v>
      </c>
      <c r="AA453" s="28">
        <f>ROUND(O453/INDEX(Employee_Lookups!$E$13:$E$17,MATCH(F453,Employee_Lookups!$A$13:$A$17,0)),3)</f>
        <v>0.92300000000000004</v>
      </c>
      <c r="AB453">
        <f t="shared" si="52"/>
        <v>2022</v>
      </c>
      <c r="AC453">
        <f t="shared" si="53"/>
        <v>2022</v>
      </c>
      <c r="AD453" s="28">
        <f>ROUND((IF(ISBLANK(L453),Employee_Lookups!$O$14,L453)-J453)/365.25,2)</f>
        <v>0.24</v>
      </c>
      <c r="AE453" t="str">
        <f t="shared" si="54"/>
        <v>&lt; 1 Yr (New)</v>
      </c>
      <c r="AF453" t="str">
        <f t="shared" si="55"/>
        <v>Exited</v>
      </c>
    </row>
    <row r="454" spans="1:32" x14ac:dyDescent="0.45">
      <c r="A454" t="s">
        <v>1032</v>
      </c>
      <c r="B454" t="s">
        <v>1033</v>
      </c>
      <c r="C454" t="s">
        <v>55</v>
      </c>
      <c r="D454" t="s">
        <v>54</v>
      </c>
      <c r="E454" t="s">
        <v>229</v>
      </c>
      <c r="F454" t="s">
        <v>82</v>
      </c>
      <c r="G454" t="s">
        <v>230</v>
      </c>
      <c r="H454" t="s">
        <v>109</v>
      </c>
      <c r="I454" t="s">
        <v>110</v>
      </c>
      <c r="J454" s="26">
        <v>44618</v>
      </c>
      <c r="K454" t="s">
        <v>187</v>
      </c>
      <c r="L454" s="26">
        <v>44910</v>
      </c>
      <c r="M454" t="s">
        <v>269</v>
      </c>
      <c r="N454" t="s">
        <v>99</v>
      </c>
      <c r="O454" s="27">
        <v>1077000</v>
      </c>
      <c r="P454">
        <v>3</v>
      </c>
      <c r="Q454" t="s">
        <v>172</v>
      </c>
      <c r="R454">
        <v>54</v>
      </c>
      <c r="S454" t="s">
        <v>173</v>
      </c>
      <c r="T454">
        <f t="shared" si="49"/>
        <v>11350</v>
      </c>
      <c r="U454" t="str">
        <f t="shared" si="50"/>
        <v>OPS</v>
      </c>
      <c r="V454" t="str">
        <f t="shared" si="51"/>
        <v>L2</v>
      </c>
      <c r="W454" t="str">
        <f>PROPER(TRIM(VLOOKUP(S454,Employee_Lookups!$I$4:$M$19,2,FALSE())))</f>
        <v>Deepak Patil</v>
      </c>
      <c r="X454" t="str">
        <f>VLOOKUP(C454,Employee_Lookups!$A$4:$G$9,4,FALSE())</f>
        <v>CC-303</v>
      </c>
      <c r="Y454" t="str">
        <f>INDEX(Employee_Lookups!$C$13:$C$17,MATCH(F454,Employee_Lookups!$A$13:$A$17,0))</f>
        <v>Band B (Mid)</v>
      </c>
      <c r="Z454" s="27">
        <f>_xlfn.XLOOKUP(F454,Employee_Lookups!$A$13:$A$17,Employee_Lookups!$E$13:$E$17,0)</f>
        <v>1100000</v>
      </c>
      <c r="AA454" s="28">
        <f>ROUND(O454/INDEX(Employee_Lookups!$E$13:$E$17,MATCH(F454,Employee_Lookups!$A$13:$A$17,0)),3)</f>
        <v>0.97899999999999998</v>
      </c>
      <c r="AB454">
        <f t="shared" si="52"/>
        <v>2022</v>
      </c>
      <c r="AC454">
        <f t="shared" si="53"/>
        <v>2022</v>
      </c>
      <c r="AD454" s="28">
        <f>ROUND((IF(ISBLANK(L454),Employee_Lookups!$O$14,L454)-J454)/365.25,2)</f>
        <v>0.8</v>
      </c>
      <c r="AE454" t="str">
        <f t="shared" si="54"/>
        <v>&lt; 1 Yr (New)</v>
      </c>
      <c r="AF454" t="str">
        <f t="shared" si="55"/>
        <v>Exited</v>
      </c>
    </row>
    <row r="455" spans="1:32" x14ac:dyDescent="0.45">
      <c r="A455" t="s">
        <v>1034</v>
      </c>
      <c r="B455" t="s">
        <v>1035</v>
      </c>
      <c r="C455" t="s">
        <v>51</v>
      </c>
      <c r="D455" t="s">
        <v>50</v>
      </c>
      <c r="E455" t="s">
        <v>181</v>
      </c>
      <c r="F455" t="s">
        <v>81</v>
      </c>
      <c r="G455" t="s">
        <v>182</v>
      </c>
      <c r="H455" t="s">
        <v>109</v>
      </c>
      <c r="I455" t="s">
        <v>110</v>
      </c>
      <c r="J455" s="26">
        <v>44618</v>
      </c>
      <c r="K455" t="s">
        <v>162</v>
      </c>
      <c r="L455" s="26"/>
      <c r="M455" t="s">
        <v>163</v>
      </c>
      <c r="N455" t="s">
        <v>98</v>
      </c>
      <c r="O455" s="27">
        <v>615000</v>
      </c>
      <c r="P455">
        <v>3</v>
      </c>
      <c r="Q455" t="s">
        <v>164</v>
      </c>
      <c r="R455">
        <v>54</v>
      </c>
      <c r="S455" t="s">
        <v>197</v>
      </c>
      <c r="T455">
        <f t="shared" si="49"/>
        <v>10353</v>
      </c>
      <c r="U455" t="str">
        <f t="shared" si="50"/>
        <v>ENG</v>
      </c>
      <c r="V455" t="str">
        <f t="shared" si="51"/>
        <v>L1</v>
      </c>
      <c r="W455" t="str">
        <f>PROPER(TRIM(VLOOKUP(S455,Employee_Lookups!$I$4:$M$19,2,FALSE())))</f>
        <v>Rohan Verma</v>
      </c>
      <c r="X455" t="str">
        <f>VLOOKUP(C455,Employee_Lookups!$A$4:$G$9,4,FALSE())</f>
        <v>CC-101</v>
      </c>
      <c r="Y455" t="str">
        <f>INDEX(Employee_Lookups!$C$13:$C$17,MATCH(F455,Employee_Lookups!$A$13:$A$17,0))</f>
        <v>Band A (Entry)</v>
      </c>
      <c r="Z455" s="27">
        <f>_xlfn.XLOOKUP(F455,Employee_Lookups!$A$13:$A$17,Employee_Lookups!$E$13:$E$17,0)</f>
        <v>700000</v>
      </c>
      <c r="AA455" s="28">
        <f>ROUND(O455/INDEX(Employee_Lookups!$E$13:$E$17,MATCH(F455,Employee_Lookups!$A$13:$A$17,0)),3)</f>
        <v>0.879</v>
      </c>
      <c r="AB455">
        <f t="shared" si="52"/>
        <v>2022</v>
      </c>
      <c r="AC455" t="str">
        <f t="shared" si="53"/>
        <v/>
      </c>
      <c r="AD455" s="28">
        <f>ROUND((IF(ISBLANK(L455),Employee_Lookups!$O$14,L455)-J455)/365.25,2)</f>
        <v>3.84</v>
      </c>
      <c r="AE455" t="str">
        <f t="shared" si="54"/>
        <v>3 - 5 Yrs</v>
      </c>
      <c r="AF455" t="str">
        <f t="shared" si="55"/>
        <v>Low Risk</v>
      </c>
    </row>
    <row r="456" spans="1:32" x14ac:dyDescent="0.45">
      <c r="A456" t="s">
        <v>1036</v>
      </c>
      <c r="B456" t="s">
        <v>1037</v>
      </c>
      <c r="C456" t="s">
        <v>51</v>
      </c>
      <c r="D456" t="s">
        <v>50</v>
      </c>
      <c r="E456" t="s">
        <v>181</v>
      </c>
      <c r="F456" t="s">
        <v>81</v>
      </c>
      <c r="G456" t="s">
        <v>182</v>
      </c>
      <c r="H456" t="s">
        <v>106</v>
      </c>
      <c r="I456" t="s">
        <v>107</v>
      </c>
      <c r="J456" s="26">
        <v>44618</v>
      </c>
      <c r="K456" t="s">
        <v>162</v>
      </c>
      <c r="L456" s="26"/>
      <c r="M456" t="s">
        <v>163</v>
      </c>
      <c r="N456" t="s">
        <v>96</v>
      </c>
      <c r="O456" s="27">
        <v>803000</v>
      </c>
      <c r="P456">
        <v>4</v>
      </c>
      <c r="Q456" t="s">
        <v>172</v>
      </c>
      <c r="R456">
        <v>39</v>
      </c>
      <c r="S456" t="s">
        <v>219</v>
      </c>
      <c r="T456">
        <f t="shared" si="49"/>
        <v>10786</v>
      </c>
      <c r="U456" t="str">
        <f t="shared" si="50"/>
        <v>ENG</v>
      </c>
      <c r="V456" t="str">
        <f t="shared" si="51"/>
        <v>L1</v>
      </c>
      <c r="W456" t="str">
        <f>PROPER(TRIM(VLOOKUP(S456,Employee_Lookups!$I$4:$M$19,2,FALSE())))</f>
        <v>Neha Kulkarni</v>
      </c>
      <c r="X456" t="str">
        <f>VLOOKUP(C456,Employee_Lookups!$A$4:$G$9,4,FALSE())</f>
        <v>CC-101</v>
      </c>
      <c r="Y456" t="str">
        <f>INDEX(Employee_Lookups!$C$13:$C$17,MATCH(F456,Employee_Lookups!$A$13:$A$17,0))</f>
        <v>Band A (Entry)</v>
      </c>
      <c r="Z456" s="27">
        <f>_xlfn.XLOOKUP(F456,Employee_Lookups!$A$13:$A$17,Employee_Lookups!$E$13:$E$17,0)</f>
        <v>700000</v>
      </c>
      <c r="AA456" s="28">
        <f>ROUND(O456/INDEX(Employee_Lookups!$E$13:$E$17,MATCH(F456,Employee_Lookups!$A$13:$A$17,0)),3)</f>
        <v>1.147</v>
      </c>
      <c r="AB456">
        <f t="shared" si="52"/>
        <v>2022</v>
      </c>
      <c r="AC456" t="str">
        <f t="shared" si="53"/>
        <v/>
      </c>
      <c r="AD456" s="28">
        <f>ROUND((IF(ISBLANK(L456),Employee_Lookups!$O$14,L456)-J456)/365.25,2)</f>
        <v>3.84</v>
      </c>
      <c r="AE456" t="str">
        <f t="shared" si="54"/>
        <v>3 - 5 Yrs</v>
      </c>
      <c r="AF456" t="str">
        <f t="shared" si="55"/>
        <v>High Risk</v>
      </c>
    </row>
    <row r="457" spans="1:32" x14ac:dyDescent="0.45">
      <c r="A457" t="s">
        <v>1038</v>
      </c>
      <c r="B457" t="s">
        <v>1039</v>
      </c>
      <c r="C457" t="s">
        <v>51</v>
      </c>
      <c r="D457" t="s">
        <v>50</v>
      </c>
      <c r="E457" t="s">
        <v>176</v>
      </c>
      <c r="F457" t="s">
        <v>82</v>
      </c>
      <c r="G457" t="s">
        <v>177</v>
      </c>
      <c r="H457" t="s">
        <v>108</v>
      </c>
      <c r="I457" t="s">
        <v>107</v>
      </c>
      <c r="J457" s="26">
        <v>44618</v>
      </c>
      <c r="K457" t="s">
        <v>162</v>
      </c>
      <c r="L457" s="26"/>
      <c r="M457" t="s">
        <v>163</v>
      </c>
      <c r="N457" t="s">
        <v>97</v>
      </c>
      <c r="O457" s="27">
        <v>1286000</v>
      </c>
      <c r="P457">
        <v>4</v>
      </c>
      <c r="Q457" t="s">
        <v>164</v>
      </c>
      <c r="R457">
        <v>48</v>
      </c>
      <c r="S457" t="s">
        <v>244</v>
      </c>
      <c r="T457">
        <f t="shared" si="49"/>
        <v>11127</v>
      </c>
      <c r="U457" t="str">
        <f t="shared" si="50"/>
        <v>ENG</v>
      </c>
      <c r="V457" t="str">
        <f t="shared" si="51"/>
        <v>L2</v>
      </c>
      <c r="W457" t="str">
        <f>PROPER(TRIM(VLOOKUP(S457,Employee_Lookups!$I$4:$M$19,2,FALSE())))</f>
        <v>Siddharth Nair</v>
      </c>
      <c r="X457" t="str">
        <f>VLOOKUP(C457,Employee_Lookups!$A$4:$G$9,4,FALSE())</f>
        <v>CC-101</v>
      </c>
      <c r="Y457" t="str">
        <f>INDEX(Employee_Lookups!$C$13:$C$17,MATCH(F457,Employee_Lookups!$A$13:$A$17,0))</f>
        <v>Band B (Mid)</v>
      </c>
      <c r="Z457" s="27">
        <f>_xlfn.XLOOKUP(F457,Employee_Lookups!$A$13:$A$17,Employee_Lookups!$E$13:$E$17,0)</f>
        <v>1100000</v>
      </c>
      <c r="AA457" s="28">
        <f>ROUND(O457/INDEX(Employee_Lookups!$E$13:$E$17,MATCH(F457,Employee_Lookups!$A$13:$A$17,0)),3)</f>
        <v>1.169</v>
      </c>
      <c r="AB457">
        <f t="shared" si="52"/>
        <v>2022</v>
      </c>
      <c r="AC457" t="str">
        <f t="shared" si="53"/>
        <v/>
      </c>
      <c r="AD457" s="28">
        <f>ROUND((IF(ISBLANK(L457),Employee_Lookups!$O$14,L457)-J457)/365.25,2)</f>
        <v>3.84</v>
      </c>
      <c r="AE457" t="str">
        <f t="shared" si="54"/>
        <v>3 - 5 Yrs</v>
      </c>
      <c r="AF457" t="str">
        <f t="shared" si="55"/>
        <v>Low Risk</v>
      </c>
    </row>
    <row r="458" spans="1:32" x14ac:dyDescent="0.45">
      <c r="A458" t="s">
        <v>1040</v>
      </c>
      <c r="B458" t="s">
        <v>472</v>
      </c>
      <c r="C458" t="s">
        <v>55</v>
      </c>
      <c r="D458" t="s">
        <v>54</v>
      </c>
      <c r="E458" t="s">
        <v>277</v>
      </c>
      <c r="F458" t="s">
        <v>81</v>
      </c>
      <c r="G458" t="s">
        <v>278</v>
      </c>
      <c r="H458" t="s">
        <v>106</v>
      </c>
      <c r="I458" t="s">
        <v>107</v>
      </c>
      <c r="J458" s="26">
        <v>44619</v>
      </c>
      <c r="K458" t="s">
        <v>170</v>
      </c>
      <c r="L458" s="26">
        <v>45299</v>
      </c>
      <c r="M458" t="s">
        <v>171</v>
      </c>
      <c r="N458" t="s">
        <v>98</v>
      </c>
      <c r="O458" s="27">
        <v>562000</v>
      </c>
      <c r="P458">
        <v>2</v>
      </c>
      <c r="Q458" t="s">
        <v>172</v>
      </c>
      <c r="R458">
        <v>19</v>
      </c>
      <c r="S458" t="s">
        <v>262</v>
      </c>
      <c r="T458">
        <f t="shared" si="49"/>
        <v>10476</v>
      </c>
      <c r="U458" t="str">
        <f t="shared" si="50"/>
        <v>OPS</v>
      </c>
      <c r="V458" t="str">
        <f t="shared" si="51"/>
        <v>L1</v>
      </c>
      <c r="W458" t="str">
        <f>PROPER(TRIM(VLOOKUP(S458,Employee_Lookups!$I$4:$M$19,2,FALSE())))</f>
        <v>Ananya Iyer</v>
      </c>
      <c r="X458" t="str">
        <f>VLOOKUP(C458,Employee_Lookups!$A$4:$G$9,4,FALSE())</f>
        <v>CC-303</v>
      </c>
      <c r="Y458" t="str">
        <f>INDEX(Employee_Lookups!$C$13:$C$17,MATCH(F458,Employee_Lookups!$A$13:$A$17,0))</f>
        <v>Band A (Entry)</v>
      </c>
      <c r="Z458" s="27">
        <f>_xlfn.XLOOKUP(F458,Employee_Lookups!$A$13:$A$17,Employee_Lookups!$E$13:$E$17,0)</f>
        <v>700000</v>
      </c>
      <c r="AA458" s="28">
        <f>ROUND(O458/INDEX(Employee_Lookups!$E$13:$E$17,MATCH(F458,Employee_Lookups!$A$13:$A$17,0)),3)</f>
        <v>0.80300000000000005</v>
      </c>
      <c r="AB458">
        <f t="shared" si="52"/>
        <v>2022</v>
      </c>
      <c r="AC458">
        <f t="shared" si="53"/>
        <v>2024</v>
      </c>
      <c r="AD458" s="28">
        <f>ROUND((IF(ISBLANK(L458),Employee_Lookups!$O$14,L458)-J458)/365.25,2)</f>
        <v>1.86</v>
      </c>
      <c r="AE458" t="str">
        <f t="shared" si="54"/>
        <v>1 - 3 Yrs</v>
      </c>
      <c r="AF458" t="str">
        <f t="shared" si="55"/>
        <v>Exited</v>
      </c>
    </row>
    <row r="459" spans="1:32" x14ac:dyDescent="0.45">
      <c r="A459" t="s">
        <v>1041</v>
      </c>
      <c r="B459" t="s">
        <v>994</v>
      </c>
      <c r="C459" t="s">
        <v>53</v>
      </c>
      <c r="D459" t="s">
        <v>52</v>
      </c>
      <c r="E459" t="s">
        <v>185</v>
      </c>
      <c r="F459" t="s">
        <v>82</v>
      </c>
      <c r="G459" t="s">
        <v>186</v>
      </c>
      <c r="H459" t="s">
        <v>106</v>
      </c>
      <c r="I459" t="s">
        <v>107</v>
      </c>
      <c r="J459" s="26">
        <v>44622</v>
      </c>
      <c r="K459" t="s">
        <v>162</v>
      </c>
      <c r="L459" s="26"/>
      <c r="M459" t="s">
        <v>163</v>
      </c>
      <c r="N459" t="s">
        <v>98</v>
      </c>
      <c r="O459" s="27">
        <v>1158000</v>
      </c>
      <c r="P459">
        <v>2</v>
      </c>
      <c r="Q459" t="s">
        <v>164</v>
      </c>
      <c r="R459">
        <v>8</v>
      </c>
      <c r="S459" t="s">
        <v>189</v>
      </c>
      <c r="T459">
        <f t="shared" si="49"/>
        <v>10398</v>
      </c>
      <c r="U459" t="str">
        <f t="shared" si="50"/>
        <v>SAL</v>
      </c>
      <c r="V459" t="str">
        <f t="shared" si="51"/>
        <v>L2</v>
      </c>
      <c r="W459" t="str">
        <f>PROPER(TRIM(VLOOKUP(S459,Employee_Lookups!$I$4:$M$19,2,FALSE())))</f>
        <v>Priya Sharma</v>
      </c>
      <c r="X459" t="str">
        <f>VLOOKUP(C459,Employee_Lookups!$A$4:$G$9,4,FALSE())</f>
        <v>CC-202</v>
      </c>
      <c r="Y459" t="str">
        <f>INDEX(Employee_Lookups!$C$13:$C$17,MATCH(F459,Employee_Lookups!$A$13:$A$17,0))</f>
        <v>Band B (Mid)</v>
      </c>
      <c r="Z459" s="27">
        <f>_xlfn.XLOOKUP(F459,Employee_Lookups!$A$13:$A$17,Employee_Lookups!$E$13:$E$17,0)</f>
        <v>1100000</v>
      </c>
      <c r="AA459" s="28">
        <f>ROUND(O459/INDEX(Employee_Lookups!$E$13:$E$17,MATCH(F459,Employee_Lookups!$A$13:$A$17,0)),3)</f>
        <v>1.0529999999999999</v>
      </c>
      <c r="AB459">
        <f t="shared" si="52"/>
        <v>2022</v>
      </c>
      <c r="AC459" t="str">
        <f t="shared" si="53"/>
        <v/>
      </c>
      <c r="AD459" s="28">
        <f>ROUND((IF(ISBLANK(L459),Employee_Lookups!$O$14,L459)-J459)/365.25,2)</f>
        <v>3.83</v>
      </c>
      <c r="AE459" t="str">
        <f t="shared" si="54"/>
        <v>3 - 5 Yrs</v>
      </c>
      <c r="AF459" t="str">
        <f t="shared" si="55"/>
        <v>Moderate Risk</v>
      </c>
    </row>
    <row r="460" spans="1:32" x14ac:dyDescent="0.45">
      <c r="A460" t="s">
        <v>1042</v>
      </c>
      <c r="B460" t="s">
        <v>1043</v>
      </c>
      <c r="C460" t="s">
        <v>53</v>
      </c>
      <c r="D460" t="s">
        <v>52</v>
      </c>
      <c r="E460" t="s">
        <v>192</v>
      </c>
      <c r="F460" t="s">
        <v>83</v>
      </c>
      <c r="G460" t="s">
        <v>193</v>
      </c>
      <c r="H460" t="s">
        <v>109</v>
      </c>
      <c r="I460" t="s">
        <v>110</v>
      </c>
      <c r="J460" s="26">
        <v>44622</v>
      </c>
      <c r="K460" t="s">
        <v>162</v>
      </c>
      <c r="L460" s="26"/>
      <c r="M460" t="s">
        <v>163</v>
      </c>
      <c r="N460" t="s">
        <v>97</v>
      </c>
      <c r="O460" s="27">
        <v>1644000</v>
      </c>
      <c r="P460">
        <v>4</v>
      </c>
      <c r="Q460" t="s">
        <v>172</v>
      </c>
      <c r="R460">
        <v>48</v>
      </c>
      <c r="S460" t="s">
        <v>194</v>
      </c>
      <c r="T460">
        <f t="shared" si="49"/>
        <v>10617</v>
      </c>
      <c r="U460" t="str">
        <f t="shared" si="50"/>
        <v>SAL</v>
      </c>
      <c r="V460" t="str">
        <f t="shared" si="51"/>
        <v>L3</v>
      </c>
      <c r="W460" t="str">
        <f>PROPER(TRIM(VLOOKUP(S460,Employee_Lookups!$I$4:$M$19,2,FALSE())))</f>
        <v>Vikramaditya Joshi</v>
      </c>
      <c r="X460" t="str">
        <f>VLOOKUP(C460,Employee_Lookups!$A$4:$G$9,4,FALSE())</f>
        <v>CC-202</v>
      </c>
      <c r="Y460" t="str">
        <f>INDEX(Employee_Lookups!$C$13:$C$17,MATCH(F460,Employee_Lookups!$A$13:$A$17,0))</f>
        <v>Band C (Senior)</v>
      </c>
      <c r="Z460" s="27">
        <f>_xlfn.XLOOKUP(F460,Employee_Lookups!$A$13:$A$17,Employee_Lookups!$E$13:$E$17,0)</f>
        <v>1725000</v>
      </c>
      <c r="AA460" s="28">
        <f>ROUND(O460/INDEX(Employee_Lookups!$E$13:$E$17,MATCH(F460,Employee_Lookups!$A$13:$A$17,0)),3)</f>
        <v>0.95299999999999996</v>
      </c>
      <c r="AB460">
        <f t="shared" si="52"/>
        <v>2022</v>
      </c>
      <c r="AC460" t="str">
        <f t="shared" si="53"/>
        <v/>
      </c>
      <c r="AD460" s="28">
        <f>ROUND((IF(ISBLANK(L460),Employee_Lookups!$O$14,L460)-J460)/365.25,2)</f>
        <v>3.83</v>
      </c>
      <c r="AE460" t="str">
        <f t="shared" si="54"/>
        <v>3 - 5 Yrs</v>
      </c>
      <c r="AF460" t="str">
        <f t="shared" si="55"/>
        <v>High Risk</v>
      </c>
    </row>
    <row r="461" spans="1:32" x14ac:dyDescent="0.45">
      <c r="A461" t="s">
        <v>1044</v>
      </c>
      <c r="B461" t="s">
        <v>1045</v>
      </c>
      <c r="C461" t="s">
        <v>61</v>
      </c>
      <c r="D461" t="s">
        <v>60</v>
      </c>
      <c r="E461" t="s">
        <v>317</v>
      </c>
      <c r="F461" t="s">
        <v>84</v>
      </c>
      <c r="G461" t="s">
        <v>318</v>
      </c>
      <c r="H461" t="s">
        <v>108</v>
      </c>
      <c r="I461" t="s">
        <v>107</v>
      </c>
      <c r="J461" s="26">
        <v>44627</v>
      </c>
      <c r="K461" t="s">
        <v>162</v>
      </c>
      <c r="L461" s="26"/>
      <c r="M461" t="s">
        <v>163</v>
      </c>
      <c r="N461" t="s">
        <v>96</v>
      </c>
      <c r="O461" s="27">
        <v>3353000</v>
      </c>
      <c r="P461">
        <v>3</v>
      </c>
      <c r="Q461" t="s">
        <v>164</v>
      </c>
      <c r="R461">
        <v>24</v>
      </c>
      <c r="S461" t="s">
        <v>253</v>
      </c>
      <c r="T461">
        <f t="shared" si="49"/>
        <v>10340</v>
      </c>
      <c r="U461" t="str">
        <f t="shared" si="50"/>
        <v>-HR</v>
      </c>
      <c r="V461" t="str">
        <f t="shared" si="51"/>
        <v>L4</v>
      </c>
      <c r="W461" t="str">
        <f>PROPER(TRIM(VLOOKUP(S461,Employee_Lookups!$I$4:$M$19,2,FALSE())))</f>
        <v>Nikhil Chatterjee</v>
      </c>
      <c r="X461" t="str">
        <f>VLOOKUP(C461,Employee_Lookups!$A$4:$G$9,4,FALSE())</f>
        <v>CC-505</v>
      </c>
      <c r="Y461" t="str">
        <f>INDEX(Employee_Lookups!$C$13:$C$17,MATCH(F461,Employee_Lookups!$A$13:$A$17,0))</f>
        <v>Band D (Leadership)</v>
      </c>
      <c r="Z461" s="27">
        <f>_xlfn.XLOOKUP(F461,Employee_Lookups!$A$13:$A$17,Employee_Lookups!$E$13:$E$17,0)</f>
        <v>2750000</v>
      </c>
      <c r="AA461" s="28">
        <f>ROUND(O461/INDEX(Employee_Lookups!$E$13:$E$17,MATCH(F461,Employee_Lookups!$A$13:$A$17,0)),3)</f>
        <v>1.2190000000000001</v>
      </c>
      <c r="AB461">
        <f t="shared" si="52"/>
        <v>2022</v>
      </c>
      <c r="AC461" t="str">
        <f t="shared" si="53"/>
        <v/>
      </c>
      <c r="AD461" s="28">
        <f>ROUND((IF(ISBLANK(L461),Employee_Lookups!$O$14,L461)-J461)/365.25,2)</f>
        <v>3.82</v>
      </c>
      <c r="AE461" t="str">
        <f t="shared" si="54"/>
        <v>3 - 5 Yrs</v>
      </c>
      <c r="AF461" t="str">
        <f t="shared" si="55"/>
        <v>Low Risk</v>
      </c>
    </row>
    <row r="462" spans="1:32" x14ac:dyDescent="0.45">
      <c r="A462" t="s">
        <v>1046</v>
      </c>
      <c r="B462" t="s">
        <v>316</v>
      </c>
      <c r="C462" t="s">
        <v>55</v>
      </c>
      <c r="D462" t="s">
        <v>54</v>
      </c>
      <c r="E462" t="s">
        <v>277</v>
      </c>
      <c r="F462" t="s">
        <v>81</v>
      </c>
      <c r="G462" t="s">
        <v>278</v>
      </c>
      <c r="H462" t="s">
        <v>106</v>
      </c>
      <c r="I462" t="s">
        <v>107</v>
      </c>
      <c r="J462" s="26">
        <v>44629</v>
      </c>
      <c r="K462" t="s">
        <v>187</v>
      </c>
      <c r="L462" s="26">
        <v>44857</v>
      </c>
      <c r="M462" t="s">
        <v>269</v>
      </c>
      <c r="N462" t="s">
        <v>99</v>
      </c>
      <c r="O462" s="27">
        <v>704000</v>
      </c>
      <c r="P462">
        <v>3</v>
      </c>
      <c r="Q462" t="s">
        <v>172</v>
      </c>
      <c r="R462">
        <v>44</v>
      </c>
      <c r="S462" t="s">
        <v>274</v>
      </c>
      <c r="T462">
        <f t="shared" si="49"/>
        <v>11168</v>
      </c>
      <c r="U462" t="str">
        <f t="shared" si="50"/>
        <v>OPS</v>
      </c>
      <c r="V462" t="str">
        <f t="shared" si="51"/>
        <v>L1</v>
      </c>
      <c r="W462" t="str">
        <f>PROPER(TRIM(VLOOKUP(S462,Employee_Lookups!$I$4:$M$19,2,FALSE())))</f>
        <v>Meera Krishnan</v>
      </c>
      <c r="X462" t="str">
        <f>VLOOKUP(C462,Employee_Lookups!$A$4:$G$9,4,FALSE())</f>
        <v>CC-303</v>
      </c>
      <c r="Y462" t="str">
        <f>INDEX(Employee_Lookups!$C$13:$C$17,MATCH(F462,Employee_Lookups!$A$13:$A$17,0))</f>
        <v>Band A (Entry)</v>
      </c>
      <c r="Z462" s="27">
        <f>_xlfn.XLOOKUP(F462,Employee_Lookups!$A$13:$A$17,Employee_Lookups!$E$13:$E$17,0)</f>
        <v>700000</v>
      </c>
      <c r="AA462" s="28">
        <f>ROUND(O462/INDEX(Employee_Lookups!$E$13:$E$17,MATCH(F462,Employee_Lookups!$A$13:$A$17,0)),3)</f>
        <v>1.006</v>
      </c>
      <c r="AB462">
        <f t="shared" si="52"/>
        <v>2022</v>
      </c>
      <c r="AC462">
        <f t="shared" si="53"/>
        <v>2022</v>
      </c>
      <c r="AD462" s="28">
        <f>ROUND((IF(ISBLANK(L462),Employee_Lookups!$O$14,L462)-J462)/365.25,2)</f>
        <v>0.62</v>
      </c>
      <c r="AE462" t="str">
        <f t="shared" si="54"/>
        <v>&lt; 1 Yr (New)</v>
      </c>
      <c r="AF462" t="str">
        <f t="shared" si="55"/>
        <v>Exited</v>
      </c>
    </row>
    <row r="463" spans="1:32" x14ac:dyDescent="0.45">
      <c r="A463" t="s">
        <v>1047</v>
      </c>
      <c r="B463" t="s">
        <v>1048</v>
      </c>
      <c r="C463" t="s">
        <v>51</v>
      </c>
      <c r="D463" t="s">
        <v>50</v>
      </c>
      <c r="E463" t="s">
        <v>181</v>
      </c>
      <c r="F463" t="s">
        <v>81</v>
      </c>
      <c r="G463" t="s">
        <v>182</v>
      </c>
      <c r="H463" t="s">
        <v>111</v>
      </c>
      <c r="I463" t="s">
        <v>110</v>
      </c>
      <c r="J463" s="26">
        <v>44629</v>
      </c>
      <c r="K463" t="s">
        <v>162</v>
      </c>
      <c r="L463" s="26"/>
      <c r="M463" t="s">
        <v>163</v>
      </c>
      <c r="N463" t="s">
        <v>96</v>
      </c>
      <c r="O463" s="27">
        <v>837000</v>
      </c>
      <c r="P463">
        <v>3</v>
      </c>
      <c r="Q463" t="s">
        <v>172</v>
      </c>
      <c r="R463">
        <v>59</v>
      </c>
      <c r="S463" t="s">
        <v>219</v>
      </c>
      <c r="T463">
        <f t="shared" si="49"/>
        <v>10715</v>
      </c>
      <c r="U463" t="str">
        <f t="shared" si="50"/>
        <v>ENG</v>
      </c>
      <c r="V463" t="str">
        <f t="shared" si="51"/>
        <v>L1</v>
      </c>
      <c r="W463" t="str">
        <f>PROPER(TRIM(VLOOKUP(S463,Employee_Lookups!$I$4:$M$19,2,FALSE())))</f>
        <v>Neha Kulkarni</v>
      </c>
      <c r="X463" t="str">
        <f>VLOOKUP(C463,Employee_Lookups!$A$4:$G$9,4,FALSE())</f>
        <v>CC-101</v>
      </c>
      <c r="Y463" t="str">
        <f>INDEX(Employee_Lookups!$C$13:$C$17,MATCH(F463,Employee_Lookups!$A$13:$A$17,0))</f>
        <v>Band A (Entry)</v>
      </c>
      <c r="Z463" s="27">
        <f>_xlfn.XLOOKUP(F463,Employee_Lookups!$A$13:$A$17,Employee_Lookups!$E$13:$E$17,0)</f>
        <v>700000</v>
      </c>
      <c r="AA463" s="28">
        <f>ROUND(O463/INDEX(Employee_Lookups!$E$13:$E$17,MATCH(F463,Employee_Lookups!$A$13:$A$17,0)),3)</f>
        <v>1.196</v>
      </c>
      <c r="AB463">
        <f t="shared" si="52"/>
        <v>2022</v>
      </c>
      <c r="AC463" t="str">
        <f t="shared" si="53"/>
        <v/>
      </c>
      <c r="AD463" s="28">
        <f>ROUND((IF(ISBLANK(L463),Employee_Lookups!$O$14,L463)-J463)/365.25,2)</f>
        <v>3.81</v>
      </c>
      <c r="AE463" t="str">
        <f t="shared" si="54"/>
        <v>3 - 5 Yrs</v>
      </c>
      <c r="AF463" t="str">
        <f t="shared" si="55"/>
        <v>Moderate Risk</v>
      </c>
    </row>
    <row r="464" spans="1:32" x14ac:dyDescent="0.45">
      <c r="A464" t="s">
        <v>1049</v>
      </c>
      <c r="B464" t="s">
        <v>558</v>
      </c>
      <c r="C464" t="s">
        <v>55</v>
      </c>
      <c r="D464" t="s">
        <v>54</v>
      </c>
      <c r="E464" t="s">
        <v>229</v>
      </c>
      <c r="F464" t="s">
        <v>82</v>
      </c>
      <c r="G464" t="s">
        <v>230</v>
      </c>
      <c r="H464" t="s">
        <v>106</v>
      </c>
      <c r="I464" t="s">
        <v>107</v>
      </c>
      <c r="J464" s="26">
        <v>44633</v>
      </c>
      <c r="K464" t="s">
        <v>162</v>
      </c>
      <c r="L464" s="26"/>
      <c r="M464" t="s">
        <v>163</v>
      </c>
      <c r="N464" t="s">
        <v>97</v>
      </c>
      <c r="O464" s="27">
        <v>1134000</v>
      </c>
      <c r="P464">
        <v>3</v>
      </c>
      <c r="Q464" t="s">
        <v>164</v>
      </c>
      <c r="R464">
        <v>30</v>
      </c>
      <c r="S464" t="s">
        <v>173</v>
      </c>
      <c r="T464">
        <f t="shared" si="49"/>
        <v>10367</v>
      </c>
      <c r="U464" t="str">
        <f t="shared" si="50"/>
        <v>OPS</v>
      </c>
      <c r="V464" t="str">
        <f t="shared" si="51"/>
        <v>L2</v>
      </c>
      <c r="W464" t="str">
        <f>PROPER(TRIM(VLOOKUP(S464,Employee_Lookups!$I$4:$M$19,2,FALSE())))</f>
        <v>Deepak Patil</v>
      </c>
      <c r="X464" t="str">
        <f>VLOOKUP(C464,Employee_Lookups!$A$4:$G$9,4,FALSE())</f>
        <v>CC-303</v>
      </c>
      <c r="Y464" t="str">
        <f>INDEX(Employee_Lookups!$C$13:$C$17,MATCH(F464,Employee_Lookups!$A$13:$A$17,0))</f>
        <v>Band B (Mid)</v>
      </c>
      <c r="Z464" s="27">
        <f>_xlfn.XLOOKUP(F464,Employee_Lookups!$A$13:$A$17,Employee_Lookups!$E$13:$E$17,0)</f>
        <v>1100000</v>
      </c>
      <c r="AA464" s="28">
        <f>ROUND(O464/INDEX(Employee_Lookups!$E$13:$E$17,MATCH(F464,Employee_Lookups!$A$13:$A$17,0)),3)</f>
        <v>1.0309999999999999</v>
      </c>
      <c r="AB464">
        <f t="shared" si="52"/>
        <v>2022</v>
      </c>
      <c r="AC464" t="str">
        <f t="shared" si="53"/>
        <v/>
      </c>
      <c r="AD464" s="28">
        <f>ROUND((IF(ISBLANK(L464),Employee_Lookups!$O$14,L464)-J464)/365.25,2)</f>
        <v>3.8</v>
      </c>
      <c r="AE464" t="str">
        <f t="shared" si="54"/>
        <v>3 - 5 Yrs</v>
      </c>
      <c r="AF464" t="str">
        <f t="shared" si="55"/>
        <v>Low Risk</v>
      </c>
    </row>
    <row r="465" spans="1:32" x14ac:dyDescent="0.45">
      <c r="A465" t="s">
        <v>1050</v>
      </c>
      <c r="B465" t="s">
        <v>784</v>
      </c>
      <c r="C465" t="s">
        <v>55</v>
      </c>
      <c r="D465" t="s">
        <v>54</v>
      </c>
      <c r="E465" t="s">
        <v>277</v>
      </c>
      <c r="F465" t="s">
        <v>81</v>
      </c>
      <c r="G465" t="s">
        <v>278</v>
      </c>
      <c r="H465" t="s">
        <v>106</v>
      </c>
      <c r="I465" t="s">
        <v>107</v>
      </c>
      <c r="J465" s="26">
        <v>44634</v>
      </c>
      <c r="K465" t="s">
        <v>187</v>
      </c>
      <c r="L465" s="26">
        <v>45137</v>
      </c>
      <c r="M465" t="s">
        <v>213</v>
      </c>
      <c r="N465" t="s">
        <v>96</v>
      </c>
      <c r="O465" s="27">
        <v>696000</v>
      </c>
      <c r="P465">
        <v>3</v>
      </c>
      <c r="Q465" t="s">
        <v>172</v>
      </c>
      <c r="R465">
        <v>22</v>
      </c>
      <c r="S465" t="s">
        <v>274</v>
      </c>
      <c r="T465">
        <f t="shared" si="49"/>
        <v>11182</v>
      </c>
      <c r="U465" t="str">
        <f t="shared" si="50"/>
        <v>OPS</v>
      </c>
      <c r="V465" t="str">
        <f t="shared" si="51"/>
        <v>L1</v>
      </c>
      <c r="W465" t="str">
        <f>PROPER(TRIM(VLOOKUP(S465,Employee_Lookups!$I$4:$M$19,2,FALSE())))</f>
        <v>Meera Krishnan</v>
      </c>
      <c r="X465" t="str">
        <f>VLOOKUP(C465,Employee_Lookups!$A$4:$G$9,4,FALSE())</f>
        <v>CC-303</v>
      </c>
      <c r="Y465" t="str">
        <f>INDEX(Employee_Lookups!$C$13:$C$17,MATCH(F465,Employee_Lookups!$A$13:$A$17,0))</f>
        <v>Band A (Entry)</v>
      </c>
      <c r="Z465" s="27">
        <f>_xlfn.XLOOKUP(F465,Employee_Lookups!$A$13:$A$17,Employee_Lookups!$E$13:$E$17,0)</f>
        <v>700000</v>
      </c>
      <c r="AA465" s="28">
        <f>ROUND(O465/INDEX(Employee_Lookups!$E$13:$E$17,MATCH(F465,Employee_Lookups!$A$13:$A$17,0)),3)</f>
        <v>0.99399999999999999</v>
      </c>
      <c r="AB465">
        <f t="shared" si="52"/>
        <v>2022</v>
      </c>
      <c r="AC465">
        <f t="shared" si="53"/>
        <v>2023</v>
      </c>
      <c r="AD465" s="28">
        <f>ROUND((IF(ISBLANK(L465),Employee_Lookups!$O$14,L465)-J465)/365.25,2)</f>
        <v>1.38</v>
      </c>
      <c r="AE465" t="str">
        <f t="shared" si="54"/>
        <v>1 - 3 Yrs</v>
      </c>
      <c r="AF465" t="str">
        <f t="shared" si="55"/>
        <v>Exited</v>
      </c>
    </row>
    <row r="466" spans="1:32" x14ac:dyDescent="0.45">
      <c r="A466" t="s">
        <v>1051</v>
      </c>
      <c r="B466" t="s">
        <v>1052</v>
      </c>
      <c r="C466" t="s">
        <v>53</v>
      </c>
      <c r="D466" t="s">
        <v>52</v>
      </c>
      <c r="E466" t="s">
        <v>185</v>
      </c>
      <c r="F466" t="s">
        <v>82</v>
      </c>
      <c r="G466" t="s">
        <v>186</v>
      </c>
      <c r="H466" t="s">
        <v>111</v>
      </c>
      <c r="I466" t="s">
        <v>110</v>
      </c>
      <c r="J466" s="26">
        <v>44635</v>
      </c>
      <c r="K466" t="s">
        <v>170</v>
      </c>
      <c r="L466" s="26">
        <v>45969</v>
      </c>
      <c r="M466" t="s">
        <v>171</v>
      </c>
      <c r="N466" t="s">
        <v>98</v>
      </c>
      <c r="O466" s="27">
        <v>1141000</v>
      </c>
      <c r="P466">
        <v>4</v>
      </c>
      <c r="Q466" t="s">
        <v>172</v>
      </c>
      <c r="R466">
        <v>38</v>
      </c>
      <c r="S466" t="s">
        <v>237</v>
      </c>
      <c r="T466">
        <f t="shared" si="49"/>
        <v>10780</v>
      </c>
      <c r="U466" t="str">
        <f t="shared" si="50"/>
        <v>SAL</v>
      </c>
      <c r="V466" t="str">
        <f t="shared" si="51"/>
        <v>L2</v>
      </c>
      <c r="W466" t="str">
        <f>PROPER(TRIM(VLOOKUP(S466,Employee_Lookups!$I$4:$M$19,2,FALSE())))</f>
        <v>Karan Malhotra</v>
      </c>
      <c r="X466" t="str">
        <f>VLOOKUP(C466,Employee_Lookups!$A$4:$G$9,4,FALSE())</f>
        <v>CC-202</v>
      </c>
      <c r="Y466" t="str">
        <f>INDEX(Employee_Lookups!$C$13:$C$17,MATCH(F466,Employee_Lookups!$A$13:$A$17,0))</f>
        <v>Band B (Mid)</v>
      </c>
      <c r="Z466" s="27">
        <f>_xlfn.XLOOKUP(F466,Employee_Lookups!$A$13:$A$17,Employee_Lookups!$E$13:$E$17,0)</f>
        <v>1100000</v>
      </c>
      <c r="AA466" s="28">
        <f>ROUND(O466/INDEX(Employee_Lookups!$E$13:$E$17,MATCH(F466,Employee_Lookups!$A$13:$A$17,0)),3)</f>
        <v>1.0369999999999999</v>
      </c>
      <c r="AB466">
        <f t="shared" si="52"/>
        <v>2022</v>
      </c>
      <c r="AC466">
        <f t="shared" si="53"/>
        <v>2025</v>
      </c>
      <c r="AD466" s="28">
        <f>ROUND((IF(ISBLANK(L466),Employee_Lookups!$O$14,L466)-J466)/365.25,2)</f>
        <v>3.65</v>
      </c>
      <c r="AE466" t="str">
        <f t="shared" si="54"/>
        <v>3 - 5 Yrs</v>
      </c>
      <c r="AF466" t="str">
        <f t="shared" si="55"/>
        <v>Exited</v>
      </c>
    </row>
    <row r="467" spans="1:32" x14ac:dyDescent="0.45">
      <c r="A467" t="s">
        <v>1053</v>
      </c>
      <c r="B467" t="s">
        <v>1054</v>
      </c>
      <c r="C467" t="s">
        <v>59</v>
      </c>
      <c r="D467" t="s">
        <v>58</v>
      </c>
      <c r="E467" t="s">
        <v>211</v>
      </c>
      <c r="F467" t="s">
        <v>82</v>
      </c>
      <c r="G467" t="s">
        <v>212</v>
      </c>
      <c r="H467" t="s">
        <v>108</v>
      </c>
      <c r="I467" t="s">
        <v>107</v>
      </c>
      <c r="J467" s="26">
        <v>44635</v>
      </c>
      <c r="K467" t="s">
        <v>162</v>
      </c>
      <c r="L467" s="26"/>
      <c r="M467" t="s">
        <v>163</v>
      </c>
      <c r="N467" t="s">
        <v>99</v>
      </c>
      <c r="O467" s="27">
        <v>1023000</v>
      </c>
      <c r="P467">
        <v>3</v>
      </c>
      <c r="Q467" t="s">
        <v>164</v>
      </c>
      <c r="R467">
        <v>31</v>
      </c>
      <c r="S467" t="s">
        <v>214</v>
      </c>
      <c r="T467">
        <f t="shared" si="49"/>
        <v>10113</v>
      </c>
      <c r="U467" t="str">
        <f t="shared" si="50"/>
        <v>FIN</v>
      </c>
      <c r="V467" t="str">
        <f t="shared" si="51"/>
        <v>L2</v>
      </c>
      <c r="W467" t="str">
        <f>PROPER(TRIM(VLOOKUP(S467,Employee_Lookups!$I$4:$M$19,2,FALSE())))</f>
        <v>Aditya Gokhale</v>
      </c>
      <c r="X467" t="str">
        <f>VLOOKUP(C467,Employee_Lookups!$A$4:$G$9,4,FALSE())</f>
        <v>CC-404</v>
      </c>
      <c r="Y467" t="str">
        <f>INDEX(Employee_Lookups!$C$13:$C$17,MATCH(F467,Employee_Lookups!$A$13:$A$17,0))</f>
        <v>Band B (Mid)</v>
      </c>
      <c r="Z467" s="27">
        <f>_xlfn.XLOOKUP(F467,Employee_Lookups!$A$13:$A$17,Employee_Lookups!$E$13:$E$17,0)</f>
        <v>1100000</v>
      </c>
      <c r="AA467" s="28">
        <f>ROUND(O467/INDEX(Employee_Lookups!$E$13:$E$17,MATCH(F467,Employee_Lookups!$A$13:$A$17,0)),3)</f>
        <v>0.93</v>
      </c>
      <c r="AB467">
        <f t="shared" si="52"/>
        <v>2022</v>
      </c>
      <c r="AC467" t="str">
        <f t="shared" si="53"/>
        <v/>
      </c>
      <c r="AD467" s="28">
        <f>ROUND((IF(ISBLANK(L467),Employee_Lookups!$O$14,L467)-J467)/365.25,2)</f>
        <v>3.8</v>
      </c>
      <c r="AE467" t="str">
        <f t="shared" si="54"/>
        <v>3 - 5 Yrs</v>
      </c>
      <c r="AF467" t="str">
        <f t="shared" si="55"/>
        <v>Low Risk</v>
      </c>
    </row>
    <row r="468" spans="1:32" x14ac:dyDescent="0.45">
      <c r="A468" t="s">
        <v>1055</v>
      </c>
      <c r="B468" t="s">
        <v>947</v>
      </c>
      <c r="C468" t="s">
        <v>53</v>
      </c>
      <c r="D468" t="s">
        <v>52</v>
      </c>
      <c r="E468" t="s">
        <v>192</v>
      </c>
      <c r="F468" t="s">
        <v>83</v>
      </c>
      <c r="G468" t="s">
        <v>193</v>
      </c>
      <c r="H468" t="s">
        <v>108</v>
      </c>
      <c r="I468" t="s">
        <v>107</v>
      </c>
      <c r="J468" s="26">
        <v>44637</v>
      </c>
      <c r="K468" t="s">
        <v>162</v>
      </c>
      <c r="L468" s="26"/>
      <c r="M468" t="s">
        <v>163</v>
      </c>
      <c r="N468" t="s">
        <v>96</v>
      </c>
      <c r="O468" s="27">
        <v>1559000</v>
      </c>
      <c r="P468">
        <v>2</v>
      </c>
      <c r="Q468" t="s">
        <v>164</v>
      </c>
      <c r="R468">
        <v>31</v>
      </c>
      <c r="S468" t="s">
        <v>189</v>
      </c>
      <c r="T468">
        <f t="shared" si="49"/>
        <v>11436</v>
      </c>
      <c r="U468" t="str">
        <f t="shared" si="50"/>
        <v>SAL</v>
      </c>
      <c r="V468" t="str">
        <f t="shared" si="51"/>
        <v>L3</v>
      </c>
      <c r="W468" t="str">
        <f>PROPER(TRIM(VLOOKUP(S468,Employee_Lookups!$I$4:$M$19,2,FALSE())))</f>
        <v>Priya Sharma</v>
      </c>
      <c r="X468" t="str">
        <f>VLOOKUP(C468,Employee_Lookups!$A$4:$G$9,4,FALSE())</f>
        <v>CC-202</v>
      </c>
      <c r="Y468" t="str">
        <f>INDEX(Employee_Lookups!$C$13:$C$17,MATCH(F468,Employee_Lookups!$A$13:$A$17,0))</f>
        <v>Band C (Senior)</v>
      </c>
      <c r="Z468" s="27">
        <f>_xlfn.XLOOKUP(F468,Employee_Lookups!$A$13:$A$17,Employee_Lookups!$E$13:$E$17,0)</f>
        <v>1725000</v>
      </c>
      <c r="AA468" s="28">
        <f>ROUND(O468/INDEX(Employee_Lookups!$E$13:$E$17,MATCH(F468,Employee_Lookups!$A$13:$A$17,0)),3)</f>
        <v>0.90400000000000003</v>
      </c>
      <c r="AB468">
        <f t="shared" si="52"/>
        <v>2022</v>
      </c>
      <c r="AC468" t="str">
        <f t="shared" si="53"/>
        <v/>
      </c>
      <c r="AD468" s="28">
        <f>ROUND((IF(ISBLANK(L468),Employee_Lookups!$O$14,L468)-J468)/365.25,2)</f>
        <v>3.79</v>
      </c>
      <c r="AE468" t="str">
        <f t="shared" si="54"/>
        <v>3 - 5 Yrs</v>
      </c>
      <c r="AF468" t="str">
        <f t="shared" si="55"/>
        <v>Moderate Risk</v>
      </c>
    </row>
    <row r="469" spans="1:32" x14ac:dyDescent="0.45">
      <c r="A469" t="s">
        <v>1056</v>
      </c>
      <c r="B469" t="s">
        <v>1057</v>
      </c>
      <c r="C469" t="s">
        <v>59</v>
      </c>
      <c r="D469" t="s">
        <v>58</v>
      </c>
      <c r="E469" t="s">
        <v>287</v>
      </c>
      <c r="F469" t="s">
        <v>83</v>
      </c>
      <c r="G469" t="s">
        <v>288</v>
      </c>
      <c r="H469" t="s">
        <v>109</v>
      </c>
      <c r="I469" t="s">
        <v>110</v>
      </c>
      <c r="J469" s="26">
        <v>44637</v>
      </c>
      <c r="K469" t="s">
        <v>162</v>
      </c>
      <c r="L469" s="26"/>
      <c r="M469" t="s">
        <v>163</v>
      </c>
      <c r="N469" t="s">
        <v>97</v>
      </c>
      <c r="O469" s="27">
        <v>1815000</v>
      </c>
      <c r="P469">
        <v>5</v>
      </c>
      <c r="Q469" t="s">
        <v>164</v>
      </c>
      <c r="R469">
        <v>0</v>
      </c>
      <c r="S469" t="s">
        <v>214</v>
      </c>
      <c r="T469">
        <f t="shared" si="49"/>
        <v>10241</v>
      </c>
      <c r="U469" t="str">
        <f t="shared" si="50"/>
        <v>FIN</v>
      </c>
      <c r="V469" t="str">
        <f t="shared" si="51"/>
        <v>L3</v>
      </c>
      <c r="W469" t="str">
        <f>PROPER(TRIM(VLOOKUP(S469,Employee_Lookups!$I$4:$M$19,2,FALSE())))</f>
        <v>Aditya Gokhale</v>
      </c>
      <c r="X469" t="str">
        <f>VLOOKUP(C469,Employee_Lookups!$A$4:$G$9,4,FALSE())</f>
        <v>CC-404</v>
      </c>
      <c r="Y469" t="str">
        <f>INDEX(Employee_Lookups!$C$13:$C$17,MATCH(F469,Employee_Lookups!$A$13:$A$17,0))</f>
        <v>Band C (Senior)</v>
      </c>
      <c r="Z469" s="27">
        <f>_xlfn.XLOOKUP(F469,Employee_Lookups!$A$13:$A$17,Employee_Lookups!$E$13:$E$17,0)</f>
        <v>1725000</v>
      </c>
      <c r="AA469" s="28">
        <f>ROUND(O469/INDEX(Employee_Lookups!$E$13:$E$17,MATCH(F469,Employee_Lookups!$A$13:$A$17,0)),3)</f>
        <v>1.052</v>
      </c>
      <c r="AB469">
        <f t="shared" si="52"/>
        <v>2022</v>
      </c>
      <c r="AC469" t="str">
        <f t="shared" si="53"/>
        <v/>
      </c>
      <c r="AD469" s="28">
        <f>ROUND((IF(ISBLANK(L469),Employee_Lookups!$O$14,L469)-J469)/365.25,2)</f>
        <v>3.79</v>
      </c>
      <c r="AE469" t="str">
        <f t="shared" si="54"/>
        <v>3 - 5 Yrs</v>
      </c>
      <c r="AF469" t="str">
        <f t="shared" si="55"/>
        <v>Low Risk</v>
      </c>
    </row>
    <row r="470" spans="1:32" x14ac:dyDescent="0.45">
      <c r="A470" t="s">
        <v>1058</v>
      </c>
      <c r="B470" t="s">
        <v>619</v>
      </c>
      <c r="C470" t="s">
        <v>51</v>
      </c>
      <c r="D470" t="s">
        <v>50</v>
      </c>
      <c r="E470" t="s">
        <v>176</v>
      </c>
      <c r="F470" t="s">
        <v>82</v>
      </c>
      <c r="G470" t="s">
        <v>177</v>
      </c>
      <c r="H470" t="s">
        <v>106</v>
      </c>
      <c r="I470" t="s">
        <v>107</v>
      </c>
      <c r="J470" s="26">
        <v>44638</v>
      </c>
      <c r="K470" t="s">
        <v>170</v>
      </c>
      <c r="L470" s="26">
        <v>45585</v>
      </c>
      <c r="M470" t="s">
        <v>171</v>
      </c>
      <c r="N470" t="s">
        <v>99</v>
      </c>
      <c r="O470" s="27">
        <v>1019000</v>
      </c>
      <c r="P470">
        <v>1</v>
      </c>
      <c r="Q470" t="s">
        <v>164</v>
      </c>
      <c r="R470">
        <v>20</v>
      </c>
      <c r="S470" t="s">
        <v>219</v>
      </c>
      <c r="T470">
        <f t="shared" si="49"/>
        <v>10639</v>
      </c>
      <c r="U470" t="str">
        <f t="shared" si="50"/>
        <v>ENG</v>
      </c>
      <c r="V470" t="str">
        <f t="shared" si="51"/>
        <v>L2</v>
      </c>
      <c r="W470" t="str">
        <f>PROPER(TRIM(VLOOKUP(S470,Employee_Lookups!$I$4:$M$19,2,FALSE())))</f>
        <v>Neha Kulkarni</v>
      </c>
      <c r="X470" t="str">
        <f>VLOOKUP(C470,Employee_Lookups!$A$4:$G$9,4,FALSE())</f>
        <v>CC-101</v>
      </c>
      <c r="Y470" t="str">
        <f>INDEX(Employee_Lookups!$C$13:$C$17,MATCH(F470,Employee_Lookups!$A$13:$A$17,0))</f>
        <v>Band B (Mid)</v>
      </c>
      <c r="Z470" s="27">
        <f>_xlfn.XLOOKUP(F470,Employee_Lookups!$A$13:$A$17,Employee_Lookups!$E$13:$E$17,0)</f>
        <v>1100000</v>
      </c>
      <c r="AA470" s="28">
        <f>ROUND(O470/INDEX(Employee_Lookups!$E$13:$E$17,MATCH(F470,Employee_Lookups!$A$13:$A$17,0)),3)</f>
        <v>0.92600000000000005</v>
      </c>
      <c r="AB470">
        <f t="shared" si="52"/>
        <v>2022</v>
      </c>
      <c r="AC470">
        <f t="shared" si="53"/>
        <v>2024</v>
      </c>
      <c r="AD470" s="28">
        <f>ROUND((IF(ISBLANK(L470),Employee_Lookups!$O$14,L470)-J470)/365.25,2)</f>
        <v>2.59</v>
      </c>
      <c r="AE470" t="str">
        <f t="shared" si="54"/>
        <v>1 - 3 Yrs</v>
      </c>
      <c r="AF470" t="str">
        <f t="shared" si="55"/>
        <v>Exited</v>
      </c>
    </row>
    <row r="471" spans="1:32" x14ac:dyDescent="0.45">
      <c r="A471" t="s">
        <v>1059</v>
      </c>
      <c r="B471" t="s">
        <v>1060</v>
      </c>
      <c r="C471" t="s">
        <v>55</v>
      </c>
      <c r="D471" t="s">
        <v>54</v>
      </c>
      <c r="E471" t="s">
        <v>240</v>
      </c>
      <c r="F471" t="s">
        <v>83</v>
      </c>
      <c r="G471" t="s">
        <v>241</v>
      </c>
      <c r="H471" t="s">
        <v>109</v>
      </c>
      <c r="I471" t="s">
        <v>110</v>
      </c>
      <c r="J471" s="26">
        <v>44639</v>
      </c>
      <c r="K471" t="s">
        <v>170</v>
      </c>
      <c r="L471" s="26">
        <v>44794</v>
      </c>
      <c r="M471" t="s">
        <v>171</v>
      </c>
      <c r="N471" t="s">
        <v>97</v>
      </c>
      <c r="O471" s="27">
        <v>1844000</v>
      </c>
      <c r="P471">
        <v>2</v>
      </c>
      <c r="Q471" t="s">
        <v>164</v>
      </c>
      <c r="R471">
        <v>38</v>
      </c>
      <c r="S471" t="s">
        <v>274</v>
      </c>
      <c r="T471">
        <f t="shared" si="49"/>
        <v>10748</v>
      </c>
      <c r="U471" t="str">
        <f t="shared" si="50"/>
        <v>OPS</v>
      </c>
      <c r="V471" t="str">
        <f t="shared" si="51"/>
        <v>L3</v>
      </c>
      <c r="W471" t="str">
        <f>PROPER(TRIM(VLOOKUP(S471,Employee_Lookups!$I$4:$M$19,2,FALSE())))</f>
        <v>Meera Krishnan</v>
      </c>
      <c r="X471" t="str">
        <f>VLOOKUP(C471,Employee_Lookups!$A$4:$G$9,4,FALSE())</f>
        <v>CC-303</v>
      </c>
      <c r="Y471" t="str">
        <f>INDEX(Employee_Lookups!$C$13:$C$17,MATCH(F471,Employee_Lookups!$A$13:$A$17,0))</f>
        <v>Band C (Senior)</v>
      </c>
      <c r="Z471" s="27">
        <f>_xlfn.XLOOKUP(F471,Employee_Lookups!$A$13:$A$17,Employee_Lookups!$E$13:$E$17,0)</f>
        <v>1725000</v>
      </c>
      <c r="AA471" s="28">
        <f>ROUND(O471/INDEX(Employee_Lookups!$E$13:$E$17,MATCH(F471,Employee_Lookups!$A$13:$A$17,0)),3)</f>
        <v>1.069</v>
      </c>
      <c r="AB471">
        <f t="shared" si="52"/>
        <v>2022</v>
      </c>
      <c r="AC471">
        <f t="shared" si="53"/>
        <v>2022</v>
      </c>
      <c r="AD471" s="28">
        <f>ROUND((IF(ISBLANK(L471),Employee_Lookups!$O$14,L471)-J471)/365.25,2)</f>
        <v>0.42</v>
      </c>
      <c r="AE471" t="str">
        <f t="shared" si="54"/>
        <v>&lt; 1 Yr (New)</v>
      </c>
      <c r="AF471" t="str">
        <f t="shared" si="55"/>
        <v>Exited</v>
      </c>
    </row>
    <row r="472" spans="1:32" x14ac:dyDescent="0.45">
      <c r="A472" t="s">
        <v>1061</v>
      </c>
      <c r="B472" t="s">
        <v>1062</v>
      </c>
      <c r="C472" t="s">
        <v>59</v>
      </c>
      <c r="D472" t="s">
        <v>58</v>
      </c>
      <c r="E472" t="s">
        <v>206</v>
      </c>
      <c r="F472" t="s">
        <v>81</v>
      </c>
      <c r="G472" t="s">
        <v>207</v>
      </c>
      <c r="H472" t="s">
        <v>109</v>
      </c>
      <c r="I472" t="s">
        <v>110</v>
      </c>
      <c r="J472" s="26">
        <v>44639</v>
      </c>
      <c r="K472" t="s">
        <v>162</v>
      </c>
      <c r="L472" s="26"/>
      <c r="M472" t="s">
        <v>163</v>
      </c>
      <c r="N472" t="s">
        <v>98</v>
      </c>
      <c r="O472" s="27">
        <v>623000</v>
      </c>
      <c r="P472">
        <v>2</v>
      </c>
      <c r="Q472" t="s">
        <v>164</v>
      </c>
      <c r="R472">
        <v>42</v>
      </c>
      <c r="S472" t="s">
        <v>214</v>
      </c>
      <c r="T472">
        <f t="shared" si="49"/>
        <v>11286</v>
      </c>
      <c r="U472" t="str">
        <f t="shared" si="50"/>
        <v>FIN</v>
      </c>
      <c r="V472" t="str">
        <f t="shared" si="51"/>
        <v>L1</v>
      </c>
      <c r="W472" t="str">
        <f>PROPER(TRIM(VLOOKUP(S472,Employee_Lookups!$I$4:$M$19,2,FALSE())))</f>
        <v>Aditya Gokhale</v>
      </c>
      <c r="X472" t="str">
        <f>VLOOKUP(C472,Employee_Lookups!$A$4:$G$9,4,FALSE())</f>
        <v>CC-404</v>
      </c>
      <c r="Y472" t="str">
        <f>INDEX(Employee_Lookups!$C$13:$C$17,MATCH(F472,Employee_Lookups!$A$13:$A$17,0))</f>
        <v>Band A (Entry)</v>
      </c>
      <c r="Z472" s="27">
        <f>_xlfn.XLOOKUP(F472,Employee_Lookups!$A$13:$A$17,Employee_Lookups!$E$13:$E$17,0)</f>
        <v>700000</v>
      </c>
      <c r="AA472" s="28">
        <f>ROUND(O472/INDEX(Employee_Lookups!$E$13:$E$17,MATCH(F472,Employee_Lookups!$A$13:$A$17,0)),3)</f>
        <v>0.89</v>
      </c>
      <c r="AB472">
        <f t="shared" si="52"/>
        <v>2022</v>
      </c>
      <c r="AC472" t="str">
        <f t="shared" si="53"/>
        <v/>
      </c>
      <c r="AD472" s="28">
        <f>ROUND((IF(ISBLANK(L472),Employee_Lookups!$O$14,L472)-J472)/365.25,2)</f>
        <v>3.79</v>
      </c>
      <c r="AE472" t="str">
        <f t="shared" si="54"/>
        <v>3 - 5 Yrs</v>
      </c>
      <c r="AF472" t="str">
        <f t="shared" si="55"/>
        <v>Moderate Risk</v>
      </c>
    </row>
    <row r="473" spans="1:32" x14ac:dyDescent="0.45">
      <c r="A473" t="s">
        <v>1063</v>
      </c>
      <c r="B473" t="s">
        <v>1064</v>
      </c>
      <c r="C473" t="s">
        <v>55</v>
      </c>
      <c r="D473" t="s">
        <v>54</v>
      </c>
      <c r="E473" t="s">
        <v>277</v>
      </c>
      <c r="F473" t="s">
        <v>81</v>
      </c>
      <c r="G473" t="s">
        <v>278</v>
      </c>
      <c r="H473" t="s">
        <v>109</v>
      </c>
      <c r="I473" t="s">
        <v>110</v>
      </c>
      <c r="J473" s="26">
        <v>44641</v>
      </c>
      <c r="K473" t="s">
        <v>187</v>
      </c>
      <c r="L473" s="26">
        <v>45061</v>
      </c>
      <c r="M473" t="s">
        <v>308</v>
      </c>
      <c r="N473" t="s">
        <v>97</v>
      </c>
      <c r="O473" s="27">
        <v>657000</v>
      </c>
      <c r="P473">
        <v>3</v>
      </c>
      <c r="Q473" t="s">
        <v>172</v>
      </c>
      <c r="R473">
        <v>25</v>
      </c>
      <c r="S473" t="s">
        <v>274</v>
      </c>
      <c r="T473">
        <f t="shared" si="49"/>
        <v>11025</v>
      </c>
      <c r="U473" t="str">
        <f t="shared" si="50"/>
        <v>OPS</v>
      </c>
      <c r="V473" t="str">
        <f t="shared" si="51"/>
        <v>L1</v>
      </c>
      <c r="W473" t="str">
        <f>PROPER(TRIM(VLOOKUP(S473,Employee_Lookups!$I$4:$M$19,2,FALSE())))</f>
        <v>Meera Krishnan</v>
      </c>
      <c r="X473" t="str">
        <f>VLOOKUP(C473,Employee_Lookups!$A$4:$G$9,4,FALSE())</f>
        <v>CC-303</v>
      </c>
      <c r="Y473" t="str">
        <f>INDEX(Employee_Lookups!$C$13:$C$17,MATCH(F473,Employee_Lookups!$A$13:$A$17,0))</f>
        <v>Band A (Entry)</v>
      </c>
      <c r="Z473" s="27">
        <f>_xlfn.XLOOKUP(F473,Employee_Lookups!$A$13:$A$17,Employee_Lookups!$E$13:$E$17,0)</f>
        <v>700000</v>
      </c>
      <c r="AA473" s="28">
        <f>ROUND(O473/INDEX(Employee_Lookups!$E$13:$E$17,MATCH(F473,Employee_Lookups!$A$13:$A$17,0)),3)</f>
        <v>0.93899999999999995</v>
      </c>
      <c r="AB473">
        <f t="shared" si="52"/>
        <v>2022</v>
      </c>
      <c r="AC473">
        <f t="shared" si="53"/>
        <v>2023</v>
      </c>
      <c r="AD473" s="28">
        <f>ROUND((IF(ISBLANK(L473),Employee_Lookups!$O$14,L473)-J473)/365.25,2)</f>
        <v>1.1499999999999999</v>
      </c>
      <c r="AE473" t="str">
        <f t="shared" si="54"/>
        <v>1 - 3 Yrs</v>
      </c>
      <c r="AF473" t="str">
        <f t="shared" si="55"/>
        <v>Exited</v>
      </c>
    </row>
    <row r="474" spans="1:32" x14ac:dyDescent="0.45">
      <c r="A474" t="s">
        <v>1065</v>
      </c>
      <c r="B474" t="s">
        <v>1066</v>
      </c>
      <c r="C474" t="s">
        <v>51</v>
      </c>
      <c r="D474" t="s">
        <v>50</v>
      </c>
      <c r="E474" t="s">
        <v>397</v>
      </c>
      <c r="F474" t="s">
        <v>84</v>
      </c>
      <c r="G474" t="s">
        <v>398</v>
      </c>
      <c r="H474" t="s">
        <v>106</v>
      </c>
      <c r="I474" t="s">
        <v>107</v>
      </c>
      <c r="J474" s="26">
        <v>44642</v>
      </c>
      <c r="K474" t="s">
        <v>162</v>
      </c>
      <c r="L474" s="26"/>
      <c r="M474" t="s">
        <v>163</v>
      </c>
      <c r="N474" t="s">
        <v>97</v>
      </c>
      <c r="O474" s="27">
        <v>2815000</v>
      </c>
      <c r="P474">
        <v>5</v>
      </c>
      <c r="Q474" t="s">
        <v>164</v>
      </c>
      <c r="R474">
        <v>36</v>
      </c>
      <c r="S474" t="s">
        <v>219</v>
      </c>
      <c r="T474">
        <f t="shared" si="49"/>
        <v>10020</v>
      </c>
      <c r="U474" t="str">
        <f t="shared" si="50"/>
        <v>ENG</v>
      </c>
      <c r="V474" t="str">
        <f t="shared" si="51"/>
        <v>L4</v>
      </c>
      <c r="W474" t="str">
        <f>PROPER(TRIM(VLOOKUP(S474,Employee_Lookups!$I$4:$M$19,2,FALSE())))</f>
        <v>Neha Kulkarni</v>
      </c>
      <c r="X474" t="str">
        <f>VLOOKUP(C474,Employee_Lookups!$A$4:$G$9,4,FALSE())</f>
        <v>CC-101</v>
      </c>
      <c r="Y474" t="str">
        <f>INDEX(Employee_Lookups!$C$13:$C$17,MATCH(F474,Employee_Lookups!$A$13:$A$17,0))</f>
        <v>Band D (Leadership)</v>
      </c>
      <c r="Z474" s="27">
        <f>_xlfn.XLOOKUP(F474,Employee_Lookups!$A$13:$A$17,Employee_Lookups!$E$13:$E$17,0)</f>
        <v>2750000</v>
      </c>
      <c r="AA474" s="28">
        <f>ROUND(O474/INDEX(Employee_Lookups!$E$13:$E$17,MATCH(F474,Employee_Lookups!$A$13:$A$17,0)),3)</f>
        <v>1.024</v>
      </c>
      <c r="AB474">
        <f t="shared" si="52"/>
        <v>2022</v>
      </c>
      <c r="AC474" t="str">
        <f t="shared" si="53"/>
        <v/>
      </c>
      <c r="AD474" s="28">
        <f>ROUND((IF(ISBLANK(L474),Employee_Lookups!$O$14,L474)-J474)/365.25,2)</f>
        <v>3.78</v>
      </c>
      <c r="AE474" t="str">
        <f t="shared" si="54"/>
        <v>3 - 5 Yrs</v>
      </c>
      <c r="AF474" t="str">
        <f t="shared" si="55"/>
        <v>Low Risk</v>
      </c>
    </row>
    <row r="475" spans="1:32" x14ac:dyDescent="0.45">
      <c r="A475" t="s">
        <v>1067</v>
      </c>
      <c r="B475" t="s">
        <v>511</v>
      </c>
      <c r="C475" t="s">
        <v>53</v>
      </c>
      <c r="D475" t="s">
        <v>52</v>
      </c>
      <c r="E475" t="s">
        <v>322</v>
      </c>
      <c r="F475" t="s">
        <v>81</v>
      </c>
      <c r="G475" t="s">
        <v>323</v>
      </c>
      <c r="H475" t="s">
        <v>106</v>
      </c>
      <c r="I475" t="s">
        <v>107</v>
      </c>
      <c r="J475" s="26">
        <v>44643</v>
      </c>
      <c r="K475" t="s">
        <v>187</v>
      </c>
      <c r="L475" s="26">
        <v>45343</v>
      </c>
      <c r="M475" t="s">
        <v>269</v>
      </c>
      <c r="N475" t="s">
        <v>98</v>
      </c>
      <c r="O475" s="27">
        <v>837000</v>
      </c>
      <c r="P475">
        <v>3</v>
      </c>
      <c r="Q475" t="s">
        <v>164</v>
      </c>
      <c r="R475">
        <v>41</v>
      </c>
      <c r="S475" t="s">
        <v>237</v>
      </c>
      <c r="T475">
        <f t="shared" si="49"/>
        <v>10502</v>
      </c>
      <c r="U475" t="str">
        <f t="shared" si="50"/>
        <v>SAL</v>
      </c>
      <c r="V475" t="str">
        <f t="shared" si="51"/>
        <v>L1</v>
      </c>
      <c r="W475" t="str">
        <f>PROPER(TRIM(VLOOKUP(S475,Employee_Lookups!$I$4:$M$19,2,FALSE())))</f>
        <v>Karan Malhotra</v>
      </c>
      <c r="X475" t="str">
        <f>VLOOKUP(C475,Employee_Lookups!$A$4:$G$9,4,FALSE())</f>
        <v>CC-202</v>
      </c>
      <c r="Y475" t="str">
        <f>INDEX(Employee_Lookups!$C$13:$C$17,MATCH(F475,Employee_Lookups!$A$13:$A$17,0))</f>
        <v>Band A (Entry)</v>
      </c>
      <c r="Z475" s="27">
        <f>_xlfn.XLOOKUP(F475,Employee_Lookups!$A$13:$A$17,Employee_Lookups!$E$13:$E$17,0)</f>
        <v>700000</v>
      </c>
      <c r="AA475" s="28">
        <f>ROUND(O475/INDEX(Employee_Lookups!$E$13:$E$17,MATCH(F475,Employee_Lookups!$A$13:$A$17,0)),3)</f>
        <v>1.196</v>
      </c>
      <c r="AB475">
        <f t="shared" si="52"/>
        <v>2022</v>
      </c>
      <c r="AC475">
        <f t="shared" si="53"/>
        <v>2024</v>
      </c>
      <c r="AD475" s="28">
        <f>ROUND((IF(ISBLANK(L475),Employee_Lookups!$O$14,L475)-J475)/365.25,2)</f>
        <v>1.92</v>
      </c>
      <c r="AE475" t="str">
        <f t="shared" si="54"/>
        <v>1 - 3 Yrs</v>
      </c>
      <c r="AF475" t="str">
        <f t="shared" si="55"/>
        <v>Exited</v>
      </c>
    </row>
    <row r="476" spans="1:32" x14ac:dyDescent="0.45">
      <c r="A476" t="s">
        <v>1068</v>
      </c>
      <c r="B476" t="s">
        <v>1069</v>
      </c>
      <c r="C476" t="s">
        <v>51</v>
      </c>
      <c r="D476" t="s">
        <v>50</v>
      </c>
      <c r="E476" t="s">
        <v>176</v>
      </c>
      <c r="F476" t="s">
        <v>82</v>
      </c>
      <c r="G476" t="s">
        <v>177</v>
      </c>
      <c r="H476" t="s">
        <v>106</v>
      </c>
      <c r="I476" t="s">
        <v>107</v>
      </c>
      <c r="J476" s="26">
        <v>44645</v>
      </c>
      <c r="K476" t="s">
        <v>162</v>
      </c>
      <c r="L476" s="26"/>
      <c r="M476" t="s">
        <v>163</v>
      </c>
      <c r="N476" t="s">
        <v>99</v>
      </c>
      <c r="O476" s="27">
        <v>1297000</v>
      </c>
      <c r="P476">
        <v>2</v>
      </c>
      <c r="Q476" t="s">
        <v>164</v>
      </c>
      <c r="R476">
        <v>41</v>
      </c>
      <c r="S476" t="s">
        <v>178</v>
      </c>
      <c r="T476">
        <f t="shared" si="49"/>
        <v>10682</v>
      </c>
      <c r="U476" t="str">
        <f t="shared" si="50"/>
        <v>ENG</v>
      </c>
      <c r="V476" t="str">
        <f t="shared" si="51"/>
        <v>L2</v>
      </c>
      <c r="W476" t="str">
        <f>PROPER(TRIM(VLOOKUP(S476,Employee_Lookups!$I$4:$M$19,2,FALSE())))</f>
        <v>Aarav Deshmukh</v>
      </c>
      <c r="X476" t="str">
        <f>VLOOKUP(C476,Employee_Lookups!$A$4:$G$9,4,FALSE())</f>
        <v>CC-101</v>
      </c>
      <c r="Y476" t="str">
        <f>INDEX(Employee_Lookups!$C$13:$C$17,MATCH(F476,Employee_Lookups!$A$13:$A$17,0))</f>
        <v>Band B (Mid)</v>
      </c>
      <c r="Z476" s="27">
        <f>_xlfn.XLOOKUP(F476,Employee_Lookups!$A$13:$A$17,Employee_Lookups!$E$13:$E$17,0)</f>
        <v>1100000</v>
      </c>
      <c r="AA476" s="28">
        <f>ROUND(O476/INDEX(Employee_Lookups!$E$13:$E$17,MATCH(F476,Employee_Lookups!$A$13:$A$17,0)),3)</f>
        <v>1.179</v>
      </c>
      <c r="AB476">
        <f t="shared" si="52"/>
        <v>2022</v>
      </c>
      <c r="AC476" t="str">
        <f t="shared" si="53"/>
        <v/>
      </c>
      <c r="AD476" s="28">
        <f>ROUND((IF(ISBLANK(L476),Employee_Lookups!$O$14,L476)-J476)/365.25,2)</f>
        <v>3.77</v>
      </c>
      <c r="AE476" t="str">
        <f t="shared" si="54"/>
        <v>3 - 5 Yrs</v>
      </c>
      <c r="AF476" t="str">
        <f t="shared" si="55"/>
        <v>Moderate Risk</v>
      </c>
    </row>
    <row r="477" spans="1:32" x14ac:dyDescent="0.45">
      <c r="A477" t="s">
        <v>1070</v>
      </c>
      <c r="B477" t="s">
        <v>814</v>
      </c>
      <c r="C477" t="s">
        <v>59</v>
      </c>
      <c r="D477" t="s">
        <v>58</v>
      </c>
      <c r="E477" t="s">
        <v>211</v>
      </c>
      <c r="F477" t="s">
        <v>82</v>
      </c>
      <c r="G477" t="s">
        <v>212</v>
      </c>
      <c r="H477" t="s">
        <v>109</v>
      </c>
      <c r="I477" t="s">
        <v>110</v>
      </c>
      <c r="J477" s="26">
        <v>44645</v>
      </c>
      <c r="K477" t="s">
        <v>162</v>
      </c>
      <c r="L477" s="26"/>
      <c r="M477" t="s">
        <v>163</v>
      </c>
      <c r="N477" t="s">
        <v>95</v>
      </c>
      <c r="O477" s="27">
        <v>1261000</v>
      </c>
      <c r="P477">
        <v>4</v>
      </c>
      <c r="Q477" t="s">
        <v>164</v>
      </c>
      <c r="R477">
        <v>26</v>
      </c>
      <c r="S477" t="s">
        <v>214</v>
      </c>
      <c r="T477">
        <f t="shared" si="49"/>
        <v>10711</v>
      </c>
      <c r="U477" t="str">
        <f t="shared" si="50"/>
        <v>FIN</v>
      </c>
      <c r="V477" t="str">
        <f t="shared" si="51"/>
        <v>L2</v>
      </c>
      <c r="W477" t="str">
        <f>PROPER(TRIM(VLOOKUP(S477,Employee_Lookups!$I$4:$M$19,2,FALSE())))</f>
        <v>Aditya Gokhale</v>
      </c>
      <c r="X477" t="str">
        <f>VLOOKUP(C477,Employee_Lookups!$A$4:$G$9,4,FALSE())</f>
        <v>CC-404</v>
      </c>
      <c r="Y477" t="str">
        <f>INDEX(Employee_Lookups!$C$13:$C$17,MATCH(F477,Employee_Lookups!$A$13:$A$17,0))</f>
        <v>Band B (Mid)</v>
      </c>
      <c r="Z477" s="27">
        <f>_xlfn.XLOOKUP(F477,Employee_Lookups!$A$13:$A$17,Employee_Lookups!$E$13:$E$17,0)</f>
        <v>1100000</v>
      </c>
      <c r="AA477" s="28">
        <f>ROUND(O477/INDEX(Employee_Lookups!$E$13:$E$17,MATCH(F477,Employee_Lookups!$A$13:$A$17,0)),3)</f>
        <v>1.1459999999999999</v>
      </c>
      <c r="AB477">
        <f t="shared" si="52"/>
        <v>2022</v>
      </c>
      <c r="AC477" t="str">
        <f t="shared" si="53"/>
        <v/>
      </c>
      <c r="AD477" s="28">
        <f>ROUND((IF(ISBLANK(L477),Employee_Lookups!$O$14,L477)-J477)/365.25,2)</f>
        <v>3.77</v>
      </c>
      <c r="AE477" t="str">
        <f t="shared" si="54"/>
        <v>3 - 5 Yrs</v>
      </c>
      <c r="AF477" t="str">
        <f t="shared" si="55"/>
        <v>Low Risk</v>
      </c>
    </row>
    <row r="478" spans="1:32" x14ac:dyDescent="0.45">
      <c r="A478" t="s">
        <v>1071</v>
      </c>
      <c r="B478" t="s">
        <v>266</v>
      </c>
      <c r="C478" t="s">
        <v>59</v>
      </c>
      <c r="D478" t="s">
        <v>58</v>
      </c>
      <c r="E478" t="s">
        <v>206</v>
      </c>
      <c r="F478" t="s">
        <v>81</v>
      </c>
      <c r="G478" t="s">
        <v>207</v>
      </c>
      <c r="H478" t="s">
        <v>106</v>
      </c>
      <c r="I478" t="s">
        <v>107</v>
      </c>
      <c r="J478" s="26">
        <v>44645</v>
      </c>
      <c r="K478" t="s">
        <v>162</v>
      </c>
      <c r="L478" s="26"/>
      <c r="M478" t="s">
        <v>163</v>
      </c>
      <c r="N478" t="s">
        <v>99</v>
      </c>
      <c r="O478" s="27">
        <v>641000</v>
      </c>
      <c r="P478">
        <v>2</v>
      </c>
      <c r="Q478" t="s">
        <v>172</v>
      </c>
      <c r="R478">
        <v>22</v>
      </c>
      <c r="S478" t="s">
        <v>208</v>
      </c>
      <c r="T478">
        <f t="shared" si="49"/>
        <v>11340</v>
      </c>
      <c r="U478" t="str">
        <f t="shared" si="50"/>
        <v>FIN</v>
      </c>
      <c r="V478" t="str">
        <f t="shared" si="51"/>
        <v>L1</v>
      </c>
      <c r="W478" t="str">
        <f>PROPER(TRIM(VLOOKUP(S478,Employee_Lookups!$I$4:$M$19,2,FALSE())))</f>
        <v>Rajeshwari Rao</v>
      </c>
      <c r="X478" t="str">
        <f>VLOOKUP(C478,Employee_Lookups!$A$4:$G$9,4,FALSE())</f>
        <v>CC-404</v>
      </c>
      <c r="Y478" t="str">
        <f>INDEX(Employee_Lookups!$C$13:$C$17,MATCH(F478,Employee_Lookups!$A$13:$A$17,0))</f>
        <v>Band A (Entry)</v>
      </c>
      <c r="Z478" s="27">
        <f>_xlfn.XLOOKUP(F478,Employee_Lookups!$A$13:$A$17,Employee_Lookups!$E$13:$E$17,0)</f>
        <v>700000</v>
      </c>
      <c r="AA478" s="28">
        <f>ROUND(O478/INDEX(Employee_Lookups!$E$13:$E$17,MATCH(F478,Employee_Lookups!$A$13:$A$17,0)),3)</f>
        <v>0.91600000000000004</v>
      </c>
      <c r="AB478">
        <f t="shared" si="52"/>
        <v>2022</v>
      </c>
      <c r="AC478" t="str">
        <f t="shared" si="53"/>
        <v/>
      </c>
      <c r="AD478" s="28">
        <f>ROUND((IF(ISBLANK(L478),Employee_Lookups!$O$14,L478)-J478)/365.25,2)</f>
        <v>3.77</v>
      </c>
      <c r="AE478" t="str">
        <f t="shared" si="54"/>
        <v>3 - 5 Yrs</v>
      </c>
      <c r="AF478" t="str">
        <f t="shared" si="55"/>
        <v>High Risk</v>
      </c>
    </row>
    <row r="479" spans="1:32" x14ac:dyDescent="0.45">
      <c r="A479" t="s">
        <v>1072</v>
      </c>
      <c r="B479" t="s">
        <v>860</v>
      </c>
      <c r="C479" t="s">
        <v>51</v>
      </c>
      <c r="D479" t="s">
        <v>50</v>
      </c>
      <c r="E479" t="s">
        <v>181</v>
      </c>
      <c r="F479" t="s">
        <v>81</v>
      </c>
      <c r="G479" t="s">
        <v>182</v>
      </c>
      <c r="H479" t="s">
        <v>106</v>
      </c>
      <c r="I479" t="s">
        <v>107</v>
      </c>
      <c r="J479" s="26">
        <v>44647</v>
      </c>
      <c r="K479" t="s">
        <v>187</v>
      </c>
      <c r="L479" s="26">
        <v>44915</v>
      </c>
      <c r="M479" t="s">
        <v>213</v>
      </c>
      <c r="N479" t="s">
        <v>99</v>
      </c>
      <c r="O479" s="27">
        <v>570000</v>
      </c>
      <c r="P479">
        <v>3</v>
      </c>
      <c r="Q479" t="s">
        <v>164</v>
      </c>
      <c r="R479">
        <v>58</v>
      </c>
      <c r="S479" t="s">
        <v>244</v>
      </c>
      <c r="T479">
        <f t="shared" si="49"/>
        <v>10294</v>
      </c>
      <c r="U479" t="str">
        <f t="shared" si="50"/>
        <v>ENG</v>
      </c>
      <c r="V479" t="str">
        <f t="shared" si="51"/>
        <v>L1</v>
      </c>
      <c r="W479" t="str">
        <f>PROPER(TRIM(VLOOKUP(S479,Employee_Lookups!$I$4:$M$19,2,FALSE())))</f>
        <v>Siddharth Nair</v>
      </c>
      <c r="X479" t="str">
        <f>VLOOKUP(C479,Employee_Lookups!$A$4:$G$9,4,FALSE())</f>
        <v>CC-101</v>
      </c>
      <c r="Y479" t="str">
        <f>INDEX(Employee_Lookups!$C$13:$C$17,MATCH(F479,Employee_Lookups!$A$13:$A$17,0))</f>
        <v>Band A (Entry)</v>
      </c>
      <c r="Z479" s="27">
        <f>_xlfn.XLOOKUP(F479,Employee_Lookups!$A$13:$A$17,Employee_Lookups!$E$13:$E$17,0)</f>
        <v>700000</v>
      </c>
      <c r="AA479" s="28">
        <f>ROUND(O479/INDEX(Employee_Lookups!$E$13:$E$17,MATCH(F479,Employee_Lookups!$A$13:$A$17,0)),3)</f>
        <v>0.81399999999999995</v>
      </c>
      <c r="AB479">
        <f t="shared" si="52"/>
        <v>2022</v>
      </c>
      <c r="AC479">
        <f t="shared" si="53"/>
        <v>2022</v>
      </c>
      <c r="AD479" s="28">
        <f>ROUND((IF(ISBLANK(L479),Employee_Lookups!$O$14,L479)-J479)/365.25,2)</f>
        <v>0.73</v>
      </c>
      <c r="AE479" t="str">
        <f t="shared" si="54"/>
        <v>&lt; 1 Yr (New)</v>
      </c>
      <c r="AF479" t="str">
        <f t="shared" si="55"/>
        <v>Exited</v>
      </c>
    </row>
    <row r="480" spans="1:32" x14ac:dyDescent="0.45">
      <c r="A480" t="s">
        <v>1073</v>
      </c>
      <c r="B480" t="s">
        <v>372</v>
      </c>
      <c r="C480" t="s">
        <v>51</v>
      </c>
      <c r="D480" t="s">
        <v>50</v>
      </c>
      <c r="E480" t="s">
        <v>181</v>
      </c>
      <c r="F480" t="s">
        <v>81</v>
      </c>
      <c r="G480" t="s">
        <v>182</v>
      </c>
      <c r="H480" t="s">
        <v>109</v>
      </c>
      <c r="I480" t="s">
        <v>110</v>
      </c>
      <c r="J480" s="26">
        <v>44647</v>
      </c>
      <c r="K480" t="s">
        <v>187</v>
      </c>
      <c r="L480" s="26">
        <v>45421</v>
      </c>
      <c r="M480" t="s">
        <v>213</v>
      </c>
      <c r="N480" t="s">
        <v>96</v>
      </c>
      <c r="O480" s="27">
        <v>785000</v>
      </c>
      <c r="P480">
        <v>3</v>
      </c>
      <c r="Q480" t="s">
        <v>172</v>
      </c>
      <c r="R480">
        <v>40</v>
      </c>
      <c r="S480" t="s">
        <v>197</v>
      </c>
      <c r="T480">
        <f t="shared" si="49"/>
        <v>10505</v>
      </c>
      <c r="U480" t="str">
        <f t="shared" si="50"/>
        <v>ENG</v>
      </c>
      <c r="V480" t="str">
        <f t="shared" si="51"/>
        <v>L1</v>
      </c>
      <c r="W480" t="str">
        <f>PROPER(TRIM(VLOOKUP(S480,Employee_Lookups!$I$4:$M$19,2,FALSE())))</f>
        <v>Rohan Verma</v>
      </c>
      <c r="X480" t="str">
        <f>VLOOKUP(C480,Employee_Lookups!$A$4:$G$9,4,FALSE())</f>
        <v>CC-101</v>
      </c>
      <c r="Y480" t="str">
        <f>INDEX(Employee_Lookups!$C$13:$C$17,MATCH(F480,Employee_Lookups!$A$13:$A$17,0))</f>
        <v>Band A (Entry)</v>
      </c>
      <c r="Z480" s="27">
        <f>_xlfn.XLOOKUP(F480,Employee_Lookups!$A$13:$A$17,Employee_Lookups!$E$13:$E$17,0)</f>
        <v>700000</v>
      </c>
      <c r="AA480" s="28">
        <f>ROUND(O480/INDEX(Employee_Lookups!$E$13:$E$17,MATCH(F480,Employee_Lookups!$A$13:$A$17,0)),3)</f>
        <v>1.121</v>
      </c>
      <c r="AB480">
        <f t="shared" si="52"/>
        <v>2022</v>
      </c>
      <c r="AC480">
        <f t="shared" si="53"/>
        <v>2024</v>
      </c>
      <c r="AD480" s="28">
        <f>ROUND((IF(ISBLANK(L480),Employee_Lookups!$O$14,L480)-J480)/365.25,2)</f>
        <v>2.12</v>
      </c>
      <c r="AE480" t="str">
        <f t="shared" si="54"/>
        <v>1 - 3 Yrs</v>
      </c>
      <c r="AF480" t="str">
        <f t="shared" si="55"/>
        <v>Exited</v>
      </c>
    </row>
    <row r="481" spans="1:32" x14ac:dyDescent="0.45">
      <c r="A481" t="s">
        <v>1074</v>
      </c>
      <c r="B481" t="s">
        <v>250</v>
      </c>
      <c r="C481" t="s">
        <v>53</v>
      </c>
      <c r="D481" t="s">
        <v>52</v>
      </c>
      <c r="E481" t="s">
        <v>322</v>
      </c>
      <c r="F481" t="s">
        <v>81</v>
      </c>
      <c r="G481" t="s">
        <v>323</v>
      </c>
      <c r="H481" t="s">
        <v>106</v>
      </c>
      <c r="I481" t="s">
        <v>107</v>
      </c>
      <c r="J481" s="26">
        <v>44647</v>
      </c>
      <c r="K481" t="s">
        <v>187</v>
      </c>
      <c r="L481" s="26">
        <v>45470</v>
      </c>
      <c r="M481" t="s">
        <v>308</v>
      </c>
      <c r="N481" t="s">
        <v>95</v>
      </c>
      <c r="O481" s="27">
        <v>758000</v>
      </c>
      <c r="P481">
        <v>3</v>
      </c>
      <c r="Q481" t="s">
        <v>172</v>
      </c>
      <c r="R481">
        <v>41</v>
      </c>
      <c r="S481" t="s">
        <v>189</v>
      </c>
      <c r="T481">
        <f t="shared" si="49"/>
        <v>11107</v>
      </c>
      <c r="U481" t="str">
        <f t="shared" si="50"/>
        <v>SAL</v>
      </c>
      <c r="V481" t="str">
        <f t="shared" si="51"/>
        <v>L1</v>
      </c>
      <c r="W481" t="str">
        <f>PROPER(TRIM(VLOOKUP(S481,Employee_Lookups!$I$4:$M$19,2,FALSE())))</f>
        <v>Priya Sharma</v>
      </c>
      <c r="X481" t="str">
        <f>VLOOKUP(C481,Employee_Lookups!$A$4:$G$9,4,FALSE())</f>
        <v>CC-202</v>
      </c>
      <c r="Y481" t="str">
        <f>INDEX(Employee_Lookups!$C$13:$C$17,MATCH(F481,Employee_Lookups!$A$13:$A$17,0))</f>
        <v>Band A (Entry)</v>
      </c>
      <c r="Z481" s="27">
        <f>_xlfn.XLOOKUP(F481,Employee_Lookups!$A$13:$A$17,Employee_Lookups!$E$13:$E$17,0)</f>
        <v>700000</v>
      </c>
      <c r="AA481" s="28">
        <f>ROUND(O481/INDEX(Employee_Lookups!$E$13:$E$17,MATCH(F481,Employee_Lookups!$A$13:$A$17,0)),3)</f>
        <v>1.083</v>
      </c>
      <c r="AB481">
        <f t="shared" si="52"/>
        <v>2022</v>
      </c>
      <c r="AC481">
        <f t="shared" si="53"/>
        <v>2024</v>
      </c>
      <c r="AD481" s="28">
        <f>ROUND((IF(ISBLANK(L481),Employee_Lookups!$O$14,L481)-J481)/365.25,2)</f>
        <v>2.25</v>
      </c>
      <c r="AE481" t="str">
        <f t="shared" si="54"/>
        <v>1 - 3 Yrs</v>
      </c>
      <c r="AF481" t="str">
        <f t="shared" si="55"/>
        <v>Exited</v>
      </c>
    </row>
    <row r="482" spans="1:32" x14ac:dyDescent="0.45">
      <c r="A482" t="s">
        <v>1075</v>
      </c>
      <c r="B482" t="s">
        <v>858</v>
      </c>
      <c r="C482" t="s">
        <v>51</v>
      </c>
      <c r="D482" t="s">
        <v>50</v>
      </c>
      <c r="E482" t="s">
        <v>181</v>
      </c>
      <c r="F482" t="s">
        <v>81</v>
      </c>
      <c r="G482" t="s">
        <v>182</v>
      </c>
      <c r="H482" t="s">
        <v>109</v>
      </c>
      <c r="I482" t="s">
        <v>110</v>
      </c>
      <c r="J482" s="26">
        <v>44653</v>
      </c>
      <c r="K482" t="s">
        <v>162</v>
      </c>
      <c r="L482" s="26"/>
      <c r="M482" t="s">
        <v>163</v>
      </c>
      <c r="N482" t="s">
        <v>95</v>
      </c>
      <c r="O482" s="27">
        <v>816000</v>
      </c>
      <c r="P482">
        <v>3</v>
      </c>
      <c r="Q482" t="s">
        <v>164</v>
      </c>
      <c r="R482">
        <v>24</v>
      </c>
      <c r="S482" t="s">
        <v>197</v>
      </c>
      <c r="T482">
        <f t="shared" si="49"/>
        <v>10201</v>
      </c>
      <c r="U482" t="str">
        <f t="shared" si="50"/>
        <v>ENG</v>
      </c>
      <c r="V482" t="str">
        <f t="shared" si="51"/>
        <v>L1</v>
      </c>
      <c r="W482" t="str">
        <f>PROPER(TRIM(VLOOKUP(S482,Employee_Lookups!$I$4:$M$19,2,FALSE())))</f>
        <v>Rohan Verma</v>
      </c>
      <c r="X482" t="str">
        <f>VLOOKUP(C482,Employee_Lookups!$A$4:$G$9,4,FALSE())</f>
        <v>CC-101</v>
      </c>
      <c r="Y482" t="str">
        <f>INDEX(Employee_Lookups!$C$13:$C$17,MATCH(F482,Employee_Lookups!$A$13:$A$17,0))</f>
        <v>Band A (Entry)</v>
      </c>
      <c r="Z482" s="27">
        <f>_xlfn.XLOOKUP(F482,Employee_Lookups!$A$13:$A$17,Employee_Lookups!$E$13:$E$17,0)</f>
        <v>700000</v>
      </c>
      <c r="AA482" s="28">
        <f>ROUND(O482/INDEX(Employee_Lookups!$E$13:$E$17,MATCH(F482,Employee_Lookups!$A$13:$A$17,0)),3)</f>
        <v>1.1659999999999999</v>
      </c>
      <c r="AB482">
        <f t="shared" si="52"/>
        <v>2022</v>
      </c>
      <c r="AC482" t="str">
        <f t="shared" si="53"/>
        <v/>
      </c>
      <c r="AD482" s="28">
        <f>ROUND((IF(ISBLANK(L482),Employee_Lookups!$O$14,L482)-J482)/365.25,2)</f>
        <v>3.75</v>
      </c>
      <c r="AE482" t="str">
        <f t="shared" si="54"/>
        <v>3 - 5 Yrs</v>
      </c>
      <c r="AF482" t="str">
        <f t="shared" si="55"/>
        <v>Low Risk</v>
      </c>
    </row>
    <row r="483" spans="1:32" x14ac:dyDescent="0.45">
      <c r="A483" t="s">
        <v>1076</v>
      </c>
      <c r="B483" t="s">
        <v>337</v>
      </c>
      <c r="C483" t="s">
        <v>51</v>
      </c>
      <c r="D483" t="s">
        <v>50</v>
      </c>
      <c r="E483" t="s">
        <v>181</v>
      </c>
      <c r="F483" t="s">
        <v>81</v>
      </c>
      <c r="G483" t="s">
        <v>182</v>
      </c>
      <c r="H483" t="s">
        <v>112</v>
      </c>
      <c r="I483" t="s">
        <v>113</v>
      </c>
      <c r="J483" s="26">
        <v>44656</v>
      </c>
      <c r="K483" t="s">
        <v>162</v>
      </c>
      <c r="L483" s="26"/>
      <c r="M483" t="s">
        <v>163</v>
      </c>
      <c r="N483" t="s">
        <v>99</v>
      </c>
      <c r="O483" s="27">
        <v>623000</v>
      </c>
      <c r="P483">
        <v>4</v>
      </c>
      <c r="Q483" t="s">
        <v>172</v>
      </c>
      <c r="R483">
        <v>28</v>
      </c>
      <c r="S483" t="s">
        <v>219</v>
      </c>
      <c r="T483">
        <f t="shared" si="49"/>
        <v>10057</v>
      </c>
      <c r="U483" t="str">
        <f t="shared" si="50"/>
        <v>ENG</v>
      </c>
      <c r="V483" t="str">
        <f t="shared" si="51"/>
        <v>L1</v>
      </c>
      <c r="W483" t="str">
        <f>PROPER(TRIM(VLOOKUP(S483,Employee_Lookups!$I$4:$M$19,2,FALSE())))</f>
        <v>Neha Kulkarni</v>
      </c>
      <c r="X483" t="str">
        <f>VLOOKUP(C483,Employee_Lookups!$A$4:$G$9,4,FALSE())</f>
        <v>CC-101</v>
      </c>
      <c r="Y483" t="str">
        <f>INDEX(Employee_Lookups!$C$13:$C$17,MATCH(F483,Employee_Lookups!$A$13:$A$17,0))</f>
        <v>Band A (Entry)</v>
      </c>
      <c r="Z483" s="27">
        <f>_xlfn.XLOOKUP(F483,Employee_Lookups!$A$13:$A$17,Employee_Lookups!$E$13:$E$17,0)</f>
        <v>700000</v>
      </c>
      <c r="AA483" s="28">
        <f>ROUND(O483/INDEX(Employee_Lookups!$E$13:$E$17,MATCH(F483,Employee_Lookups!$A$13:$A$17,0)),3)</f>
        <v>0.89</v>
      </c>
      <c r="AB483">
        <f t="shared" si="52"/>
        <v>2022</v>
      </c>
      <c r="AC483" t="str">
        <f t="shared" si="53"/>
        <v/>
      </c>
      <c r="AD483" s="28">
        <f>ROUND((IF(ISBLANK(L483),Employee_Lookups!$O$14,L483)-J483)/365.25,2)</f>
        <v>3.74</v>
      </c>
      <c r="AE483" t="str">
        <f t="shared" si="54"/>
        <v>3 - 5 Yrs</v>
      </c>
      <c r="AF483" t="str">
        <f t="shared" si="55"/>
        <v>High Risk</v>
      </c>
    </row>
    <row r="484" spans="1:32" x14ac:dyDescent="0.45">
      <c r="A484" t="s">
        <v>1077</v>
      </c>
      <c r="B484" t="s">
        <v>844</v>
      </c>
      <c r="C484" t="s">
        <v>51</v>
      </c>
      <c r="D484" t="s">
        <v>50</v>
      </c>
      <c r="E484" t="s">
        <v>397</v>
      </c>
      <c r="F484" t="s">
        <v>84</v>
      </c>
      <c r="G484" t="s">
        <v>398</v>
      </c>
      <c r="H484" t="s">
        <v>109</v>
      </c>
      <c r="I484" t="s">
        <v>110</v>
      </c>
      <c r="J484" s="26">
        <v>44656</v>
      </c>
      <c r="K484" t="s">
        <v>162</v>
      </c>
      <c r="L484" s="26"/>
      <c r="M484" t="s">
        <v>163</v>
      </c>
      <c r="N484" t="s">
        <v>97</v>
      </c>
      <c r="O484" s="27">
        <v>2367000</v>
      </c>
      <c r="P484">
        <v>4</v>
      </c>
      <c r="Q484" t="s">
        <v>164</v>
      </c>
      <c r="R484">
        <v>0</v>
      </c>
      <c r="S484" t="s">
        <v>197</v>
      </c>
      <c r="T484">
        <f t="shared" si="49"/>
        <v>10142</v>
      </c>
      <c r="U484" t="str">
        <f t="shared" si="50"/>
        <v>ENG</v>
      </c>
      <c r="V484" t="str">
        <f t="shared" si="51"/>
        <v>L4</v>
      </c>
      <c r="W484" t="str">
        <f>PROPER(TRIM(VLOOKUP(S484,Employee_Lookups!$I$4:$M$19,2,FALSE())))</f>
        <v>Rohan Verma</v>
      </c>
      <c r="X484" t="str">
        <f>VLOOKUP(C484,Employee_Lookups!$A$4:$G$9,4,FALSE())</f>
        <v>CC-101</v>
      </c>
      <c r="Y484" t="str">
        <f>INDEX(Employee_Lookups!$C$13:$C$17,MATCH(F484,Employee_Lookups!$A$13:$A$17,0))</f>
        <v>Band D (Leadership)</v>
      </c>
      <c r="Z484" s="27">
        <f>_xlfn.XLOOKUP(F484,Employee_Lookups!$A$13:$A$17,Employee_Lookups!$E$13:$E$17,0)</f>
        <v>2750000</v>
      </c>
      <c r="AA484" s="28">
        <f>ROUND(O484/INDEX(Employee_Lookups!$E$13:$E$17,MATCH(F484,Employee_Lookups!$A$13:$A$17,0)),3)</f>
        <v>0.86099999999999999</v>
      </c>
      <c r="AB484">
        <f t="shared" si="52"/>
        <v>2022</v>
      </c>
      <c r="AC484" t="str">
        <f t="shared" si="53"/>
        <v/>
      </c>
      <c r="AD484" s="28">
        <f>ROUND((IF(ISBLANK(L484),Employee_Lookups!$O$14,L484)-J484)/365.25,2)</f>
        <v>3.74</v>
      </c>
      <c r="AE484" t="str">
        <f t="shared" si="54"/>
        <v>3 - 5 Yrs</v>
      </c>
      <c r="AF484" t="str">
        <f t="shared" si="55"/>
        <v>Low Risk</v>
      </c>
    </row>
    <row r="485" spans="1:32" x14ac:dyDescent="0.45">
      <c r="A485" t="s">
        <v>1078</v>
      </c>
      <c r="B485" t="s">
        <v>1079</v>
      </c>
      <c r="C485" t="s">
        <v>57</v>
      </c>
      <c r="D485" t="s">
        <v>56</v>
      </c>
      <c r="E485" t="s">
        <v>455</v>
      </c>
      <c r="F485" t="s">
        <v>84</v>
      </c>
      <c r="G485" t="s">
        <v>456</v>
      </c>
      <c r="H485" t="s">
        <v>111</v>
      </c>
      <c r="I485" t="s">
        <v>110</v>
      </c>
      <c r="J485" s="26">
        <v>44658</v>
      </c>
      <c r="K485" t="s">
        <v>162</v>
      </c>
      <c r="L485" s="26"/>
      <c r="M485" t="s">
        <v>163</v>
      </c>
      <c r="N485" t="s">
        <v>99</v>
      </c>
      <c r="O485" s="27">
        <v>2889000</v>
      </c>
      <c r="P485">
        <v>3</v>
      </c>
      <c r="Q485" t="s">
        <v>164</v>
      </c>
      <c r="R485">
        <v>35</v>
      </c>
      <c r="S485" t="s">
        <v>165</v>
      </c>
      <c r="T485">
        <f t="shared" si="49"/>
        <v>11254</v>
      </c>
      <c r="U485" t="str">
        <f t="shared" si="50"/>
        <v>MKT</v>
      </c>
      <c r="V485" t="str">
        <f t="shared" si="51"/>
        <v>L4</v>
      </c>
      <c r="W485" t="str">
        <f>PROPER(TRIM(VLOOKUP(S485,Employee_Lookups!$I$4:$M$19,2,FALSE())))</f>
        <v>Arjun Sengupta</v>
      </c>
      <c r="X485" t="str">
        <f>VLOOKUP(C485,Employee_Lookups!$A$4:$G$9,4,FALSE())</f>
        <v>CC-606</v>
      </c>
      <c r="Y485" t="str">
        <f>INDEX(Employee_Lookups!$C$13:$C$17,MATCH(F485,Employee_Lookups!$A$13:$A$17,0))</f>
        <v>Band D (Leadership)</v>
      </c>
      <c r="Z485" s="27">
        <f>_xlfn.XLOOKUP(F485,Employee_Lookups!$A$13:$A$17,Employee_Lookups!$E$13:$E$17,0)</f>
        <v>2750000</v>
      </c>
      <c r="AA485" s="28">
        <f>ROUND(O485/INDEX(Employee_Lookups!$E$13:$E$17,MATCH(F485,Employee_Lookups!$A$13:$A$17,0)),3)</f>
        <v>1.0509999999999999</v>
      </c>
      <c r="AB485">
        <f t="shared" si="52"/>
        <v>2022</v>
      </c>
      <c r="AC485" t="str">
        <f t="shared" si="53"/>
        <v/>
      </c>
      <c r="AD485" s="28">
        <f>ROUND((IF(ISBLANK(L485),Employee_Lookups!$O$14,L485)-J485)/365.25,2)</f>
        <v>3.73</v>
      </c>
      <c r="AE485" t="str">
        <f t="shared" si="54"/>
        <v>3 - 5 Yrs</v>
      </c>
      <c r="AF485" t="str">
        <f t="shared" si="55"/>
        <v>Low Risk</v>
      </c>
    </row>
    <row r="486" spans="1:32" x14ac:dyDescent="0.45">
      <c r="A486" t="s">
        <v>1080</v>
      </c>
      <c r="B486" t="s">
        <v>765</v>
      </c>
      <c r="C486" t="s">
        <v>53</v>
      </c>
      <c r="D486" t="s">
        <v>52</v>
      </c>
      <c r="E486" t="s">
        <v>185</v>
      </c>
      <c r="F486" t="s">
        <v>82</v>
      </c>
      <c r="G486" t="s">
        <v>186</v>
      </c>
      <c r="H486" t="s">
        <v>109</v>
      </c>
      <c r="I486" t="s">
        <v>110</v>
      </c>
      <c r="J486" s="26">
        <v>44661</v>
      </c>
      <c r="K486" t="s">
        <v>170</v>
      </c>
      <c r="L486" s="26">
        <v>45753</v>
      </c>
      <c r="M486" t="s">
        <v>171</v>
      </c>
      <c r="N486" t="s">
        <v>97</v>
      </c>
      <c r="O486" s="27">
        <v>1342000</v>
      </c>
      <c r="P486">
        <v>3</v>
      </c>
      <c r="Q486" t="s">
        <v>172</v>
      </c>
      <c r="R486">
        <v>26</v>
      </c>
      <c r="S486" t="s">
        <v>237</v>
      </c>
      <c r="T486">
        <f t="shared" si="49"/>
        <v>10510</v>
      </c>
      <c r="U486" t="str">
        <f t="shared" si="50"/>
        <v>SAL</v>
      </c>
      <c r="V486" t="str">
        <f t="shared" si="51"/>
        <v>L2</v>
      </c>
      <c r="W486" t="str">
        <f>PROPER(TRIM(VLOOKUP(S486,Employee_Lookups!$I$4:$M$19,2,FALSE())))</f>
        <v>Karan Malhotra</v>
      </c>
      <c r="X486" t="str">
        <f>VLOOKUP(C486,Employee_Lookups!$A$4:$G$9,4,FALSE())</f>
        <v>CC-202</v>
      </c>
      <c r="Y486" t="str">
        <f>INDEX(Employee_Lookups!$C$13:$C$17,MATCH(F486,Employee_Lookups!$A$13:$A$17,0))</f>
        <v>Band B (Mid)</v>
      </c>
      <c r="Z486" s="27">
        <f>_xlfn.XLOOKUP(F486,Employee_Lookups!$A$13:$A$17,Employee_Lookups!$E$13:$E$17,0)</f>
        <v>1100000</v>
      </c>
      <c r="AA486" s="28">
        <f>ROUND(O486/INDEX(Employee_Lookups!$E$13:$E$17,MATCH(F486,Employee_Lookups!$A$13:$A$17,0)),3)</f>
        <v>1.22</v>
      </c>
      <c r="AB486">
        <f t="shared" si="52"/>
        <v>2022</v>
      </c>
      <c r="AC486">
        <f t="shared" si="53"/>
        <v>2025</v>
      </c>
      <c r="AD486" s="28">
        <f>ROUND((IF(ISBLANK(L486),Employee_Lookups!$O$14,L486)-J486)/365.25,2)</f>
        <v>2.99</v>
      </c>
      <c r="AE486" t="str">
        <f t="shared" si="54"/>
        <v>1 - 3 Yrs</v>
      </c>
      <c r="AF486" t="str">
        <f t="shared" si="55"/>
        <v>Exited</v>
      </c>
    </row>
    <row r="487" spans="1:32" x14ac:dyDescent="0.45">
      <c r="A487" t="s">
        <v>1081</v>
      </c>
      <c r="B487" t="s">
        <v>1082</v>
      </c>
      <c r="C487" t="s">
        <v>59</v>
      </c>
      <c r="D487" t="s">
        <v>58</v>
      </c>
      <c r="E487" t="s">
        <v>211</v>
      </c>
      <c r="F487" t="s">
        <v>82</v>
      </c>
      <c r="G487" t="s">
        <v>212</v>
      </c>
      <c r="H487" t="s">
        <v>106</v>
      </c>
      <c r="I487" t="s">
        <v>107</v>
      </c>
      <c r="J487" s="26">
        <v>44663</v>
      </c>
      <c r="K487" t="s">
        <v>187</v>
      </c>
      <c r="L487" s="26">
        <v>44867</v>
      </c>
      <c r="M487" t="s">
        <v>282</v>
      </c>
      <c r="N487" t="s">
        <v>98</v>
      </c>
      <c r="O487" s="27">
        <v>1039000</v>
      </c>
      <c r="P487">
        <v>5</v>
      </c>
      <c r="Q487" t="s">
        <v>164</v>
      </c>
      <c r="R487">
        <v>40</v>
      </c>
      <c r="S487" t="s">
        <v>214</v>
      </c>
      <c r="T487">
        <f t="shared" si="49"/>
        <v>11117</v>
      </c>
      <c r="U487" t="str">
        <f t="shared" si="50"/>
        <v>FIN</v>
      </c>
      <c r="V487" t="str">
        <f t="shared" si="51"/>
        <v>L2</v>
      </c>
      <c r="W487" t="str">
        <f>PROPER(TRIM(VLOOKUP(S487,Employee_Lookups!$I$4:$M$19,2,FALSE())))</f>
        <v>Aditya Gokhale</v>
      </c>
      <c r="X487" t="str">
        <f>VLOOKUP(C487,Employee_Lookups!$A$4:$G$9,4,FALSE())</f>
        <v>CC-404</v>
      </c>
      <c r="Y487" t="str">
        <f>INDEX(Employee_Lookups!$C$13:$C$17,MATCH(F487,Employee_Lookups!$A$13:$A$17,0))</f>
        <v>Band B (Mid)</v>
      </c>
      <c r="Z487" s="27">
        <f>_xlfn.XLOOKUP(F487,Employee_Lookups!$A$13:$A$17,Employee_Lookups!$E$13:$E$17,0)</f>
        <v>1100000</v>
      </c>
      <c r="AA487" s="28">
        <f>ROUND(O487/INDEX(Employee_Lookups!$E$13:$E$17,MATCH(F487,Employee_Lookups!$A$13:$A$17,0)),3)</f>
        <v>0.94499999999999995</v>
      </c>
      <c r="AB487">
        <f t="shared" si="52"/>
        <v>2022</v>
      </c>
      <c r="AC487">
        <f t="shared" si="53"/>
        <v>2022</v>
      </c>
      <c r="AD487" s="28">
        <f>ROUND((IF(ISBLANK(L487),Employee_Lookups!$O$14,L487)-J487)/365.25,2)</f>
        <v>0.56000000000000005</v>
      </c>
      <c r="AE487" t="str">
        <f t="shared" si="54"/>
        <v>&lt; 1 Yr (New)</v>
      </c>
      <c r="AF487" t="str">
        <f t="shared" si="55"/>
        <v>Exited</v>
      </c>
    </row>
    <row r="488" spans="1:32" x14ac:dyDescent="0.45">
      <c r="A488" t="s">
        <v>1083</v>
      </c>
      <c r="B488" t="s">
        <v>1084</v>
      </c>
      <c r="C488" t="s">
        <v>59</v>
      </c>
      <c r="D488" t="s">
        <v>58</v>
      </c>
      <c r="E488" t="s">
        <v>206</v>
      </c>
      <c r="F488" t="s">
        <v>81</v>
      </c>
      <c r="G488" t="s">
        <v>207</v>
      </c>
      <c r="H488" t="s">
        <v>106</v>
      </c>
      <c r="I488" t="s">
        <v>107</v>
      </c>
      <c r="J488" s="26">
        <v>44669</v>
      </c>
      <c r="K488" t="s">
        <v>162</v>
      </c>
      <c r="L488" s="26"/>
      <c r="M488" t="s">
        <v>163</v>
      </c>
      <c r="N488" t="s">
        <v>99</v>
      </c>
      <c r="O488" s="27">
        <v>739000</v>
      </c>
      <c r="P488">
        <v>2</v>
      </c>
      <c r="Q488" t="s">
        <v>172</v>
      </c>
      <c r="R488">
        <v>47</v>
      </c>
      <c r="S488" t="s">
        <v>208</v>
      </c>
      <c r="T488">
        <f t="shared" si="49"/>
        <v>10690</v>
      </c>
      <c r="U488" t="str">
        <f t="shared" si="50"/>
        <v>FIN</v>
      </c>
      <c r="V488" t="str">
        <f t="shared" si="51"/>
        <v>L1</v>
      </c>
      <c r="W488" t="str">
        <f>PROPER(TRIM(VLOOKUP(S488,Employee_Lookups!$I$4:$M$19,2,FALSE())))</f>
        <v>Rajeshwari Rao</v>
      </c>
      <c r="X488" t="str">
        <f>VLOOKUP(C488,Employee_Lookups!$A$4:$G$9,4,FALSE())</f>
        <v>CC-404</v>
      </c>
      <c r="Y488" t="str">
        <f>INDEX(Employee_Lookups!$C$13:$C$17,MATCH(F488,Employee_Lookups!$A$13:$A$17,0))</f>
        <v>Band A (Entry)</v>
      </c>
      <c r="Z488" s="27">
        <f>_xlfn.XLOOKUP(F488,Employee_Lookups!$A$13:$A$17,Employee_Lookups!$E$13:$E$17,0)</f>
        <v>700000</v>
      </c>
      <c r="AA488" s="28">
        <f>ROUND(O488/INDEX(Employee_Lookups!$E$13:$E$17,MATCH(F488,Employee_Lookups!$A$13:$A$17,0)),3)</f>
        <v>1.056</v>
      </c>
      <c r="AB488">
        <f t="shared" si="52"/>
        <v>2022</v>
      </c>
      <c r="AC488" t="str">
        <f t="shared" si="53"/>
        <v/>
      </c>
      <c r="AD488" s="28">
        <f>ROUND((IF(ISBLANK(L488),Employee_Lookups!$O$14,L488)-J488)/365.25,2)</f>
        <v>3.7</v>
      </c>
      <c r="AE488" t="str">
        <f t="shared" si="54"/>
        <v>3 - 5 Yrs</v>
      </c>
      <c r="AF488" t="str">
        <f t="shared" si="55"/>
        <v>Moderate Risk</v>
      </c>
    </row>
    <row r="489" spans="1:32" x14ac:dyDescent="0.45">
      <c r="A489" t="s">
        <v>1085</v>
      </c>
      <c r="B489" t="s">
        <v>714</v>
      </c>
      <c r="C489" t="s">
        <v>55</v>
      </c>
      <c r="D489" t="s">
        <v>54</v>
      </c>
      <c r="E489" t="s">
        <v>229</v>
      </c>
      <c r="F489" t="s">
        <v>82</v>
      </c>
      <c r="G489" t="s">
        <v>230</v>
      </c>
      <c r="H489" t="s">
        <v>108</v>
      </c>
      <c r="I489" t="s">
        <v>107</v>
      </c>
      <c r="J489" s="26">
        <v>44670</v>
      </c>
      <c r="K489" t="s">
        <v>162</v>
      </c>
      <c r="L489" s="26"/>
      <c r="M489" t="s">
        <v>163</v>
      </c>
      <c r="N489" t="s">
        <v>95</v>
      </c>
      <c r="O489" s="27">
        <v>1335000</v>
      </c>
      <c r="P489">
        <v>3</v>
      </c>
      <c r="Q489" t="s">
        <v>172</v>
      </c>
      <c r="R489">
        <v>42</v>
      </c>
      <c r="S489" t="s">
        <v>173</v>
      </c>
      <c r="T489">
        <f t="shared" si="49"/>
        <v>10667</v>
      </c>
      <c r="U489" t="str">
        <f t="shared" si="50"/>
        <v>OPS</v>
      </c>
      <c r="V489" t="str">
        <f t="shared" si="51"/>
        <v>L2</v>
      </c>
      <c r="W489" t="str">
        <f>PROPER(TRIM(VLOOKUP(S489,Employee_Lookups!$I$4:$M$19,2,FALSE())))</f>
        <v>Deepak Patil</v>
      </c>
      <c r="X489" t="str">
        <f>VLOOKUP(C489,Employee_Lookups!$A$4:$G$9,4,FALSE())</f>
        <v>CC-303</v>
      </c>
      <c r="Y489" t="str">
        <f>INDEX(Employee_Lookups!$C$13:$C$17,MATCH(F489,Employee_Lookups!$A$13:$A$17,0))</f>
        <v>Band B (Mid)</v>
      </c>
      <c r="Z489" s="27">
        <f>_xlfn.XLOOKUP(F489,Employee_Lookups!$A$13:$A$17,Employee_Lookups!$E$13:$E$17,0)</f>
        <v>1100000</v>
      </c>
      <c r="AA489" s="28">
        <f>ROUND(O489/INDEX(Employee_Lookups!$E$13:$E$17,MATCH(F489,Employee_Lookups!$A$13:$A$17,0)),3)</f>
        <v>1.214</v>
      </c>
      <c r="AB489">
        <f t="shared" si="52"/>
        <v>2022</v>
      </c>
      <c r="AC489" t="str">
        <f t="shared" si="53"/>
        <v/>
      </c>
      <c r="AD489" s="28">
        <f>ROUND((IF(ISBLANK(L489),Employee_Lookups!$O$14,L489)-J489)/365.25,2)</f>
        <v>3.7</v>
      </c>
      <c r="AE489" t="str">
        <f t="shared" si="54"/>
        <v>3 - 5 Yrs</v>
      </c>
      <c r="AF489" t="str">
        <f t="shared" si="55"/>
        <v>Moderate Risk</v>
      </c>
    </row>
    <row r="490" spans="1:32" x14ac:dyDescent="0.45">
      <c r="A490" t="s">
        <v>1086</v>
      </c>
      <c r="B490" t="s">
        <v>868</v>
      </c>
      <c r="C490" t="s">
        <v>51</v>
      </c>
      <c r="D490" t="s">
        <v>50</v>
      </c>
      <c r="E490" t="s">
        <v>181</v>
      </c>
      <c r="F490" t="s">
        <v>81</v>
      </c>
      <c r="G490" t="s">
        <v>182</v>
      </c>
      <c r="H490" t="s">
        <v>109</v>
      </c>
      <c r="I490" t="s">
        <v>110</v>
      </c>
      <c r="J490" s="26">
        <v>44670</v>
      </c>
      <c r="K490" t="s">
        <v>162</v>
      </c>
      <c r="L490" s="26"/>
      <c r="M490" t="s">
        <v>163</v>
      </c>
      <c r="N490" t="s">
        <v>99</v>
      </c>
      <c r="O490" s="27">
        <v>654000</v>
      </c>
      <c r="P490">
        <v>4</v>
      </c>
      <c r="Q490" t="s">
        <v>172</v>
      </c>
      <c r="R490">
        <v>49</v>
      </c>
      <c r="S490" t="s">
        <v>244</v>
      </c>
      <c r="T490">
        <f t="shared" si="49"/>
        <v>10627</v>
      </c>
      <c r="U490" t="str">
        <f t="shared" si="50"/>
        <v>ENG</v>
      </c>
      <c r="V490" t="str">
        <f t="shared" si="51"/>
        <v>L1</v>
      </c>
      <c r="W490" t="str">
        <f>PROPER(TRIM(VLOOKUP(S490,Employee_Lookups!$I$4:$M$19,2,FALSE())))</f>
        <v>Siddharth Nair</v>
      </c>
      <c r="X490" t="str">
        <f>VLOOKUP(C490,Employee_Lookups!$A$4:$G$9,4,FALSE())</f>
        <v>CC-101</v>
      </c>
      <c r="Y490" t="str">
        <f>INDEX(Employee_Lookups!$C$13:$C$17,MATCH(F490,Employee_Lookups!$A$13:$A$17,0))</f>
        <v>Band A (Entry)</v>
      </c>
      <c r="Z490" s="27">
        <f>_xlfn.XLOOKUP(F490,Employee_Lookups!$A$13:$A$17,Employee_Lookups!$E$13:$E$17,0)</f>
        <v>700000</v>
      </c>
      <c r="AA490" s="28">
        <f>ROUND(O490/INDEX(Employee_Lookups!$E$13:$E$17,MATCH(F490,Employee_Lookups!$A$13:$A$17,0)),3)</f>
        <v>0.93400000000000005</v>
      </c>
      <c r="AB490">
        <f t="shared" si="52"/>
        <v>2022</v>
      </c>
      <c r="AC490" t="str">
        <f t="shared" si="53"/>
        <v/>
      </c>
      <c r="AD490" s="28">
        <f>ROUND((IF(ISBLANK(L490),Employee_Lookups!$O$14,L490)-J490)/365.25,2)</f>
        <v>3.7</v>
      </c>
      <c r="AE490" t="str">
        <f t="shared" si="54"/>
        <v>3 - 5 Yrs</v>
      </c>
      <c r="AF490" t="str">
        <f t="shared" si="55"/>
        <v>High Risk</v>
      </c>
    </row>
    <row r="491" spans="1:32" x14ac:dyDescent="0.45">
      <c r="A491" t="s">
        <v>1087</v>
      </c>
      <c r="B491" t="s">
        <v>1088</v>
      </c>
      <c r="C491" t="s">
        <v>51</v>
      </c>
      <c r="D491" t="s">
        <v>50</v>
      </c>
      <c r="E491" t="s">
        <v>181</v>
      </c>
      <c r="F491" t="s">
        <v>81</v>
      </c>
      <c r="G491" t="s">
        <v>182</v>
      </c>
      <c r="H491" t="s">
        <v>108</v>
      </c>
      <c r="I491" t="s">
        <v>107</v>
      </c>
      <c r="J491" s="26">
        <v>44672</v>
      </c>
      <c r="K491" t="s">
        <v>162</v>
      </c>
      <c r="L491" s="26"/>
      <c r="M491" t="s">
        <v>163</v>
      </c>
      <c r="N491" t="s">
        <v>95</v>
      </c>
      <c r="O491" s="27">
        <v>712000</v>
      </c>
      <c r="P491">
        <v>3</v>
      </c>
      <c r="Q491" t="s">
        <v>172</v>
      </c>
      <c r="R491">
        <v>29</v>
      </c>
      <c r="S491" t="s">
        <v>219</v>
      </c>
      <c r="T491">
        <f t="shared" si="49"/>
        <v>10668</v>
      </c>
      <c r="U491" t="str">
        <f t="shared" si="50"/>
        <v>ENG</v>
      </c>
      <c r="V491" t="str">
        <f t="shared" si="51"/>
        <v>L1</v>
      </c>
      <c r="W491" t="str">
        <f>PROPER(TRIM(VLOOKUP(S491,Employee_Lookups!$I$4:$M$19,2,FALSE())))</f>
        <v>Neha Kulkarni</v>
      </c>
      <c r="X491" t="str">
        <f>VLOOKUP(C491,Employee_Lookups!$A$4:$G$9,4,FALSE())</f>
        <v>CC-101</v>
      </c>
      <c r="Y491" t="str">
        <f>INDEX(Employee_Lookups!$C$13:$C$17,MATCH(F491,Employee_Lookups!$A$13:$A$17,0))</f>
        <v>Band A (Entry)</v>
      </c>
      <c r="Z491" s="27">
        <f>_xlfn.XLOOKUP(F491,Employee_Lookups!$A$13:$A$17,Employee_Lookups!$E$13:$E$17,0)</f>
        <v>700000</v>
      </c>
      <c r="AA491" s="28">
        <f>ROUND(O491/INDEX(Employee_Lookups!$E$13:$E$17,MATCH(F491,Employee_Lookups!$A$13:$A$17,0)),3)</f>
        <v>1.0169999999999999</v>
      </c>
      <c r="AB491">
        <f t="shared" si="52"/>
        <v>2022</v>
      </c>
      <c r="AC491" t="str">
        <f t="shared" si="53"/>
        <v/>
      </c>
      <c r="AD491" s="28">
        <f>ROUND((IF(ISBLANK(L491),Employee_Lookups!$O$14,L491)-J491)/365.25,2)</f>
        <v>3.7</v>
      </c>
      <c r="AE491" t="str">
        <f t="shared" si="54"/>
        <v>3 - 5 Yrs</v>
      </c>
      <c r="AF491" t="str">
        <f t="shared" si="55"/>
        <v>Moderate Risk</v>
      </c>
    </row>
    <row r="492" spans="1:32" x14ac:dyDescent="0.45">
      <c r="A492" t="s">
        <v>1089</v>
      </c>
      <c r="B492" t="s">
        <v>627</v>
      </c>
      <c r="C492" t="s">
        <v>55</v>
      </c>
      <c r="D492" t="s">
        <v>54</v>
      </c>
      <c r="E492" t="s">
        <v>277</v>
      </c>
      <c r="F492" t="s">
        <v>81</v>
      </c>
      <c r="G492" t="s">
        <v>278</v>
      </c>
      <c r="H492" t="s">
        <v>106</v>
      </c>
      <c r="I492" t="s">
        <v>107</v>
      </c>
      <c r="J492" s="26">
        <v>44673</v>
      </c>
      <c r="K492" t="s">
        <v>162</v>
      </c>
      <c r="L492" s="26"/>
      <c r="M492" t="s">
        <v>163</v>
      </c>
      <c r="N492" t="s">
        <v>99</v>
      </c>
      <c r="O492" s="27">
        <v>752000</v>
      </c>
      <c r="P492">
        <v>3</v>
      </c>
      <c r="Q492" t="s">
        <v>164</v>
      </c>
      <c r="R492">
        <v>37</v>
      </c>
      <c r="S492" t="s">
        <v>274</v>
      </c>
      <c r="T492">
        <f t="shared" si="49"/>
        <v>11010</v>
      </c>
      <c r="U492" t="str">
        <f t="shared" si="50"/>
        <v>OPS</v>
      </c>
      <c r="V492" t="str">
        <f t="shared" si="51"/>
        <v>L1</v>
      </c>
      <c r="W492" t="str">
        <f>PROPER(TRIM(VLOOKUP(S492,Employee_Lookups!$I$4:$M$19,2,FALSE())))</f>
        <v>Meera Krishnan</v>
      </c>
      <c r="X492" t="str">
        <f>VLOOKUP(C492,Employee_Lookups!$A$4:$G$9,4,FALSE())</f>
        <v>CC-303</v>
      </c>
      <c r="Y492" t="str">
        <f>INDEX(Employee_Lookups!$C$13:$C$17,MATCH(F492,Employee_Lookups!$A$13:$A$17,0))</f>
        <v>Band A (Entry)</v>
      </c>
      <c r="Z492" s="27">
        <f>_xlfn.XLOOKUP(F492,Employee_Lookups!$A$13:$A$17,Employee_Lookups!$E$13:$E$17,0)</f>
        <v>700000</v>
      </c>
      <c r="AA492" s="28">
        <f>ROUND(O492/INDEX(Employee_Lookups!$E$13:$E$17,MATCH(F492,Employee_Lookups!$A$13:$A$17,0)),3)</f>
        <v>1.0740000000000001</v>
      </c>
      <c r="AB492">
        <f t="shared" si="52"/>
        <v>2022</v>
      </c>
      <c r="AC492" t="str">
        <f t="shared" si="53"/>
        <v/>
      </c>
      <c r="AD492" s="28">
        <f>ROUND((IF(ISBLANK(L492),Employee_Lookups!$O$14,L492)-J492)/365.25,2)</f>
        <v>3.69</v>
      </c>
      <c r="AE492" t="str">
        <f t="shared" si="54"/>
        <v>3 - 5 Yrs</v>
      </c>
      <c r="AF492" t="str">
        <f t="shared" si="55"/>
        <v>Low Risk</v>
      </c>
    </row>
    <row r="493" spans="1:32" x14ac:dyDescent="0.45">
      <c r="A493" t="s">
        <v>1090</v>
      </c>
      <c r="B493" t="s">
        <v>1091</v>
      </c>
      <c r="C493" t="s">
        <v>51</v>
      </c>
      <c r="D493" t="s">
        <v>50</v>
      </c>
      <c r="E493" t="s">
        <v>181</v>
      </c>
      <c r="F493" t="s">
        <v>81</v>
      </c>
      <c r="G493" t="s">
        <v>182</v>
      </c>
      <c r="H493" t="s">
        <v>109</v>
      </c>
      <c r="I493" t="s">
        <v>110</v>
      </c>
      <c r="J493" s="26">
        <v>44675</v>
      </c>
      <c r="K493" t="s">
        <v>187</v>
      </c>
      <c r="L493" s="26">
        <v>45981</v>
      </c>
      <c r="M493" t="s">
        <v>282</v>
      </c>
      <c r="N493" t="s">
        <v>95</v>
      </c>
      <c r="O493" s="27">
        <v>630000</v>
      </c>
      <c r="P493">
        <v>3</v>
      </c>
      <c r="Q493" t="s">
        <v>172</v>
      </c>
      <c r="R493">
        <v>10</v>
      </c>
      <c r="S493" t="s">
        <v>219</v>
      </c>
      <c r="T493">
        <f t="shared" si="49"/>
        <v>10582</v>
      </c>
      <c r="U493" t="str">
        <f t="shared" si="50"/>
        <v>ENG</v>
      </c>
      <c r="V493" t="str">
        <f t="shared" si="51"/>
        <v>L1</v>
      </c>
      <c r="W493" t="str">
        <f>PROPER(TRIM(VLOOKUP(S493,Employee_Lookups!$I$4:$M$19,2,FALSE())))</f>
        <v>Neha Kulkarni</v>
      </c>
      <c r="X493" t="str">
        <f>VLOOKUP(C493,Employee_Lookups!$A$4:$G$9,4,FALSE())</f>
        <v>CC-101</v>
      </c>
      <c r="Y493" t="str">
        <f>INDEX(Employee_Lookups!$C$13:$C$17,MATCH(F493,Employee_Lookups!$A$13:$A$17,0))</f>
        <v>Band A (Entry)</v>
      </c>
      <c r="Z493" s="27">
        <f>_xlfn.XLOOKUP(F493,Employee_Lookups!$A$13:$A$17,Employee_Lookups!$E$13:$E$17,0)</f>
        <v>700000</v>
      </c>
      <c r="AA493" s="28">
        <f>ROUND(O493/INDEX(Employee_Lookups!$E$13:$E$17,MATCH(F493,Employee_Lookups!$A$13:$A$17,0)),3)</f>
        <v>0.9</v>
      </c>
      <c r="AB493">
        <f t="shared" si="52"/>
        <v>2022</v>
      </c>
      <c r="AC493">
        <f t="shared" si="53"/>
        <v>2025</v>
      </c>
      <c r="AD493" s="28">
        <f>ROUND((IF(ISBLANK(L493),Employee_Lookups!$O$14,L493)-J493)/365.25,2)</f>
        <v>3.58</v>
      </c>
      <c r="AE493" t="str">
        <f t="shared" si="54"/>
        <v>3 - 5 Yrs</v>
      </c>
      <c r="AF493" t="str">
        <f t="shared" si="55"/>
        <v>Exited</v>
      </c>
    </row>
    <row r="494" spans="1:32" x14ac:dyDescent="0.45">
      <c r="A494" t="s">
        <v>1092</v>
      </c>
      <c r="B494" t="s">
        <v>860</v>
      </c>
      <c r="C494" t="s">
        <v>59</v>
      </c>
      <c r="D494" t="s">
        <v>58</v>
      </c>
      <c r="E494" t="s">
        <v>211</v>
      </c>
      <c r="F494" t="s">
        <v>82</v>
      </c>
      <c r="G494" t="s">
        <v>212</v>
      </c>
      <c r="H494" t="s">
        <v>106</v>
      </c>
      <c r="I494" t="s">
        <v>107</v>
      </c>
      <c r="J494" s="26">
        <v>44675</v>
      </c>
      <c r="K494" t="s">
        <v>162</v>
      </c>
      <c r="L494" s="26"/>
      <c r="M494" t="s">
        <v>163</v>
      </c>
      <c r="N494" t="s">
        <v>99</v>
      </c>
      <c r="O494" s="27">
        <v>938000</v>
      </c>
      <c r="P494">
        <v>3</v>
      </c>
      <c r="Q494" t="s">
        <v>164</v>
      </c>
      <c r="R494">
        <v>33</v>
      </c>
      <c r="S494" t="s">
        <v>214</v>
      </c>
      <c r="T494">
        <f t="shared" si="49"/>
        <v>11211</v>
      </c>
      <c r="U494" t="str">
        <f t="shared" si="50"/>
        <v>FIN</v>
      </c>
      <c r="V494" t="str">
        <f t="shared" si="51"/>
        <v>L2</v>
      </c>
      <c r="W494" t="str">
        <f>PROPER(TRIM(VLOOKUP(S494,Employee_Lookups!$I$4:$M$19,2,FALSE())))</f>
        <v>Aditya Gokhale</v>
      </c>
      <c r="X494" t="str">
        <f>VLOOKUP(C494,Employee_Lookups!$A$4:$G$9,4,FALSE())</f>
        <v>CC-404</v>
      </c>
      <c r="Y494" t="str">
        <f>INDEX(Employee_Lookups!$C$13:$C$17,MATCH(F494,Employee_Lookups!$A$13:$A$17,0))</f>
        <v>Band B (Mid)</v>
      </c>
      <c r="Z494" s="27">
        <f>_xlfn.XLOOKUP(F494,Employee_Lookups!$A$13:$A$17,Employee_Lookups!$E$13:$E$17,0)</f>
        <v>1100000</v>
      </c>
      <c r="AA494" s="28">
        <f>ROUND(O494/INDEX(Employee_Lookups!$E$13:$E$17,MATCH(F494,Employee_Lookups!$A$13:$A$17,0)),3)</f>
        <v>0.85299999999999998</v>
      </c>
      <c r="AB494">
        <f t="shared" si="52"/>
        <v>2022</v>
      </c>
      <c r="AC494" t="str">
        <f t="shared" si="53"/>
        <v/>
      </c>
      <c r="AD494" s="28">
        <f>ROUND((IF(ISBLANK(L494),Employee_Lookups!$O$14,L494)-J494)/365.25,2)</f>
        <v>3.69</v>
      </c>
      <c r="AE494" t="str">
        <f t="shared" si="54"/>
        <v>3 - 5 Yrs</v>
      </c>
      <c r="AF494" t="str">
        <f t="shared" si="55"/>
        <v>Low Risk</v>
      </c>
    </row>
    <row r="495" spans="1:32" x14ac:dyDescent="0.45">
      <c r="A495" t="s">
        <v>1093</v>
      </c>
      <c r="B495" t="s">
        <v>1094</v>
      </c>
      <c r="C495" t="s">
        <v>51</v>
      </c>
      <c r="D495" t="s">
        <v>50</v>
      </c>
      <c r="E495" t="s">
        <v>181</v>
      </c>
      <c r="F495" t="s">
        <v>81</v>
      </c>
      <c r="G495" t="s">
        <v>182</v>
      </c>
      <c r="H495" t="s">
        <v>106</v>
      </c>
      <c r="I495" t="s">
        <v>107</v>
      </c>
      <c r="J495" s="26">
        <v>44678</v>
      </c>
      <c r="K495" t="s">
        <v>162</v>
      </c>
      <c r="L495" s="26"/>
      <c r="M495" t="s">
        <v>163</v>
      </c>
      <c r="N495" t="s">
        <v>99</v>
      </c>
      <c r="O495" s="27">
        <v>732000</v>
      </c>
      <c r="P495">
        <v>4</v>
      </c>
      <c r="Q495" t="s">
        <v>172</v>
      </c>
      <c r="R495">
        <v>35</v>
      </c>
      <c r="S495" t="s">
        <v>244</v>
      </c>
      <c r="T495">
        <f t="shared" si="49"/>
        <v>10306</v>
      </c>
      <c r="U495" t="str">
        <f t="shared" si="50"/>
        <v>ENG</v>
      </c>
      <c r="V495" t="str">
        <f t="shared" si="51"/>
        <v>L1</v>
      </c>
      <c r="W495" t="str">
        <f>PROPER(TRIM(VLOOKUP(S495,Employee_Lookups!$I$4:$M$19,2,FALSE())))</f>
        <v>Siddharth Nair</v>
      </c>
      <c r="X495" t="str">
        <f>VLOOKUP(C495,Employee_Lookups!$A$4:$G$9,4,FALSE())</f>
        <v>CC-101</v>
      </c>
      <c r="Y495" t="str">
        <f>INDEX(Employee_Lookups!$C$13:$C$17,MATCH(F495,Employee_Lookups!$A$13:$A$17,0))</f>
        <v>Band A (Entry)</v>
      </c>
      <c r="Z495" s="27">
        <f>_xlfn.XLOOKUP(F495,Employee_Lookups!$A$13:$A$17,Employee_Lookups!$E$13:$E$17,0)</f>
        <v>700000</v>
      </c>
      <c r="AA495" s="28">
        <f>ROUND(O495/INDEX(Employee_Lookups!$E$13:$E$17,MATCH(F495,Employee_Lookups!$A$13:$A$17,0)),3)</f>
        <v>1.046</v>
      </c>
      <c r="AB495">
        <f t="shared" si="52"/>
        <v>2022</v>
      </c>
      <c r="AC495" t="str">
        <f t="shared" si="53"/>
        <v/>
      </c>
      <c r="AD495" s="28">
        <f>ROUND((IF(ISBLANK(L495),Employee_Lookups!$O$14,L495)-J495)/365.25,2)</f>
        <v>3.68</v>
      </c>
      <c r="AE495" t="str">
        <f t="shared" si="54"/>
        <v>3 - 5 Yrs</v>
      </c>
      <c r="AF495" t="str">
        <f t="shared" si="55"/>
        <v>High Risk</v>
      </c>
    </row>
    <row r="496" spans="1:32" x14ac:dyDescent="0.45">
      <c r="A496" t="s">
        <v>1095</v>
      </c>
      <c r="B496" t="s">
        <v>1096</v>
      </c>
      <c r="C496" t="s">
        <v>51</v>
      </c>
      <c r="D496" t="s">
        <v>50</v>
      </c>
      <c r="E496" t="s">
        <v>176</v>
      </c>
      <c r="F496" t="s">
        <v>82</v>
      </c>
      <c r="G496" t="s">
        <v>177</v>
      </c>
      <c r="H496" t="s">
        <v>108</v>
      </c>
      <c r="I496" t="s">
        <v>107</v>
      </c>
      <c r="J496" s="26">
        <v>44679</v>
      </c>
      <c r="K496" t="s">
        <v>187</v>
      </c>
      <c r="L496" s="26">
        <v>44805</v>
      </c>
      <c r="M496" t="s">
        <v>269</v>
      </c>
      <c r="N496" t="s">
        <v>97</v>
      </c>
      <c r="O496" s="27">
        <v>1250000</v>
      </c>
      <c r="P496">
        <v>3</v>
      </c>
      <c r="Q496" t="s">
        <v>172</v>
      </c>
      <c r="R496">
        <v>58</v>
      </c>
      <c r="S496" t="s">
        <v>219</v>
      </c>
      <c r="T496">
        <f t="shared" si="49"/>
        <v>10044</v>
      </c>
      <c r="U496" t="str">
        <f t="shared" si="50"/>
        <v>ENG</v>
      </c>
      <c r="V496" t="str">
        <f t="shared" si="51"/>
        <v>L2</v>
      </c>
      <c r="W496" t="str">
        <f>PROPER(TRIM(VLOOKUP(S496,Employee_Lookups!$I$4:$M$19,2,FALSE())))</f>
        <v>Neha Kulkarni</v>
      </c>
      <c r="X496" t="str">
        <f>VLOOKUP(C496,Employee_Lookups!$A$4:$G$9,4,FALSE())</f>
        <v>CC-101</v>
      </c>
      <c r="Y496" t="str">
        <f>INDEX(Employee_Lookups!$C$13:$C$17,MATCH(F496,Employee_Lookups!$A$13:$A$17,0))</f>
        <v>Band B (Mid)</v>
      </c>
      <c r="Z496" s="27">
        <f>_xlfn.XLOOKUP(F496,Employee_Lookups!$A$13:$A$17,Employee_Lookups!$E$13:$E$17,0)</f>
        <v>1100000</v>
      </c>
      <c r="AA496" s="28">
        <f>ROUND(O496/INDEX(Employee_Lookups!$E$13:$E$17,MATCH(F496,Employee_Lookups!$A$13:$A$17,0)),3)</f>
        <v>1.1359999999999999</v>
      </c>
      <c r="AB496">
        <f t="shared" si="52"/>
        <v>2022</v>
      </c>
      <c r="AC496">
        <f t="shared" si="53"/>
        <v>2022</v>
      </c>
      <c r="AD496" s="28">
        <f>ROUND((IF(ISBLANK(L496),Employee_Lookups!$O$14,L496)-J496)/365.25,2)</f>
        <v>0.34</v>
      </c>
      <c r="AE496" t="str">
        <f t="shared" si="54"/>
        <v>&lt; 1 Yr (New)</v>
      </c>
      <c r="AF496" t="str">
        <f t="shared" si="55"/>
        <v>Exited</v>
      </c>
    </row>
    <row r="497" spans="1:32" x14ac:dyDescent="0.45">
      <c r="A497" t="s">
        <v>1097</v>
      </c>
      <c r="B497" t="s">
        <v>552</v>
      </c>
      <c r="C497" t="s">
        <v>59</v>
      </c>
      <c r="D497" t="s">
        <v>58</v>
      </c>
      <c r="E497" t="s">
        <v>206</v>
      </c>
      <c r="F497" t="s">
        <v>81</v>
      </c>
      <c r="G497" t="s">
        <v>207</v>
      </c>
      <c r="H497" t="s">
        <v>109</v>
      </c>
      <c r="I497" t="s">
        <v>110</v>
      </c>
      <c r="J497" s="26">
        <v>44682</v>
      </c>
      <c r="K497" t="s">
        <v>162</v>
      </c>
      <c r="L497" s="26"/>
      <c r="M497" t="s">
        <v>163</v>
      </c>
      <c r="N497" t="s">
        <v>99</v>
      </c>
      <c r="O497" s="27">
        <v>726000</v>
      </c>
      <c r="P497">
        <v>2</v>
      </c>
      <c r="Q497" t="s">
        <v>164</v>
      </c>
      <c r="R497">
        <v>28</v>
      </c>
      <c r="S497" t="s">
        <v>214</v>
      </c>
      <c r="T497">
        <f t="shared" si="49"/>
        <v>10871</v>
      </c>
      <c r="U497" t="str">
        <f t="shared" si="50"/>
        <v>FIN</v>
      </c>
      <c r="V497" t="str">
        <f t="shared" si="51"/>
        <v>L1</v>
      </c>
      <c r="W497" t="str">
        <f>PROPER(TRIM(VLOOKUP(S497,Employee_Lookups!$I$4:$M$19,2,FALSE())))</f>
        <v>Aditya Gokhale</v>
      </c>
      <c r="X497" t="str">
        <f>VLOOKUP(C497,Employee_Lookups!$A$4:$G$9,4,FALSE())</f>
        <v>CC-404</v>
      </c>
      <c r="Y497" t="str">
        <f>INDEX(Employee_Lookups!$C$13:$C$17,MATCH(F497,Employee_Lookups!$A$13:$A$17,0))</f>
        <v>Band A (Entry)</v>
      </c>
      <c r="Z497" s="27">
        <f>_xlfn.XLOOKUP(F497,Employee_Lookups!$A$13:$A$17,Employee_Lookups!$E$13:$E$17,0)</f>
        <v>700000</v>
      </c>
      <c r="AA497" s="28">
        <f>ROUND(O497/INDEX(Employee_Lookups!$E$13:$E$17,MATCH(F497,Employee_Lookups!$A$13:$A$17,0)),3)</f>
        <v>1.0369999999999999</v>
      </c>
      <c r="AB497">
        <f t="shared" si="52"/>
        <v>2022</v>
      </c>
      <c r="AC497" t="str">
        <f t="shared" si="53"/>
        <v/>
      </c>
      <c r="AD497" s="28">
        <f>ROUND((IF(ISBLANK(L497),Employee_Lookups!$O$14,L497)-J497)/365.25,2)</f>
        <v>3.67</v>
      </c>
      <c r="AE497" t="str">
        <f t="shared" si="54"/>
        <v>3 - 5 Yrs</v>
      </c>
      <c r="AF497" t="str">
        <f t="shared" si="55"/>
        <v>Moderate Risk</v>
      </c>
    </row>
    <row r="498" spans="1:32" x14ac:dyDescent="0.45">
      <c r="A498" t="s">
        <v>1098</v>
      </c>
      <c r="B498" t="s">
        <v>1099</v>
      </c>
      <c r="C498" t="s">
        <v>57</v>
      </c>
      <c r="D498" t="s">
        <v>56</v>
      </c>
      <c r="E498" t="s">
        <v>391</v>
      </c>
      <c r="F498" t="s">
        <v>83</v>
      </c>
      <c r="G498" t="s">
        <v>392</v>
      </c>
      <c r="H498" t="s">
        <v>106</v>
      </c>
      <c r="I498" t="s">
        <v>107</v>
      </c>
      <c r="J498" s="26">
        <v>44682</v>
      </c>
      <c r="K498" t="s">
        <v>162</v>
      </c>
      <c r="L498" s="26"/>
      <c r="M498" t="s">
        <v>163</v>
      </c>
      <c r="N498" t="s">
        <v>96</v>
      </c>
      <c r="O498" s="27">
        <v>1962000</v>
      </c>
      <c r="P498">
        <v>3</v>
      </c>
      <c r="Q498" t="s">
        <v>172</v>
      </c>
      <c r="R498">
        <v>27</v>
      </c>
      <c r="S498" t="s">
        <v>224</v>
      </c>
      <c r="T498">
        <f t="shared" si="49"/>
        <v>10608</v>
      </c>
      <c r="U498" t="str">
        <f t="shared" si="50"/>
        <v>MKT</v>
      </c>
      <c r="V498" t="str">
        <f t="shared" si="51"/>
        <v>L3</v>
      </c>
      <c r="W498" t="str">
        <f>PROPER(TRIM(VLOOKUP(S498,Employee_Lookups!$I$4:$M$19,2,FALSE())))</f>
        <v>Tanvi Chitnis</v>
      </c>
      <c r="X498" t="str">
        <f>VLOOKUP(C498,Employee_Lookups!$A$4:$G$9,4,FALSE())</f>
        <v>CC-606</v>
      </c>
      <c r="Y498" t="str">
        <f>INDEX(Employee_Lookups!$C$13:$C$17,MATCH(F498,Employee_Lookups!$A$13:$A$17,0))</f>
        <v>Band C (Senior)</v>
      </c>
      <c r="Z498" s="27">
        <f>_xlfn.XLOOKUP(F498,Employee_Lookups!$A$13:$A$17,Employee_Lookups!$E$13:$E$17,0)</f>
        <v>1725000</v>
      </c>
      <c r="AA498" s="28">
        <f>ROUND(O498/INDEX(Employee_Lookups!$E$13:$E$17,MATCH(F498,Employee_Lookups!$A$13:$A$17,0)),3)</f>
        <v>1.137</v>
      </c>
      <c r="AB498">
        <f t="shared" si="52"/>
        <v>2022</v>
      </c>
      <c r="AC498" t="str">
        <f t="shared" si="53"/>
        <v/>
      </c>
      <c r="AD498" s="28">
        <f>ROUND((IF(ISBLANK(L498),Employee_Lookups!$O$14,L498)-J498)/365.25,2)</f>
        <v>3.67</v>
      </c>
      <c r="AE498" t="str">
        <f t="shared" si="54"/>
        <v>3 - 5 Yrs</v>
      </c>
      <c r="AF498" t="str">
        <f t="shared" si="55"/>
        <v>Moderate Risk</v>
      </c>
    </row>
    <row r="499" spans="1:32" x14ac:dyDescent="0.45">
      <c r="A499" t="s">
        <v>1100</v>
      </c>
      <c r="B499" t="s">
        <v>1101</v>
      </c>
      <c r="C499" t="s">
        <v>55</v>
      </c>
      <c r="D499" t="s">
        <v>54</v>
      </c>
      <c r="E499" t="s">
        <v>240</v>
      </c>
      <c r="F499" t="s">
        <v>83</v>
      </c>
      <c r="G499" t="s">
        <v>241</v>
      </c>
      <c r="H499" t="s">
        <v>109</v>
      </c>
      <c r="I499" t="s">
        <v>110</v>
      </c>
      <c r="J499" s="26">
        <v>44684</v>
      </c>
      <c r="K499" t="s">
        <v>162</v>
      </c>
      <c r="L499" s="26"/>
      <c r="M499" t="s">
        <v>163</v>
      </c>
      <c r="N499" t="s">
        <v>95</v>
      </c>
      <c r="O499" s="27">
        <v>2095000</v>
      </c>
      <c r="P499">
        <v>3</v>
      </c>
      <c r="Q499" t="s">
        <v>164</v>
      </c>
      <c r="R499">
        <v>26</v>
      </c>
      <c r="S499" t="s">
        <v>173</v>
      </c>
      <c r="T499">
        <f t="shared" si="49"/>
        <v>11444</v>
      </c>
      <c r="U499" t="str">
        <f t="shared" si="50"/>
        <v>OPS</v>
      </c>
      <c r="V499" t="str">
        <f t="shared" si="51"/>
        <v>L3</v>
      </c>
      <c r="W499" t="str">
        <f>PROPER(TRIM(VLOOKUP(S499,Employee_Lookups!$I$4:$M$19,2,FALSE())))</f>
        <v>Deepak Patil</v>
      </c>
      <c r="X499" t="str">
        <f>VLOOKUP(C499,Employee_Lookups!$A$4:$G$9,4,FALSE())</f>
        <v>CC-303</v>
      </c>
      <c r="Y499" t="str">
        <f>INDEX(Employee_Lookups!$C$13:$C$17,MATCH(F499,Employee_Lookups!$A$13:$A$17,0))</f>
        <v>Band C (Senior)</v>
      </c>
      <c r="Z499" s="27">
        <f>_xlfn.XLOOKUP(F499,Employee_Lookups!$A$13:$A$17,Employee_Lookups!$E$13:$E$17,0)</f>
        <v>1725000</v>
      </c>
      <c r="AA499" s="28">
        <f>ROUND(O499/INDEX(Employee_Lookups!$E$13:$E$17,MATCH(F499,Employee_Lookups!$A$13:$A$17,0)),3)</f>
        <v>1.214</v>
      </c>
      <c r="AB499">
        <f t="shared" si="52"/>
        <v>2022</v>
      </c>
      <c r="AC499" t="str">
        <f t="shared" si="53"/>
        <v/>
      </c>
      <c r="AD499" s="28">
        <f>ROUND((IF(ISBLANK(L499),Employee_Lookups!$O$14,L499)-J499)/365.25,2)</f>
        <v>3.66</v>
      </c>
      <c r="AE499" t="str">
        <f t="shared" si="54"/>
        <v>3 - 5 Yrs</v>
      </c>
      <c r="AF499" t="str">
        <f t="shared" si="55"/>
        <v>Low Risk</v>
      </c>
    </row>
    <row r="500" spans="1:32" x14ac:dyDescent="0.45">
      <c r="A500" t="s">
        <v>1102</v>
      </c>
      <c r="B500" t="s">
        <v>942</v>
      </c>
      <c r="C500" t="s">
        <v>59</v>
      </c>
      <c r="D500" t="s">
        <v>58</v>
      </c>
      <c r="E500" t="s">
        <v>211</v>
      </c>
      <c r="F500" t="s">
        <v>82</v>
      </c>
      <c r="G500" t="s">
        <v>212</v>
      </c>
      <c r="H500" t="s">
        <v>106</v>
      </c>
      <c r="I500" t="s">
        <v>107</v>
      </c>
      <c r="J500" s="26">
        <v>44686</v>
      </c>
      <c r="K500" t="s">
        <v>162</v>
      </c>
      <c r="L500" s="26"/>
      <c r="M500" t="s">
        <v>163</v>
      </c>
      <c r="N500" t="s">
        <v>97</v>
      </c>
      <c r="O500" s="27">
        <v>1271000</v>
      </c>
      <c r="P500">
        <v>3</v>
      </c>
      <c r="Q500" t="s">
        <v>172</v>
      </c>
      <c r="R500">
        <v>26</v>
      </c>
      <c r="S500" t="s">
        <v>214</v>
      </c>
      <c r="T500">
        <f t="shared" si="49"/>
        <v>10339</v>
      </c>
      <c r="U500" t="str">
        <f t="shared" si="50"/>
        <v>FIN</v>
      </c>
      <c r="V500" t="str">
        <f t="shared" si="51"/>
        <v>L2</v>
      </c>
      <c r="W500" t="str">
        <f>PROPER(TRIM(VLOOKUP(S500,Employee_Lookups!$I$4:$M$19,2,FALSE())))</f>
        <v>Aditya Gokhale</v>
      </c>
      <c r="X500" t="str">
        <f>VLOOKUP(C500,Employee_Lookups!$A$4:$G$9,4,FALSE())</f>
        <v>CC-404</v>
      </c>
      <c r="Y500" t="str">
        <f>INDEX(Employee_Lookups!$C$13:$C$17,MATCH(F500,Employee_Lookups!$A$13:$A$17,0))</f>
        <v>Band B (Mid)</v>
      </c>
      <c r="Z500" s="27">
        <f>_xlfn.XLOOKUP(F500,Employee_Lookups!$A$13:$A$17,Employee_Lookups!$E$13:$E$17,0)</f>
        <v>1100000</v>
      </c>
      <c r="AA500" s="28">
        <f>ROUND(O500/INDEX(Employee_Lookups!$E$13:$E$17,MATCH(F500,Employee_Lookups!$A$13:$A$17,0)),3)</f>
        <v>1.155</v>
      </c>
      <c r="AB500">
        <f t="shared" si="52"/>
        <v>2022</v>
      </c>
      <c r="AC500" t="str">
        <f t="shared" si="53"/>
        <v/>
      </c>
      <c r="AD500" s="28">
        <f>ROUND((IF(ISBLANK(L500),Employee_Lookups!$O$14,L500)-J500)/365.25,2)</f>
        <v>3.66</v>
      </c>
      <c r="AE500" t="str">
        <f t="shared" si="54"/>
        <v>3 - 5 Yrs</v>
      </c>
      <c r="AF500" t="str">
        <f t="shared" si="55"/>
        <v>Moderate Risk</v>
      </c>
    </row>
    <row r="501" spans="1:32" x14ac:dyDescent="0.45">
      <c r="A501" t="s">
        <v>1103</v>
      </c>
      <c r="B501" t="s">
        <v>873</v>
      </c>
      <c r="C501" t="s">
        <v>51</v>
      </c>
      <c r="D501" t="s">
        <v>50</v>
      </c>
      <c r="E501" t="s">
        <v>217</v>
      </c>
      <c r="F501" t="s">
        <v>83</v>
      </c>
      <c r="G501" t="s">
        <v>218</v>
      </c>
      <c r="H501" t="s">
        <v>109</v>
      </c>
      <c r="I501" t="s">
        <v>110</v>
      </c>
      <c r="J501" s="26">
        <v>44687</v>
      </c>
      <c r="K501" t="s">
        <v>162</v>
      </c>
      <c r="L501" s="26"/>
      <c r="M501" t="s">
        <v>163</v>
      </c>
      <c r="N501" t="s">
        <v>99</v>
      </c>
      <c r="O501" s="27">
        <v>1928000</v>
      </c>
      <c r="P501">
        <v>3</v>
      </c>
      <c r="Q501" t="s">
        <v>172</v>
      </c>
      <c r="R501">
        <v>27</v>
      </c>
      <c r="S501" t="s">
        <v>244</v>
      </c>
      <c r="T501">
        <f t="shared" si="49"/>
        <v>10927</v>
      </c>
      <c r="U501" t="str">
        <f t="shared" si="50"/>
        <v>ENG</v>
      </c>
      <c r="V501" t="str">
        <f t="shared" si="51"/>
        <v>L3</v>
      </c>
      <c r="W501" t="str">
        <f>PROPER(TRIM(VLOOKUP(S501,Employee_Lookups!$I$4:$M$19,2,FALSE())))</f>
        <v>Siddharth Nair</v>
      </c>
      <c r="X501" t="str">
        <f>VLOOKUP(C501,Employee_Lookups!$A$4:$G$9,4,FALSE())</f>
        <v>CC-101</v>
      </c>
      <c r="Y501" t="str">
        <f>INDEX(Employee_Lookups!$C$13:$C$17,MATCH(F501,Employee_Lookups!$A$13:$A$17,0))</f>
        <v>Band C (Senior)</v>
      </c>
      <c r="Z501" s="27">
        <f>_xlfn.XLOOKUP(F501,Employee_Lookups!$A$13:$A$17,Employee_Lookups!$E$13:$E$17,0)</f>
        <v>1725000</v>
      </c>
      <c r="AA501" s="28">
        <f>ROUND(O501/INDEX(Employee_Lookups!$E$13:$E$17,MATCH(F501,Employee_Lookups!$A$13:$A$17,0)),3)</f>
        <v>1.1180000000000001</v>
      </c>
      <c r="AB501">
        <f t="shared" si="52"/>
        <v>2022</v>
      </c>
      <c r="AC501" t="str">
        <f t="shared" si="53"/>
        <v/>
      </c>
      <c r="AD501" s="28">
        <f>ROUND((IF(ISBLANK(L501),Employee_Lookups!$O$14,L501)-J501)/365.25,2)</f>
        <v>3.66</v>
      </c>
      <c r="AE501" t="str">
        <f t="shared" si="54"/>
        <v>3 - 5 Yrs</v>
      </c>
      <c r="AF501" t="str">
        <f t="shared" si="55"/>
        <v>Moderate Risk</v>
      </c>
    </row>
    <row r="502" spans="1:32" x14ac:dyDescent="0.45">
      <c r="A502" t="s">
        <v>1104</v>
      </c>
      <c r="B502" t="s">
        <v>1094</v>
      </c>
      <c r="C502" t="s">
        <v>61</v>
      </c>
      <c r="D502" t="s">
        <v>60</v>
      </c>
      <c r="E502" t="s">
        <v>484</v>
      </c>
      <c r="F502" t="s">
        <v>83</v>
      </c>
      <c r="G502" t="s">
        <v>485</v>
      </c>
      <c r="H502" t="s">
        <v>109</v>
      </c>
      <c r="I502" t="s">
        <v>110</v>
      </c>
      <c r="J502" s="26">
        <v>44687</v>
      </c>
      <c r="K502" t="s">
        <v>170</v>
      </c>
      <c r="L502" s="26">
        <v>45789</v>
      </c>
      <c r="M502" t="s">
        <v>171</v>
      </c>
      <c r="N502" t="s">
        <v>98</v>
      </c>
      <c r="O502" s="27">
        <v>2051000</v>
      </c>
      <c r="P502">
        <v>2</v>
      </c>
      <c r="Q502" t="s">
        <v>172</v>
      </c>
      <c r="R502">
        <v>35</v>
      </c>
      <c r="S502" t="s">
        <v>319</v>
      </c>
      <c r="T502">
        <f t="shared" si="49"/>
        <v>10220</v>
      </c>
      <c r="U502" t="str">
        <f t="shared" si="50"/>
        <v>-HR</v>
      </c>
      <c r="V502" t="str">
        <f t="shared" si="51"/>
        <v>L3</v>
      </c>
      <c r="W502" t="str">
        <f>PROPER(TRIM(VLOOKUP(S502,Employee_Lookups!$I$4:$M$19,2,FALSE())))</f>
        <v>Kavita Menon</v>
      </c>
      <c r="X502" t="str">
        <f>VLOOKUP(C502,Employee_Lookups!$A$4:$G$9,4,FALSE())</f>
        <v>CC-505</v>
      </c>
      <c r="Y502" t="str">
        <f>INDEX(Employee_Lookups!$C$13:$C$17,MATCH(F502,Employee_Lookups!$A$13:$A$17,0))</f>
        <v>Band C (Senior)</v>
      </c>
      <c r="Z502" s="27">
        <f>_xlfn.XLOOKUP(F502,Employee_Lookups!$A$13:$A$17,Employee_Lookups!$E$13:$E$17,0)</f>
        <v>1725000</v>
      </c>
      <c r="AA502" s="28">
        <f>ROUND(O502/INDEX(Employee_Lookups!$E$13:$E$17,MATCH(F502,Employee_Lookups!$A$13:$A$17,0)),3)</f>
        <v>1.1890000000000001</v>
      </c>
      <c r="AB502">
        <f t="shared" si="52"/>
        <v>2022</v>
      </c>
      <c r="AC502">
        <f t="shared" si="53"/>
        <v>2025</v>
      </c>
      <c r="AD502" s="28">
        <f>ROUND((IF(ISBLANK(L502),Employee_Lookups!$O$14,L502)-J502)/365.25,2)</f>
        <v>3.02</v>
      </c>
      <c r="AE502" t="str">
        <f t="shared" si="54"/>
        <v>3 - 5 Yrs</v>
      </c>
      <c r="AF502" t="str">
        <f t="shared" si="55"/>
        <v>Exited</v>
      </c>
    </row>
    <row r="503" spans="1:32" x14ac:dyDescent="0.45">
      <c r="A503" t="s">
        <v>1105</v>
      </c>
      <c r="B503" t="s">
        <v>380</v>
      </c>
      <c r="C503" t="s">
        <v>55</v>
      </c>
      <c r="D503" t="s">
        <v>54</v>
      </c>
      <c r="E503" t="s">
        <v>168</v>
      </c>
      <c r="F503" t="s">
        <v>84</v>
      </c>
      <c r="G503" t="s">
        <v>169</v>
      </c>
      <c r="H503" t="s">
        <v>106</v>
      </c>
      <c r="I503" t="s">
        <v>107</v>
      </c>
      <c r="J503" s="26">
        <v>44688</v>
      </c>
      <c r="K503" t="s">
        <v>187</v>
      </c>
      <c r="L503" s="26">
        <v>45673</v>
      </c>
      <c r="M503" t="s">
        <v>269</v>
      </c>
      <c r="N503" t="s">
        <v>97</v>
      </c>
      <c r="O503" s="27">
        <v>2701000</v>
      </c>
      <c r="P503">
        <v>3</v>
      </c>
      <c r="Q503" t="s">
        <v>164</v>
      </c>
      <c r="R503">
        <v>19</v>
      </c>
      <c r="S503" t="s">
        <v>262</v>
      </c>
      <c r="T503">
        <f t="shared" si="49"/>
        <v>11070</v>
      </c>
      <c r="U503" t="str">
        <f t="shared" si="50"/>
        <v>OPS</v>
      </c>
      <c r="V503" t="str">
        <f t="shared" si="51"/>
        <v>L4</v>
      </c>
      <c r="W503" t="str">
        <f>PROPER(TRIM(VLOOKUP(S503,Employee_Lookups!$I$4:$M$19,2,FALSE())))</f>
        <v>Ananya Iyer</v>
      </c>
      <c r="X503" t="str">
        <f>VLOOKUP(C503,Employee_Lookups!$A$4:$G$9,4,FALSE())</f>
        <v>CC-303</v>
      </c>
      <c r="Y503" t="str">
        <f>INDEX(Employee_Lookups!$C$13:$C$17,MATCH(F503,Employee_Lookups!$A$13:$A$17,0))</f>
        <v>Band D (Leadership)</v>
      </c>
      <c r="Z503" s="27">
        <f>_xlfn.XLOOKUP(F503,Employee_Lookups!$A$13:$A$17,Employee_Lookups!$E$13:$E$17,0)</f>
        <v>2750000</v>
      </c>
      <c r="AA503" s="28">
        <f>ROUND(O503/INDEX(Employee_Lookups!$E$13:$E$17,MATCH(F503,Employee_Lookups!$A$13:$A$17,0)),3)</f>
        <v>0.98199999999999998</v>
      </c>
      <c r="AB503">
        <f t="shared" si="52"/>
        <v>2022</v>
      </c>
      <c r="AC503">
        <f t="shared" si="53"/>
        <v>2025</v>
      </c>
      <c r="AD503" s="28">
        <f>ROUND((IF(ISBLANK(L503),Employee_Lookups!$O$14,L503)-J503)/365.25,2)</f>
        <v>2.7</v>
      </c>
      <c r="AE503" t="str">
        <f t="shared" si="54"/>
        <v>1 - 3 Yrs</v>
      </c>
      <c r="AF503" t="str">
        <f t="shared" si="55"/>
        <v>Exited</v>
      </c>
    </row>
    <row r="504" spans="1:32" x14ac:dyDescent="0.45">
      <c r="A504" t="s">
        <v>1106</v>
      </c>
      <c r="B504" t="s">
        <v>1107</v>
      </c>
      <c r="C504" t="s">
        <v>59</v>
      </c>
      <c r="D504" t="s">
        <v>58</v>
      </c>
      <c r="E504" t="s">
        <v>206</v>
      </c>
      <c r="F504" t="s">
        <v>81</v>
      </c>
      <c r="G504" t="s">
        <v>207</v>
      </c>
      <c r="H504" t="s">
        <v>108</v>
      </c>
      <c r="I504" t="s">
        <v>107</v>
      </c>
      <c r="J504" s="26">
        <v>44688</v>
      </c>
      <c r="K504" t="s">
        <v>162</v>
      </c>
      <c r="L504" s="26"/>
      <c r="M504" t="s">
        <v>163</v>
      </c>
      <c r="N504" t="s">
        <v>96</v>
      </c>
      <c r="O504" s="27">
        <v>574000</v>
      </c>
      <c r="P504">
        <v>3</v>
      </c>
      <c r="Q504" t="s">
        <v>172</v>
      </c>
      <c r="R504">
        <v>51</v>
      </c>
      <c r="S504" t="s">
        <v>208</v>
      </c>
      <c r="T504">
        <f t="shared" si="49"/>
        <v>10283</v>
      </c>
      <c r="U504" t="str">
        <f t="shared" si="50"/>
        <v>FIN</v>
      </c>
      <c r="V504" t="str">
        <f t="shared" si="51"/>
        <v>L1</v>
      </c>
      <c r="W504" t="str">
        <f>PROPER(TRIM(VLOOKUP(S504,Employee_Lookups!$I$4:$M$19,2,FALSE())))</f>
        <v>Rajeshwari Rao</v>
      </c>
      <c r="X504" t="str">
        <f>VLOOKUP(C504,Employee_Lookups!$A$4:$G$9,4,FALSE())</f>
        <v>CC-404</v>
      </c>
      <c r="Y504" t="str">
        <f>INDEX(Employee_Lookups!$C$13:$C$17,MATCH(F504,Employee_Lookups!$A$13:$A$17,0))</f>
        <v>Band A (Entry)</v>
      </c>
      <c r="Z504" s="27">
        <f>_xlfn.XLOOKUP(F504,Employee_Lookups!$A$13:$A$17,Employee_Lookups!$E$13:$E$17,0)</f>
        <v>700000</v>
      </c>
      <c r="AA504" s="28">
        <f>ROUND(O504/INDEX(Employee_Lookups!$E$13:$E$17,MATCH(F504,Employee_Lookups!$A$13:$A$17,0)),3)</f>
        <v>0.82</v>
      </c>
      <c r="AB504">
        <f t="shared" si="52"/>
        <v>2022</v>
      </c>
      <c r="AC504" t="str">
        <f t="shared" si="53"/>
        <v/>
      </c>
      <c r="AD504" s="28">
        <f>ROUND((IF(ISBLANK(L504),Employee_Lookups!$O$14,L504)-J504)/365.25,2)</f>
        <v>3.65</v>
      </c>
      <c r="AE504" t="str">
        <f t="shared" si="54"/>
        <v>3 - 5 Yrs</v>
      </c>
      <c r="AF504" t="str">
        <f t="shared" si="55"/>
        <v>High Risk</v>
      </c>
    </row>
    <row r="505" spans="1:32" x14ac:dyDescent="0.45">
      <c r="A505" t="s">
        <v>1108</v>
      </c>
      <c r="B505" t="s">
        <v>1109</v>
      </c>
      <c r="C505" t="s">
        <v>59</v>
      </c>
      <c r="D505" t="s">
        <v>58</v>
      </c>
      <c r="E505" t="s">
        <v>287</v>
      </c>
      <c r="F505" t="s">
        <v>83</v>
      </c>
      <c r="G505" t="s">
        <v>288</v>
      </c>
      <c r="H505" t="s">
        <v>106</v>
      </c>
      <c r="I505" t="s">
        <v>107</v>
      </c>
      <c r="J505" s="26">
        <v>44688</v>
      </c>
      <c r="K505" t="s">
        <v>170</v>
      </c>
      <c r="L505" s="26">
        <v>44906</v>
      </c>
      <c r="M505" t="s">
        <v>171</v>
      </c>
      <c r="N505" t="s">
        <v>99</v>
      </c>
      <c r="O505" s="27">
        <v>1754000</v>
      </c>
      <c r="P505">
        <v>2</v>
      </c>
      <c r="Q505" t="s">
        <v>172</v>
      </c>
      <c r="R505">
        <v>29</v>
      </c>
      <c r="S505" t="s">
        <v>208</v>
      </c>
      <c r="T505">
        <f t="shared" si="49"/>
        <v>10823</v>
      </c>
      <c r="U505" t="str">
        <f t="shared" si="50"/>
        <v>FIN</v>
      </c>
      <c r="V505" t="str">
        <f t="shared" si="51"/>
        <v>L3</v>
      </c>
      <c r="W505" t="str">
        <f>PROPER(TRIM(VLOOKUP(S505,Employee_Lookups!$I$4:$M$19,2,FALSE())))</f>
        <v>Rajeshwari Rao</v>
      </c>
      <c r="X505" t="str">
        <f>VLOOKUP(C505,Employee_Lookups!$A$4:$G$9,4,FALSE())</f>
        <v>CC-404</v>
      </c>
      <c r="Y505" t="str">
        <f>INDEX(Employee_Lookups!$C$13:$C$17,MATCH(F505,Employee_Lookups!$A$13:$A$17,0))</f>
        <v>Band C (Senior)</v>
      </c>
      <c r="Z505" s="27">
        <f>_xlfn.XLOOKUP(F505,Employee_Lookups!$A$13:$A$17,Employee_Lookups!$E$13:$E$17,0)</f>
        <v>1725000</v>
      </c>
      <c r="AA505" s="28">
        <f>ROUND(O505/INDEX(Employee_Lookups!$E$13:$E$17,MATCH(F505,Employee_Lookups!$A$13:$A$17,0)),3)</f>
        <v>1.0169999999999999</v>
      </c>
      <c r="AB505">
        <f t="shared" si="52"/>
        <v>2022</v>
      </c>
      <c r="AC505">
        <f t="shared" si="53"/>
        <v>2022</v>
      </c>
      <c r="AD505" s="28">
        <f>ROUND((IF(ISBLANK(L505),Employee_Lookups!$O$14,L505)-J505)/365.25,2)</f>
        <v>0.6</v>
      </c>
      <c r="AE505" t="str">
        <f t="shared" si="54"/>
        <v>&lt; 1 Yr (New)</v>
      </c>
      <c r="AF505" t="str">
        <f t="shared" si="55"/>
        <v>Exited</v>
      </c>
    </row>
    <row r="506" spans="1:32" x14ac:dyDescent="0.45">
      <c r="A506" t="s">
        <v>1110</v>
      </c>
      <c r="B506" t="s">
        <v>1111</v>
      </c>
      <c r="C506" t="s">
        <v>55</v>
      </c>
      <c r="D506" t="s">
        <v>54</v>
      </c>
      <c r="E506" t="s">
        <v>229</v>
      </c>
      <c r="F506" t="s">
        <v>82</v>
      </c>
      <c r="G506" t="s">
        <v>230</v>
      </c>
      <c r="H506" t="s">
        <v>106</v>
      </c>
      <c r="I506" t="s">
        <v>107</v>
      </c>
      <c r="J506" s="26">
        <v>44690</v>
      </c>
      <c r="K506" t="s">
        <v>162</v>
      </c>
      <c r="L506" s="26"/>
      <c r="M506" t="s">
        <v>163</v>
      </c>
      <c r="N506" t="s">
        <v>96</v>
      </c>
      <c r="O506" s="27">
        <v>1227000</v>
      </c>
      <c r="P506">
        <v>3</v>
      </c>
      <c r="Q506" t="s">
        <v>164</v>
      </c>
      <c r="R506">
        <v>41</v>
      </c>
      <c r="S506" t="s">
        <v>262</v>
      </c>
      <c r="T506">
        <f t="shared" si="49"/>
        <v>11440</v>
      </c>
      <c r="U506" t="str">
        <f t="shared" si="50"/>
        <v>OPS</v>
      </c>
      <c r="V506" t="str">
        <f t="shared" si="51"/>
        <v>L2</v>
      </c>
      <c r="W506" t="str">
        <f>PROPER(TRIM(VLOOKUP(S506,Employee_Lookups!$I$4:$M$19,2,FALSE())))</f>
        <v>Ananya Iyer</v>
      </c>
      <c r="X506" t="str">
        <f>VLOOKUP(C506,Employee_Lookups!$A$4:$G$9,4,FALSE())</f>
        <v>CC-303</v>
      </c>
      <c r="Y506" t="str">
        <f>INDEX(Employee_Lookups!$C$13:$C$17,MATCH(F506,Employee_Lookups!$A$13:$A$17,0))</f>
        <v>Band B (Mid)</v>
      </c>
      <c r="Z506" s="27">
        <f>_xlfn.XLOOKUP(F506,Employee_Lookups!$A$13:$A$17,Employee_Lookups!$E$13:$E$17,0)</f>
        <v>1100000</v>
      </c>
      <c r="AA506" s="28">
        <f>ROUND(O506/INDEX(Employee_Lookups!$E$13:$E$17,MATCH(F506,Employee_Lookups!$A$13:$A$17,0)),3)</f>
        <v>1.115</v>
      </c>
      <c r="AB506">
        <f t="shared" si="52"/>
        <v>2022</v>
      </c>
      <c r="AC506" t="str">
        <f t="shared" si="53"/>
        <v/>
      </c>
      <c r="AD506" s="28">
        <f>ROUND((IF(ISBLANK(L506),Employee_Lookups!$O$14,L506)-J506)/365.25,2)</f>
        <v>3.65</v>
      </c>
      <c r="AE506" t="str">
        <f t="shared" si="54"/>
        <v>3 - 5 Yrs</v>
      </c>
      <c r="AF506" t="str">
        <f t="shared" si="55"/>
        <v>Low Risk</v>
      </c>
    </row>
    <row r="507" spans="1:32" x14ac:dyDescent="0.45">
      <c r="A507" t="s">
        <v>1112</v>
      </c>
      <c r="B507" t="s">
        <v>595</v>
      </c>
      <c r="C507" t="s">
        <v>57</v>
      </c>
      <c r="D507" t="s">
        <v>56</v>
      </c>
      <c r="E507" t="s">
        <v>222</v>
      </c>
      <c r="F507" t="s">
        <v>82</v>
      </c>
      <c r="G507" t="s">
        <v>223</v>
      </c>
      <c r="H507" t="s">
        <v>111</v>
      </c>
      <c r="I507" t="s">
        <v>110</v>
      </c>
      <c r="J507" s="26">
        <v>44692</v>
      </c>
      <c r="K507" t="s">
        <v>162</v>
      </c>
      <c r="L507" s="26"/>
      <c r="M507" t="s">
        <v>163</v>
      </c>
      <c r="N507" t="s">
        <v>95</v>
      </c>
      <c r="O507" s="27">
        <v>953000</v>
      </c>
      <c r="P507">
        <v>3</v>
      </c>
      <c r="Q507" t="s">
        <v>164</v>
      </c>
      <c r="R507">
        <v>43</v>
      </c>
      <c r="S507" t="s">
        <v>165</v>
      </c>
      <c r="T507">
        <f t="shared" si="49"/>
        <v>10329</v>
      </c>
      <c r="U507" t="str">
        <f t="shared" si="50"/>
        <v>MKT</v>
      </c>
      <c r="V507" t="str">
        <f t="shared" si="51"/>
        <v>L2</v>
      </c>
      <c r="W507" t="str">
        <f>PROPER(TRIM(VLOOKUP(S507,Employee_Lookups!$I$4:$M$19,2,FALSE())))</f>
        <v>Arjun Sengupta</v>
      </c>
      <c r="X507" t="str">
        <f>VLOOKUP(C507,Employee_Lookups!$A$4:$G$9,4,FALSE())</f>
        <v>CC-606</v>
      </c>
      <c r="Y507" t="str">
        <f>INDEX(Employee_Lookups!$C$13:$C$17,MATCH(F507,Employee_Lookups!$A$13:$A$17,0))</f>
        <v>Band B (Mid)</v>
      </c>
      <c r="Z507" s="27">
        <f>_xlfn.XLOOKUP(F507,Employee_Lookups!$A$13:$A$17,Employee_Lookups!$E$13:$E$17,0)</f>
        <v>1100000</v>
      </c>
      <c r="AA507" s="28">
        <f>ROUND(O507/INDEX(Employee_Lookups!$E$13:$E$17,MATCH(F507,Employee_Lookups!$A$13:$A$17,0)),3)</f>
        <v>0.86599999999999999</v>
      </c>
      <c r="AB507">
        <f t="shared" si="52"/>
        <v>2022</v>
      </c>
      <c r="AC507" t="str">
        <f t="shared" si="53"/>
        <v/>
      </c>
      <c r="AD507" s="28">
        <f>ROUND((IF(ISBLANK(L507),Employee_Lookups!$O$14,L507)-J507)/365.25,2)</f>
        <v>3.64</v>
      </c>
      <c r="AE507" t="str">
        <f t="shared" si="54"/>
        <v>3 - 5 Yrs</v>
      </c>
      <c r="AF507" t="str">
        <f t="shared" si="55"/>
        <v>Low Risk</v>
      </c>
    </row>
    <row r="508" spans="1:32" x14ac:dyDescent="0.45">
      <c r="A508" t="s">
        <v>1113</v>
      </c>
      <c r="B508" t="s">
        <v>1114</v>
      </c>
      <c r="C508" t="s">
        <v>51</v>
      </c>
      <c r="D508" t="s">
        <v>50</v>
      </c>
      <c r="E508" t="s">
        <v>181</v>
      </c>
      <c r="F508" t="s">
        <v>81</v>
      </c>
      <c r="G508" t="s">
        <v>182</v>
      </c>
      <c r="H508" t="s">
        <v>108</v>
      </c>
      <c r="I508" t="s">
        <v>107</v>
      </c>
      <c r="J508" s="26">
        <v>44693</v>
      </c>
      <c r="K508" t="s">
        <v>187</v>
      </c>
      <c r="L508" s="26">
        <v>44906</v>
      </c>
      <c r="M508" t="s">
        <v>213</v>
      </c>
      <c r="N508" t="s">
        <v>99</v>
      </c>
      <c r="O508" s="27">
        <v>650000</v>
      </c>
      <c r="P508">
        <v>4</v>
      </c>
      <c r="Q508" t="s">
        <v>172</v>
      </c>
      <c r="R508">
        <v>22</v>
      </c>
      <c r="S508" t="s">
        <v>178</v>
      </c>
      <c r="T508">
        <f t="shared" si="49"/>
        <v>11225</v>
      </c>
      <c r="U508" t="str">
        <f t="shared" si="50"/>
        <v>ENG</v>
      </c>
      <c r="V508" t="str">
        <f t="shared" si="51"/>
        <v>L1</v>
      </c>
      <c r="W508" t="str">
        <f>PROPER(TRIM(VLOOKUP(S508,Employee_Lookups!$I$4:$M$19,2,FALSE())))</f>
        <v>Aarav Deshmukh</v>
      </c>
      <c r="X508" t="str">
        <f>VLOOKUP(C508,Employee_Lookups!$A$4:$G$9,4,FALSE())</f>
        <v>CC-101</v>
      </c>
      <c r="Y508" t="str">
        <f>INDEX(Employee_Lookups!$C$13:$C$17,MATCH(F508,Employee_Lookups!$A$13:$A$17,0))</f>
        <v>Band A (Entry)</v>
      </c>
      <c r="Z508" s="27">
        <f>_xlfn.XLOOKUP(F508,Employee_Lookups!$A$13:$A$17,Employee_Lookups!$E$13:$E$17,0)</f>
        <v>700000</v>
      </c>
      <c r="AA508" s="28">
        <f>ROUND(O508/INDEX(Employee_Lookups!$E$13:$E$17,MATCH(F508,Employee_Lookups!$A$13:$A$17,0)),3)</f>
        <v>0.92900000000000005</v>
      </c>
      <c r="AB508">
        <f t="shared" si="52"/>
        <v>2022</v>
      </c>
      <c r="AC508">
        <f t="shared" si="53"/>
        <v>2022</v>
      </c>
      <c r="AD508" s="28">
        <f>ROUND((IF(ISBLANK(L508),Employee_Lookups!$O$14,L508)-J508)/365.25,2)</f>
        <v>0.57999999999999996</v>
      </c>
      <c r="AE508" t="str">
        <f t="shared" si="54"/>
        <v>&lt; 1 Yr (New)</v>
      </c>
      <c r="AF508" t="str">
        <f t="shared" si="55"/>
        <v>Exited</v>
      </c>
    </row>
    <row r="509" spans="1:32" x14ac:dyDescent="0.45">
      <c r="A509" t="s">
        <v>1115</v>
      </c>
      <c r="B509" t="s">
        <v>1116</v>
      </c>
      <c r="C509" t="s">
        <v>61</v>
      </c>
      <c r="D509" t="s">
        <v>60</v>
      </c>
      <c r="E509" t="s">
        <v>484</v>
      </c>
      <c r="F509" t="s">
        <v>83</v>
      </c>
      <c r="G509" t="s">
        <v>485</v>
      </c>
      <c r="H509" t="s">
        <v>109</v>
      </c>
      <c r="I509" t="s">
        <v>110</v>
      </c>
      <c r="J509" s="26">
        <v>44698</v>
      </c>
      <c r="K509" t="s">
        <v>162</v>
      </c>
      <c r="L509" s="26"/>
      <c r="M509" t="s">
        <v>163</v>
      </c>
      <c r="N509" t="s">
        <v>99</v>
      </c>
      <c r="O509" s="27">
        <v>2005000</v>
      </c>
      <c r="P509">
        <v>4</v>
      </c>
      <c r="Q509" t="s">
        <v>164</v>
      </c>
      <c r="R509">
        <v>57</v>
      </c>
      <c r="S509" t="s">
        <v>253</v>
      </c>
      <c r="T509">
        <f t="shared" si="49"/>
        <v>10432</v>
      </c>
      <c r="U509" t="str">
        <f t="shared" si="50"/>
        <v>-HR</v>
      </c>
      <c r="V509" t="str">
        <f t="shared" si="51"/>
        <v>L3</v>
      </c>
      <c r="W509" t="str">
        <f>PROPER(TRIM(VLOOKUP(S509,Employee_Lookups!$I$4:$M$19,2,FALSE())))</f>
        <v>Nikhil Chatterjee</v>
      </c>
      <c r="X509" t="str">
        <f>VLOOKUP(C509,Employee_Lookups!$A$4:$G$9,4,FALSE())</f>
        <v>CC-505</v>
      </c>
      <c r="Y509" t="str">
        <f>INDEX(Employee_Lookups!$C$13:$C$17,MATCH(F509,Employee_Lookups!$A$13:$A$17,0))</f>
        <v>Band C (Senior)</v>
      </c>
      <c r="Z509" s="27">
        <f>_xlfn.XLOOKUP(F509,Employee_Lookups!$A$13:$A$17,Employee_Lookups!$E$13:$E$17,0)</f>
        <v>1725000</v>
      </c>
      <c r="AA509" s="28">
        <f>ROUND(O509/INDEX(Employee_Lookups!$E$13:$E$17,MATCH(F509,Employee_Lookups!$A$13:$A$17,0)),3)</f>
        <v>1.1619999999999999</v>
      </c>
      <c r="AB509">
        <f t="shared" si="52"/>
        <v>2022</v>
      </c>
      <c r="AC509" t="str">
        <f t="shared" si="53"/>
        <v/>
      </c>
      <c r="AD509" s="28">
        <f>ROUND((IF(ISBLANK(L509),Employee_Lookups!$O$14,L509)-J509)/365.25,2)</f>
        <v>3.62</v>
      </c>
      <c r="AE509" t="str">
        <f t="shared" si="54"/>
        <v>3 - 5 Yrs</v>
      </c>
      <c r="AF509" t="str">
        <f t="shared" si="55"/>
        <v>Low Risk</v>
      </c>
    </row>
    <row r="510" spans="1:32" x14ac:dyDescent="0.45">
      <c r="A510" t="s">
        <v>1117</v>
      </c>
      <c r="B510" t="s">
        <v>264</v>
      </c>
      <c r="C510" t="s">
        <v>51</v>
      </c>
      <c r="D510" t="s">
        <v>50</v>
      </c>
      <c r="E510" t="s">
        <v>217</v>
      </c>
      <c r="F510" t="s">
        <v>83</v>
      </c>
      <c r="G510" t="s">
        <v>218</v>
      </c>
      <c r="H510" t="s">
        <v>108</v>
      </c>
      <c r="I510" t="s">
        <v>107</v>
      </c>
      <c r="J510" s="26">
        <v>44699</v>
      </c>
      <c r="K510" t="s">
        <v>162</v>
      </c>
      <c r="L510" s="26"/>
      <c r="M510" t="s">
        <v>163</v>
      </c>
      <c r="N510" t="s">
        <v>99</v>
      </c>
      <c r="O510" s="27">
        <v>1944000</v>
      </c>
      <c r="P510">
        <v>3</v>
      </c>
      <c r="Q510" t="s">
        <v>164</v>
      </c>
      <c r="R510">
        <v>50</v>
      </c>
      <c r="S510" t="s">
        <v>178</v>
      </c>
      <c r="T510">
        <f t="shared" si="49"/>
        <v>10180</v>
      </c>
      <c r="U510" t="str">
        <f t="shared" si="50"/>
        <v>ENG</v>
      </c>
      <c r="V510" t="str">
        <f t="shared" si="51"/>
        <v>L3</v>
      </c>
      <c r="W510" t="str">
        <f>PROPER(TRIM(VLOOKUP(S510,Employee_Lookups!$I$4:$M$19,2,FALSE())))</f>
        <v>Aarav Deshmukh</v>
      </c>
      <c r="X510" t="str">
        <f>VLOOKUP(C510,Employee_Lookups!$A$4:$G$9,4,FALSE())</f>
        <v>CC-101</v>
      </c>
      <c r="Y510" t="str">
        <f>INDEX(Employee_Lookups!$C$13:$C$17,MATCH(F510,Employee_Lookups!$A$13:$A$17,0))</f>
        <v>Band C (Senior)</v>
      </c>
      <c r="Z510" s="27">
        <f>_xlfn.XLOOKUP(F510,Employee_Lookups!$A$13:$A$17,Employee_Lookups!$E$13:$E$17,0)</f>
        <v>1725000</v>
      </c>
      <c r="AA510" s="28">
        <f>ROUND(O510/INDEX(Employee_Lookups!$E$13:$E$17,MATCH(F510,Employee_Lookups!$A$13:$A$17,0)),3)</f>
        <v>1.127</v>
      </c>
      <c r="AB510">
        <f t="shared" si="52"/>
        <v>2022</v>
      </c>
      <c r="AC510" t="str">
        <f t="shared" si="53"/>
        <v/>
      </c>
      <c r="AD510" s="28">
        <f>ROUND((IF(ISBLANK(L510),Employee_Lookups!$O$14,L510)-J510)/365.25,2)</f>
        <v>3.62</v>
      </c>
      <c r="AE510" t="str">
        <f t="shared" si="54"/>
        <v>3 - 5 Yrs</v>
      </c>
      <c r="AF510" t="str">
        <f t="shared" si="55"/>
        <v>Low Risk</v>
      </c>
    </row>
    <row r="511" spans="1:32" x14ac:dyDescent="0.45">
      <c r="A511" t="s">
        <v>1118</v>
      </c>
      <c r="B511" t="s">
        <v>544</v>
      </c>
      <c r="C511" t="s">
        <v>53</v>
      </c>
      <c r="D511" t="s">
        <v>52</v>
      </c>
      <c r="E511" t="s">
        <v>192</v>
      </c>
      <c r="F511" t="s">
        <v>83</v>
      </c>
      <c r="G511" t="s">
        <v>193</v>
      </c>
      <c r="H511" t="s">
        <v>106</v>
      </c>
      <c r="I511" t="s">
        <v>107</v>
      </c>
      <c r="J511" s="26">
        <v>44700</v>
      </c>
      <c r="K511" t="s">
        <v>162</v>
      </c>
      <c r="L511" s="26"/>
      <c r="M511" t="s">
        <v>163</v>
      </c>
      <c r="N511" t="s">
        <v>97</v>
      </c>
      <c r="O511" s="27">
        <v>1882000</v>
      </c>
      <c r="P511">
        <v>3</v>
      </c>
      <c r="Q511" t="s">
        <v>164</v>
      </c>
      <c r="R511">
        <v>23</v>
      </c>
      <c r="S511" t="s">
        <v>237</v>
      </c>
      <c r="T511">
        <f t="shared" si="49"/>
        <v>11242</v>
      </c>
      <c r="U511" t="str">
        <f t="shared" si="50"/>
        <v>SAL</v>
      </c>
      <c r="V511" t="str">
        <f t="shared" si="51"/>
        <v>L3</v>
      </c>
      <c r="W511" t="str">
        <f>PROPER(TRIM(VLOOKUP(S511,Employee_Lookups!$I$4:$M$19,2,FALSE())))</f>
        <v>Karan Malhotra</v>
      </c>
      <c r="X511" t="str">
        <f>VLOOKUP(C511,Employee_Lookups!$A$4:$G$9,4,FALSE())</f>
        <v>CC-202</v>
      </c>
      <c r="Y511" t="str">
        <f>INDEX(Employee_Lookups!$C$13:$C$17,MATCH(F511,Employee_Lookups!$A$13:$A$17,0))</f>
        <v>Band C (Senior)</v>
      </c>
      <c r="Z511" s="27">
        <f>_xlfn.XLOOKUP(F511,Employee_Lookups!$A$13:$A$17,Employee_Lookups!$E$13:$E$17,0)</f>
        <v>1725000</v>
      </c>
      <c r="AA511" s="28">
        <f>ROUND(O511/INDEX(Employee_Lookups!$E$13:$E$17,MATCH(F511,Employee_Lookups!$A$13:$A$17,0)),3)</f>
        <v>1.091</v>
      </c>
      <c r="AB511">
        <f t="shared" si="52"/>
        <v>2022</v>
      </c>
      <c r="AC511" t="str">
        <f t="shared" si="53"/>
        <v/>
      </c>
      <c r="AD511" s="28">
        <f>ROUND((IF(ISBLANK(L511),Employee_Lookups!$O$14,L511)-J511)/365.25,2)</f>
        <v>3.62</v>
      </c>
      <c r="AE511" t="str">
        <f t="shared" si="54"/>
        <v>3 - 5 Yrs</v>
      </c>
      <c r="AF511" t="str">
        <f t="shared" si="55"/>
        <v>Low Risk</v>
      </c>
    </row>
    <row r="512" spans="1:32" x14ac:dyDescent="0.45">
      <c r="A512" t="s">
        <v>1119</v>
      </c>
      <c r="B512" t="s">
        <v>893</v>
      </c>
      <c r="C512" t="s">
        <v>57</v>
      </c>
      <c r="D512" t="s">
        <v>56</v>
      </c>
      <c r="E512" t="s">
        <v>391</v>
      </c>
      <c r="F512" t="s">
        <v>83</v>
      </c>
      <c r="G512" t="s">
        <v>392</v>
      </c>
      <c r="H512" t="s">
        <v>106</v>
      </c>
      <c r="I512" t="s">
        <v>107</v>
      </c>
      <c r="J512" s="26">
        <v>44700</v>
      </c>
      <c r="K512" t="s">
        <v>170</v>
      </c>
      <c r="L512" s="26">
        <v>45786</v>
      </c>
      <c r="M512" t="s">
        <v>171</v>
      </c>
      <c r="N512" t="s">
        <v>99</v>
      </c>
      <c r="O512" s="27">
        <v>1598000</v>
      </c>
      <c r="P512">
        <v>3</v>
      </c>
      <c r="Q512" t="s">
        <v>164</v>
      </c>
      <c r="R512">
        <v>9</v>
      </c>
      <c r="S512" t="s">
        <v>224</v>
      </c>
      <c r="T512">
        <f t="shared" si="49"/>
        <v>11361</v>
      </c>
      <c r="U512" t="str">
        <f t="shared" si="50"/>
        <v>MKT</v>
      </c>
      <c r="V512" t="str">
        <f t="shared" si="51"/>
        <v>L3</v>
      </c>
      <c r="W512" t="str">
        <f>PROPER(TRIM(VLOOKUP(S512,Employee_Lookups!$I$4:$M$19,2,FALSE())))</f>
        <v>Tanvi Chitnis</v>
      </c>
      <c r="X512" t="str">
        <f>VLOOKUP(C512,Employee_Lookups!$A$4:$G$9,4,FALSE())</f>
        <v>CC-606</v>
      </c>
      <c r="Y512" t="str">
        <f>INDEX(Employee_Lookups!$C$13:$C$17,MATCH(F512,Employee_Lookups!$A$13:$A$17,0))</f>
        <v>Band C (Senior)</v>
      </c>
      <c r="Z512" s="27">
        <f>_xlfn.XLOOKUP(F512,Employee_Lookups!$A$13:$A$17,Employee_Lookups!$E$13:$E$17,0)</f>
        <v>1725000</v>
      </c>
      <c r="AA512" s="28">
        <f>ROUND(O512/INDEX(Employee_Lookups!$E$13:$E$17,MATCH(F512,Employee_Lookups!$A$13:$A$17,0)),3)</f>
        <v>0.92600000000000005</v>
      </c>
      <c r="AB512">
        <f t="shared" si="52"/>
        <v>2022</v>
      </c>
      <c r="AC512">
        <f t="shared" si="53"/>
        <v>2025</v>
      </c>
      <c r="AD512" s="28">
        <f>ROUND((IF(ISBLANK(L512),Employee_Lookups!$O$14,L512)-J512)/365.25,2)</f>
        <v>2.97</v>
      </c>
      <c r="AE512" t="str">
        <f t="shared" si="54"/>
        <v>1 - 3 Yrs</v>
      </c>
      <c r="AF512" t="str">
        <f t="shared" si="55"/>
        <v>Exited</v>
      </c>
    </row>
    <row r="513" spans="1:32" x14ac:dyDescent="0.45">
      <c r="A513" t="s">
        <v>1120</v>
      </c>
      <c r="B513" t="s">
        <v>466</v>
      </c>
      <c r="C513" t="s">
        <v>51</v>
      </c>
      <c r="D513" t="s">
        <v>50</v>
      </c>
      <c r="E513" t="s">
        <v>181</v>
      </c>
      <c r="F513" t="s">
        <v>81</v>
      </c>
      <c r="G513" t="s">
        <v>182</v>
      </c>
      <c r="H513" t="s">
        <v>106</v>
      </c>
      <c r="I513" t="s">
        <v>107</v>
      </c>
      <c r="J513" s="26">
        <v>44701</v>
      </c>
      <c r="K513" t="s">
        <v>162</v>
      </c>
      <c r="L513" s="26"/>
      <c r="M513" t="s">
        <v>163</v>
      </c>
      <c r="N513" t="s">
        <v>96</v>
      </c>
      <c r="O513" s="27">
        <v>735000</v>
      </c>
      <c r="P513">
        <v>4</v>
      </c>
      <c r="Q513" t="s">
        <v>164</v>
      </c>
      <c r="R513">
        <v>44</v>
      </c>
      <c r="S513" t="s">
        <v>244</v>
      </c>
      <c r="T513">
        <f t="shared" si="49"/>
        <v>10940</v>
      </c>
      <c r="U513" t="str">
        <f t="shared" si="50"/>
        <v>ENG</v>
      </c>
      <c r="V513" t="str">
        <f t="shared" si="51"/>
        <v>L1</v>
      </c>
      <c r="W513" t="str">
        <f>PROPER(TRIM(VLOOKUP(S513,Employee_Lookups!$I$4:$M$19,2,FALSE())))</f>
        <v>Siddharth Nair</v>
      </c>
      <c r="X513" t="str">
        <f>VLOOKUP(C513,Employee_Lookups!$A$4:$G$9,4,FALSE())</f>
        <v>CC-101</v>
      </c>
      <c r="Y513" t="str">
        <f>INDEX(Employee_Lookups!$C$13:$C$17,MATCH(F513,Employee_Lookups!$A$13:$A$17,0))</f>
        <v>Band A (Entry)</v>
      </c>
      <c r="Z513" s="27">
        <f>_xlfn.XLOOKUP(F513,Employee_Lookups!$A$13:$A$17,Employee_Lookups!$E$13:$E$17,0)</f>
        <v>700000</v>
      </c>
      <c r="AA513" s="28">
        <f>ROUND(O513/INDEX(Employee_Lookups!$E$13:$E$17,MATCH(F513,Employee_Lookups!$A$13:$A$17,0)),3)</f>
        <v>1.05</v>
      </c>
      <c r="AB513">
        <f t="shared" si="52"/>
        <v>2022</v>
      </c>
      <c r="AC513" t="str">
        <f t="shared" si="53"/>
        <v/>
      </c>
      <c r="AD513" s="28">
        <f>ROUND((IF(ISBLANK(L513),Employee_Lookups!$O$14,L513)-J513)/365.25,2)</f>
        <v>3.62</v>
      </c>
      <c r="AE513" t="str">
        <f t="shared" si="54"/>
        <v>3 - 5 Yrs</v>
      </c>
      <c r="AF513" t="str">
        <f t="shared" si="55"/>
        <v>Low Risk</v>
      </c>
    </row>
    <row r="514" spans="1:32" x14ac:dyDescent="0.45">
      <c r="A514" t="s">
        <v>1121</v>
      </c>
      <c r="B514" t="s">
        <v>1122</v>
      </c>
      <c r="C514" t="s">
        <v>51</v>
      </c>
      <c r="D514" t="s">
        <v>50</v>
      </c>
      <c r="E514" t="s">
        <v>181</v>
      </c>
      <c r="F514" t="s">
        <v>81</v>
      </c>
      <c r="G514" t="s">
        <v>182</v>
      </c>
      <c r="H514" t="s">
        <v>109</v>
      </c>
      <c r="I514" t="s">
        <v>110</v>
      </c>
      <c r="J514" s="26">
        <v>44704</v>
      </c>
      <c r="K514" t="s">
        <v>162</v>
      </c>
      <c r="L514" s="26"/>
      <c r="M514" t="s">
        <v>163</v>
      </c>
      <c r="N514" t="s">
        <v>99</v>
      </c>
      <c r="O514" s="27">
        <v>596000</v>
      </c>
      <c r="P514">
        <v>3</v>
      </c>
      <c r="Q514" t="s">
        <v>164</v>
      </c>
      <c r="R514">
        <v>33</v>
      </c>
      <c r="S514" t="s">
        <v>197</v>
      </c>
      <c r="T514">
        <f t="shared" ref="T514:T577" si="56">VALUE(MID(A514,5,5))</f>
        <v>11325</v>
      </c>
      <c r="U514" t="str">
        <f t="shared" ref="U514:U577" si="57">LEFT(E514,3)</f>
        <v>ENG</v>
      </c>
      <c r="V514" t="str">
        <f t="shared" ref="V514:V577" si="58">RIGHT(E514,2)</f>
        <v>L1</v>
      </c>
      <c r="W514" t="str">
        <f>PROPER(TRIM(VLOOKUP(S514,Employee_Lookups!$I$4:$M$19,2,FALSE())))</f>
        <v>Rohan Verma</v>
      </c>
      <c r="X514" t="str">
        <f>VLOOKUP(C514,Employee_Lookups!$A$4:$G$9,4,FALSE())</f>
        <v>CC-101</v>
      </c>
      <c r="Y514" t="str">
        <f>INDEX(Employee_Lookups!$C$13:$C$17,MATCH(F514,Employee_Lookups!$A$13:$A$17,0))</f>
        <v>Band A (Entry)</v>
      </c>
      <c r="Z514" s="27">
        <f>_xlfn.XLOOKUP(F514,Employee_Lookups!$A$13:$A$17,Employee_Lookups!$E$13:$E$17,0)</f>
        <v>700000</v>
      </c>
      <c r="AA514" s="28">
        <f>ROUND(O514/INDEX(Employee_Lookups!$E$13:$E$17,MATCH(F514,Employee_Lookups!$A$13:$A$17,0)),3)</f>
        <v>0.85099999999999998</v>
      </c>
      <c r="AB514">
        <f t="shared" ref="AB514:AB577" si="59">YEAR(J514)</f>
        <v>2022</v>
      </c>
      <c r="AC514" t="str">
        <f t="shared" ref="AC514:AC577" si="60">IF(ISBLANK(L514),"",YEAR(L514))</f>
        <v/>
      </c>
      <c r="AD514" s="28">
        <f>ROUND((IF(ISBLANK(L514),Employee_Lookups!$O$14,L514)-J514)/365.25,2)</f>
        <v>3.61</v>
      </c>
      <c r="AE514" t="str">
        <f t="shared" ref="AE514:AE577" si="61">IF(AD514&lt;1,"&lt; 1 Yr (New)",IF(AD514&lt;3,"1 - 3 Yrs",IF(AD514&lt;5,"3 - 5 Yrs","5+ Yrs")))</f>
        <v>3 - 5 Yrs</v>
      </c>
      <c r="AF514" t="str">
        <f t="shared" ref="AF514:AF577" si="62">IF(K514&lt;&gt;"Active","Exited",IF(AND(Q514="Yes",OR(P514&gt;=4,AA514&lt;0.95)),"High Risk",IF(OR(Q514="Yes",AND(NOT(ISBLANK(P514)),P514&lt;=2)),"Moderate Risk","Low Risk")))</f>
        <v>Low Risk</v>
      </c>
    </row>
    <row r="515" spans="1:32" x14ac:dyDescent="0.45">
      <c r="A515" t="s">
        <v>1123</v>
      </c>
      <c r="B515" t="s">
        <v>642</v>
      </c>
      <c r="C515" t="s">
        <v>53</v>
      </c>
      <c r="D515" t="s">
        <v>52</v>
      </c>
      <c r="E515" t="s">
        <v>322</v>
      </c>
      <c r="F515" t="s">
        <v>81</v>
      </c>
      <c r="G515" t="s">
        <v>323</v>
      </c>
      <c r="H515" t="s">
        <v>106</v>
      </c>
      <c r="I515" t="s">
        <v>107</v>
      </c>
      <c r="J515" s="26">
        <v>44704</v>
      </c>
      <c r="K515" t="s">
        <v>170</v>
      </c>
      <c r="L515" s="26">
        <v>44912</v>
      </c>
      <c r="M515" t="s">
        <v>171</v>
      </c>
      <c r="N515" t="s">
        <v>99</v>
      </c>
      <c r="O515" s="27">
        <v>663000</v>
      </c>
      <c r="P515">
        <v>3</v>
      </c>
      <c r="Q515" t="s">
        <v>172</v>
      </c>
      <c r="R515">
        <v>33</v>
      </c>
      <c r="S515" t="s">
        <v>237</v>
      </c>
      <c r="T515">
        <f t="shared" si="56"/>
        <v>10577</v>
      </c>
      <c r="U515" t="str">
        <f t="shared" si="57"/>
        <v>SAL</v>
      </c>
      <c r="V515" t="str">
        <f t="shared" si="58"/>
        <v>L1</v>
      </c>
      <c r="W515" t="str">
        <f>PROPER(TRIM(VLOOKUP(S515,Employee_Lookups!$I$4:$M$19,2,FALSE())))</f>
        <v>Karan Malhotra</v>
      </c>
      <c r="X515" t="str">
        <f>VLOOKUP(C515,Employee_Lookups!$A$4:$G$9,4,FALSE())</f>
        <v>CC-202</v>
      </c>
      <c r="Y515" t="str">
        <f>INDEX(Employee_Lookups!$C$13:$C$17,MATCH(F515,Employee_Lookups!$A$13:$A$17,0))</f>
        <v>Band A (Entry)</v>
      </c>
      <c r="Z515" s="27">
        <f>_xlfn.XLOOKUP(F515,Employee_Lookups!$A$13:$A$17,Employee_Lookups!$E$13:$E$17,0)</f>
        <v>700000</v>
      </c>
      <c r="AA515" s="28">
        <f>ROUND(O515/INDEX(Employee_Lookups!$E$13:$E$17,MATCH(F515,Employee_Lookups!$A$13:$A$17,0)),3)</f>
        <v>0.94699999999999995</v>
      </c>
      <c r="AB515">
        <f t="shared" si="59"/>
        <v>2022</v>
      </c>
      <c r="AC515">
        <f t="shared" si="60"/>
        <v>2022</v>
      </c>
      <c r="AD515" s="28">
        <f>ROUND((IF(ISBLANK(L515),Employee_Lookups!$O$14,L515)-J515)/365.25,2)</f>
        <v>0.56999999999999995</v>
      </c>
      <c r="AE515" t="str">
        <f t="shared" si="61"/>
        <v>&lt; 1 Yr (New)</v>
      </c>
      <c r="AF515" t="str">
        <f t="shared" si="62"/>
        <v>Exited</v>
      </c>
    </row>
    <row r="516" spans="1:32" x14ac:dyDescent="0.45">
      <c r="A516" t="s">
        <v>1124</v>
      </c>
      <c r="B516" t="s">
        <v>755</v>
      </c>
      <c r="C516" t="s">
        <v>57</v>
      </c>
      <c r="D516" t="s">
        <v>56</v>
      </c>
      <c r="E516" t="s">
        <v>160</v>
      </c>
      <c r="F516" t="s">
        <v>81</v>
      </c>
      <c r="G516" t="s">
        <v>161</v>
      </c>
      <c r="H516" t="s">
        <v>108</v>
      </c>
      <c r="I516" t="s">
        <v>107</v>
      </c>
      <c r="J516" s="26">
        <v>44704</v>
      </c>
      <c r="K516" t="s">
        <v>170</v>
      </c>
      <c r="L516" s="26">
        <v>44860</v>
      </c>
      <c r="M516" t="s">
        <v>171</v>
      </c>
      <c r="N516" t="s">
        <v>95</v>
      </c>
      <c r="O516" s="27">
        <v>763000</v>
      </c>
      <c r="P516">
        <v>2</v>
      </c>
      <c r="Q516" t="s">
        <v>164</v>
      </c>
      <c r="R516">
        <v>32</v>
      </c>
      <c r="S516" t="s">
        <v>224</v>
      </c>
      <c r="T516">
        <f t="shared" si="56"/>
        <v>10708</v>
      </c>
      <c r="U516" t="str">
        <f t="shared" si="57"/>
        <v>MKT</v>
      </c>
      <c r="V516" t="str">
        <f t="shared" si="58"/>
        <v>L1</v>
      </c>
      <c r="W516" t="str">
        <f>PROPER(TRIM(VLOOKUP(S516,Employee_Lookups!$I$4:$M$19,2,FALSE())))</f>
        <v>Tanvi Chitnis</v>
      </c>
      <c r="X516" t="str">
        <f>VLOOKUP(C516,Employee_Lookups!$A$4:$G$9,4,FALSE())</f>
        <v>CC-606</v>
      </c>
      <c r="Y516" t="str">
        <f>INDEX(Employee_Lookups!$C$13:$C$17,MATCH(F516,Employee_Lookups!$A$13:$A$17,0))</f>
        <v>Band A (Entry)</v>
      </c>
      <c r="Z516" s="27">
        <f>_xlfn.XLOOKUP(F516,Employee_Lookups!$A$13:$A$17,Employee_Lookups!$E$13:$E$17,0)</f>
        <v>700000</v>
      </c>
      <c r="AA516" s="28">
        <f>ROUND(O516/INDEX(Employee_Lookups!$E$13:$E$17,MATCH(F516,Employee_Lookups!$A$13:$A$17,0)),3)</f>
        <v>1.0900000000000001</v>
      </c>
      <c r="AB516">
        <f t="shared" si="59"/>
        <v>2022</v>
      </c>
      <c r="AC516">
        <f t="shared" si="60"/>
        <v>2022</v>
      </c>
      <c r="AD516" s="28">
        <f>ROUND((IF(ISBLANK(L516),Employee_Lookups!$O$14,L516)-J516)/365.25,2)</f>
        <v>0.43</v>
      </c>
      <c r="AE516" t="str">
        <f t="shared" si="61"/>
        <v>&lt; 1 Yr (New)</v>
      </c>
      <c r="AF516" t="str">
        <f t="shared" si="62"/>
        <v>Exited</v>
      </c>
    </row>
    <row r="517" spans="1:32" x14ac:dyDescent="0.45">
      <c r="A517" t="s">
        <v>1125</v>
      </c>
      <c r="B517" t="s">
        <v>1126</v>
      </c>
      <c r="C517" t="s">
        <v>61</v>
      </c>
      <c r="D517" t="s">
        <v>60</v>
      </c>
      <c r="E517" t="s">
        <v>356</v>
      </c>
      <c r="F517" t="s">
        <v>81</v>
      </c>
      <c r="G517" t="s">
        <v>357</v>
      </c>
      <c r="H517" t="s">
        <v>106</v>
      </c>
      <c r="I517" t="s">
        <v>107</v>
      </c>
      <c r="J517" s="26">
        <v>44704</v>
      </c>
      <c r="K517" t="s">
        <v>170</v>
      </c>
      <c r="L517" s="26">
        <v>45012</v>
      </c>
      <c r="M517" t="s">
        <v>171</v>
      </c>
      <c r="N517" t="s">
        <v>98</v>
      </c>
      <c r="O517" s="27">
        <v>606000</v>
      </c>
      <c r="P517">
        <v>4</v>
      </c>
      <c r="Q517" t="s">
        <v>164</v>
      </c>
      <c r="R517">
        <v>45</v>
      </c>
      <c r="S517" t="s">
        <v>253</v>
      </c>
      <c r="T517">
        <f t="shared" si="56"/>
        <v>10614</v>
      </c>
      <c r="U517" t="str">
        <f t="shared" si="57"/>
        <v>-HR</v>
      </c>
      <c r="V517" t="str">
        <f t="shared" si="58"/>
        <v>L1</v>
      </c>
      <c r="W517" t="str">
        <f>PROPER(TRIM(VLOOKUP(S517,Employee_Lookups!$I$4:$M$19,2,FALSE())))</f>
        <v>Nikhil Chatterjee</v>
      </c>
      <c r="X517" t="str">
        <f>VLOOKUP(C517,Employee_Lookups!$A$4:$G$9,4,FALSE())</f>
        <v>CC-505</v>
      </c>
      <c r="Y517" t="str">
        <f>INDEX(Employee_Lookups!$C$13:$C$17,MATCH(F517,Employee_Lookups!$A$13:$A$17,0))</f>
        <v>Band A (Entry)</v>
      </c>
      <c r="Z517" s="27">
        <f>_xlfn.XLOOKUP(F517,Employee_Lookups!$A$13:$A$17,Employee_Lookups!$E$13:$E$17,0)</f>
        <v>700000</v>
      </c>
      <c r="AA517" s="28">
        <f>ROUND(O517/INDEX(Employee_Lookups!$E$13:$E$17,MATCH(F517,Employee_Lookups!$A$13:$A$17,0)),3)</f>
        <v>0.86599999999999999</v>
      </c>
      <c r="AB517">
        <f t="shared" si="59"/>
        <v>2022</v>
      </c>
      <c r="AC517">
        <f t="shared" si="60"/>
        <v>2023</v>
      </c>
      <c r="AD517" s="28">
        <f>ROUND((IF(ISBLANK(L517),Employee_Lookups!$O$14,L517)-J517)/365.25,2)</f>
        <v>0.84</v>
      </c>
      <c r="AE517" t="str">
        <f t="shared" si="61"/>
        <v>&lt; 1 Yr (New)</v>
      </c>
      <c r="AF517" t="str">
        <f t="shared" si="62"/>
        <v>Exited</v>
      </c>
    </row>
    <row r="518" spans="1:32" x14ac:dyDescent="0.45">
      <c r="A518" t="s">
        <v>1127</v>
      </c>
      <c r="B518" t="s">
        <v>438</v>
      </c>
      <c r="C518" t="s">
        <v>61</v>
      </c>
      <c r="D518" t="s">
        <v>60</v>
      </c>
      <c r="E518" t="s">
        <v>251</v>
      </c>
      <c r="F518" t="s">
        <v>82</v>
      </c>
      <c r="G518" t="s">
        <v>252</v>
      </c>
      <c r="H518" t="s">
        <v>106</v>
      </c>
      <c r="I518" t="s">
        <v>107</v>
      </c>
      <c r="J518" s="26">
        <v>44704</v>
      </c>
      <c r="K518" t="s">
        <v>170</v>
      </c>
      <c r="L518" s="26">
        <v>44955</v>
      </c>
      <c r="M518" t="s">
        <v>171</v>
      </c>
      <c r="N518" t="s">
        <v>97</v>
      </c>
      <c r="O518" s="27">
        <v>1260000</v>
      </c>
      <c r="P518">
        <v>3</v>
      </c>
      <c r="Q518" t="s">
        <v>172</v>
      </c>
      <c r="R518">
        <v>53</v>
      </c>
      <c r="S518" t="s">
        <v>319</v>
      </c>
      <c r="T518">
        <f t="shared" si="56"/>
        <v>11190</v>
      </c>
      <c r="U518" t="str">
        <f t="shared" si="57"/>
        <v>-HR</v>
      </c>
      <c r="V518" t="str">
        <f t="shared" si="58"/>
        <v>L2</v>
      </c>
      <c r="W518" t="str">
        <f>PROPER(TRIM(VLOOKUP(S518,Employee_Lookups!$I$4:$M$19,2,FALSE())))</f>
        <v>Kavita Menon</v>
      </c>
      <c r="X518" t="str">
        <f>VLOOKUP(C518,Employee_Lookups!$A$4:$G$9,4,FALSE())</f>
        <v>CC-505</v>
      </c>
      <c r="Y518" t="str">
        <f>INDEX(Employee_Lookups!$C$13:$C$17,MATCH(F518,Employee_Lookups!$A$13:$A$17,0))</f>
        <v>Band B (Mid)</v>
      </c>
      <c r="Z518" s="27">
        <f>_xlfn.XLOOKUP(F518,Employee_Lookups!$A$13:$A$17,Employee_Lookups!$E$13:$E$17,0)</f>
        <v>1100000</v>
      </c>
      <c r="AA518" s="28">
        <f>ROUND(O518/INDEX(Employee_Lookups!$E$13:$E$17,MATCH(F518,Employee_Lookups!$A$13:$A$17,0)),3)</f>
        <v>1.145</v>
      </c>
      <c r="AB518">
        <f t="shared" si="59"/>
        <v>2022</v>
      </c>
      <c r="AC518">
        <f t="shared" si="60"/>
        <v>2023</v>
      </c>
      <c r="AD518" s="28">
        <f>ROUND((IF(ISBLANK(L518),Employee_Lookups!$O$14,L518)-J518)/365.25,2)</f>
        <v>0.69</v>
      </c>
      <c r="AE518" t="str">
        <f t="shared" si="61"/>
        <v>&lt; 1 Yr (New)</v>
      </c>
      <c r="AF518" t="str">
        <f t="shared" si="62"/>
        <v>Exited</v>
      </c>
    </row>
    <row r="519" spans="1:32" x14ac:dyDescent="0.45">
      <c r="A519" t="s">
        <v>1128</v>
      </c>
      <c r="B519" t="s">
        <v>1129</v>
      </c>
      <c r="C519" t="s">
        <v>57</v>
      </c>
      <c r="D519" t="s">
        <v>56</v>
      </c>
      <c r="E519" t="s">
        <v>391</v>
      </c>
      <c r="F519" t="s">
        <v>83</v>
      </c>
      <c r="G519" t="s">
        <v>392</v>
      </c>
      <c r="H519" t="s">
        <v>108</v>
      </c>
      <c r="I519" t="s">
        <v>107</v>
      </c>
      <c r="J519" s="26">
        <v>44708</v>
      </c>
      <c r="K519" t="s">
        <v>162</v>
      </c>
      <c r="L519" s="26"/>
      <c r="M519" t="s">
        <v>163</v>
      </c>
      <c r="N519" t="s">
        <v>95</v>
      </c>
      <c r="O519" s="27">
        <v>1986000</v>
      </c>
      <c r="P519">
        <v>3</v>
      </c>
      <c r="Q519" t="s">
        <v>164</v>
      </c>
      <c r="R519">
        <v>24</v>
      </c>
      <c r="S519" t="s">
        <v>165</v>
      </c>
      <c r="T519">
        <f t="shared" si="56"/>
        <v>11137</v>
      </c>
      <c r="U519" t="str">
        <f t="shared" si="57"/>
        <v>MKT</v>
      </c>
      <c r="V519" t="str">
        <f t="shared" si="58"/>
        <v>L3</v>
      </c>
      <c r="W519" t="str">
        <f>PROPER(TRIM(VLOOKUP(S519,Employee_Lookups!$I$4:$M$19,2,FALSE())))</f>
        <v>Arjun Sengupta</v>
      </c>
      <c r="X519" t="str">
        <f>VLOOKUP(C519,Employee_Lookups!$A$4:$G$9,4,FALSE())</f>
        <v>CC-606</v>
      </c>
      <c r="Y519" t="str">
        <f>INDEX(Employee_Lookups!$C$13:$C$17,MATCH(F519,Employee_Lookups!$A$13:$A$17,0))</f>
        <v>Band C (Senior)</v>
      </c>
      <c r="Z519" s="27">
        <f>_xlfn.XLOOKUP(F519,Employee_Lookups!$A$13:$A$17,Employee_Lookups!$E$13:$E$17,0)</f>
        <v>1725000</v>
      </c>
      <c r="AA519" s="28">
        <f>ROUND(O519/INDEX(Employee_Lookups!$E$13:$E$17,MATCH(F519,Employee_Lookups!$A$13:$A$17,0)),3)</f>
        <v>1.151</v>
      </c>
      <c r="AB519">
        <f t="shared" si="59"/>
        <v>2022</v>
      </c>
      <c r="AC519" t="str">
        <f t="shared" si="60"/>
        <v/>
      </c>
      <c r="AD519" s="28">
        <f>ROUND((IF(ISBLANK(L519),Employee_Lookups!$O$14,L519)-J519)/365.25,2)</f>
        <v>3.6</v>
      </c>
      <c r="AE519" t="str">
        <f t="shared" si="61"/>
        <v>3 - 5 Yrs</v>
      </c>
      <c r="AF519" t="str">
        <f t="shared" si="62"/>
        <v>Low Risk</v>
      </c>
    </row>
    <row r="520" spans="1:32" x14ac:dyDescent="0.45">
      <c r="A520" t="s">
        <v>1130</v>
      </c>
      <c r="B520" t="s">
        <v>1131</v>
      </c>
      <c r="C520" t="s">
        <v>53</v>
      </c>
      <c r="D520" t="s">
        <v>52</v>
      </c>
      <c r="E520" t="s">
        <v>280</v>
      </c>
      <c r="F520" t="s">
        <v>85</v>
      </c>
      <c r="G520" t="s">
        <v>281</v>
      </c>
      <c r="H520" t="s">
        <v>106</v>
      </c>
      <c r="I520" t="s">
        <v>107</v>
      </c>
      <c r="J520" s="26">
        <v>44709</v>
      </c>
      <c r="K520" t="s">
        <v>162</v>
      </c>
      <c r="L520" s="26"/>
      <c r="M520" t="s">
        <v>163</v>
      </c>
      <c r="N520" t="s">
        <v>99</v>
      </c>
      <c r="O520" s="27">
        <v>4803000</v>
      </c>
      <c r="P520">
        <v>3</v>
      </c>
      <c r="Q520" t="s">
        <v>172</v>
      </c>
      <c r="R520">
        <v>49</v>
      </c>
      <c r="S520" t="s">
        <v>194</v>
      </c>
      <c r="T520">
        <f t="shared" si="56"/>
        <v>10897</v>
      </c>
      <c r="U520" t="str">
        <f t="shared" si="57"/>
        <v>SAL</v>
      </c>
      <c r="V520" t="str">
        <f t="shared" si="58"/>
        <v>L5</v>
      </c>
      <c r="W520" t="str">
        <f>PROPER(TRIM(VLOOKUP(S520,Employee_Lookups!$I$4:$M$19,2,FALSE())))</f>
        <v>Vikramaditya Joshi</v>
      </c>
      <c r="X520" t="str">
        <f>VLOOKUP(C520,Employee_Lookups!$A$4:$G$9,4,FALSE())</f>
        <v>CC-202</v>
      </c>
      <c r="Y520" t="str">
        <f>INDEX(Employee_Lookups!$C$13:$C$17,MATCH(F520,Employee_Lookups!$A$13:$A$17,0))</f>
        <v>Band E (Executive)</v>
      </c>
      <c r="Z520" s="27">
        <f>_xlfn.XLOOKUP(F520,Employee_Lookups!$A$13:$A$17,Employee_Lookups!$E$13:$E$17,0)</f>
        <v>4300000</v>
      </c>
      <c r="AA520" s="28">
        <f>ROUND(O520/INDEX(Employee_Lookups!$E$13:$E$17,MATCH(F520,Employee_Lookups!$A$13:$A$17,0)),3)</f>
        <v>1.117</v>
      </c>
      <c r="AB520">
        <f t="shared" si="59"/>
        <v>2022</v>
      </c>
      <c r="AC520" t="str">
        <f t="shared" si="60"/>
        <v/>
      </c>
      <c r="AD520" s="28">
        <f>ROUND((IF(ISBLANK(L520),Employee_Lookups!$O$14,L520)-J520)/365.25,2)</f>
        <v>3.59</v>
      </c>
      <c r="AE520" t="str">
        <f t="shared" si="61"/>
        <v>3 - 5 Yrs</v>
      </c>
      <c r="AF520" t="str">
        <f t="shared" si="62"/>
        <v>Moderate Risk</v>
      </c>
    </row>
    <row r="521" spans="1:32" x14ac:dyDescent="0.45">
      <c r="A521" t="s">
        <v>1132</v>
      </c>
      <c r="B521" t="s">
        <v>724</v>
      </c>
      <c r="C521" t="s">
        <v>53</v>
      </c>
      <c r="D521" t="s">
        <v>52</v>
      </c>
      <c r="E521" t="s">
        <v>200</v>
      </c>
      <c r="F521" t="s">
        <v>84</v>
      </c>
      <c r="G521" t="s">
        <v>201</v>
      </c>
      <c r="H521" t="s">
        <v>111</v>
      </c>
      <c r="I521" t="s">
        <v>110</v>
      </c>
      <c r="J521" s="26">
        <v>44713</v>
      </c>
      <c r="K521" t="s">
        <v>162</v>
      </c>
      <c r="L521" s="26"/>
      <c r="M521" t="s">
        <v>163</v>
      </c>
      <c r="N521" t="s">
        <v>97</v>
      </c>
      <c r="O521" s="27">
        <v>2483000</v>
      </c>
      <c r="P521">
        <v>3</v>
      </c>
      <c r="Q521" t="s">
        <v>172</v>
      </c>
      <c r="R521">
        <v>19</v>
      </c>
      <c r="S521" t="s">
        <v>194</v>
      </c>
      <c r="T521">
        <f t="shared" si="56"/>
        <v>10422</v>
      </c>
      <c r="U521" t="str">
        <f t="shared" si="57"/>
        <v>SAL</v>
      </c>
      <c r="V521" t="str">
        <f t="shared" si="58"/>
        <v>L4</v>
      </c>
      <c r="W521" t="str">
        <f>PROPER(TRIM(VLOOKUP(S521,Employee_Lookups!$I$4:$M$19,2,FALSE())))</f>
        <v>Vikramaditya Joshi</v>
      </c>
      <c r="X521" t="str">
        <f>VLOOKUP(C521,Employee_Lookups!$A$4:$G$9,4,FALSE())</f>
        <v>CC-202</v>
      </c>
      <c r="Y521" t="str">
        <f>INDEX(Employee_Lookups!$C$13:$C$17,MATCH(F521,Employee_Lookups!$A$13:$A$17,0))</f>
        <v>Band D (Leadership)</v>
      </c>
      <c r="Z521" s="27">
        <f>_xlfn.XLOOKUP(F521,Employee_Lookups!$A$13:$A$17,Employee_Lookups!$E$13:$E$17,0)</f>
        <v>2750000</v>
      </c>
      <c r="AA521" s="28">
        <f>ROUND(O521/INDEX(Employee_Lookups!$E$13:$E$17,MATCH(F521,Employee_Lookups!$A$13:$A$17,0)),3)</f>
        <v>0.90300000000000002</v>
      </c>
      <c r="AB521">
        <f t="shared" si="59"/>
        <v>2022</v>
      </c>
      <c r="AC521" t="str">
        <f t="shared" si="60"/>
        <v/>
      </c>
      <c r="AD521" s="28">
        <f>ROUND((IF(ISBLANK(L521),Employee_Lookups!$O$14,L521)-J521)/365.25,2)</f>
        <v>3.58</v>
      </c>
      <c r="AE521" t="str">
        <f t="shared" si="61"/>
        <v>3 - 5 Yrs</v>
      </c>
      <c r="AF521" t="str">
        <f t="shared" si="62"/>
        <v>High Risk</v>
      </c>
    </row>
    <row r="522" spans="1:32" x14ac:dyDescent="0.45">
      <c r="A522" t="s">
        <v>1133</v>
      </c>
      <c r="B522" t="s">
        <v>1134</v>
      </c>
      <c r="C522" t="s">
        <v>59</v>
      </c>
      <c r="D522" t="s">
        <v>58</v>
      </c>
      <c r="E522" t="s">
        <v>206</v>
      </c>
      <c r="F522" t="s">
        <v>81</v>
      </c>
      <c r="G522" t="s">
        <v>207</v>
      </c>
      <c r="H522" t="s">
        <v>106</v>
      </c>
      <c r="I522" t="s">
        <v>107</v>
      </c>
      <c r="J522" s="26">
        <v>44713</v>
      </c>
      <c r="K522" t="s">
        <v>187</v>
      </c>
      <c r="L522" s="26">
        <v>44772</v>
      </c>
      <c r="M522" t="s">
        <v>308</v>
      </c>
      <c r="N522" t="s">
        <v>97</v>
      </c>
      <c r="O522" s="27">
        <v>629000</v>
      </c>
      <c r="P522">
        <v>4</v>
      </c>
      <c r="Q522" t="s">
        <v>172</v>
      </c>
      <c r="R522">
        <v>45</v>
      </c>
      <c r="S522" t="s">
        <v>214</v>
      </c>
      <c r="T522">
        <f t="shared" si="56"/>
        <v>11338</v>
      </c>
      <c r="U522" t="str">
        <f t="shared" si="57"/>
        <v>FIN</v>
      </c>
      <c r="V522" t="str">
        <f t="shared" si="58"/>
        <v>L1</v>
      </c>
      <c r="W522" t="str">
        <f>PROPER(TRIM(VLOOKUP(S522,Employee_Lookups!$I$4:$M$19,2,FALSE())))</f>
        <v>Aditya Gokhale</v>
      </c>
      <c r="X522" t="str">
        <f>VLOOKUP(C522,Employee_Lookups!$A$4:$G$9,4,FALSE())</f>
        <v>CC-404</v>
      </c>
      <c r="Y522" t="str">
        <f>INDEX(Employee_Lookups!$C$13:$C$17,MATCH(F522,Employee_Lookups!$A$13:$A$17,0))</f>
        <v>Band A (Entry)</v>
      </c>
      <c r="Z522" s="27">
        <f>_xlfn.XLOOKUP(F522,Employee_Lookups!$A$13:$A$17,Employee_Lookups!$E$13:$E$17,0)</f>
        <v>700000</v>
      </c>
      <c r="AA522" s="28">
        <f>ROUND(O522/INDEX(Employee_Lookups!$E$13:$E$17,MATCH(F522,Employee_Lookups!$A$13:$A$17,0)),3)</f>
        <v>0.89900000000000002</v>
      </c>
      <c r="AB522">
        <f t="shared" si="59"/>
        <v>2022</v>
      </c>
      <c r="AC522">
        <f t="shared" si="60"/>
        <v>2022</v>
      </c>
      <c r="AD522" s="28">
        <f>ROUND((IF(ISBLANK(L522),Employee_Lookups!$O$14,L522)-J522)/365.25,2)</f>
        <v>0.16</v>
      </c>
      <c r="AE522" t="str">
        <f t="shared" si="61"/>
        <v>&lt; 1 Yr (New)</v>
      </c>
      <c r="AF522" t="str">
        <f t="shared" si="62"/>
        <v>Exited</v>
      </c>
    </row>
    <row r="523" spans="1:32" x14ac:dyDescent="0.45">
      <c r="A523" t="s">
        <v>1135</v>
      </c>
      <c r="B523" t="s">
        <v>1136</v>
      </c>
      <c r="C523" t="s">
        <v>55</v>
      </c>
      <c r="D523" t="s">
        <v>54</v>
      </c>
      <c r="E523" t="s">
        <v>537</v>
      </c>
      <c r="F523" t="s">
        <v>85</v>
      </c>
      <c r="G523" t="s">
        <v>538</v>
      </c>
      <c r="H523" t="s">
        <v>108</v>
      </c>
      <c r="I523" t="s">
        <v>107</v>
      </c>
      <c r="J523" s="26">
        <v>44714</v>
      </c>
      <c r="K523" t="s">
        <v>187</v>
      </c>
      <c r="L523" s="26">
        <v>45016</v>
      </c>
      <c r="M523" t="s">
        <v>282</v>
      </c>
      <c r="N523" t="s">
        <v>98</v>
      </c>
      <c r="O523" s="27">
        <v>4698000</v>
      </c>
      <c r="P523">
        <v>4</v>
      </c>
      <c r="Q523" t="s">
        <v>172</v>
      </c>
      <c r="R523">
        <v>47</v>
      </c>
      <c r="S523" t="s">
        <v>262</v>
      </c>
      <c r="T523">
        <f t="shared" si="56"/>
        <v>10773</v>
      </c>
      <c r="U523" t="str">
        <f t="shared" si="57"/>
        <v>OPS</v>
      </c>
      <c r="V523" t="str">
        <f t="shared" si="58"/>
        <v>L5</v>
      </c>
      <c r="W523" t="str">
        <f>PROPER(TRIM(VLOOKUP(S523,Employee_Lookups!$I$4:$M$19,2,FALSE())))</f>
        <v>Ananya Iyer</v>
      </c>
      <c r="X523" t="str">
        <f>VLOOKUP(C523,Employee_Lookups!$A$4:$G$9,4,FALSE())</f>
        <v>CC-303</v>
      </c>
      <c r="Y523" t="str">
        <f>INDEX(Employee_Lookups!$C$13:$C$17,MATCH(F523,Employee_Lookups!$A$13:$A$17,0))</f>
        <v>Band E (Executive)</v>
      </c>
      <c r="Z523" s="27">
        <f>_xlfn.XLOOKUP(F523,Employee_Lookups!$A$13:$A$17,Employee_Lookups!$E$13:$E$17,0)</f>
        <v>4300000</v>
      </c>
      <c r="AA523" s="28">
        <f>ROUND(O523/INDEX(Employee_Lookups!$E$13:$E$17,MATCH(F523,Employee_Lookups!$A$13:$A$17,0)),3)</f>
        <v>1.093</v>
      </c>
      <c r="AB523">
        <f t="shared" si="59"/>
        <v>2022</v>
      </c>
      <c r="AC523">
        <f t="shared" si="60"/>
        <v>2023</v>
      </c>
      <c r="AD523" s="28">
        <f>ROUND((IF(ISBLANK(L523),Employee_Lookups!$O$14,L523)-J523)/365.25,2)</f>
        <v>0.83</v>
      </c>
      <c r="AE523" t="str">
        <f t="shared" si="61"/>
        <v>&lt; 1 Yr (New)</v>
      </c>
      <c r="AF523" t="str">
        <f t="shared" si="62"/>
        <v>Exited</v>
      </c>
    </row>
    <row r="524" spans="1:32" x14ac:dyDescent="0.45">
      <c r="A524" t="s">
        <v>1137</v>
      </c>
      <c r="B524" t="s">
        <v>698</v>
      </c>
      <c r="C524" t="s">
        <v>59</v>
      </c>
      <c r="D524" t="s">
        <v>58</v>
      </c>
      <c r="E524" t="s">
        <v>206</v>
      </c>
      <c r="F524" t="s">
        <v>81</v>
      </c>
      <c r="G524" t="s">
        <v>207</v>
      </c>
      <c r="H524" t="s">
        <v>109</v>
      </c>
      <c r="I524" t="s">
        <v>110</v>
      </c>
      <c r="J524" s="26">
        <v>44714</v>
      </c>
      <c r="K524" t="s">
        <v>187</v>
      </c>
      <c r="L524" s="26">
        <v>44851</v>
      </c>
      <c r="M524" t="s">
        <v>282</v>
      </c>
      <c r="N524" t="s">
        <v>96</v>
      </c>
      <c r="O524" s="27">
        <v>794000</v>
      </c>
      <c r="P524">
        <v>3</v>
      </c>
      <c r="Q524" t="s">
        <v>172</v>
      </c>
      <c r="R524">
        <v>45</v>
      </c>
      <c r="S524" t="s">
        <v>214</v>
      </c>
      <c r="T524">
        <f t="shared" si="56"/>
        <v>10762</v>
      </c>
      <c r="U524" t="str">
        <f t="shared" si="57"/>
        <v>FIN</v>
      </c>
      <c r="V524" t="str">
        <f t="shared" si="58"/>
        <v>L1</v>
      </c>
      <c r="W524" t="str">
        <f>PROPER(TRIM(VLOOKUP(S524,Employee_Lookups!$I$4:$M$19,2,FALSE())))</f>
        <v>Aditya Gokhale</v>
      </c>
      <c r="X524" t="str">
        <f>VLOOKUP(C524,Employee_Lookups!$A$4:$G$9,4,FALSE())</f>
        <v>CC-404</v>
      </c>
      <c r="Y524" t="str">
        <f>INDEX(Employee_Lookups!$C$13:$C$17,MATCH(F524,Employee_Lookups!$A$13:$A$17,0))</f>
        <v>Band A (Entry)</v>
      </c>
      <c r="Z524" s="27">
        <f>_xlfn.XLOOKUP(F524,Employee_Lookups!$A$13:$A$17,Employee_Lookups!$E$13:$E$17,0)</f>
        <v>700000</v>
      </c>
      <c r="AA524" s="28">
        <f>ROUND(O524/INDEX(Employee_Lookups!$E$13:$E$17,MATCH(F524,Employee_Lookups!$A$13:$A$17,0)),3)</f>
        <v>1.1339999999999999</v>
      </c>
      <c r="AB524">
        <f t="shared" si="59"/>
        <v>2022</v>
      </c>
      <c r="AC524">
        <f t="shared" si="60"/>
        <v>2022</v>
      </c>
      <c r="AD524" s="28">
        <f>ROUND((IF(ISBLANK(L524),Employee_Lookups!$O$14,L524)-J524)/365.25,2)</f>
        <v>0.38</v>
      </c>
      <c r="AE524" t="str">
        <f t="shared" si="61"/>
        <v>&lt; 1 Yr (New)</v>
      </c>
      <c r="AF524" t="str">
        <f t="shared" si="62"/>
        <v>Exited</v>
      </c>
    </row>
    <row r="525" spans="1:32" x14ac:dyDescent="0.45">
      <c r="A525" t="s">
        <v>1138</v>
      </c>
      <c r="B525" t="s">
        <v>1139</v>
      </c>
      <c r="C525" t="s">
        <v>57</v>
      </c>
      <c r="D525" t="s">
        <v>56</v>
      </c>
      <c r="E525" t="s">
        <v>160</v>
      </c>
      <c r="F525" t="s">
        <v>81</v>
      </c>
      <c r="G525" t="s">
        <v>161</v>
      </c>
      <c r="H525" t="s">
        <v>108</v>
      </c>
      <c r="I525" t="s">
        <v>107</v>
      </c>
      <c r="J525" s="26">
        <v>44715</v>
      </c>
      <c r="K525" t="s">
        <v>170</v>
      </c>
      <c r="L525" s="26">
        <v>44824</v>
      </c>
      <c r="M525" t="s">
        <v>171</v>
      </c>
      <c r="N525" t="s">
        <v>98</v>
      </c>
      <c r="O525" s="27">
        <v>835000</v>
      </c>
      <c r="P525">
        <v>2</v>
      </c>
      <c r="Q525" t="s">
        <v>164</v>
      </c>
      <c r="R525">
        <v>18</v>
      </c>
      <c r="S525" t="s">
        <v>224</v>
      </c>
      <c r="T525">
        <f t="shared" si="56"/>
        <v>10670</v>
      </c>
      <c r="U525" t="str">
        <f t="shared" si="57"/>
        <v>MKT</v>
      </c>
      <c r="V525" t="str">
        <f t="shared" si="58"/>
        <v>L1</v>
      </c>
      <c r="W525" t="str">
        <f>PROPER(TRIM(VLOOKUP(S525,Employee_Lookups!$I$4:$M$19,2,FALSE())))</f>
        <v>Tanvi Chitnis</v>
      </c>
      <c r="X525" t="str">
        <f>VLOOKUP(C525,Employee_Lookups!$A$4:$G$9,4,FALSE())</f>
        <v>CC-606</v>
      </c>
      <c r="Y525" t="str">
        <f>INDEX(Employee_Lookups!$C$13:$C$17,MATCH(F525,Employee_Lookups!$A$13:$A$17,0))</f>
        <v>Band A (Entry)</v>
      </c>
      <c r="Z525" s="27">
        <f>_xlfn.XLOOKUP(F525,Employee_Lookups!$A$13:$A$17,Employee_Lookups!$E$13:$E$17,0)</f>
        <v>700000</v>
      </c>
      <c r="AA525" s="28">
        <f>ROUND(O525/INDEX(Employee_Lookups!$E$13:$E$17,MATCH(F525,Employee_Lookups!$A$13:$A$17,0)),3)</f>
        <v>1.1930000000000001</v>
      </c>
      <c r="AB525">
        <f t="shared" si="59"/>
        <v>2022</v>
      </c>
      <c r="AC525">
        <f t="shared" si="60"/>
        <v>2022</v>
      </c>
      <c r="AD525" s="28">
        <f>ROUND((IF(ISBLANK(L525),Employee_Lookups!$O$14,L525)-J525)/365.25,2)</f>
        <v>0.3</v>
      </c>
      <c r="AE525" t="str">
        <f t="shared" si="61"/>
        <v>&lt; 1 Yr (New)</v>
      </c>
      <c r="AF525" t="str">
        <f t="shared" si="62"/>
        <v>Exited</v>
      </c>
    </row>
    <row r="526" spans="1:32" x14ac:dyDescent="0.45">
      <c r="A526" t="s">
        <v>1140</v>
      </c>
      <c r="B526" t="s">
        <v>1141</v>
      </c>
      <c r="C526" t="s">
        <v>55</v>
      </c>
      <c r="D526" t="s">
        <v>54</v>
      </c>
      <c r="E526" t="s">
        <v>277</v>
      </c>
      <c r="F526" t="s">
        <v>81</v>
      </c>
      <c r="G526" t="s">
        <v>278</v>
      </c>
      <c r="H526" t="s">
        <v>106</v>
      </c>
      <c r="I526" t="s">
        <v>107</v>
      </c>
      <c r="J526" s="26">
        <v>44716</v>
      </c>
      <c r="K526" t="s">
        <v>162</v>
      </c>
      <c r="L526" s="26"/>
      <c r="M526" t="s">
        <v>163</v>
      </c>
      <c r="N526" t="s">
        <v>97</v>
      </c>
      <c r="O526" s="27">
        <v>564000</v>
      </c>
      <c r="P526">
        <v>3</v>
      </c>
      <c r="Q526" t="s">
        <v>164</v>
      </c>
      <c r="R526">
        <v>38</v>
      </c>
      <c r="S526" t="s">
        <v>274</v>
      </c>
      <c r="T526">
        <f t="shared" si="56"/>
        <v>10495</v>
      </c>
      <c r="U526" t="str">
        <f t="shared" si="57"/>
        <v>OPS</v>
      </c>
      <c r="V526" t="str">
        <f t="shared" si="58"/>
        <v>L1</v>
      </c>
      <c r="W526" t="str">
        <f>PROPER(TRIM(VLOOKUP(S526,Employee_Lookups!$I$4:$M$19,2,FALSE())))</f>
        <v>Meera Krishnan</v>
      </c>
      <c r="X526" t="str">
        <f>VLOOKUP(C526,Employee_Lookups!$A$4:$G$9,4,FALSE())</f>
        <v>CC-303</v>
      </c>
      <c r="Y526" t="str">
        <f>INDEX(Employee_Lookups!$C$13:$C$17,MATCH(F526,Employee_Lookups!$A$13:$A$17,0))</f>
        <v>Band A (Entry)</v>
      </c>
      <c r="Z526" s="27">
        <f>_xlfn.XLOOKUP(F526,Employee_Lookups!$A$13:$A$17,Employee_Lookups!$E$13:$E$17,0)</f>
        <v>700000</v>
      </c>
      <c r="AA526" s="28">
        <f>ROUND(O526/INDEX(Employee_Lookups!$E$13:$E$17,MATCH(F526,Employee_Lookups!$A$13:$A$17,0)),3)</f>
        <v>0.80600000000000005</v>
      </c>
      <c r="AB526">
        <f t="shared" si="59"/>
        <v>2022</v>
      </c>
      <c r="AC526" t="str">
        <f t="shared" si="60"/>
        <v/>
      </c>
      <c r="AD526" s="28">
        <f>ROUND((IF(ISBLANK(L526),Employee_Lookups!$O$14,L526)-J526)/365.25,2)</f>
        <v>3.58</v>
      </c>
      <c r="AE526" t="str">
        <f t="shared" si="61"/>
        <v>3 - 5 Yrs</v>
      </c>
      <c r="AF526" t="str">
        <f t="shared" si="62"/>
        <v>Low Risk</v>
      </c>
    </row>
    <row r="527" spans="1:32" x14ac:dyDescent="0.45">
      <c r="A527" t="s">
        <v>1142</v>
      </c>
      <c r="B527" t="s">
        <v>429</v>
      </c>
      <c r="C527" t="s">
        <v>51</v>
      </c>
      <c r="D527" t="s">
        <v>50</v>
      </c>
      <c r="E527" t="s">
        <v>217</v>
      </c>
      <c r="F527" t="s">
        <v>83</v>
      </c>
      <c r="G527" t="s">
        <v>218</v>
      </c>
      <c r="H527" t="s">
        <v>108</v>
      </c>
      <c r="I527" t="s">
        <v>107</v>
      </c>
      <c r="J527" s="26">
        <v>44718</v>
      </c>
      <c r="K527" t="s">
        <v>162</v>
      </c>
      <c r="L527" s="26"/>
      <c r="M527" t="s">
        <v>163</v>
      </c>
      <c r="N527" t="s">
        <v>96</v>
      </c>
      <c r="O527" s="27">
        <v>1376000</v>
      </c>
      <c r="P527">
        <v>4</v>
      </c>
      <c r="Q527" t="s">
        <v>172</v>
      </c>
      <c r="R527">
        <v>34</v>
      </c>
      <c r="S527" t="s">
        <v>244</v>
      </c>
      <c r="T527">
        <f t="shared" si="56"/>
        <v>11075</v>
      </c>
      <c r="U527" t="str">
        <f t="shared" si="57"/>
        <v>ENG</v>
      </c>
      <c r="V527" t="str">
        <f t="shared" si="58"/>
        <v>L3</v>
      </c>
      <c r="W527" t="str">
        <f>PROPER(TRIM(VLOOKUP(S527,Employee_Lookups!$I$4:$M$19,2,FALSE())))</f>
        <v>Siddharth Nair</v>
      </c>
      <c r="X527" t="str">
        <f>VLOOKUP(C527,Employee_Lookups!$A$4:$G$9,4,FALSE())</f>
        <v>CC-101</v>
      </c>
      <c r="Y527" t="str">
        <f>INDEX(Employee_Lookups!$C$13:$C$17,MATCH(F527,Employee_Lookups!$A$13:$A$17,0))</f>
        <v>Band C (Senior)</v>
      </c>
      <c r="Z527" s="27">
        <f>_xlfn.XLOOKUP(F527,Employee_Lookups!$A$13:$A$17,Employee_Lookups!$E$13:$E$17,0)</f>
        <v>1725000</v>
      </c>
      <c r="AA527" s="28">
        <f>ROUND(O527/INDEX(Employee_Lookups!$E$13:$E$17,MATCH(F527,Employee_Lookups!$A$13:$A$17,0)),3)</f>
        <v>0.79800000000000004</v>
      </c>
      <c r="AB527">
        <f t="shared" si="59"/>
        <v>2022</v>
      </c>
      <c r="AC527" t="str">
        <f t="shared" si="60"/>
        <v/>
      </c>
      <c r="AD527" s="28">
        <f>ROUND((IF(ISBLANK(L527),Employee_Lookups!$O$14,L527)-J527)/365.25,2)</f>
        <v>3.57</v>
      </c>
      <c r="AE527" t="str">
        <f t="shared" si="61"/>
        <v>3 - 5 Yrs</v>
      </c>
      <c r="AF527" t="str">
        <f t="shared" si="62"/>
        <v>High Risk</v>
      </c>
    </row>
    <row r="528" spans="1:32" x14ac:dyDescent="0.45">
      <c r="A528" t="s">
        <v>1143</v>
      </c>
      <c r="B528" t="s">
        <v>1144</v>
      </c>
      <c r="C528" t="s">
        <v>53</v>
      </c>
      <c r="D528" t="s">
        <v>52</v>
      </c>
      <c r="E528" t="s">
        <v>185</v>
      </c>
      <c r="F528" t="s">
        <v>82</v>
      </c>
      <c r="G528" t="s">
        <v>186</v>
      </c>
      <c r="H528" t="s">
        <v>106</v>
      </c>
      <c r="I528" t="s">
        <v>107</v>
      </c>
      <c r="J528" s="26">
        <v>44718</v>
      </c>
      <c r="K528" t="s">
        <v>162</v>
      </c>
      <c r="L528" s="26"/>
      <c r="M528" t="s">
        <v>163</v>
      </c>
      <c r="N528" t="s">
        <v>97</v>
      </c>
      <c r="O528" s="27">
        <v>931000</v>
      </c>
      <c r="P528">
        <v>4</v>
      </c>
      <c r="Q528" t="s">
        <v>164</v>
      </c>
      <c r="R528">
        <v>31</v>
      </c>
      <c r="S528" t="s">
        <v>189</v>
      </c>
      <c r="T528">
        <f t="shared" si="56"/>
        <v>11278</v>
      </c>
      <c r="U528" t="str">
        <f t="shared" si="57"/>
        <v>SAL</v>
      </c>
      <c r="V528" t="str">
        <f t="shared" si="58"/>
        <v>L2</v>
      </c>
      <c r="W528" t="str">
        <f>PROPER(TRIM(VLOOKUP(S528,Employee_Lookups!$I$4:$M$19,2,FALSE())))</f>
        <v>Priya Sharma</v>
      </c>
      <c r="X528" t="str">
        <f>VLOOKUP(C528,Employee_Lookups!$A$4:$G$9,4,FALSE())</f>
        <v>CC-202</v>
      </c>
      <c r="Y528" t="str">
        <f>INDEX(Employee_Lookups!$C$13:$C$17,MATCH(F528,Employee_Lookups!$A$13:$A$17,0))</f>
        <v>Band B (Mid)</v>
      </c>
      <c r="Z528" s="27">
        <f>_xlfn.XLOOKUP(F528,Employee_Lookups!$A$13:$A$17,Employee_Lookups!$E$13:$E$17,0)</f>
        <v>1100000</v>
      </c>
      <c r="AA528" s="28">
        <f>ROUND(O528/INDEX(Employee_Lookups!$E$13:$E$17,MATCH(F528,Employee_Lookups!$A$13:$A$17,0)),3)</f>
        <v>0.84599999999999997</v>
      </c>
      <c r="AB528">
        <f t="shared" si="59"/>
        <v>2022</v>
      </c>
      <c r="AC528" t="str">
        <f t="shared" si="60"/>
        <v/>
      </c>
      <c r="AD528" s="28">
        <f>ROUND((IF(ISBLANK(L528),Employee_Lookups!$O$14,L528)-J528)/365.25,2)</f>
        <v>3.57</v>
      </c>
      <c r="AE528" t="str">
        <f t="shared" si="61"/>
        <v>3 - 5 Yrs</v>
      </c>
      <c r="AF528" t="str">
        <f t="shared" si="62"/>
        <v>Low Risk</v>
      </c>
    </row>
    <row r="529" spans="1:32" x14ac:dyDescent="0.45">
      <c r="A529" t="s">
        <v>1145</v>
      </c>
      <c r="B529" t="s">
        <v>642</v>
      </c>
      <c r="C529" t="s">
        <v>51</v>
      </c>
      <c r="D529" t="s">
        <v>50</v>
      </c>
      <c r="E529" t="s">
        <v>181</v>
      </c>
      <c r="F529" t="s">
        <v>81</v>
      </c>
      <c r="G529" t="s">
        <v>182</v>
      </c>
      <c r="H529" t="s">
        <v>106</v>
      </c>
      <c r="I529" t="s">
        <v>107</v>
      </c>
      <c r="J529" s="26">
        <v>44719</v>
      </c>
      <c r="K529" t="s">
        <v>170</v>
      </c>
      <c r="L529" s="26">
        <v>45072</v>
      </c>
      <c r="M529" t="s">
        <v>171</v>
      </c>
      <c r="N529" t="s">
        <v>98</v>
      </c>
      <c r="O529" s="27">
        <v>558000</v>
      </c>
      <c r="P529">
        <v>4</v>
      </c>
      <c r="Q529" t="s">
        <v>172</v>
      </c>
      <c r="R529">
        <v>42</v>
      </c>
      <c r="S529" t="s">
        <v>219</v>
      </c>
      <c r="T529">
        <f t="shared" si="56"/>
        <v>11290</v>
      </c>
      <c r="U529" t="str">
        <f t="shared" si="57"/>
        <v>ENG</v>
      </c>
      <c r="V529" t="str">
        <f t="shared" si="58"/>
        <v>L1</v>
      </c>
      <c r="W529" t="str">
        <f>PROPER(TRIM(VLOOKUP(S529,Employee_Lookups!$I$4:$M$19,2,FALSE())))</f>
        <v>Neha Kulkarni</v>
      </c>
      <c r="X529" t="str">
        <f>VLOOKUP(C529,Employee_Lookups!$A$4:$G$9,4,FALSE())</f>
        <v>CC-101</v>
      </c>
      <c r="Y529" t="str">
        <f>INDEX(Employee_Lookups!$C$13:$C$17,MATCH(F529,Employee_Lookups!$A$13:$A$17,0))</f>
        <v>Band A (Entry)</v>
      </c>
      <c r="Z529" s="27">
        <f>_xlfn.XLOOKUP(F529,Employee_Lookups!$A$13:$A$17,Employee_Lookups!$E$13:$E$17,0)</f>
        <v>700000</v>
      </c>
      <c r="AA529" s="28">
        <f>ROUND(O529/INDEX(Employee_Lookups!$E$13:$E$17,MATCH(F529,Employee_Lookups!$A$13:$A$17,0)),3)</f>
        <v>0.79700000000000004</v>
      </c>
      <c r="AB529">
        <f t="shared" si="59"/>
        <v>2022</v>
      </c>
      <c r="AC529">
        <f t="shared" si="60"/>
        <v>2023</v>
      </c>
      <c r="AD529" s="28">
        <f>ROUND((IF(ISBLANK(L529),Employee_Lookups!$O$14,L529)-J529)/365.25,2)</f>
        <v>0.97</v>
      </c>
      <c r="AE529" t="str">
        <f t="shared" si="61"/>
        <v>&lt; 1 Yr (New)</v>
      </c>
      <c r="AF529" t="str">
        <f t="shared" si="62"/>
        <v>Exited</v>
      </c>
    </row>
    <row r="530" spans="1:32" x14ac:dyDescent="0.45">
      <c r="A530" t="s">
        <v>1146</v>
      </c>
      <c r="B530" t="s">
        <v>544</v>
      </c>
      <c r="C530" t="s">
        <v>53</v>
      </c>
      <c r="D530" t="s">
        <v>52</v>
      </c>
      <c r="E530" t="s">
        <v>322</v>
      </c>
      <c r="F530" t="s">
        <v>81</v>
      </c>
      <c r="G530" t="s">
        <v>323</v>
      </c>
      <c r="H530" t="s">
        <v>106</v>
      </c>
      <c r="I530" t="s">
        <v>107</v>
      </c>
      <c r="J530" s="26">
        <v>44722</v>
      </c>
      <c r="K530" t="s">
        <v>187</v>
      </c>
      <c r="L530" s="26">
        <v>44997</v>
      </c>
      <c r="M530" t="s">
        <v>188</v>
      </c>
      <c r="N530" t="s">
        <v>97</v>
      </c>
      <c r="O530" s="27">
        <v>704000</v>
      </c>
      <c r="P530">
        <v>3</v>
      </c>
      <c r="Q530" t="s">
        <v>172</v>
      </c>
      <c r="R530">
        <v>19</v>
      </c>
      <c r="S530" t="s">
        <v>237</v>
      </c>
      <c r="T530">
        <f t="shared" si="56"/>
        <v>10288</v>
      </c>
      <c r="U530" t="str">
        <f t="shared" si="57"/>
        <v>SAL</v>
      </c>
      <c r="V530" t="str">
        <f t="shared" si="58"/>
        <v>L1</v>
      </c>
      <c r="W530" t="str">
        <f>PROPER(TRIM(VLOOKUP(S530,Employee_Lookups!$I$4:$M$19,2,FALSE())))</f>
        <v>Karan Malhotra</v>
      </c>
      <c r="X530" t="str">
        <f>VLOOKUP(C530,Employee_Lookups!$A$4:$G$9,4,FALSE())</f>
        <v>CC-202</v>
      </c>
      <c r="Y530" t="str">
        <f>INDEX(Employee_Lookups!$C$13:$C$17,MATCH(F530,Employee_Lookups!$A$13:$A$17,0))</f>
        <v>Band A (Entry)</v>
      </c>
      <c r="Z530" s="27">
        <f>_xlfn.XLOOKUP(F530,Employee_Lookups!$A$13:$A$17,Employee_Lookups!$E$13:$E$17,0)</f>
        <v>700000</v>
      </c>
      <c r="AA530" s="28">
        <f>ROUND(O530/INDEX(Employee_Lookups!$E$13:$E$17,MATCH(F530,Employee_Lookups!$A$13:$A$17,0)),3)</f>
        <v>1.006</v>
      </c>
      <c r="AB530">
        <f t="shared" si="59"/>
        <v>2022</v>
      </c>
      <c r="AC530">
        <f t="shared" si="60"/>
        <v>2023</v>
      </c>
      <c r="AD530" s="28">
        <f>ROUND((IF(ISBLANK(L530),Employee_Lookups!$O$14,L530)-J530)/365.25,2)</f>
        <v>0.75</v>
      </c>
      <c r="AE530" t="str">
        <f t="shared" si="61"/>
        <v>&lt; 1 Yr (New)</v>
      </c>
      <c r="AF530" t="str">
        <f t="shared" si="62"/>
        <v>Exited</v>
      </c>
    </row>
    <row r="531" spans="1:32" x14ac:dyDescent="0.45">
      <c r="A531" t="s">
        <v>1147</v>
      </c>
      <c r="B531" t="s">
        <v>1148</v>
      </c>
      <c r="C531" t="s">
        <v>53</v>
      </c>
      <c r="D531" t="s">
        <v>52</v>
      </c>
      <c r="E531" t="s">
        <v>322</v>
      </c>
      <c r="F531" t="s">
        <v>81</v>
      </c>
      <c r="G531" t="s">
        <v>323</v>
      </c>
      <c r="H531" t="s">
        <v>111</v>
      </c>
      <c r="I531" t="s">
        <v>110</v>
      </c>
      <c r="J531" s="26">
        <v>44722</v>
      </c>
      <c r="K531" t="s">
        <v>162</v>
      </c>
      <c r="L531" s="26"/>
      <c r="M531" t="s">
        <v>163</v>
      </c>
      <c r="N531" t="s">
        <v>97</v>
      </c>
      <c r="O531" s="27">
        <v>553000</v>
      </c>
      <c r="P531">
        <v>3</v>
      </c>
      <c r="Q531" t="s">
        <v>172</v>
      </c>
      <c r="R531">
        <v>47</v>
      </c>
      <c r="S531" t="s">
        <v>237</v>
      </c>
      <c r="T531">
        <f t="shared" si="56"/>
        <v>11348</v>
      </c>
      <c r="U531" t="str">
        <f t="shared" si="57"/>
        <v>SAL</v>
      </c>
      <c r="V531" t="str">
        <f t="shared" si="58"/>
        <v>L1</v>
      </c>
      <c r="W531" t="str">
        <f>PROPER(TRIM(VLOOKUP(S531,Employee_Lookups!$I$4:$M$19,2,FALSE())))</f>
        <v>Karan Malhotra</v>
      </c>
      <c r="X531" t="str">
        <f>VLOOKUP(C531,Employee_Lookups!$A$4:$G$9,4,FALSE())</f>
        <v>CC-202</v>
      </c>
      <c r="Y531" t="str">
        <f>INDEX(Employee_Lookups!$C$13:$C$17,MATCH(F531,Employee_Lookups!$A$13:$A$17,0))</f>
        <v>Band A (Entry)</v>
      </c>
      <c r="Z531" s="27">
        <f>_xlfn.XLOOKUP(F531,Employee_Lookups!$A$13:$A$17,Employee_Lookups!$E$13:$E$17,0)</f>
        <v>700000</v>
      </c>
      <c r="AA531" s="28">
        <f>ROUND(O531/INDEX(Employee_Lookups!$E$13:$E$17,MATCH(F531,Employee_Lookups!$A$13:$A$17,0)),3)</f>
        <v>0.79</v>
      </c>
      <c r="AB531">
        <f t="shared" si="59"/>
        <v>2022</v>
      </c>
      <c r="AC531" t="str">
        <f t="shared" si="60"/>
        <v/>
      </c>
      <c r="AD531" s="28">
        <f>ROUND((IF(ISBLANK(L531),Employee_Lookups!$O$14,L531)-J531)/365.25,2)</f>
        <v>3.56</v>
      </c>
      <c r="AE531" t="str">
        <f t="shared" si="61"/>
        <v>3 - 5 Yrs</v>
      </c>
      <c r="AF531" t="str">
        <f t="shared" si="62"/>
        <v>High Risk</v>
      </c>
    </row>
    <row r="532" spans="1:32" x14ac:dyDescent="0.45">
      <c r="A532" t="s">
        <v>1149</v>
      </c>
      <c r="B532" t="s">
        <v>664</v>
      </c>
      <c r="C532" t="s">
        <v>61</v>
      </c>
      <c r="D532" t="s">
        <v>60</v>
      </c>
      <c r="E532" t="s">
        <v>251</v>
      </c>
      <c r="F532" t="s">
        <v>82</v>
      </c>
      <c r="G532" t="s">
        <v>252</v>
      </c>
      <c r="H532" t="s">
        <v>108</v>
      </c>
      <c r="I532" t="s">
        <v>107</v>
      </c>
      <c r="J532" s="26">
        <v>44722</v>
      </c>
      <c r="K532" t="s">
        <v>162</v>
      </c>
      <c r="L532" s="26"/>
      <c r="M532" t="s">
        <v>163</v>
      </c>
      <c r="N532" t="s">
        <v>98</v>
      </c>
      <c r="O532" s="27">
        <v>1237000</v>
      </c>
      <c r="P532">
        <v>4</v>
      </c>
      <c r="Q532" t="s">
        <v>164</v>
      </c>
      <c r="R532">
        <v>33</v>
      </c>
      <c r="S532" t="s">
        <v>253</v>
      </c>
      <c r="T532">
        <f t="shared" si="56"/>
        <v>10177</v>
      </c>
      <c r="U532" t="str">
        <f t="shared" si="57"/>
        <v>-HR</v>
      </c>
      <c r="V532" t="str">
        <f t="shared" si="58"/>
        <v>L2</v>
      </c>
      <c r="W532" t="str">
        <f>PROPER(TRIM(VLOOKUP(S532,Employee_Lookups!$I$4:$M$19,2,FALSE())))</f>
        <v>Nikhil Chatterjee</v>
      </c>
      <c r="X532" t="str">
        <f>VLOOKUP(C532,Employee_Lookups!$A$4:$G$9,4,FALSE())</f>
        <v>CC-505</v>
      </c>
      <c r="Y532" t="str">
        <f>INDEX(Employee_Lookups!$C$13:$C$17,MATCH(F532,Employee_Lookups!$A$13:$A$17,0))</f>
        <v>Band B (Mid)</v>
      </c>
      <c r="Z532" s="27">
        <f>_xlfn.XLOOKUP(F532,Employee_Lookups!$A$13:$A$17,Employee_Lookups!$E$13:$E$17,0)</f>
        <v>1100000</v>
      </c>
      <c r="AA532" s="28">
        <f>ROUND(O532/INDEX(Employee_Lookups!$E$13:$E$17,MATCH(F532,Employee_Lookups!$A$13:$A$17,0)),3)</f>
        <v>1.125</v>
      </c>
      <c r="AB532">
        <f t="shared" si="59"/>
        <v>2022</v>
      </c>
      <c r="AC532" t="str">
        <f t="shared" si="60"/>
        <v/>
      </c>
      <c r="AD532" s="28">
        <f>ROUND((IF(ISBLANK(L532),Employee_Lookups!$O$14,L532)-J532)/365.25,2)</f>
        <v>3.56</v>
      </c>
      <c r="AE532" t="str">
        <f t="shared" si="61"/>
        <v>3 - 5 Yrs</v>
      </c>
      <c r="AF532" t="str">
        <f t="shared" si="62"/>
        <v>Low Risk</v>
      </c>
    </row>
    <row r="533" spans="1:32" x14ac:dyDescent="0.45">
      <c r="A533" t="s">
        <v>1150</v>
      </c>
      <c r="B533" t="s">
        <v>1151</v>
      </c>
      <c r="C533" t="s">
        <v>51</v>
      </c>
      <c r="D533" t="s">
        <v>50</v>
      </c>
      <c r="E533" t="s">
        <v>176</v>
      </c>
      <c r="F533" t="s">
        <v>82</v>
      </c>
      <c r="G533" t="s">
        <v>177</v>
      </c>
      <c r="H533" t="s">
        <v>106</v>
      </c>
      <c r="I533" t="s">
        <v>107</v>
      </c>
      <c r="J533" s="26">
        <v>44726</v>
      </c>
      <c r="K533" t="s">
        <v>162</v>
      </c>
      <c r="L533" s="26"/>
      <c r="M533" t="s">
        <v>163</v>
      </c>
      <c r="N533" t="s">
        <v>96</v>
      </c>
      <c r="O533" s="27">
        <v>1222000</v>
      </c>
      <c r="P533">
        <v>4</v>
      </c>
      <c r="Q533" t="s">
        <v>164</v>
      </c>
      <c r="R533">
        <v>29</v>
      </c>
      <c r="S533" t="s">
        <v>178</v>
      </c>
      <c r="T533">
        <f t="shared" si="56"/>
        <v>10203</v>
      </c>
      <c r="U533" t="str">
        <f t="shared" si="57"/>
        <v>ENG</v>
      </c>
      <c r="V533" t="str">
        <f t="shared" si="58"/>
        <v>L2</v>
      </c>
      <c r="W533" t="str">
        <f>PROPER(TRIM(VLOOKUP(S533,Employee_Lookups!$I$4:$M$19,2,FALSE())))</f>
        <v>Aarav Deshmukh</v>
      </c>
      <c r="X533" t="str">
        <f>VLOOKUP(C533,Employee_Lookups!$A$4:$G$9,4,FALSE())</f>
        <v>CC-101</v>
      </c>
      <c r="Y533" t="str">
        <f>INDEX(Employee_Lookups!$C$13:$C$17,MATCH(F533,Employee_Lookups!$A$13:$A$17,0))</f>
        <v>Band B (Mid)</v>
      </c>
      <c r="Z533" s="27">
        <f>_xlfn.XLOOKUP(F533,Employee_Lookups!$A$13:$A$17,Employee_Lookups!$E$13:$E$17,0)</f>
        <v>1100000</v>
      </c>
      <c r="AA533" s="28">
        <f>ROUND(O533/INDEX(Employee_Lookups!$E$13:$E$17,MATCH(F533,Employee_Lookups!$A$13:$A$17,0)),3)</f>
        <v>1.111</v>
      </c>
      <c r="AB533">
        <f t="shared" si="59"/>
        <v>2022</v>
      </c>
      <c r="AC533" t="str">
        <f t="shared" si="60"/>
        <v/>
      </c>
      <c r="AD533" s="28">
        <f>ROUND((IF(ISBLANK(L533),Employee_Lookups!$O$14,L533)-J533)/365.25,2)</f>
        <v>3.55</v>
      </c>
      <c r="AE533" t="str">
        <f t="shared" si="61"/>
        <v>3 - 5 Yrs</v>
      </c>
      <c r="AF533" t="str">
        <f t="shared" si="62"/>
        <v>Low Risk</v>
      </c>
    </row>
    <row r="534" spans="1:32" x14ac:dyDescent="0.45">
      <c r="A534" t="s">
        <v>1152</v>
      </c>
      <c r="B534" t="s">
        <v>1094</v>
      </c>
      <c r="C534" t="s">
        <v>51</v>
      </c>
      <c r="D534" t="s">
        <v>50</v>
      </c>
      <c r="E534" t="s">
        <v>397</v>
      </c>
      <c r="F534" t="s">
        <v>84</v>
      </c>
      <c r="G534" t="s">
        <v>398</v>
      </c>
      <c r="H534" t="s">
        <v>106</v>
      </c>
      <c r="I534" t="s">
        <v>107</v>
      </c>
      <c r="J534" s="26">
        <v>44727</v>
      </c>
      <c r="K534" t="s">
        <v>162</v>
      </c>
      <c r="L534" s="26"/>
      <c r="M534" t="s">
        <v>163</v>
      </c>
      <c r="N534" t="s">
        <v>97</v>
      </c>
      <c r="O534" s="27">
        <v>2575000</v>
      </c>
      <c r="P534">
        <v>3</v>
      </c>
      <c r="Q534" t="s">
        <v>164</v>
      </c>
      <c r="R534">
        <v>35</v>
      </c>
      <c r="S534" t="s">
        <v>244</v>
      </c>
      <c r="T534">
        <f t="shared" si="56"/>
        <v>10805</v>
      </c>
      <c r="U534" t="str">
        <f t="shared" si="57"/>
        <v>ENG</v>
      </c>
      <c r="V534" t="str">
        <f t="shared" si="58"/>
        <v>L4</v>
      </c>
      <c r="W534" t="str">
        <f>PROPER(TRIM(VLOOKUP(S534,Employee_Lookups!$I$4:$M$19,2,FALSE())))</f>
        <v>Siddharth Nair</v>
      </c>
      <c r="X534" t="str">
        <f>VLOOKUP(C534,Employee_Lookups!$A$4:$G$9,4,FALSE())</f>
        <v>CC-101</v>
      </c>
      <c r="Y534" t="str">
        <f>INDEX(Employee_Lookups!$C$13:$C$17,MATCH(F534,Employee_Lookups!$A$13:$A$17,0))</f>
        <v>Band D (Leadership)</v>
      </c>
      <c r="Z534" s="27">
        <f>_xlfn.XLOOKUP(F534,Employee_Lookups!$A$13:$A$17,Employee_Lookups!$E$13:$E$17,0)</f>
        <v>2750000</v>
      </c>
      <c r="AA534" s="28">
        <f>ROUND(O534/INDEX(Employee_Lookups!$E$13:$E$17,MATCH(F534,Employee_Lookups!$A$13:$A$17,0)),3)</f>
        <v>0.93600000000000005</v>
      </c>
      <c r="AB534">
        <f t="shared" si="59"/>
        <v>2022</v>
      </c>
      <c r="AC534" t="str">
        <f t="shared" si="60"/>
        <v/>
      </c>
      <c r="AD534" s="28">
        <f>ROUND((IF(ISBLANK(L534),Employee_Lookups!$O$14,L534)-J534)/365.25,2)</f>
        <v>3.55</v>
      </c>
      <c r="AE534" t="str">
        <f t="shared" si="61"/>
        <v>3 - 5 Yrs</v>
      </c>
      <c r="AF534" t="str">
        <f t="shared" si="62"/>
        <v>Low Risk</v>
      </c>
    </row>
    <row r="535" spans="1:32" x14ac:dyDescent="0.45">
      <c r="A535" t="s">
        <v>1153</v>
      </c>
      <c r="B535" t="s">
        <v>1154</v>
      </c>
      <c r="C535" t="s">
        <v>53</v>
      </c>
      <c r="D535" t="s">
        <v>52</v>
      </c>
      <c r="E535" t="s">
        <v>185</v>
      </c>
      <c r="F535" t="s">
        <v>82</v>
      </c>
      <c r="G535" t="s">
        <v>186</v>
      </c>
      <c r="H535" t="s">
        <v>108</v>
      </c>
      <c r="I535" t="s">
        <v>107</v>
      </c>
      <c r="J535" s="26">
        <v>44729</v>
      </c>
      <c r="K535" t="s">
        <v>162</v>
      </c>
      <c r="L535" s="26"/>
      <c r="M535" t="s">
        <v>163</v>
      </c>
      <c r="N535" t="s">
        <v>96</v>
      </c>
      <c r="O535" s="27">
        <v>1326000</v>
      </c>
      <c r="P535">
        <v>3</v>
      </c>
      <c r="Q535" t="s">
        <v>164</v>
      </c>
      <c r="R535">
        <v>38</v>
      </c>
      <c r="S535" t="s">
        <v>189</v>
      </c>
      <c r="T535">
        <f t="shared" si="56"/>
        <v>11259</v>
      </c>
      <c r="U535" t="str">
        <f t="shared" si="57"/>
        <v>SAL</v>
      </c>
      <c r="V535" t="str">
        <f t="shared" si="58"/>
        <v>L2</v>
      </c>
      <c r="W535" t="str">
        <f>PROPER(TRIM(VLOOKUP(S535,Employee_Lookups!$I$4:$M$19,2,FALSE())))</f>
        <v>Priya Sharma</v>
      </c>
      <c r="X535" t="str">
        <f>VLOOKUP(C535,Employee_Lookups!$A$4:$G$9,4,FALSE())</f>
        <v>CC-202</v>
      </c>
      <c r="Y535" t="str">
        <f>INDEX(Employee_Lookups!$C$13:$C$17,MATCH(F535,Employee_Lookups!$A$13:$A$17,0))</f>
        <v>Band B (Mid)</v>
      </c>
      <c r="Z535" s="27">
        <f>_xlfn.XLOOKUP(F535,Employee_Lookups!$A$13:$A$17,Employee_Lookups!$E$13:$E$17,0)</f>
        <v>1100000</v>
      </c>
      <c r="AA535" s="28">
        <f>ROUND(O535/INDEX(Employee_Lookups!$E$13:$E$17,MATCH(F535,Employee_Lookups!$A$13:$A$17,0)),3)</f>
        <v>1.2050000000000001</v>
      </c>
      <c r="AB535">
        <f t="shared" si="59"/>
        <v>2022</v>
      </c>
      <c r="AC535" t="str">
        <f t="shared" si="60"/>
        <v/>
      </c>
      <c r="AD535" s="28">
        <f>ROUND((IF(ISBLANK(L535),Employee_Lookups!$O$14,L535)-J535)/365.25,2)</f>
        <v>3.54</v>
      </c>
      <c r="AE535" t="str">
        <f t="shared" si="61"/>
        <v>3 - 5 Yrs</v>
      </c>
      <c r="AF535" t="str">
        <f t="shared" si="62"/>
        <v>Low Risk</v>
      </c>
    </row>
    <row r="536" spans="1:32" x14ac:dyDescent="0.45">
      <c r="A536" t="s">
        <v>1155</v>
      </c>
      <c r="B536" t="s">
        <v>1156</v>
      </c>
      <c r="C536" t="s">
        <v>51</v>
      </c>
      <c r="D536" t="s">
        <v>50</v>
      </c>
      <c r="E536" t="s">
        <v>176</v>
      </c>
      <c r="F536" t="s">
        <v>82</v>
      </c>
      <c r="G536" t="s">
        <v>177</v>
      </c>
      <c r="H536" t="s">
        <v>109</v>
      </c>
      <c r="I536" t="s">
        <v>110</v>
      </c>
      <c r="J536" s="26">
        <v>44731</v>
      </c>
      <c r="K536" t="s">
        <v>162</v>
      </c>
      <c r="L536" s="26"/>
      <c r="M536" t="s">
        <v>163</v>
      </c>
      <c r="N536" t="s">
        <v>98</v>
      </c>
      <c r="O536" s="27">
        <v>1243000</v>
      </c>
      <c r="P536">
        <v>4</v>
      </c>
      <c r="Q536" t="s">
        <v>172</v>
      </c>
      <c r="R536">
        <v>23</v>
      </c>
      <c r="S536" t="s">
        <v>197</v>
      </c>
      <c r="T536">
        <f t="shared" si="56"/>
        <v>11056</v>
      </c>
      <c r="U536" t="str">
        <f t="shared" si="57"/>
        <v>ENG</v>
      </c>
      <c r="V536" t="str">
        <f t="shared" si="58"/>
        <v>L2</v>
      </c>
      <c r="W536" t="str">
        <f>PROPER(TRIM(VLOOKUP(S536,Employee_Lookups!$I$4:$M$19,2,FALSE())))</f>
        <v>Rohan Verma</v>
      </c>
      <c r="X536" t="str">
        <f>VLOOKUP(C536,Employee_Lookups!$A$4:$G$9,4,FALSE())</f>
        <v>CC-101</v>
      </c>
      <c r="Y536" t="str">
        <f>INDEX(Employee_Lookups!$C$13:$C$17,MATCH(F536,Employee_Lookups!$A$13:$A$17,0))</f>
        <v>Band B (Mid)</v>
      </c>
      <c r="Z536" s="27">
        <f>_xlfn.XLOOKUP(F536,Employee_Lookups!$A$13:$A$17,Employee_Lookups!$E$13:$E$17,0)</f>
        <v>1100000</v>
      </c>
      <c r="AA536" s="28">
        <f>ROUND(O536/INDEX(Employee_Lookups!$E$13:$E$17,MATCH(F536,Employee_Lookups!$A$13:$A$17,0)),3)</f>
        <v>1.1299999999999999</v>
      </c>
      <c r="AB536">
        <f t="shared" si="59"/>
        <v>2022</v>
      </c>
      <c r="AC536" t="str">
        <f t="shared" si="60"/>
        <v/>
      </c>
      <c r="AD536" s="28">
        <f>ROUND((IF(ISBLANK(L536),Employee_Lookups!$O$14,L536)-J536)/365.25,2)</f>
        <v>3.53</v>
      </c>
      <c r="AE536" t="str">
        <f t="shared" si="61"/>
        <v>3 - 5 Yrs</v>
      </c>
      <c r="AF536" t="str">
        <f t="shared" si="62"/>
        <v>High Risk</v>
      </c>
    </row>
    <row r="537" spans="1:32" x14ac:dyDescent="0.45">
      <c r="A537" t="s">
        <v>1157</v>
      </c>
      <c r="B537" t="s">
        <v>749</v>
      </c>
      <c r="C537" t="s">
        <v>51</v>
      </c>
      <c r="D537" t="s">
        <v>50</v>
      </c>
      <c r="E537" t="s">
        <v>176</v>
      </c>
      <c r="F537" t="s">
        <v>82</v>
      </c>
      <c r="G537" t="s">
        <v>177</v>
      </c>
      <c r="H537" t="s">
        <v>106</v>
      </c>
      <c r="I537" t="s">
        <v>107</v>
      </c>
      <c r="J537" s="26">
        <v>44732</v>
      </c>
      <c r="K537" t="s">
        <v>162</v>
      </c>
      <c r="L537" s="26"/>
      <c r="M537" t="s">
        <v>163</v>
      </c>
      <c r="N537" t="s">
        <v>95</v>
      </c>
      <c r="O537" s="27">
        <v>909000</v>
      </c>
      <c r="P537">
        <v>3</v>
      </c>
      <c r="Q537" t="s">
        <v>164</v>
      </c>
      <c r="R537">
        <v>32</v>
      </c>
      <c r="S537" t="s">
        <v>219</v>
      </c>
      <c r="T537">
        <f t="shared" si="56"/>
        <v>10549</v>
      </c>
      <c r="U537" t="str">
        <f t="shared" si="57"/>
        <v>ENG</v>
      </c>
      <c r="V537" t="str">
        <f t="shared" si="58"/>
        <v>L2</v>
      </c>
      <c r="W537" t="str">
        <f>PROPER(TRIM(VLOOKUP(S537,Employee_Lookups!$I$4:$M$19,2,FALSE())))</f>
        <v>Neha Kulkarni</v>
      </c>
      <c r="X537" t="str">
        <f>VLOOKUP(C537,Employee_Lookups!$A$4:$G$9,4,FALSE())</f>
        <v>CC-101</v>
      </c>
      <c r="Y537" t="str">
        <f>INDEX(Employee_Lookups!$C$13:$C$17,MATCH(F537,Employee_Lookups!$A$13:$A$17,0))</f>
        <v>Band B (Mid)</v>
      </c>
      <c r="Z537" s="27">
        <f>_xlfn.XLOOKUP(F537,Employee_Lookups!$A$13:$A$17,Employee_Lookups!$E$13:$E$17,0)</f>
        <v>1100000</v>
      </c>
      <c r="AA537" s="28">
        <f>ROUND(O537/INDEX(Employee_Lookups!$E$13:$E$17,MATCH(F537,Employee_Lookups!$A$13:$A$17,0)),3)</f>
        <v>0.82599999999999996</v>
      </c>
      <c r="AB537">
        <f t="shared" si="59"/>
        <v>2022</v>
      </c>
      <c r="AC537" t="str">
        <f t="shared" si="60"/>
        <v/>
      </c>
      <c r="AD537" s="28">
        <f>ROUND((IF(ISBLANK(L537),Employee_Lookups!$O$14,L537)-J537)/365.25,2)</f>
        <v>3.53</v>
      </c>
      <c r="AE537" t="str">
        <f t="shared" si="61"/>
        <v>3 - 5 Yrs</v>
      </c>
      <c r="AF537" t="str">
        <f t="shared" si="62"/>
        <v>Low Risk</v>
      </c>
    </row>
    <row r="538" spans="1:32" x14ac:dyDescent="0.45">
      <c r="A538" t="s">
        <v>1158</v>
      </c>
      <c r="B538" t="s">
        <v>1101</v>
      </c>
      <c r="C538" t="s">
        <v>59</v>
      </c>
      <c r="D538" t="s">
        <v>58</v>
      </c>
      <c r="E538" t="s">
        <v>287</v>
      </c>
      <c r="F538" t="s">
        <v>83</v>
      </c>
      <c r="G538" t="s">
        <v>288</v>
      </c>
      <c r="H538" t="s">
        <v>111</v>
      </c>
      <c r="I538" t="s">
        <v>110</v>
      </c>
      <c r="J538" s="26">
        <v>44732</v>
      </c>
      <c r="K538" t="s">
        <v>187</v>
      </c>
      <c r="L538" s="26">
        <v>45090</v>
      </c>
      <c r="M538" t="s">
        <v>308</v>
      </c>
      <c r="N538" t="s">
        <v>96</v>
      </c>
      <c r="O538" s="27">
        <v>1637000</v>
      </c>
      <c r="P538">
        <v>4</v>
      </c>
      <c r="Q538" t="s">
        <v>172</v>
      </c>
      <c r="R538">
        <v>33</v>
      </c>
      <c r="S538" t="s">
        <v>214</v>
      </c>
      <c r="T538">
        <f t="shared" si="56"/>
        <v>11305</v>
      </c>
      <c r="U538" t="str">
        <f t="shared" si="57"/>
        <v>FIN</v>
      </c>
      <c r="V538" t="str">
        <f t="shared" si="58"/>
        <v>L3</v>
      </c>
      <c r="W538" t="str">
        <f>PROPER(TRIM(VLOOKUP(S538,Employee_Lookups!$I$4:$M$19,2,FALSE())))</f>
        <v>Aditya Gokhale</v>
      </c>
      <c r="X538" t="str">
        <f>VLOOKUP(C538,Employee_Lookups!$A$4:$G$9,4,FALSE())</f>
        <v>CC-404</v>
      </c>
      <c r="Y538" t="str">
        <f>INDEX(Employee_Lookups!$C$13:$C$17,MATCH(F538,Employee_Lookups!$A$13:$A$17,0))</f>
        <v>Band C (Senior)</v>
      </c>
      <c r="Z538" s="27">
        <f>_xlfn.XLOOKUP(F538,Employee_Lookups!$A$13:$A$17,Employee_Lookups!$E$13:$E$17,0)</f>
        <v>1725000</v>
      </c>
      <c r="AA538" s="28">
        <f>ROUND(O538/INDEX(Employee_Lookups!$E$13:$E$17,MATCH(F538,Employee_Lookups!$A$13:$A$17,0)),3)</f>
        <v>0.94899999999999995</v>
      </c>
      <c r="AB538">
        <f t="shared" si="59"/>
        <v>2022</v>
      </c>
      <c r="AC538">
        <f t="shared" si="60"/>
        <v>2023</v>
      </c>
      <c r="AD538" s="28">
        <f>ROUND((IF(ISBLANK(L538),Employee_Lookups!$O$14,L538)-J538)/365.25,2)</f>
        <v>0.98</v>
      </c>
      <c r="AE538" t="str">
        <f t="shared" si="61"/>
        <v>&lt; 1 Yr (New)</v>
      </c>
      <c r="AF538" t="str">
        <f t="shared" si="62"/>
        <v>Exited</v>
      </c>
    </row>
    <row r="539" spans="1:32" x14ac:dyDescent="0.45">
      <c r="A539" t="s">
        <v>1159</v>
      </c>
      <c r="B539" t="s">
        <v>1160</v>
      </c>
      <c r="C539" t="s">
        <v>57</v>
      </c>
      <c r="D539" t="s">
        <v>56</v>
      </c>
      <c r="E539" t="s">
        <v>222</v>
      </c>
      <c r="F539" t="s">
        <v>82</v>
      </c>
      <c r="G539" t="s">
        <v>223</v>
      </c>
      <c r="H539" t="s">
        <v>112</v>
      </c>
      <c r="I539" t="s">
        <v>113</v>
      </c>
      <c r="J539" s="26">
        <v>44732</v>
      </c>
      <c r="K539" t="s">
        <v>170</v>
      </c>
      <c r="L539" s="26">
        <v>45752</v>
      </c>
      <c r="M539" t="s">
        <v>171</v>
      </c>
      <c r="N539" t="s">
        <v>96</v>
      </c>
      <c r="O539" s="27">
        <v>972000</v>
      </c>
      <c r="P539">
        <v>2</v>
      </c>
      <c r="Q539" t="s">
        <v>164</v>
      </c>
      <c r="R539">
        <v>4</v>
      </c>
      <c r="S539" t="s">
        <v>165</v>
      </c>
      <c r="T539">
        <f t="shared" si="56"/>
        <v>11397</v>
      </c>
      <c r="U539" t="str">
        <f t="shared" si="57"/>
        <v>MKT</v>
      </c>
      <c r="V539" t="str">
        <f t="shared" si="58"/>
        <v>L2</v>
      </c>
      <c r="W539" t="str">
        <f>PROPER(TRIM(VLOOKUP(S539,Employee_Lookups!$I$4:$M$19,2,FALSE())))</f>
        <v>Arjun Sengupta</v>
      </c>
      <c r="X539" t="str">
        <f>VLOOKUP(C539,Employee_Lookups!$A$4:$G$9,4,FALSE())</f>
        <v>CC-606</v>
      </c>
      <c r="Y539" t="str">
        <f>INDEX(Employee_Lookups!$C$13:$C$17,MATCH(F539,Employee_Lookups!$A$13:$A$17,0))</f>
        <v>Band B (Mid)</v>
      </c>
      <c r="Z539" s="27">
        <f>_xlfn.XLOOKUP(F539,Employee_Lookups!$A$13:$A$17,Employee_Lookups!$E$13:$E$17,0)</f>
        <v>1100000</v>
      </c>
      <c r="AA539" s="28">
        <f>ROUND(O539/INDEX(Employee_Lookups!$E$13:$E$17,MATCH(F539,Employee_Lookups!$A$13:$A$17,0)),3)</f>
        <v>0.88400000000000001</v>
      </c>
      <c r="AB539">
        <f t="shared" si="59"/>
        <v>2022</v>
      </c>
      <c r="AC539">
        <f t="shared" si="60"/>
        <v>2025</v>
      </c>
      <c r="AD539" s="28">
        <f>ROUND((IF(ISBLANK(L539),Employee_Lookups!$O$14,L539)-J539)/365.25,2)</f>
        <v>2.79</v>
      </c>
      <c r="AE539" t="str">
        <f t="shared" si="61"/>
        <v>1 - 3 Yrs</v>
      </c>
      <c r="AF539" t="str">
        <f t="shared" si="62"/>
        <v>Exited</v>
      </c>
    </row>
    <row r="540" spans="1:32" x14ac:dyDescent="0.45">
      <c r="A540" t="s">
        <v>1161</v>
      </c>
      <c r="B540" t="s">
        <v>1162</v>
      </c>
      <c r="C540" t="s">
        <v>55</v>
      </c>
      <c r="D540" t="s">
        <v>54</v>
      </c>
      <c r="E540" t="s">
        <v>277</v>
      </c>
      <c r="F540" t="s">
        <v>81</v>
      </c>
      <c r="G540" t="s">
        <v>278</v>
      </c>
      <c r="H540" t="s">
        <v>106</v>
      </c>
      <c r="I540" t="s">
        <v>107</v>
      </c>
      <c r="J540" s="26">
        <v>44734</v>
      </c>
      <c r="K540" t="s">
        <v>187</v>
      </c>
      <c r="L540" s="26">
        <v>44904</v>
      </c>
      <c r="M540" t="s">
        <v>213</v>
      </c>
      <c r="N540" t="s">
        <v>95</v>
      </c>
      <c r="O540" s="27">
        <v>726000</v>
      </c>
      <c r="P540">
        <v>3</v>
      </c>
      <c r="Q540" t="s">
        <v>172</v>
      </c>
      <c r="R540">
        <v>53</v>
      </c>
      <c r="S540" t="s">
        <v>262</v>
      </c>
      <c r="T540">
        <f t="shared" si="56"/>
        <v>10976</v>
      </c>
      <c r="U540" t="str">
        <f t="shared" si="57"/>
        <v>OPS</v>
      </c>
      <c r="V540" t="str">
        <f t="shared" si="58"/>
        <v>L1</v>
      </c>
      <c r="W540" t="str">
        <f>PROPER(TRIM(VLOOKUP(S540,Employee_Lookups!$I$4:$M$19,2,FALSE())))</f>
        <v>Ananya Iyer</v>
      </c>
      <c r="X540" t="str">
        <f>VLOOKUP(C540,Employee_Lookups!$A$4:$G$9,4,FALSE())</f>
        <v>CC-303</v>
      </c>
      <c r="Y540" t="str">
        <f>INDEX(Employee_Lookups!$C$13:$C$17,MATCH(F540,Employee_Lookups!$A$13:$A$17,0))</f>
        <v>Band A (Entry)</v>
      </c>
      <c r="Z540" s="27">
        <f>_xlfn.XLOOKUP(F540,Employee_Lookups!$A$13:$A$17,Employee_Lookups!$E$13:$E$17,0)</f>
        <v>700000</v>
      </c>
      <c r="AA540" s="28">
        <f>ROUND(O540/INDEX(Employee_Lookups!$E$13:$E$17,MATCH(F540,Employee_Lookups!$A$13:$A$17,0)),3)</f>
        <v>1.0369999999999999</v>
      </c>
      <c r="AB540">
        <f t="shared" si="59"/>
        <v>2022</v>
      </c>
      <c r="AC540">
        <f t="shared" si="60"/>
        <v>2022</v>
      </c>
      <c r="AD540" s="28">
        <f>ROUND((IF(ISBLANK(L540),Employee_Lookups!$O$14,L540)-J540)/365.25,2)</f>
        <v>0.47</v>
      </c>
      <c r="AE540" t="str">
        <f t="shared" si="61"/>
        <v>&lt; 1 Yr (New)</v>
      </c>
      <c r="AF540" t="str">
        <f t="shared" si="62"/>
        <v>Exited</v>
      </c>
    </row>
    <row r="541" spans="1:32" x14ac:dyDescent="0.45">
      <c r="A541" t="s">
        <v>1163</v>
      </c>
      <c r="B541" t="s">
        <v>1164</v>
      </c>
      <c r="C541" t="s">
        <v>59</v>
      </c>
      <c r="D541" t="s">
        <v>58</v>
      </c>
      <c r="E541" t="s">
        <v>211</v>
      </c>
      <c r="F541" t="s">
        <v>82</v>
      </c>
      <c r="G541" t="s">
        <v>212</v>
      </c>
      <c r="H541" t="s">
        <v>106</v>
      </c>
      <c r="I541" t="s">
        <v>107</v>
      </c>
      <c r="J541" s="26">
        <v>44734</v>
      </c>
      <c r="K541" t="s">
        <v>162</v>
      </c>
      <c r="L541" s="26"/>
      <c r="M541" t="s">
        <v>163</v>
      </c>
      <c r="N541" t="s">
        <v>98</v>
      </c>
      <c r="O541" s="27">
        <v>1319000</v>
      </c>
      <c r="P541">
        <v>3</v>
      </c>
      <c r="Q541" t="s">
        <v>164</v>
      </c>
      <c r="R541">
        <v>35</v>
      </c>
      <c r="S541" t="s">
        <v>208</v>
      </c>
      <c r="T541">
        <f t="shared" si="56"/>
        <v>11271</v>
      </c>
      <c r="U541" t="str">
        <f t="shared" si="57"/>
        <v>FIN</v>
      </c>
      <c r="V541" t="str">
        <f t="shared" si="58"/>
        <v>L2</v>
      </c>
      <c r="W541" t="str">
        <f>PROPER(TRIM(VLOOKUP(S541,Employee_Lookups!$I$4:$M$19,2,FALSE())))</f>
        <v>Rajeshwari Rao</v>
      </c>
      <c r="X541" t="str">
        <f>VLOOKUP(C541,Employee_Lookups!$A$4:$G$9,4,FALSE())</f>
        <v>CC-404</v>
      </c>
      <c r="Y541" t="str">
        <f>INDEX(Employee_Lookups!$C$13:$C$17,MATCH(F541,Employee_Lookups!$A$13:$A$17,0))</f>
        <v>Band B (Mid)</v>
      </c>
      <c r="Z541" s="27">
        <f>_xlfn.XLOOKUP(F541,Employee_Lookups!$A$13:$A$17,Employee_Lookups!$E$13:$E$17,0)</f>
        <v>1100000</v>
      </c>
      <c r="AA541" s="28">
        <f>ROUND(O541/INDEX(Employee_Lookups!$E$13:$E$17,MATCH(F541,Employee_Lookups!$A$13:$A$17,0)),3)</f>
        <v>1.1990000000000001</v>
      </c>
      <c r="AB541">
        <f t="shared" si="59"/>
        <v>2022</v>
      </c>
      <c r="AC541" t="str">
        <f t="shared" si="60"/>
        <v/>
      </c>
      <c r="AD541" s="28">
        <f>ROUND((IF(ISBLANK(L541),Employee_Lookups!$O$14,L541)-J541)/365.25,2)</f>
        <v>3.53</v>
      </c>
      <c r="AE541" t="str">
        <f t="shared" si="61"/>
        <v>3 - 5 Yrs</v>
      </c>
      <c r="AF541" t="str">
        <f t="shared" si="62"/>
        <v>Low Risk</v>
      </c>
    </row>
    <row r="542" spans="1:32" x14ac:dyDescent="0.45">
      <c r="A542" t="s">
        <v>1165</v>
      </c>
      <c r="B542" t="s">
        <v>1166</v>
      </c>
      <c r="C542" t="s">
        <v>53</v>
      </c>
      <c r="D542" t="s">
        <v>52</v>
      </c>
      <c r="E542" t="s">
        <v>322</v>
      </c>
      <c r="F542" t="s">
        <v>81</v>
      </c>
      <c r="G542" t="s">
        <v>323</v>
      </c>
      <c r="H542" t="s">
        <v>106</v>
      </c>
      <c r="I542" t="s">
        <v>107</v>
      </c>
      <c r="J542" s="26">
        <v>44735</v>
      </c>
      <c r="K542" t="s">
        <v>162</v>
      </c>
      <c r="L542" s="26"/>
      <c r="M542" t="s">
        <v>163</v>
      </c>
      <c r="N542" t="s">
        <v>99</v>
      </c>
      <c r="O542" s="27">
        <v>774000</v>
      </c>
      <c r="P542">
        <v>4</v>
      </c>
      <c r="Q542" t="s">
        <v>172</v>
      </c>
      <c r="R542">
        <v>27</v>
      </c>
      <c r="S542" t="s">
        <v>189</v>
      </c>
      <c r="T542">
        <f t="shared" si="56"/>
        <v>10436</v>
      </c>
      <c r="U542" t="str">
        <f t="shared" si="57"/>
        <v>SAL</v>
      </c>
      <c r="V542" t="str">
        <f t="shared" si="58"/>
        <v>L1</v>
      </c>
      <c r="W542" t="str">
        <f>PROPER(TRIM(VLOOKUP(S542,Employee_Lookups!$I$4:$M$19,2,FALSE())))</f>
        <v>Priya Sharma</v>
      </c>
      <c r="X542" t="str">
        <f>VLOOKUP(C542,Employee_Lookups!$A$4:$G$9,4,FALSE())</f>
        <v>CC-202</v>
      </c>
      <c r="Y542" t="str">
        <f>INDEX(Employee_Lookups!$C$13:$C$17,MATCH(F542,Employee_Lookups!$A$13:$A$17,0))</f>
        <v>Band A (Entry)</v>
      </c>
      <c r="Z542" s="27">
        <f>_xlfn.XLOOKUP(F542,Employee_Lookups!$A$13:$A$17,Employee_Lookups!$E$13:$E$17,0)</f>
        <v>700000</v>
      </c>
      <c r="AA542" s="28">
        <f>ROUND(O542/INDEX(Employee_Lookups!$E$13:$E$17,MATCH(F542,Employee_Lookups!$A$13:$A$17,0)),3)</f>
        <v>1.1060000000000001</v>
      </c>
      <c r="AB542">
        <f t="shared" si="59"/>
        <v>2022</v>
      </c>
      <c r="AC542" t="str">
        <f t="shared" si="60"/>
        <v/>
      </c>
      <c r="AD542" s="28">
        <f>ROUND((IF(ISBLANK(L542),Employee_Lookups!$O$14,L542)-J542)/365.25,2)</f>
        <v>3.52</v>
      </c>
      <c r="AE542" t="str">
        <f t="shared" si="61"/>
        <v>3 - 5 Yrs</v>
      </c>
      <c r="AF542" t="str">
        <f t="shared" si="62"/>
        <v>High Risk</v>
      </c>
    </row>
    <row r="543" spans="1:32" x14ac:dyDescent="0.45">
      <c r="A543" t="s">
        <v>1167</v>
      </c>
      <c r="B543" t="s">
        <v>1168</v>
      </c>
      <c r="C543" t="s">
        <v>51</v>
      </c>
      <c r="D543" t="s">
        <v>50</v>
      </c>
      <c r="E543" t="s">
        <v>181</v>
      </c>
      <c r="F543" t="s">
        <v>81</v>
      </c>
      <c r="G543" t="s">
        <v>182</v>
      </c>
      <c r="H543" t="s">
        <v>108</v>
      </c>
      <c r="I543" t="s">
        <v>107</v>
      </c>
      <c r="J543" s="26">
        <v>44736</v>
      </c>
      <c r="K543" t="s">
        <v>170</v>
      </c>
      <c r="L543" s="26">
        <v>44902</v>
      </c>
      <c r="M543" t="s">
        <v>171</v>
      </c>
      <c r="N543" t="s">
        <v>97</v>
      </c>
      <c r="O543" s="27">
        <v>744000</v>
      </c>
      <c r="P543">
        <v>1</v>
      </c>
      <c r="Q543" t="s">
        <v>164</v>
      </c>
      <c r="R543">
        <v>0</v>
      </c>
      <c r="S543" t="s">
        <v>197</v>
      </c>
      <c r="T543">
        <f t="shared" si="56"/>
        <v>10169</v>
      </c>
      <c r="U543" t="str">
        <f t="shared" si="57"/>
        <v>ENG</v>
      </c>
      <c r="V543" t="str">
        <f t="shared" si="58"/>
        <v>L1</v>
      </c>
      <c r="W543" t="str">
        <f>PROPER(TRIM(VLOOKUP(S543,Employee_Lookups!$I$4:$M$19,2,FALSE())))</f>
        <v>Rohan Verma</v>
      </c>
      <c r="X543" t="str">
        <f>VLOOKUP(C543,Employee_Lookups!$A$4:$G$9,4,FALSE())</f>
        <v>CC-101</v>
      </c>
      <c r="Y543" t="str">
        <f>INDEX(Employee_Lookups!$C$13:$C$17,MATCH(F543,Employee_Lookups!$A$13:$A$17,0))</f>
        <v>Band A (Entry)</v>
      </c>
      <c r="Z543" s="27">
        <f>_xlfn.XLOOKUP(F543,Employee_Lookups!$A$13:$A$17,Employee_Lookups!$E$13:$E$17,0)</f>
        <v>700000</v>
      </c>
      <c r="AA543" s="28">
        <f>ROUND(O543/INDEX(Employee_Lookups!$E$13:$E$17,MATCH(F543,Employee_Lookups!$A$13:$A$17,0)),3)</f>
        <v>1.0629999999999999</v>
      </c>
      <c r="AB543">
        <f t="shared" si="59"/>
        <v>2022</v>
      </c>
      <c r="AC543">
        <f t="shared" si="60"/>
        <v>2022</v>
      </c>
      <c r="AD543" s="28">
        <f>ROUND((IF(ISBLANK(L543),Employee_Lookups!$O$14,L543)-J543)/365.25,2)</f>
        <v>0.45</v>
      </c>
      <c r="AE543" t="str">
        <f t="shared" si="61"/>
        <v>&lt; 1 Yr (New)</v>
      </c>
      <c r="AF543" t="str">
        <f t="shared" si="62"/>
        <v>Exited</v>
      </c>
    </row>
    <row r="544" spans="1:32" x14ac:dyDescent="0.45">
      <c r="A544" t="s">
        <v>1169</v>
      </c>
      <c r="B544" t="s">
        <v>327</v>
      </c>
      <c r="C544" t="s">
        <v>51</v>
      </c>
      <c r="D544" t="s">
        <v>50</v>
      </c>
      <c r="E544" t="s">
        <v>217</v>
      </c>
      <c r="F544" t="s">
        <v>83</v>
      </c>
      <c r="G544" t="s">
        <v>218</v>
      </c>
      <c r="H544" t="s">
        <v>106</v>
      </c>
      <c r="I544" t="s">
        <v>107</v>
      </c>
      <c r="J544" s="26">
        <v>44738</v>
      </c>
      <c r="K544" t="s">
        <v>162</v>
      </c>
      <c r="L544" s="26"/>
      <c r="M544" t="s">
        <v>163</v>
      </c>
      <c r="N544" t="s">
        <v>97</v>
      </c>
      <c r="O544" s="27">
        <v>1984000</v>
      </c>
      <c r="P544">
        <v>3</v>
      </c>
      <c r="Q544" t="s">
        <v>172</v>
      </c>
      <c r="R544">
        <v>35</v>
      </c>
      <c r="S544" t="s">
        <v>244</v>
      </c>
      <c r="T544">
        <f t="shared" si="56"/>
        <v>11053</v>
      </c>
      <c r="U544" t="str">
        <f t="shared" si="57"/>
        <v>ENG</v>
      </c>
      <c r="V544" t="str">
        <f t="shared" si="58"/>
        <v>L3</v>
      </c>
      <c r="W544" t="str">
        <f>PROPER(TRIM(VLOOKUP(S544,Employee_Lookups!$I$4:$M$19,2,FALSE())))</f>
        <v>Siddharth Nair</v>
      </c>
      <c r="X544" t="str">
        <f>VLOOKUP(C544,Employee_Lookups!$A$4:$G$9,4,FALSE())</f>
        <v>CC-101</v>
      </c>
      <c r="Y544" t="str">
        <f>INDEX(Employee_Lookups!$C$13:$C$17,MATCH(F544,Employee_Lookups!$A$13:$A$17,0))</f>
        <v>Band C (Senior)</v>
      </c>
      <c r="Z544" s="27">
        <f>_xlfn.XLOOKUP(F544,Employee_Lookups!$A$13:$A$17,Employee_Lookups!$E$13:$E$17,0)</f>
        <v>1725000</v>
      </c>
      <c r="AA544" s="28">
        <f>ROUND(O544/INDEX(Employee_Lookups!$E$13:$E$17,MATCH(F544,Employee_Lookups!$A$13:$A$17,0)),3)</f>
        <v>1.1499999999999999</v>
      </c>
      <c r="AB544">
        <f t="shared" si="59"/>
        <v>2022</v>
      </c>
      <c r="AC544" t="str">
        <f t="shared" si="60"/>
        <v/>
      </c>
      <c r="AD544" s="28">
        <f>ROUND((IF(ISBLANK(L544),Employee_Lookups!$O$14,L544)-J544)/365.25,2)</f>
        <v>3.52</v>
      </c>
      <c r="AE544" t="str">
        <f t="shared" si="61"/>
        <v>3 - 5 Yrs</v>
      </c>
      <c r="AF544" t="str">
        <f t="shared" si="62"/>
        <v>Moderate Risk</v>
      </c>
    </row>
    <row r="545" spans="1:32" x14ac:dyDescent="0.45">
      <c r="A545" t="s">
        <v>1170</v>
      </c>
      <c r="B545" t="s">
        <v>592</v>
      </c>
      <c r="C545" t="s">
        <v>55</v>
      </c>
      <c r="D545" t="s">
        <v>54</v>
      </c>
      <c r="E545" t="s">
        <v>168</v>
      </c>
      <c r="F545" t="s">
        <v>84</v>
      </c>
      <c r="G545" t="s">
        <v>169</v>
      </c>
      <c r="H545" t="s">
        <v>112</v>
      </c>
      <c r="I545" t="s">
        <v>113</v>
      </c>
      <c r="J545" s="26">
        <v>44739</v>
      </c>
      <c r="K545" t="s">
        <v>162</v>
      </c>
      <c r="L545" s="26"/>
      <c r="M545" t="s">
        <v>163</v>
      </c>
      <c r="N545" t="s">
        <v>99</v>
      </c>
      <c r="O545" s="27">
        <v>2974000</v>
      </c>
      <c r="P545">
        <v>3</v>
      </c>
      <c r="Q545" t="s">
        <v>172</v>
      </c>
      <c r="R545">
        <v>16</v>
      </c>
      <c r="S545" t="s">
        <v>262</v>
      </c>
      <c r="T545">
        <f t="shared" si="56"/>
        <v>10703</v>
      </c>
      <c r="U545" t="str">
        <f t="shared" si="57"/>
        <v>OPS</v>
      </c>
      <c r="V545" t="str">
        <f t="shared" si="58"/>
        <v>L4</v>
      </c>
      <c r="W545" t="str">
        <f>PROPER(TRIM(VLOOKUP(S545,Employee_Lookups!$I$4:$M$19,2,FALSE())))</f>
        <v>Ananya Iyer</v>
      </c>
      <c r="X545" t="str">
        <f>VLOOKUP(C545,Employee_Lookups!$A$4:$G$9,4,FALSE())</f>
        <v>CC-303</v>
      </c>
      <c r="Y545" t="str">
        <f>INDEX(Employee_Lookups!$C$13:$C$17,MATCH(F545,Employee_Lookups!$A$13:$A$17,0))</f>
        <v>Band D (Leadership)</v>
      </c>
      <c r="Z545" s="27">
        <f>_xlfn.XLOOKUP(F545,Employee_Lookups!$A$13:$A$17,Employee_Lookups!$E$13:$E$17,0)</f>
        <v>2750000</v>
      </c>
      <c r="AA545" s="28">
        <f>ROUND(O545/INDEX(Employee_Lookups!$E$13:$E$17,MATCH(F545,Employee_Lookups!$A$13:$A$17,0)),3)</f>
        <v>1.081</v>
      </c>
      <c r="AB545">
        <f t="shared" si="59"/>
        <v>2022</v>
      </c>
      <c r="AC545" t="str">
        <f t="shared" si="60"/>
        <v/>
      </c>
      <c r="AD545" s="28">
        <f>ROUND((IF(ISBLANK(L545),Employee_Lookups!$O$14,L545)-J545)/365.25,2)</f>
        <v>3.51</v>
      </c>
      <c r="AE545" t="str">
        <f t="shared" si="61"/>
        <v>3 - 5 Yrs</v>
      </c>
      <c r="AF545" t="str">
        <f t="shared" si="62"/>
        <v>Moderate Risk</v>
      </c>
    </row>
    <row r="546" spans="1:32" x14ac:dyDescent="0.45">
      <c r="A546" t="s">
        <v>1171</v>
      </c>
      <c r="B546" t="s">
        <v>1172</v>
      </c>
      <c r="C546" t="s">
        <v>55</v>
      </c>
      <c r="D546" t="s">
        <v>54</v>
      </c>
      <c r="E546" t="s">
        <v>277</v>
      </c>
      <c r="F546" t="s">
        <v>81</v>
      </c>
      <c r="G546" t="s">
        <v>278</v>
      </c>
      <c r="H546" t="s">
        <v>109</v>
      </c>
      <c r="I546" t="s">
        <v>110</v>
      </c>
      <c r="J546" s="26">
        <v>44740</v>
      </c>
      <c r="K546" t="s">
        <v>170</v>
      </c>
      <c r="L546" s="26">
        <v>45311</v>
      </c>
      <c r="M546" t="s">
        <v>171</v>
      </c>
      <c r="N546" t="s">
        <v>95</v>
      </c>
      <c r="O546" s="27">
        <v>613000</v>
      </c>
      <c r="P546">
        <v>2</v>
      </c>
      <c r="Q546" t="s">
        <v>164</v>
      </c>
      <c r="R546">
        <v>4</v>
      </c>
      <c r="S546" t="s">
        <v>173</v>
      </c>
      <c r="T546">
        <f t="shared" si="56"/>
        <v>10938</v>
      </c>
      <c r="U546" t="str">
        <f t="shared" si="57"/>
        <v>OPS</v>
      </c>
      <c r="V546" t="str">
        <f t="shared" si="58"/>
        <v>L1</v>
      </c>
      <c r="W546" t="str">
        <f>PROPER(TRIM(VLOOKUP(S546,Employee_Lookups!$I$4:$M$19,2,FALSE())))</f>
        <v>Deepak Patil</v>
      </c>
      <c r="X546" t="str">
        <f>VLOOKUP(C546,Employee_Lookups!$A$4:$G$9,4,FALSE())</f>
        <v>CC-303</v>
      </c>
      <c r="Y546" t="str">
        <f>INDEX(Employee_Lookups!$C$13:$C$17,MATCH(F546,Employee_Lookups!$A$13:$A$17,0))</f>
        <v>Band A (Entry)</v>
      </c>
      <c r="Z546" s="27">
        <f>_xlfn.XLOOKUP(F546,Employee_Lookups!$A$13:$A$17,Employee_Lookups!$E$13:$E$17,0)</f>
        <v>700000</v>
      </c>
      <c r="AA546" s="28">
        <f>ROUND(O546/INDEX(Employee_Lookups!$E$13:$E$17,MATCH(F546,Employee_Lookups!$A$13:$A$17,0)),3)</f>
        <v>0.876</v>
      </c>
      <c r="AB546">
        <f t="shared" si="59"/>
        <v>2022</v>
      </c>
      <c r="AC546">
        <f t="shared" si="60"/>
        <v>2024</v>
      </c>
      <c r="AD546" s="28">
        <f>ROUND((IF(ISBLANK(L546),Employee_Lookups!$O$14,L546)-J546)/365.25,2)</f>
        <v>1.56</v>
      </c>
      <c r="AE546" t="str">
        <f t="shared" si="61"/>
        <v>1 - 3 Yrs</v>
      </c>
      <c r="AF546" t="str">
        <f t="shared" si="62"/>
        <v>Exited</v>
      </c>
    </row>
    <row r="547" spans="1:32" x14ac:dyDescent="0.45">
      <c r="A547" t="s">
        <v>1173</v>
      </c>
      <c r="B547" t="s">
        <v>1174</v>
      </c>
      <c r="C547" t="s">
        <v>61</v>
      </c>
      <c r="D547" t="s">
        <v>60</v>
      </c>
      <c r="E547" t="s">
        <v>356</v>
      </c>
      <c r="F547" t="s">
        <v>81</v>
      </c>
      <c r="G547" t="s">
        <v>357</v>
      </c>
      <c r="H547" t="s">
        <v>106</v>
      </c>
      <c r="I547" t="s">
        <v>107</v>
      </c>
      <c r="J547" s="26">
        <v>44744</v>
      </c>
      <c r="K547" t="s">
        <v>187</v>
      </c>
      <c r="L547" s="26">
        <v>44926</v>
      </c>
      <c r="M547" t="s">
        <v>213</v>
      </c>
      <c r="N547" t="s">
        <v>97</v>
      </c>
      <c r="O547" s="27">
        <v>825000</v>
      </c>
      <c r="P547">
        <v>4</v>
      </c>
      <c r="Q547" t="s">
        <v>164</v>
      </c>
      <c r="R547">
        <v>44</v>
      </c>
      <c r="S547" t="s">
        <v>319</v>
      </c>
      <c r="T547">
        <f t="shared" si="56"/>
        <v>11314</v>
      </c>
      <c r="U547" t="str">
        <f t="shared" si="57"/>
        <v>-HR</v>
      </c>
      <c r="V547" t="str">
        <f t="shared" si="58"/>
        <v>L1</v>
      </c>
      <c r="W547" t="str">
        <f>PROPER(TRIM(VLOOKUP(S547,Employee_Lookups!$I$4:$M$19,2,FALSE())))</f>
        <v>Kavita Menon</v>
      </c>
      <c r="X547" t="str">
        <f>VLOOKUP(C547,Employee_Lookups!$A$4:$G$9,4,FALSE())</f>
        <v>CC-505</v>
      </c>
      <c r="Y547" t="str">
        <f>INDEX(Employee_Lookups!$C$13:$C$17,MATCH(F547,Employee_Lookups!$A$13:$A$17,0))</f>
        <v>Band A (Entry)</v>
      </c>
      <c r="Z547" s="27">
        <f>_xlfn.XLOOKUP(F547,Employee_Lookups!$A$13:$A$17,Employee_Lookups!$E$13:$E$17,0)</f>
        <v>700000</v>
      </c>
      <c r="AA547" s="28">
        <f>ROUND(O547/INDEX(Employee_Lookups!$E$13:$E$17,MATCH(F547,Employee_Lookups!$A$13:$A$17,0)),3)</f>
        <v>1.179</v>
      </c>
      <c r="AB547">
        <f t="shared" si="59"/>
        <v>2022</v>
      </c>
      <c r="AC547">
        <f t="shared" si="60"/>
        <v>2022</v>
      </c>
      <c r="AD547" s="28">
        <f>ROUND((IF(ISBLANK(L547),Employee_Lookups!$O$14,L547)-J547)/365.25,2)</f>
        <v>0.5</v>
      </c>
      <c r="AE547" t="str">
        <f t="shared" si="61"/>
        <v>&lt; 1 Yr (New)</v>
      </c>
      <c r="AF547" t="str">
        <f t="shared" si="62"/>
        <v>Exited</v>
      </c>
    </row>
    <row r="548" spans="1:32" x14ac:dyDescent="0.45">
      <c r="A548" t="s">
        <v>1175</v>
      </c>
      <c r="B548" t="s">
        <v>250</v>
      </c>
      <c r="C548" t="s">
        <v>55</v>
      </c>
      <c r="D548" t="s">
        <v>54</v>
      </c>
      <c r="E548" t="s">
        <v>229</v>
      </c>
      <c r="F548" t="s">
        <v>82</v>
      </c>
      <c r="G548" t="s">
        <v>230</v>
      </c>
      <c r="H548" t="s">
        <v>106</v>
      </c>
      <c r="I548" t="s">
        <v>107</v>
      </c>
      <c r="J548" s="26">
        <v>44745</v>
      </c>
      <c r="K548" t="s">
        <v>162</v>
      </c>
      <c r="L548" s="26"/>
      <c r="M548" t="s">
        <v>163</v>
      </c>
      <c r="N548" t="s">
        <v>99</v>
      </c>
      <c r="O548" s="27">
        <v>1156000</v>
      </c>
      <c r="P548">
        <v>4</v>
      </c>
      <c r="Q548" t="s">
        <v>172</v>
      </c>
      <c r="R548">
        <v>42</v>
      </c>
      <c r="S548" t="s">
        <v>262</v>
      </c>
      <c r="T548">
        <f t="shared" si="56"/>
        <v>11449</v>
      </c>
      <c r="U548" t="str">
        <f t="shared" si="57"/>
        <v>OPS</v>
      </c>
      <c r="V548" t="str">
        <f t="shared" si="58"/>
        <v>L2</v>
      </c>
      <c r="W548" t="str">
        <f>PROPER(TRIM(VLOOKUP(S548,Employee_Lookups!$I$4:$M$19,2,FALSE())))</f>
        <v>Ananya Iyer</v>
      </c>
      <c r="X548" t="str">
        <f>VLOOKUP(C548,Employee_Lookups!$A$4:$G$9,4,FALSE())</f>
        <v>CC-303</v>
      </c>
      <c r="Y548" t="str">
        <f>INDEX(Employee_Lookups!$C$13:$C$17,MATCH(F548,Employee_Lookups!$A$13:$A$17,0))</f>
        <v>Band B (Mid)</v>
      </c>
      <c r="Z548" s="27">
        <f>_xlfn.XLOOKUP(F548,Employee_Lookups!$A$13:$A$17,Employee_Lookups!$E$13:$E$17,0)</f>
        <v>1100000</v>
      </c>
      <c r="AA548" s="28">
        <f>ROUND(O548/INDEX(Employee_Lookups!$E$13:$E$17,MATCH(F548,Employee_Lookups!$A$13:$A$17,0)),3)</f>
        <v>1.0509999999999999</v>
      </c>
      <c r="AB548">
        <f t="shared" si="59"/>
        <v>2022</v>
      </c>
      <c r="AC548" t="str">
        <f t="shared" si="60"/>
        <v/>
      </c>
      <c r="AD548" s="28">
        <f>ROUND((IF(ISBLANK(L548),Employee_Lookups!$O$14,L548)-J548)/365.25,2)</f>
        <v>3.5</v>
      </c>
      <c r="AE548" t="str">
        <f t="shared" si="61"/>
        <v>3 - 5 Yrs</v>
      </c>
      <c r="AF548" t="str">
        <f t="shared" si="62"/>
        <v>High Risk</v>
      </c>
    </row>
    <row r="549" spans="1:32" x14ac:dyDescent="0.45">
      <c r="A549" t="s">
        <v>1176</v>
      </c>
      <c r="B549" t="s">
        <v>1177</v>
      </c>
      <c r="C549" t="s">
        <v>53</v>
      </c>
      <c r="D549" t="s">
        <v>52</v>
      </c>
      <c r="E549" t="s">
        <v>322</v>
      </c>
      <c r="F549" t="s">
        <v>81</v>
      </c>
      <c r="G549" t="s">
        <v>323</v>
      </c>
      <c r="H549" t="s">
        <v>111</v>
      </c>
      <c r="I549" t="s">
        <v>110</v>
      </c>
      <c r="J549" s="26">
        <v>44746</v>
      </c>
      <c r="K549" t="s">
        <v>170</v>
      </c>
      <c r="L549" s="26">
        <v>44991</v>
      </c>
      <c r="M549" t="s">
        <v>171</v>
      </c>
      <c r="N549" t="s">
        <v>96</v>
      </c>
      <c r="O549" s="27">
        <v>594000</v>
      </c>
      <c r="P549">
        <v>2</v>
      </c>
      <c r="Q549" t="s">
        <v>172</v>
      </c>
      <c r="R549">
        <v>36</v>
      </c>
      <c r="S549" t="s">
        <v>237</v>
      </c>
      <c r="T549">
        <f t="shared" si="56"/>
        <v>10433</v>
      </c>
      <c r="U549" t="str">
        <f t="shared" si="57"/>
        <v>SAL</v>
      </c>
      <c r="V549" t="str">
        <f t="shared" si="58"/>
        <v>L1</v>
      </c>
      <c r="W549" t="str">
        <f>PROPER(TRIM(VLOOKUP(S549,Employee_Lookups!$I$4:$M$19,2,FALSE())))</f>
        <v>Karan Malhotra</v>
      </c>
      <c r="X549" t="str">
        <f>VLOOKUP(C549,Employee_Lookups!$A$4:$G$9,4,FALSE())</f>
        <v>CC-202</v>
      </c>
      <c r="Y549" t="str">
        <f>INDEX(Employee_Lookups!$C$13:$C$17,MATCH(F549,Employee_Lookups!$A$13:$A$17,0))</f>
        <v>Band A (Entry)</v>
      </c>
      <c r="Z549" s="27">
        <f>_xlfn.XLOOKUP(F549,Employee_Lookups!$A$13:$A$17,Employee_Lookups!$E$13:$E$17,0)</f>
        <v>700000</v>
      </c>
      <c r="AA549" s="28">
        <f>ROUND(O549/INDEX(Employee_Lookups!$E$13:$E$17,MATCH(F549,Employee_Lookups!$A$13:$A$17,0)),3)</f>
        <v>0.84899999999999998</v>
      </c>
      <c r="AB549">
        <f t="shared" si="59"/>
        <v>2022</v>
      </c>
      <c r="AC549">
        <f t="shared" si="60"/>
        <v>2023</v>
      </c>
      <c r="AD549" s="28">
        <f>ROUND((IF(ISBLANK(L549),Employee_Lookups!$O$14,L549)-J549)/365.25,2)</f>
        <v>0.67</v>
      </c>
      <c r="AE549" t="str">
        <f t="shared" si="61"/>
        <v>&lt; 1 Yr (New)</v>
      </c>
      <c r="AF549" t="str">
        <f t="shared" si="62"/>
        <v>Exited</v>
      </c>
    </row>
    <row r="550" spans="1:32" x14ac:dyDescent="0.45">
      <c r="A550" t="s">
        <v>1178</v>
      </c>
      <c r="B550" t="s">
        <v>1179</v>
      </c>
      <c r="C550" t="s">
        <v>57</v>
      </c>
      <c r="D550" t="s">
        <v>56</v>
      </c>
      <c r="E550" t="s">
        <v>455</v>
      </c>
      <c r="F550" t="s">
        <v>84</v>
      </c>
      <c r="G550" t="s">
        <v>456</v>
      </c>
      <c r="H550" t="s">
        <v>106</v>
      </c>
      <c r="I550" t="s">
        <v>107</v>
      </c>
      <c r="J550" s="26">
        <v>44747</v>
      </c>
      <c r="K550" t="s">
        <v>162</v>
      </c>
      <c r="L550" s="26"/>
      <c r="M550" t="s">
        <v>163</v>
      </c>
      <c r="N550" t="s">
        <v>95</v>
      </c>
      <c r="O550" s="27">
        <v>2369000</v>
      </c>
      <c r="P550">
        <v>3</v>
      </c>
      <c r="Q550" t="s">
        <v>164</v>
      </c>
      <c r="R550">
        <v>38</v>
      </c>
      <c r="S550" t="s">
        <v>165</v>
      </c>
      <c r="T550">
        <f t="shared" si="56"/>
        <v>10908</v>
      </c>
      <c r="U550" t="str">
        <f t="shared" si="57"/>
        <v>MKT</v>
      </c>
      <c r="V550" t="str">
        <f t="shared" si="58"/>
        <v>L4</v>
      </c>
      <c r="W550" t="str">
        <f>PROPER(TRIM(VLOOKUP(S550,Employee_Lookups!$I$4:$M$19,2,FALSE())))</f>
        <v>Arjun Sengupta</v>
      </c>
      <c r="X550" t="str">
        <f>VLOOKUP(C550,Employee_Lookups!$A$4:$G$9,4,FALSE())</f>
        <v>CC-606</v>
      </c>
      <c r="Y550" t="str">
        <f>INDEX(Employee_Lookups!$C$13:$C$17,MATCH(F550,Employee_Lookups!$A$13:$A$17,0))</f>
        <v>Band D (Leadership)</v>
      </c>
      <c r="Z550" s="27">
        <f>_xlfn.XLOOKUP(F550,Employee_Lookups!$A$13:$A$17,Employee_Lookups!$E$13:$E$17,0)</f>
        <v>2750000</v>
      </c>
      <c r="AA550" s="28">
        <f>ROUND(O550/INDEX(Employee_Lookups!$E$13:$E$17,MATCH(F550,Employee_Lookups!$A$13:$A$17,0)),3)</f>
        <v>0.86099999999999999</v>
      </c>
      <c r="AB550">
        <f t="shared" si="59"/>
        <v>2022</v>
      </c>
      <c r="AC550" t="str">
        <f t="shared" si="60"/>
        <v/>
      </c>
      <c r="AD550" s="28">
        <f>ROUND((IF(ISBLANK(L550),Employee_Lookups!$O$14,L550)-J550)/365.25,2)</f>
        <v>3.49</v>
      </c>
      <c r="AE550" t="str">
        <f t="shared" si="61"/>
        <v>3 - 5 Yrs</v>
      </c>
      <c r="AF550" t="str">
        <f t="shared" si="62"/>
        <v>Low Risk</v>
      </c>
    </row>
    <row r="551" spans="1:32" x14ac:dyDescent="0.45">
      <c r="A551" t="s">
        <v>1180</v>
      </c>
      <c r="B551" t="s">
        <v>1181</v>
      </c>
      <c r="C551" t="s">
        <v>55</v>
      </c>
      <c r="D551" t="s">
        <v>54</v>
      </c>
      <c r="E551" t="s">
        <v>277</v>
      </c>
      <c r="F551" t="s">
        <v>81</v>
      </c>
      <c r="G551" t="s">
        <v>278</v>
      </c>
      <c r="H551" t="s">
        <v>106</v>
      </c>
      <c r="I551" t="s">
        <v>107</v>
      </c>
      <c r="J551" s="26">
        <v>44748</v>
      </c>
      <c r="K551" t="s">
        <v>170</v>
      </c>
      <c r="L551" s="26">
        <v>45292</v>
      </c>
      <c r="M551" t="s">
        <v>171</v>
      </c>
      <c r="N551" t="s">
        <v>99</v>
      </c>
      <c r="O551" s="27">
        <v>748000</v>
      </c>
      <c r="P551">
        <v>2</v>
      </c>
      <c r="Q551" t="s">
        <v>164</v>
      </c>
      <c r="R551">
        <v>14</v>
      </c>
      <c r="S551" t="s">
        <v>173</v>
      </c>
      <c r="T551">
        <f t="shared" si="56"/>
        <v>10308</v>
      </c>
      <c r="U551" t="str">
        <f t="shared" si="57"/>
        <v>OPS</v>
      </c>
      <c r="V551" t="str">
        <f t="shared" si="58"/>
        <v>L1</v>
      </c>
      <c r="W551" t="str">
        <f>PROPER(TRIM(VLOOKUP(S551,Employee_Lookups!$I$4:$M$19,2,FALSE())))</f>
        <v>Deepak Patil</v>
      </c>
      <c r="X551" t="str">
        <f>VLOOKUP(C551,Employee_Lookups!$A$4:$G$9,4,FALSE())</f>
        <v>CC-303</v>
      </c>
      <c r="Y551" t="str">
        <f>INDEX(Employee_Lookups!$C$13:$C$17,MATCH(F551,Employee_Lookups!$A$13:$A$17,0))</f>
        <v>Band A (Entry)</v>
      </c>
      <c r="Z551" s="27">
        <f>_xlfn.XLOOKUP(F551,Employee_Lookups!$A$13:$A$17,Employee_Lookups!$E$13:$E$17,0)</f>
        <v>700000</v>
      </c>
      <c r="AA551" s="28">
        <f>ROUND(O551/INDEX(Employee_Lookups!$E$13:$E$17,MATCH(F551,Employee_Lookups!$A$13:$A$17,0)),3)</f>
        <v>1.069</v>
      </c>
      <c r="AB551">
        <f t="shared" si="59"/>
        <v>2022</v>
      </c>
      <c r="AC551">
        <f t="shared" si="60"/>
        <v>2024</v>
      </c>
      <c r="AD551" s="28">
        <f>ROUND((IF(ISBLANK(L551),Employee_Lookups!$O$14,L551)-J551)/365.25,2)</f>
        <v>1.49</v>
      </c>
      <c r="AE551" t="str">
        <f t="shared" si="61"/>
        <v>1 - 3 Yrs</v>
      </c>
      <c r="AF551" t="str">
        <f t="shared" si="62"/>
        <v>Exited</v>
      </c>
    </row>
    <row r="552" spans="1:32" x14ac:dyDescent="0.45">
      <c r="A552" t="s">
        <v>1182</v>
      </c>
      <c r="B552" t="s">
        <v>1183</v>
      </c>
      <c r="C552" t="s">
        <v>51</v>
      </c>
      <c r="D552" t="s">
        <v>50</v>
      </c>
      <c r="E552" t="s">
        <v>181</v>
      </c>
      <c r="F552" t="s">
        <v>81</v>
      </c>
      <c r="G552" t="s">
        <v>182</v>
      </c>
      <c r="H552" t="s">
        <v>111</v>
      </c>
      <c r="I552" t="s">
        <v>110</v>
      </c>
      <c r="J552" s="26">
        <v>44748</v>
      </c>
      <c r="K552" t="s">
        <v>170</v>
      </c>
      <c r="L552" s="26">
        <v>44858</v>
      </c>
      <c r="M552" t="s">
        <v>171</v>
      </c>
      <c r="N552" t="s">
        <v>96</v>
      </c>
      <c r="O552" s="27">
        <v>837000</v>
      </c>
      <c r="P552">
        <v>5</v>
      </c>
      <c r="Q552" t="s">
        <v>172</v>
      </c>
      <c r="R552">
        <v>0</v>
      </c>
      <c r="S552" t="s">
        <v>178</v>
      </c>
      <c r="T552">
        <f t="shared" si="56"/>
        <v>10810</v>
      </c>
      <c r="U552" t="str">
        <f t="shared" si="57"/>
        <v>ENG</v>
      </c>
      <c r="V552" t="str">
        <f t="shared" si="58"/>
        <v>L1</v>
      </c>
      <c r="W552" t="str">
        <f>PROPER(TRIM(VLOOKUP(S552,Employee_Lookups!$I$4:$M$19,2,FALSE())))</f>
        <v>Aarav Deshmukh</v>
      </c>
      <c r="X552" t="str">
        <f>VLOOKUP(C552,Employee_Lookups!$A$4:$G$9,4,FALSE())</f>
        <v>CC-101</v>
      </c>
      <c r="Y552" t="str">
        <f>INDEX(Employee_Lookups!$C$13:$C$17,MATCH(F552,Employee_Lookups!$A$13:$A$17,0))</f>
        <v>Band A (Entry)</v>
      </c>
      <c r="Z552" s="27">
        <f>_xlfn.XLOOKUP(F552,Employee_Lookups!$A$13:$A$17,Employee_Lookups!$E$13:$E$17,0)</f>
        <v>700000</v>
      </c>
      <c r="AA552" s="28">
        <f>ROUND(O552/INDEX(Employee_Lookups!$E$13:$E$17,MATCH(F552,Employee_Lookups!$A$13:$A$17,0)),3)</f>
        <v>1.196</v>
      </c>
      <c r="AB552">
        <f t="shared" si="59"/>
        <v>2022</v>
      </c>
      <c r="AC552">
        <f t="shared" si="60"/>
        <v>2022</v>
      </c>
      <c r="AD552" s="28">
        <f>ROUND((IF(ISBLANK(L552),Employee_Lookups!$O$14,L552)-J552)/365.25,2)</f>
        <v>0.3</v>
      </c>
      <c r="AE552" t="str">
        <f t="shared" si="61"/>
        <v>&lt; 1 Yr (New)</v>
      </c>
      <c r="AF552" t="str">
        <f t="shared" si="62"/>
        <v>Exited</v>
      </c>
    </row>
    <row r="553" spans="1:32" x14ac:dyDescent="0.45">
      <c r="A553" t="s">
        <v>1184</v>
      </c>
      <c r="B553" t="s">
        <v>501</v>
      </c>
      <c r="C553" t="s">
        <v>53</v>
      </c>
      <c r="D553" t="s">
        <v>52</v>
      </c>
      <c r="E553" t="s">
        <v>185</v>
      </c>
      <c r="F553" t="s">
        <v>82</v>
      </c>
      <c r="G553" t="s">
        <v>186</v>
      </c>
      <c r="H553" t="s">
        <v>109</v>
      </c>
      <c r="I553" t="s">
        <v>110</v>
      </c>
      <c r="J553" s="26">
        <v>44748</v>
      </c>
      <c r="K553" t="s">
        <v>162</v>
      </c>
      <c r="L553" s="26"/>
      <c r="M553" t="s">
        <v>163</v>
      </c>
      <c r="N553" t="s">
        <v>95</v>
      </c>
      <c r="O553" s="27">
        <v>1347000</v>
      </c>
      <c r="P553">
        <v>2</v>
      </c>
      <c r="Q553" t="s">
        <v>172</v>
      </c>
      <c r="R553">
        <v>9</v>
      </c>
      <c r="S553" t="s">
        <v>189</v>
      </c>
      <c r="T553">
        <f t="shared" si="56"/>
        <v>10917</v>
      </c>
      <c r="U553" t="str">
        <f t="shared" si="57"/>
        <v>SAL</v>
      </c>
      <c r="V553" t="str">
        <f t="shared" si="58"/>
        <v>L2</v>
      </c>
      <c r="W553" t="str">
        <f>PROPER(TRIM(VLOOKUP(S553,Employee_Lookups!$I$4:$M$19,2,FALSE())))</f>
        <v>Priya Sharma</v>
      </c>
      <c r="X553" t="str">
        <f>VLOOKUP(C553,Employee_Lookups!$A$4:$G$9,4,FALSE())</f>
        <v>CC-202</v>
      </c>
      <c r="Y553" t="str">
        <f>INDEX(Employee_Lookups!$C$13:$C$17,MATCH(F553,Employee_Lookups!$A$13:$A$17,0))</f>
        <v>Band B (Mid)</v>
      </c>
      <c r="Z553" s="27">
        <f>_xlfn.XLOOKUP(F553,Employee_Lookups!$A$13:$A$17,Employee_Lookups!$E$13:$E$17,0)</f>
        <v>1100000</v>
      </c>
      <c r="AA553" s="28">
        <f>ROUND(O553/INDEX(Employee_Lookups!$E$13:$E$17,MATCH(F553,Employee_Lookups!$A$13:$A$17,0)),3)</f>
        <v>1.2250000000000001</v>
      </c>
      <c r="AB553">
        <f t="shared" si="59"/>
        <v>2022</v>
      </c>
      <c r="AC553" t="str">
        <f t="shared" si="60"/>
        <v/>
      </c>
      <c r="AD553" s="28">
        <f>ROUND((IF(ISBLANK(L553),Employee_Lookups!$O$14,L553)-J553)/365.25,2)</f>
        <v>3.49</v>
      </c>
      <c r="AE553" t="str">
        <f t="shared" si="61"/>
        <v>3 - 5 Yrs</v>
      </c>
      <c r="AF553" t="str">
        <f t="shared" si="62"/>
        <v>Moderate Risk</v>
      </c>
    </row>
    <row r="554" spans="1:32" x14ac:dyDescent="0.45">
      <c r="A554" t="s">
        <v>1185</v>
      </c>
      <c r="B554" t="s">
        <v>1186</v>
      </c>
      <c r="C554" t="s">
        <v>51</v>
      </c>
      <c r="D554" t="s">
        <v>50</v>
      </c>
      <c r="E554" t="s">
        <v>181</v>
      </c>
      <c r="F554" t="s">
        <v>81</v>
      </c>
      <c r="G554" t="s">
        <v>182</v>
      </c>
      <c r="H554" t="s">
        <v>106</v>
      </c>
      <c r="I554" t="s">
        <v>107</v>
      </c>
      <c r="J554" s="26">
        <v>44749</v>
      </c>
      <c r="K554" t="s">
        <v>187</v>
      </c>
      <c r="L554" s="26">
        <v>45048</v>
      </c>
      <c r="M554" t="s">
        <v>269</v>
      </c>
      <c r="N554" t="s">
        <v>99</v>
      </c>
      <c r="O554" s="27">
        <v>644000</v>
      </c>
      <c r="P554">
        <v>4</v>
      </c>
      <c r="Q554" t="s">
        <v>164</v>
      </c>
      <c r="R554">
        <v>24</v>
      </c>
      <c r="S554" t="s">
        <v>178</v>
      </c>
      <c r="T554">
        <f t="shared" si="56"/>
        <v>10900</v>
      </c>
      <c r="U554" t="str">
        <f t="shared" si="57"/>
        <v>ENG</v>
      </c>
      <c r="V554" t="str">
        <f t="shared" si="58"/>
        <v>L1</v>
      </c>
      <c r="W554" t="str">
        <f>PROPER(TRIM(VLOOKUP(S554,Employee_Lookups!$I$4:$M$19,2,FALSE())))</f>
        <v>Aarav Deshmukh</v>
      </c>
      <c r="X554" t="str">
        <f>VLOOKUP(C554,Employee_Lookups!$A$4:$G$9,4,FALSE())</f>
        <v>CC-101</v>
      </c>
      <c r="Y554" t="str">
        <f>INDEX(Employee_Lookups!$C$13:$C$17,MATCH(F554,Employee_Lookups!$A$13:$A$17,0))</f>
        <v>Band A (Entry)</v>
      </c>
      <c r="Z554" s="27">
        <f>_xlfn.XLOOKUP(F554,Employee_Lookups!$A$13:$A$17,Employee_Lookups!$E$13:$E$17,0)</f>
        <v>700000</v>
      </c>
      <c r="AA554" s="28">
        <f>ROUND(O554/INDEX(Employee_Lookups!$E$13:$E$17,MATCH(F554,Employee_Lookups!$A$13:$A$17,0)),3)</f>
        <v>0.92</v>
      </c>
      <c r="AB554">
        <f t="shared" si="59"/>
        <v>2022</v>
      </c>
      <c r="AC554">
        <f t="shared" si="60"/>
        <v>2023</v>
      </c>
      <c r="AD554" s="28">
        <f>ROUND((IF(ISBLANK(L554),Employee_Lookups!$O$14,L554)-J554)/365.25,2)</f>
        <v>0.82</v>
      </c>
      <c r="AE554" t="str">
        <f t="shared" si="61"/>
        <v>&lt; 1 Yr (New)</v>
      </c>
      <c r="AF554" t="str">
        <f t="shared" si="62"/>
        <v>Exited</v>
      </c>
    </row>
    <row r="555" spans="1:32" x14ac:dyDescent="0.45">
      <c r="A555" t="s">
        <v>1187</v>
      </c>
      <c r="B555" t="s">
        <v>1188</v>
      </c>
      <c r="C555" t="s">
        <v>61</v>
      </c>
      <c r="D555" t="s">
        <v>60</v>
      </c>
      <c r="E555" t="s">
        <v>251</v>
      </c>
      <c r="F555" t="s">
        <v>82</v>
      </c>
      <c r="G555" t="s">
        <v>252</v>
      </c>
      <c r="H555" t="s">
        <v>106</v>
      </c>
      <c r="I555" t="s">
        <v>107</v>
      </c>
      <c r="J555" s="26">
        <v>44749</v>
      </c>
      <c r="K555" t="s">
        <v>162</v>
      </c>
      <c r="L555" s="26"/>
      <c r="M555" t="s">
        <v>163</v>
      </c>
      <c r="N555" t="s">
        <v>99</v>
      </c>
      <c r="O555" s="27">
        <v>882000</v>
      </c>
      <c r="P555">
        <v>2</v>
      </c>
      <c r="Q555" t="s">
        <v>164</v>
      </c>
      <c r="R555">
        <v>11</v>
      </c>
      <c r="S555" t="s">
        <v>253</v>
      </c>
      <c r="T555">
        <f t="shared" si="56"/>
        <v>11057</v>
      </c>
      <c r="U555" t="str">
        <f t="shared" si="57"/>
        <v>-HR</v>
      </c>
      <c r="V555" t="str">
        <f t="shared" si="58"/>
        <v>L2</v>
      </c>
      <c r="W555" t="str">
        <f>PROPER(TRIM(VLOOKUP(S555,Employee_Lookups!$I$4:$M$19,2,FALSE())))</f>
        <v>Nikhil Chatterjee</v>
      </c>
      <c r="X555" t="str">
        <f>VLOOKUP(C555,Employee_Lookups!$A$4:$G$9,4,FALSE())</f>
        <v>CC-505</v>
      </c>
      <c r="Y555" t="str">
        <f>INDEX(Employee_Lookups!$C$13:$C$17,MATCH(F555,Employee_Lookups!$A$13:$A$17,0))</f>
        <v>Band B (Mid)</v>
      </c>
      <c r="Z555" s="27">
        <f>_xlfn.XLOOKUP(F555,Employee_Lookups!$A$13:$A$17,Employee_Lookups!$E$13:$E$17,0)</f>
        <v>1100000</v>
      </c>
      <c r="AA555" s="28">
        <f>ROUND(O555/INDEX(Employee_Lookups!$E$13:$E$17,MATCH(F555,Employee_Lookups!$A$13:$A$17,0)),3)</f>
        <v>0.80200000000000005</v>
      </c>
      <c r="AB555">
        <f t="shared" si="59"/>
        <v>2022</v>
      </c>
      <c r="AC555" t="str">
        <f t="shared" si="60"/>
        <v/>
      </c>
      <c r="AD555" s="28">
        <f>ROUND((IF(ISBLANK(L555),Employee_Lookups!$O$14,L555)-J555)/365.25,2)</f>
        <v>3.49</v>
      </c>
      <c r="AE555" t="str">
        <f t="shared" si="61"/>
        <v>3 - 5 Yrs</v>
      </c>
      <c r="AF555" t="str">
        <f t="shared" si="62"/>
        <v>Moderate Risk</v>
      </c>
    </row>
    <row r="556" spans="1:32" x14ac:dyDescent="0.45">
      <c r="A556" t="s">
        <v>1189</v>
      </c>
      <c r="B556" t="s">
        <v>949</v>
      </c>
      <c r="C556" t="s">
        <v>53</v>
      </c>
      <c r="D556" t="s">
        <v>52</v>
      </c>
      <c r="E556" t="s">
        <v>322</v>
      </c>
      <c r="F556" t="s">
        <v>81</v>
      </c>
      <c r="G556" t="s">
        <v>323</v>
      </c>
      <c r="H556" t="s">
        <v>106</v>
      </c>
      <c r="I556" t="s">
        <v>107</v>
      </c>
      <c r="J556" s="26">
        <v>44751</v>
      </c>
      <c r="K556" t="s">
        <v>162</v>
      </c>
      <c r="L556" s="26"/>
      <c r="M556" t="s">
        <v>163</v>
      </c>
      <c r="N556" t="s">
        <v>98</v>
      </c>
      <c r="O556" s="27">
        <v>810000</v>
      </c>
      <c r="P556">
        <v>3</v>
      </c>
      <c r="Q556" t="s">
        <v>172</v>
      </c>
      <c r="R556">
        <v>60</v>
      </c>
      <c r="S556" t="s">
        <v>237</v>
      </c>
      <c r="T556">
        <f t="shared" si="56"/>
        <v>10127</v>
      </c>
      <c r="U556" t="str">
        <f t="shared" si="57"/>
        <v>SAL</v>
      </c>
      <c r="V556" t="str">
        <f t="shared" si="58"/>
        <v>L1</v>
      </c>
      <c r="W556" t="str">
        <f>PROPER(TRIM(VLOOKUP(S556,Employee_Lookups!$I$4:$M$19,2,FALSE())))</f>
        <v>Karan Malhotra</v>
      </c>
      <c r="X556" t="str">
        <f>VLOOKUP(C556,Employee_Lookups!$A$4:$G$9,4,FALSE())</f>
        <v>CC-202</v>
      </c>
      <c r="Y556" t="str">
        <f>INDEX(Employee_Lookups!$C$13:$C$17,MATCH(F556,Employee_Lookups!$A$13:$A$17,0))</f>
        <v>Band A (Entry)</v>
      </c>
      <c r="Z556" s="27">
        <f>_xlfn.XLOOKUP(F556,Employee_Lookups!$A$13:$A$17,Employee_Lookups!$E$13:$E$17,0)</f>
        <v>700000</v>
      </c>
      <c r="AA556" s="28">
        <f>ROUND(O556/INDEX(Employee_Lookups!$E$13:$E$17,MATCH(F556,Employee_Lookups!$A$13:$A$17,0)),3)</f>
        <v>1.157</v>
      </c>
      <c r="AB556">
        <f t="shared" si="59"/>
        <v>2022</v>
      </c>
      <c r="AC556" t="str">
        <f t="shared" si="60"/>
        <v/>
      </c>
      <c r="AD556" s="28">
        <f>ROUND((IF(ISBLANK(L556),Employee_Lookups!$O$14,L556)-J556)/365.25,2)</f>
        <v>3.48</v>
      </c>
      <c r="AE556" t="str">
        <f t="shared" si="61"/>
        <v>3 - 5 Yrs</v>
      </c>
      <c r="AF556" t="str">
        <f t="shared" si="62"/>
        <v>Moderate Risk</v>
      </c>
    </row>
    <row r="557" spans="1:32" x14ac:dyDescent="0.45">
      <c r="A557" t="s">
        <v>1190</v>
      </c>
      <c r="B557" t="s">
        <v>1191</v>
      </c>
      <c r="C557" t="s">
        <v>57</v>
      </c>
      <c r="D557" t="s">
        <v>56</v>
      </c>
      <c r="E557" t="s">
        <v>222</v>
      </c>
      <c r="F557" t="s">
        <v>82</v>
      </c>
      <c r="G557" t="s">
        <v>223</v>
      </c>
      <c r="H557" t="s">
        <v>106</v>
      </c>
      <c r="I557" t="s">
        <v>107</v>
      </c>
      <c r="J557" s="26">
        <v>44751</v>
      </c>
      <c r="K557" t="s">
        <v>187</v>
      </c>
      <c r="L557" s="26">
        <v>44912</v>
      </c>
      <c r="M557" t="s">
        <v>282</v>
      </c>
      <c r="N557" t="s">
        <v>95</v>
      </c>
      <c r="O557" s="27">
        <v>1092000</v>
      </c>
      <c r="P557">
        <v>3</v>
      </c>
      <c r="Q557" t="s">
        <v>164</v>
      </c>
      <c r="R557">
        <v>48</v>
      </c>
      <c r="S557" t="s">
        <v>224</v>
      </c>
      <c r="T557">
        <f t="shared" si="56"/>
        <v>10315</v>
      </c>
      <c r="U557" t="str">
        <f t="shared" si="57"/>
        <v>MKT</v>
      </c>
      <c r="V557" t="str">
        <f t="shared" si="58"/>
        <v>L2</v>
      </c>
      <c r="W557" t="str">
        <f>PROPER(TRIM(VLOOKUP(S557,Employee_Lookups!$I$4:$M$19,2,FALSE())))</f>
        <v>Tanvi Chitnis</v>
      </c>
      <c r="X557" t="str">
        <f>VLOOKUP(C557,Employee_Lookups!$A$4:$G$9,4,FALSE())</f>
        <v>CC-606</v>
      </c>
      <c r="Y557" t="str">
        <f>INDEX(Employee_Lookups!$C$13:$C$17,MATCH(F557,Employee_Lookups!$A$13:$A$17,0))</f>
        <v>Band B (Mid)</v>
      </c>
      <c r="Z557" s="27">
        <f>_xlfn.XLOOKUP(F557,Employee_Lookups!$A$13:$A$17,Employee_Lookups!$E$13:$E$17,0)</f>
        <v>1100000</v>
      </c>
      <c r="AA557" s="28">
        <f>ROUND(O557/INDEX(Employee_Lookups!$E$13:$E$17,MATCH(F557,Employee_Lookups!$A$13:$A$17,0)),3)</f>
        <v>0.99299999999999999</v>
      </c>
      <c r="AB557">
        <f t="shared" si="59"/>
        <v>2022</v>
      </c>
      <c r="AC557">
        <f t="shared" si="60"/>
        <v>2022</v>
      </c>
      <c r="AD557" s="28">
        <f>ROUND((IF(ISBLANK(L557),Employee_Lookups!$O$14,L557)-J557)/365.25,2)</f>
        <v>0.44</v>
      </c>
      <c r="AE557" t="str">
        <f t="shared" si="61"/>
        <v>&lt; 1 Yr (New)</v>
      </c>
      <c r="AF557" t="str">
        <f t="shared" si="62"/>
        <v>Exited</v>
      </c>
    </row>
    <row r="558" spans="1:32" x14ac:dyDescent="0.45">
      <c r="A558" t="s">
        <v>1192</v>
      </c>
      <c r="B558" t="s">
        <v>1193</v>
      </c>
      <c r="C558" t="s">
        <v>51</v>
      </c>
      <c r="D558" t="s">
        <v>50</v>
      </c>
      <c r="E558" t="s">
        <v>217</v>
      </c>
      <c r="F558" t="s">
        <v>83</v>
      </c>
      <c r="G558" t="s">
        <v>218</v>
      </c>
      <c r="H558" t="s">
        <v>109</v>
      </c>
      <c r="I558" t="s">
        <v>110</v>
      </c>
      <c r="J558" s="26">
        <v>44752</v>
      </c>
      <c r="K558" t="s">
        <v>162</v>
      </c>
      <c r="L558" s="26"/>
      <c r="M558" t="s">
        <v>163</v>
      </c>
      <c r="N558" t="s">
        <v>97</v>
      </c>
      <c r="O558" s="27">
        <v>1768000</v>
      </c>
      <c r="P558">
        <v>3</v>
      </c>
      <c r="Q558" t="s">
        <v>172</v>
      </c>
      <c r="R558">
        <v>36</v>
      </c>
      <c r="S558" t="s">
        <v>219</v>
      </c>
      <c r="T558">
        <f t="shared" si="56"/>
        <v>10279</v>
      </c>
      <c r="U558" t="str">
        <f t="shared" si="57"/>
        <v>ENG</v>
      </c>
      <c r="V558" t="str">
        <f t="shared" si="58"/>
        <v>L3</v>
      </c>
      <c r="W558" t="str">
        <f>PROPER(TRIM(VLOOKUP(S558,Employee_Lookups!$I$4:$M$19,2,FALSE())))</f>
        <v>Neha Kulkarni</v>
      </c>
      <c r="X558" t="str">
        <f>VLOOKUP(C558,Employee_Lookups!$A$4:$G$9,4,FALSE())</f>
        <v>CC-101</v>
      </c>
      <c r="Y558" t="str">
        <f>INDEX(Employee_Lookups!$C$13:$C$17,MATCH(F558,Employee_Lookups!$A$13:$A$17,0))</f>
        <v>Band C (Senior)</v>
      </c>
      <c r="Z558" s="27">
        <f>_xlfn.XLOOKUP(F558,Employee_Lookups!$A$13:$A$17,Employee_Lookups!$E$13:$E$17,0)</f>
        <v>1725000</v>
      </c>
      <c r="AA558" s="28">
        <f>ROUND(O558/INDEX(Employee_Lookups!$E$13:$E$17,MATCH(F558,Employee_Lookups!$A$13:$A$17,0)),3)</f>
        <v>1.0249999999999999</v>
      </c>
      <c r="AB558">
        <f t="shared" si="59"/>
        <v>2022</v>
      </c>
      <c r="AC558" t="str">
        <f t="shared" si="60"/>
        <v/>
      </c>
      <c r="AD558" s="28">
        <f>ROUND((IF(ISBLANK(L558),Employee_Lookups!$O$14,L558)-J558)/365.25,2)</f>
        <v>3.48</v>
      </c>
      <c r="AE558" t="str">
        <f t="shared" si="61"/>
        <v>3 - 5 Yrs</v>
      </c>
      <c r="AF558" t="str">
        <f t="shared" si="62"/>
        <v>Moderate Risk</v>
      </c>
    </row>
    <row r="559" spans="1:32" x14ac:dyDescent="0.45">
      <c r="A559" t="s">
        <v>1194</v>
      </c>
      <c r="B559" t="s">
        <v>1195</v>
      </c>
      <c r="C559" t="s">
        <v>53</v>
      </c>
      <c r="D559" t="s">
        <v>52</v>
      </c>
      <c r="E559" t="s">
        <v>185</v>
      </c>
      <c r="F559" t="s">
        <v>82</v>
      </c>
      <c r="G559" t="s">
        <v>186</v>
      </c>
      <c r="H559" t="s">
        <v>106</v>
      </c>
      <c r="I559" t="s">
        <v>107</v>
      </c>
      <c r="J559" s="26">
        <v>44752</v>
      </c>
      <c r="K559" t="s">
        <v>162</v>
      </c>
      <c r="L559" s="26"/>
      <c r="M559" t="s">
        <v>163</v>
      </c>
      <c r="N559" t="s">
        <v>99</v>
      </c>
      <c r="O559" s="27">
        <v>1317000</v>
      </c>
      <c r="P559">
        <v>2</v>
      </c>
      <c r="Q559" t="s">
        <v>172</v>
      </c>
      <c r="R559">
        <v>13</v>
      </c>
      <c r="S559" t="s">
        <v>189</v>
      </c>
      <c r="T559">
        <f t="shared" si="56"/>
        <v>10671</v>
      </c>
      <c r="U559" t="str">
        <f t="shared" si="57"/>
        <v>SAL</v>
      </c>
      <c r="V559" t="str">
        <f t="shared" si="58"/>
        <v>L2</v>
      </c>
      <c r="W559" t="str">
        <f>PROPER(TRIM(VLOOKUP(S559,Employee_Lookups!$I$4:$M$19,2,FALSE())))</f>
        <v>Priya Sharma</v>
      </c>
      <c r="X559" t="str">
        <f>VLOOKUP(C559,Employee_Lookups!$A$4:$G$9,4,FALSE())</f>
        <v>CC-202</v>
      </c>
      <c r="Y559" t="str">
        <f>INDEX(Employee_Lookups!$C$13:$C$17,MATCH(F559,Employee_Lookups!$A$13:$A$17,0))</f>
        <v>Band B (Mid)</v>
      </c>
      <c r="Z559" s="27">
        <f>_xlfn.XLOOKUP(F559,Employee_Lookups!$A$13:$A$17,Employee_Lookups!$E$13:$E$17,0)</f>
        <v>1100000</v>
      </c>
      <c r="AA559" s="28">
        <f>ROUND(O559/INDEX(Employee_Lookups!$E$13:$E$17,MATCH(F559,Employee_Lookups!$A$13:$A$17,0)),3)</f>
        <v>1.1970000000000001</v>
      </c>
      <c r="AB559">
        <f t="shared" si="59"/>
        <v>2022</v>
      </c>
      <c r="AC559" t="str">
        <f t="shared" si="60"/>
        <v/>
      </c>
      <c r="AD559" s="28">
        <f>ROUND((IF(ISBLANK(L559),Employee_Lookups!$O$14,L559)-J559)/365.25,2)</f>
        <v>3.48</v>
      </c>
      <c r="AE559" t="str">
        <f t="shared" si="61"/>
        <v>3 - 5 Yrs</v>
      </c>
      <c r="AF559" t="str">
        <f t="shared" si="62"/>
        <v>Moderate Risk</v>
      </c>
    </row>
    <row r="560" spans="1:32" x14ac:dyDescent="0.45">
      <c r="A560" t="s">
        <v>1196</v>
      </c>
      <c r="B560" t="s">
        <v>314</v>
      </c>
      <c r="C560" t="s">
        <v>51</v>
      </c>
      <c r="D560" t="s">
        <v>50</v>
      </c>
      <c r="E560" t="s">
        <v>397</v>
      </c>
      <c r="F560" t="s">
        <v>84</v>
      </c>
      <c r="G560" t="s">
        <v>398</v>
      </c>
      <c r="H560" t="s">
        <v>106</v>
      </c>
      <c r="I560" t="s">
        <v>107</v>
      </c>
      <c r="J560" s="26">
        <v>44753</v>
      </c>
      <c r="K560" t="s">
        <v>162</v>
      </c>
      <c r="L560" s="26"/>
      <c r="M560" t="s">
        <v>163</v>
      </c>
      <c r="N560" t="s">
        <v>96</v>
      </c>
      <c r="O560" s="27">
        <v>3001000</v>
      </c>
      <c r="P560">
        <v>5</v>
      </c>
      <c r="Q560" t="s">
        <v>164</v>
      </c>
      <c r="R560">
        <v>28</v>
      </c>
      <c r="S560" t="s">
        <v>178</v>
      </c>
      <c r="T560">
        <f t="shared" si="56"/>
        <v>11020</v>
      </c>
      <c r="U560" t="str">
        <f t="shared" si="57"/>
        <v>ENG</v>
      </c>
      <c r="V560" t="str">
        <f t="shared" si="58"/>
        <v>L4</v>
      </c>
      <c r="W560" t="str">
        <f>PROPER(TRIM(VLOOKUP(S560,Employee_Lookups!$I$4:$M$19,2,FALSE())))</f>
        <v>Aarav Deshmukh</v>
      </c>
      <c r="X560" t="str">
        <f>VLOOKUP(C560,Employee_Lookups!$A$4:$G$9,4,FALSE())</f>
        <v>CC-101</v>
      </c>
      <c r="Y560" t="str">
        <f>INDEX(Employee_Lookups!$C$13:$C$17,MATCH(F560,Employee_Lookups!$A$13:$A$17,0))</f>
        <v>Band D (Leadership)</v>
      </c>
      <c r="Z560" s="27">
        <f>_xlfn.XLOOKUP(F560,Employee_Lookups!$A$13:$A$17,Employee_Lookups!$E$13:$E$17,0)</f>
        <v>2750000</v>
      </c>
      <c r="AA560" s="28">
        <f>ROUND(O560/INDEX(Employee_Lookups!$E$13:$E$17,MATCH(F560,Employee_Lookups!$A$13:$A$17,0)),3)</f>
        <v>1.091</v>
      </c>
      <c r="AB560">
        <f t="shared" si="59"/>
        <v>2022</v>
      </c>
      <c r="AC560" t="str">
        <f t="shared" si="60"/>
        <v/>
      </c>
      <c r="AD560" s="28">
        <f>ROUND((IF(ISBLANK(L560),Employee_Lookups!$O$14,L560)-J560)/365.25,2)</f>
        <v>3.47</v>
      </c>
      <c r="AE560" t="str">
        <f t="shared" si="61"/>
        <v>3 - 5 Yrs</v>
      </c>
      <c r="AF560" t="str">
        <f t="shared" si="62"/>
        <v>Low Risk</v>
      </c>
    </row>
    <row r="561" spans="1:32" x14ac:dyDescent="0.45">
      <c r="A561" t="s">
        <v>1197</v>
      </c>
      <c r="B561" t="s">
        <v>1198</v>
      </c>
      <c r="C561" t="s">
        <v>55</v>
      </c>
      <c r="D561" t="s">
        <v>54</v>
      </c>
      <c r="E561" t="s">
        <v>168</v>
      </c>
      <c r="F561" t="s">
        <v>84</v>
      </c>
      <c r="G561" t="s">
        <v>169</v>
      </c>
      <c r="H561" t="s">
        <v>108</v>
      </c>
      <c r="I561" t="s">
        <v>107</v>
      </c>
      <c r="J561" s="26">
        <v>44754</v>
      </c>
      <c r="K561" t="s">
        <v>187</v>
      </c>
      <c r="L561" s="26">
        <v>45942</v>
      </c>
      <c r="M561" t="s">
        <v>308</v>
      </c>
      <c r="N561" t="s">
        <v>97</v>
      </c>
      <c r="O561" s="27">
        <v>2548000</v>
      </c>
      <c r="P561">
        <v>4</v>
      </c>
      <c r="Q561" t="s">
        <v>172</v>
      </c>
      <c r="R561">
        <v>52</v>
      </c>
      <c r="S561" t="s">
        <v>173</v>
      </c>
      <c r="T561">
        <f t="shared" si="56"/>
        <v>10825</v>
      </c>
      <c r="U561" t="str">
        <f t="shared" si="57"/>
        <v>OPS</v>
      </c>
      <c r="V561" t="str">
        <f t="shared" si="58"/>
        <v>L4</v>
      </c>
      <c r="W561" t="str">
        <f>PROPER(TRIM(VLOOKUP(S561,Employee_Lookups!$I$4:$M$19,2,FALSE())))</f>
        <v>Deepak Patil</v>
      </c>
      <c r="X561" t="str">
        <f>VLOOKUP(C561,Employee_Lookups!$A$4:$G$9,4,FALSE())</f>
        <v>CC-303</v>
      </c>
      <c r="Y561" t="str">
        <f>INDEX(Employee_Lookups!$C$13:$C$17,MATCH(F561,Employee_Lookups!$A$13:$A$17,0))</f>
        <v>Band D (Leadership)</v>
      </c>
      <c r="Z561" s="27">
        <f>_xlfn.XLOOKUP(F561,Employee_Lookups!$A$13:$A$17,Employee_Lookups!$E$13:$E$17,0)</f>
        <v>2750000</v>
      </c>
      <c r="AA561" s="28">
        <f>ROUND(O561/INDEX(Employee_Lookups!$E$13:$E$17,MATCH(F561,Employee_Lookups!$A$13:$A$17,0)),3)</f>
        <v>0.92700000000000005</v>
      </c>
      <c r="AB561">
        <f t="shared" si="59"/>
        <v>2022</v>
      </c>
      <c r="AC561">
        <f t="shared" si="60"/>
        <v>2025</v>
      </c>
      <c r="AD561" s="28">
        <f>ROUND((IF(ISBLANK(L561),Employee_Lookups!$O$14,L561)-J561)/365.25,2)</f>
        <v>3.25</v>
      </c>
      <c r="AE561" t="str">
        <f t="shared" si="61"/>
        <v>3 - 5 Yrs</v>
      </c>
      <c r="AF561" t="str">
        <f t="shared" si="62"/>
        <v>Exited</v>
      </c>
    </row>
    <row r="562" spans="1:32" x14ac:dyDescent="0.45">
      <c r="A562" t="s">
        <v>1199</v>
      </c>
      <c r="B562" t="s">
        <v>844</v>
      </c>
      <c r="C562" t="s">
        <v>51</v>
      </c>
      <c r="D562" t="s">
        <v>50</v>
      </c>
      <c r="E562" t="s">
        <v>217</v>
      </c>
      <c r="F562" t="s">
        <v>83</v>
      </c>
      <c r="G562" t="s">
        <v>218</v>
      </c>
      <c r="H562" t="s">
        <v>106</v>
      </c>
      <c r="I562" t="s">
        <v>107</v>
      </c>
      <c r="J562" s="26">
        <v>44757</v>
      </c>
      <c r="K562" t="s">
        <v>162</v>
      </c>
      <c r="L562" s="26"/>
      <c r="M562" t="s">
        <v>163</v>
      </c>
      <c r="N562" t="s">
        <v>99</v>
      </c>
      <c r="O562" s="27">
        <v>1760000</v>
      </c>
      <c r="P562">
        <v>4</v>
      </c>
      <c r="Q562" t="s">
        <v>164</v>
      </c>
      <c r="R562">
        <v>26</v>
      </c>
      <c r="S562" t="s">
        <v>178</v>
      </c>
      <c r="T562">
        <f t="shared" si="56"/>
        <v>10470</v>
      </c>
      <c r="U562" t="str">
        <f t="shared" si="57"/>
        <v>ENG</v>
      </c>
      <c r="V562" t="str">
        <f t="shared" si="58"/>
        <v>L3</v>
      </c>
      <c r="W562" t="str">
        <f>PROPER(TRIM(VLOOKUP(S562,Employee_Lookups!$I$4:$M$19,2,FALSE())))</f>
        <v>Aarav Deshmukh</v>
      </c>
      <c r="X562" t="str">
        <f>VLOOKUP(C562,Employee_Lookups!$A$4:$G$9,4,FALSE())</f>
        <v>CC-101</v>
      </c>
      <c r="Y562" t="str">
        <f>INDEX(Employee_Lookups!$C$13:$C$17,MATCH(F562,Employee_Lookups!$A$13:$A$17,0))</f>
        <v>Band C (Senior)</v>
      </c>
      <c r="Z562" s="27">
        <f>_xlfn.XLOOKUP(F562,Employee_Lookups!$A$13:$A$17,Employee_Lookups!$E$13:$E$17,0)</f>
        <v>1725000</v>
      </c>
      <c r="AA562" s="28">
        <f>ROUND(O562/INDEX(Employee_Lookups!$E$13:$E$17,MATCH(F562,Employee_Lookups!$A$13:$A$17,0)),3)</f>
        <v>1.02</v>
      </c>
      <c r="AB562">
        <f t="shared" si="59"/>
        <v>2022</v>
      </c>
      <c r="AC562" t="str">
        <f t="shared" si="60"/>
        <v/>
      </c>
      <c r="AD562" s="28">
        <f>ROUND((IF(ISBLANK(L562),Employee_Lookups!$O$14,L562)-J562)/365.25,2)</f>
        <v>3.46</v>
      </c>
      <c r="AE562" t="str">
        <f t="shared" si="61"/>
        <v>3 - 5 Yrs</v>
      </c>
      <c r="AF562" t="str">
        <f t="shared" si="62"/>
        <v>Low Risk</v>
      </c>
    </row>
    <row r="563" spans="1:32" x14ac:dyDescent="0.45">
      <c r="A563" t="s">
        <v>1200</v>
      </c>
      <c r="B563" t="s">
        <v>1201</v>
      </c>
      <c r="C563" t="s">
        <v>53</v>
      </c>
      <c r="D563" t="s">
        <v>52</v>
      </c>
      <c r="E563" t="s">
        <v>322</v>
      </c>
      <c r="F563" t="s">
        <v>81</v>
      </c>
      <c r="G563" t="s">
        <v>323</v>
      </c>
      <c r="H563" t="s">
        <v>106</v>
      </c>
      <c r="I563" t="s">
        <v>107</v>
      </c>
      <c r="J563" s="26">
        <v>44757</v>
      </c>
      <c r="K563" t="s">
        <v>187</v>
      </c>
      <c r="L563" s="26">
        <v>44910</v>
      </c>
      <c r="M563" t="s">
        <v>282</v>
      </c>
      <c r="N563" t="s">
        <v>99</v>
      </c>
      <c r="O563" s="27">
        <v>556000</v>
      </c>
      <c r="P563">
        <v>4</v>
      </c>
      <c r="Q563" t="s">
        <v>164</v>
      </c>
      <c r="R563">
        <v>43</v>
      </c>
      <c r="S563" t="s">
        <v>189</v>
      </c>
      <c r="T563">
        <f t="shared" si="56"/>
        <v>10812</v>
      </c>
      <c r="U563" t="str">
        <f t="shared" si="57"/>
        <v>SAL</v>
      </c>
      <c r="V563" t="str">
        <f t="shared" si="58"/>
        <v>L1</v>
      </c>
      <c r="W563" t="str">
        <f>PROPER(TRIM(VLOOKUP(S563,Employee_Lookups!$I$4:$M$19,2,FALSE())))</f>
        <v>Priya Sharma</v>
      </c>
      <c r="X563" t="str">
        <f>VLOOKUP(C563,Employee_Lookups!$A$4:$G$9,4,FALSE())</f>
        <v>CC-202</v>
      </c>
      <c r="Y563" t="str">
        <f>INDEX(Employee_Lookups!$C$13:$C$17,MATCH(F563,Employee_Lookups!$A$13:$A$17,0))</f>
        <v>Band A (Entry)</v>
      </c>
      <c r="Z563" s="27">
        <f>_xlfn.XLOOKUP(F563,Employee_Lookups!$A$13:$A$17,Employee_Lookups!$E$13:$E$17,0)</f>
        <v>700000</v>
      </c>
      <c r="AA563" s="28">
        <f>ROUND(O563/INDEX(Employee_Lookups!$E$13:$E$17,MATCH(F563,Employee_Lookups!$A$13:$A$17,0)),3)</f>
        <v>0.79400000000000004</v>
      </c>
      <c r="AB563">
        <f t="shared" si="59"/>
        <v>2022</v>
      </c>
      <c r="AC563">
        <f t="shared" si="60"/>
        <v>2022</v>
      </c>
      <c r="AD563" s="28">
        <f>ROUND((IF(ISBLANK(L563),Employee_Lookups!$O$14,L563)-J563)/365.25,2)</f>
        <v>0.42</v>
      </c>
      <c r="AE563" t="str">
        <f t="shared" si="61"/>
        <v>&lt; 1 Yr (New)</v>
      </c>
      <c r="AF563" t="str">
        <f t="shared" si="62"/>
        <v>Exited</v>
      </c>
    </row>
    <row r="564" spans="1:32" x14ac:dyDescent="0.45">
      <c r="A564" t="s">
        <v>1202</v>
      </c>
      <c r="B564" t="s">
        <v>742</v>
      </c>
      <c r="C564" t="s">
        <v>55</v>
      </c>
      <c r="D564" t="s">
        <v>54</v>
      </c>
      <c r="E564" t="s">
        <v>229</v>
      </c>
      <c r="F564" t="s">
        <v>82</v>
      </c>
      <c r="G564" t="s">
        <v>230</v>
      </c>
      <c r="H564" t="s">
        <v>106</v>
      </c>
      <c r="I564" t="s">
        <v>107</v>
      </c>
      <c r="J564" s="26">
        <v>44758</v>
      </c>
      <c r="K564" t="s">
        <v>162</v>
      </c>
      <c r="L564" s="26"/>
      <c r="M564" t="s">
        <v>163</v>
      </c>
      <c r="N564" t="s">
        <v>96</v>
      </c>
      <c r="O564" s="27">
        <v>1161000</v>
      </c>
      <c r="P564">
        <v>3</v>
      </c>
      <c r="Q564" t="s">
        <v>172</v>
      </c>
      <c r="R564">
        <v>0</v>
      </c>
      <c r="S564" t="s">
        <v>274</v>
      </c>
      <c r="T564">
        <f t="shared" si="56"/>
        <v>10948</v>
      </c>
      <c r="U564" t="str">
        <f t="shared" si="57"/>
        <v>OPS</v>
      </c>
      <c r="V564" t="str">
        <f t="shared" si="58"/>
        <v>L2</v>
      </c>
      <c r="W564" t="str">
        <f>PROPER(TRIM(VLOOKUP(S564,Employee_Lookups!$I$4:$M$19,2,FALSE())))</f>
        <v>Meera Krishnan</v>
      </c>
      <c r="X564" t="str">
        <f>VLOOKUP(C564,Employee_Lookups!$A$4:$G$9,4,FALSE())</f>
        <v>CC-303</v>
      </c>
      <c r="Y564" t="str">
        <f>INDEX(Employee_Lookups!$C$13:$C$17,MATCH(F564,Employee_Lookups!$A$13:$A$17,0))</f>
        <v>Band B (Mid)</v>
      </c>
      <c r="Z564" s="27">
        <f>_xlfn.XLOOKUP(F564,Employee_Lookups!$A$13:$A$17,Employee_Lookups!$E$13:$E$17,0)</f>
        <v>1100000</v>
      </c>
      <c r="AA564" s="28">
        <f>ROUND(O564/INDEX(Employee_Lookups!$E$13:$E$17,MATCH(F564,Employee_Lookups!$A$13:$A$17,0)),3)</f>
        <v>1.0549999999999999</v>
      </c>
      <c r="AB564">
        <f t="shared" si="59"/>
        <v>2022</v>
      </c>
      <c r="AC564" t="str">
        <f t="shared" si="60"/>
        <v/>
      </c>
      <c r="AD564" s="28">
        <f>ROUND((IF(ISBLANK(L564),Employee_Lookups!$O$14,L564)-J564)/365.25,2)</f>
        <v>3.46</v>
      </c>
      <c r="AE564" t="str">
        <f t="shared" si="61"/>
        <v>3 - 5 Yrs</v>
      </c>
      <c r="AF564" t="str">
        <f t="shared" si="62"/>
        <v>Moderate Risk</v>
      </c>
    </row>
    <row r="565" spans="1:32" x14ac:dyDescent="0.45">
      <c r="A565" t="s">
        <v>1203</v>
      </c>
      <c r="B565" t="s">
        <v>668</v>
      </c>
      <c r="C565" t="s">
        <v>53</v>
      </c>
      <c r="D565" t="s">
        <v>52</v>
      </c>
      <c r="E565" t="s">
        <v>200</v>
      </c>
      <c r="F565" t="s">
        <v>84</v>
      </c>
      <c r="G565" t="s">
        <v>201</v>
      </c>
      <c r="H565" t="s">
        <v>108</v>
      </c>
      <c r="I565" t="s">
        <v>107</v>
      </c>
      <c r="J565" s="26">
        <v>44758</v>
      </c>
      <c r="K565" t="s">
        <v>187</v>
      </c>
      <c r="L565" s="26">
        <v>45504</v>
      </c>
      <c r="M565" t="s">
        <v>308</v>
      </c>
      <c r="N565" t="s">
        <v>95</v>
      </c>
      <c r="O565" s="27">
        <v>2638000</v>
      </c>
      <c r="P565">
        <v>3</v>
      </c>
      <c r="Q565" t="s">
        <v>164</v>
      </c>
      <c r="R565">
        <v>35</v>
      </c>
      <c r="S565" t="s">
        <v>237</v>
      </c>
      <c r="T565">
        <f t="shared" si="56"/>
        <v>10161</v>
      </c>
      <c r="U565" t="str">
        <f t="shared" si="57"/>
        <v>SAL</v>
      </c>
      <c r="V565" t="str">
        <f t="shared" si="58"/>
        <v>L4</v>
      </c>
      <c r="W565" t="str">
        <f>PROPER(TRIM(VLOOKUP(S565,Employee_Lookups!$I$4:$M$19,2,FALSE())))</f>
        <v>Karan Malhotra</v>
      </c>
      <c r="X565" t="str">
        <f>VLOOKUP(C565,Employee_Lookups!$A$4:$G$9,4,FALSE())</f>
        <v>CC-202</v>
      </c>
      <c r="Y565" t="str">
        <f>INDEX(Employee_Lookups!$C$13:$C$17,MATCH(F565,Employee_Lookups!$A$13:$A$17,0))</f>
        <v>Band D (Leadership)</v>
      </c>
      <c r="Z565" s="27">
        <f>_xlfn.XLOOKUP(F565,Employee_Lookups!$A$13:$A$17,Employee_Lookups!$E$13:$E$17,0)</f>
        <v>2750000</v>
      </c>
      <c r="AA565" s="28">
        <f>ROUND(O565/INDEX(Employee_Lookups!$E$13:$E$17,MATCH(F565,Employee_Lookups!$A$13:$A$17,0)),3)</f>
        <v>0.95899999999999996</v>
      </c>
      <c r="AB565">
        <f t="shared" si="59"/>
        <v>2022</v>
      </c>
      <c r="AC565">
        <f t="shared" si="60"/>
        <v>2024</v>
      </c>
      <c r="AD565" s="28">
        <f>ROUND((IF(ISBLANK(L565),Employee_Lookups!$O$14,L565)-J565)/365.25,2)</f>
        <v>2.04</v>
      </c>
      <c r="AE565" t="str">
        <f t="shared" si="61"/>
        <v>1 - 3 Yrs</v>
      </c>
      <c r="AF565" t="str">
        <f t="shared" si="62"/>
        <v>Exited</v>
      </c>
    </row>
    <row r="566" spans="1:32" x14ac:dyDescent="0.45">
      <c r="A566" t="s">
        <v>1204</v>
      </c>
      <c r="B566" t="s">
        <v>1205</v>
      </c>
      <c r="C566" t="s">
        <v>53</v>
      </c>
      <c r="D566" t="s">
        <v>52</v>
      </c>
      <c r="E566" t="s">
        <v>200</v>
      </c>
      <c r="F566" t="s">
        <v>84</v>
      </c>
      <c r="G566" t="s">
        <v>201</v>
      </c>
      <c r="H566" t="s">
        <v>108</v>
      </c>
      <c r="I566" t="s">
        <v>107</v>
      </c>
      <c r="J566" s="26">
        <v>44758</v>
      </c>
      <c r="K566" t="s">
        <v>162</v>
      </c>
      <c r="L566" s="26"/>
      <c r="M566" t="s">
        <v>163</v>
      </c>
      <c r="N566" t="s">
        <v>99</v>
      </c>
      <c r="O566" s="27">
        <v>2922000</v>
      </c>
      <c r="P566">
        <v>3</v>
      </c>
      <c r="Q566" t="s">
        <v>172</v>
      </c>
      <c r="R566">
        <v>37</v>
      </c>
      <c r="S566" t="s">
        <v>237</v>
      </c>
      <c r="T566">
        <f t="shared" si="56"/>
        <v>10350</v>
      </c>
      <c r="U566" t="str">
        <f t="shared" si="57"/>
        <v>SAL</v>
      </c>
      <c r="V566" t="str">
        <f t="shared" si="58"/>
        <v>L4</v>
      </c>
      <c r="W566" t="str">
        <f>PROPER(TRIM(VLOOKUP(S566,Employee_Lookups!$I$4:$M$19,2,FALSE())))</f>
        <v>Karan Malhotra</v>
      </c>
      <c r="X566" t="str">
        <f>VLOOKUP(C566,Employee_Lookups!$A$4:$G$9,4,FALSE())</f>
        <v>CC-202</v>
      </c>
      <c r="Y566" t="str">
        <f>INDEX(Employee_Lookups!$C$13:$C$17,MATCH(F566,Employee_Lookups!$A$13:$A$17,0))</f>
        <v>Band D (Leadership)</v>
      </c>
      <c r="Z566" s="27">
        <f>_xlfn.XLOOKUP(F566,Employee_Lookups!$A$13:$A$17,Employee_Lookups!$E$13:$E$17,0)</f>
        <v>2750000</v>
      </c>
      <c r="AA566" s="28">
        <f>ROUND(O566/INDEX(Employee_Lookups!$E$13:$E$17,MATCH(F566,Employee_Lookups!$A$13:$A$17,0)),3)</f>
        <v>1.0629999999999999</v>
      </c>
      <c r="AB566">
        <f t="shared" si="59"/>
        <v>2022</v>
      </c>
      <c r="AC566" t="str">
        <f t="shared" si="60"/>
        <v/>
      </c>
      <c r="AD566" s="28">
        <f>ROUND((IF(ISBLANK(L566),Employee_Lookups!$O$14,L566)-J566)/365.25,2)</f>
        <v>3.46</v>
      </c>
      <c r="AE566" t="str">
        <f t="shared" si="61"/>
        <v>3 - 5 Yrs</v>
      </c>
      <c r="AF566" t="str">
        <f t="shared" si="62"/>
        <v>Moderate Risk</v>
      </c>
    </row>
    <row r="567" spans="1:32" x14ac:dyDescent="0.45">
      <c r="A567" t="s">
        <v>1206</v>
      </c>
      <c r="B567" t="s">
        <v>1207</v>
      </c>
      <c r="C567" t="s">
        <v>57</v>
      </c>
      <c r="D567" t="s">
        <v>56</v>
      </c>
      <c r="E567" t="s">
        <v>160</v>
      </c>
      <c r="F567" t="s">
        <v>81</v>
      </c>
      <c r="G567" t="s">
        <v>161</v>
      </c>
      <c r="H567" t="s">
        <v>112</v>
      </c>
      <c r="I567" t="s">
        <v>113</v>
      </c>
      <c r="J567" s="26">
        <v>44762</v>
      </c>
      <c r="K567" t="s">
        <v>170</v>
      </c>
      <c r="L567" s="26">
        <v>45156</v>
      </c>
      <c r="M567" t="s">
        <v>171</v>
      </c>
      <c r="N567" t="s">
        <v>95</v>
      </c>
      <c r="O567" s="27">
        <v>665000</v>
      </c>
      <c r="P567">
        <v>2</v>
      </c>
      <c r="Q567" t="s">
        <v>172</v>
      </c>
      <c r="R567">
        <v>18</v>
      </c>
      <c r="S567" t="s">
        <v>165</v>
      </c>
      <c r="T567">
        <f t="shared" si="56"/>
        <v>10338</v>
      </c>
      <c r="U567" t="str">
        <f t="shared" si="57"/>
        <v>MKT</v>
      </c>
      <c r="V567" t="str">
        <f t="shared" si="58"/>
        <v>L1</v>
      </c>
      <c r="W567" t="str">
        <f>PROPER(TRIM(VLOOKUP(S567,Employee_Lookups!$I$4:$M$19,2,FALSE())))</f>
        <v>Arjun Sengupta</v>
      </c>
      <c r="X567" t="str">
        <f>VLOOKUP(C567,Employee_Lookups!$A$4:$G$9,4,FALSE())</f>
        <v>CC-606</v>
      </c>
      <c r="Y567" t="str">
        <f>INDEX(Employee_Lookups!$C$13:$C$17,MATCH(F567,Employee_Lookups!$A$13:$A$17,0))</f>
        <v>Band A (Entry)</v>
      </c>
      <c r="Z567" s="27">
        <f>_xlfn.XLOOKUP(F567,Employee_Lookups!$A$13:$A$17,Employee_Lookups!$E$13:$E$17,0)</f>
        <v>700000</v>
      </c>
      <c r="AA567" s="28">
        <f>ROUND(O567/INDEX(Employee_Lookups!$E$13:$E$17,MATCH(F567,Employee_Lookups!$A$13:$A$17,0)),3)</f>
        <v>0.95</v>
      </c>
      <c r="AB567">
        <f t="shared" si="59"/>
        <v>2022</v>
      </c>
      <c r="AC567">
        <f t="shared" si="60"/>
        <v>2023</v>
      </c>
      <c r="AD567" s="28">
        <f>ROUND((IF(ISBLANK(L567),Employee_Lookups!$O$14,L567)-J567)/365.25,2)</f>
        <v>1.08</v>
      </c>
      <c r="AE567" t="str">
        <f t="shared" si="61"/>
        <v>1 - 3 Yrs</v>
      </c>
      <c r="AF567" t="str">
        <f t="shared" si="62"/>
        <v>Exited</v>
      </c>
    </row>
    <row r="568" spans="1:32" x14ac:dyDescent="0.45">
      <c r="A568" t="s">
        <v>1208</v>
      </c>
      <c r="B568" t="s">
        <v>720</v>
      </c>
      <c r="C568" t="s">
        <v>59</v>
      </c>
      <c r="D568" t="s">
        <v>58</v>
      </c>
      <c r="E568" t="s">
        <v>287</v>
      </c>
      <c r="F568" t="s">
        <v>83</v>
      </c>
      <c r="G568" t="s">
        <v>288</v>
      </c>
      <c r="H568" t="s">
        <v>106</v>
      </c>
      <c r="I568" t="s">
        <v>107</v>
      </c>
      <c r="J568" s="26">
        <v>44764</v>
      </c>
      <c r="K568" t="s">
        <v>162</v>
      </c>
      <c r="L568" s="26"/>
      <c r="M568" t="s">
        <v>163</v>
      </c>
      <c r="N568" t="s">
        <v>99</v>
      </c>
      <c r="O568" s="27">
        <v>1611000</v>
      </c>
      <c r="P568">
        <v>4</v>
      </c>
      <c r="Q568" t="s">
        <v>164</v>
      </c>
      <c r="R568">
        <v>57</v>
      </c>
      <c r="S568" t="s">
        <v>214</v>
      </c>
      <c r="T568">
        <f t="shared" si="56"/>
        <v>11138</v>
      </c>
      <c r="U568" t="str">
        <f t="shared" si="57"/>
        <v>FIN</v>
      </c>
      <c r="V568" t="str">
        <f t="shared" si="58"/>
        <v>L3</v>
      </c>
      <c r="W568" t="str">
        <f>PROPER(TRIM(VLOOKUP(S568,Employee_Lookups!$I$4:$M$19,2,FALSE())))</f>
        <v>Aditya Gokhale</v>
      </c>
      <c r="X568" t="str">
        <f>VLOOKUP(C568,Employee_Lookups!$A$4:$G$9,4,FALSE())</f>
        <v>CC-404</v>
      </c>
      <c r="Y568" t="str">
        <f>INDEX(Employee_Lookups!$C$13:$C$17,MATCH(F568,Employee_Lookups!$A$13:$A$17,0))</f>
        <v>Band C (Senior)</v>
      </c>
      <c r="Z568" s="27">
        <f>_xlfn.XLOOKUP(F568,Employee_Lookups!$A$13:$A$17,Employee_Lookups!$E$13:$E$17,0)</f>
        <v>1725000</v>
      </c>
      <c r="AA568" s="28">
        <f>ROUND(O568/INDEX(Employee_Lookups!$E$13:$E$17,MATCH(F568,Employee_Lookups!$A$13:$A$17,0)),3)</f>
        <v>0.93400000000000005</v>
      </c>
      <c r="AB568">
        <f t="shared" si="59"/>
        <v>2022</v>
      </c>
      <c r="AC568" t="str">
        <f t="shared" si="60"/>
        <v/>
      </c>
      <c r="AD568" s="28">
        <f>ROUND((IF(ISBLANK(L568),Employee_Lookups!$O$14,L568)-J568)/365.25,2)</f>
        <v>3.44</v>
      </c>
      <c r="AE568" t="str">
        <f t="shared" si="61"/>
        <v>3 - 5 Yrs</v>
      </c>
      <c r="AF568" t="str">
        <f t="shared" si="62"/>
        <v>Low Risk</v>
      </c>
    </row>
    <row r="569" spans="1:32" x14ac:dyDescent="0.45">
      <c r="A569" t="s">
        <v>1209</v>
      </c>
      <c r="B569" t="s">
        <v>955</v>
      </c>
      <c r="C569" t="s">
        <v>51</v>
      </c>
      <c r="D569" t="s">
        <v>50</v>
      </c>
      <c r="E569" t="s">
        <v>176</v>
      </c>
      <c r="F569" t="s">
        <v>82</v>
      </c>
      <c r="G569" t="s">
        <v>177</v>
      </c>
      <c r="H569" t="s">
        <v>112</v>
      </c>
      <c r="I569" t="s">
        <v>113</v>
      </c>
      <c r="J569" s="26">
        <v>44765</v>
      </c>
      <c r="K569" t="s">
        <v>187</v>
      </c>
      <c r="L569" s="26">
        <v>44912</v>
      </c>
      <c r="M569" t="s">
        <v>282</v>
      </c>
      <c r="N569" t="s">
        <v>95</v>
      </c>
      <c r="O569" s="27">
        <v>1094000</v>
      </c>
      <c r="P569">
        <v>3</v>
      </c>
      <c r="Q569" t="s">
        <v>164</v>
      </c>
      <c r="R569">
        <v>4</v>
      </c>
      <c r="S569" t="s">
        <v>244</v>
      </c>
      <c r="T569">
        <f t="shared" si="56"/>
        <v>10341</v>
      </c>
      <c r="U569" t="str">
        <f t="shared" si="57"/>
        <v>ENG</v>
      </c>
      <c r="V569" t="str">
        <f t="shared" si="58"/>
        <v>L2</v>
      </c>
      <c r="W569" t="str">
        <f>PROPER(TRIM(VLOOKUP(S569,Employee_Lookups!$I$4:$M$19,2,FALSE())))</f>
        <v>Siddharth Nair</v>
      </c>
      <c r="X569" t="str">
        <f>VLOOKUP(C569,Employee_Lookups!$A$4:$G$9,4,FALSE())</f>
        <v>CC-101</v>
      </c>
      <c r="Y569" t="str">
        <f>INDEX(Employee_Lookups!$C$13:$C$17,MATCH(F569,Employee_Lookups!$A$13:$A$17,0))</f>
        <v>Band B (Mid)</v>
      </c>
      <c r="Z569" s="27">
        <f>_xlfn.XLOOKUP(F569,Employee_Lookups!$A$13:$A$17,Employee_Lookups!$E$13:$E$17,0)</f>
        <v>1100000</v>
      </c>
      <c r="AA569" s="28">
        <f>ROUND(O569/INDEX(Employee_Lookups!$E$13:$E$17,MATCH(F569,Employee_Lookups!$A$13:$A$17,0)),3)</f>
        <v>0.995</v>
      </c>
      <c r="AB569">
        <f t="shared" si="59"/>
        <v>2022</v>
      </c>
      <c r="AC569">
        <f t="shared" si="60"/>
        <v>2022</v>
      </c>
      <c r="AD569" s="28">
        <f>ROUND((IF(ISBLANK(L569),Employee_Lookups!$O$14,L569)-J569)/365.25,2)</f>
        <v>0.4</v>
      </c>
      <c r="AE569" t="str">
        <f t="shared" si="61"/>
        <v>&lt; 1 Yr (New)</v>
      </c>
      <c r="AF569" t="str">
        <f t="shared" si="62"/>
        <v>Exited</v>
      </c>
    </row>
    <row r="570" spans="1:32" x14ac:dyDescent="0.45">
      <c r="A570" t="s">
        <v>1210</v>
      </c>
      <c r="B570" t="s">
        <v>1126</v>
      </c>
      <c r="C570" t="s">
        <v>57</v>
      </c>
      <c r="D570" t="s">
        <v>56</v>
      </c>
      <c r="E570" t="s">
        <v>160</v>
      </c>
      <c r="F570" t="s">
        <v>81</v>
      </c>
      <c r="G570" t="s">
        <v>161</v>
      </c>
      <c r="H570" t="s">
        <v>106</v>
      </c>
      <c r="I570" t="s">
        <v>107</v>
      </c>
      <c r="J570" s="26">
        <v>44765</v>
      </c>
      <c r="K570" t="s">
        <v>162</v>
      </c>
      <c r="L570" s="26"/>
      <c r="M570" t="s">
        <v>163</v>
      </c>
      <c r="N570" t="s">
        <v>98</v>
      </c>
      <c r="O570" s="27">
        <v>691000</v>
      </c>
      <c r="P570">
        <v>4</v>
      </c>
      <c r="Q570" t="s">
        <v>164</v>
      </c>
      <c r="R570">
        <v>26</v>
      </c>
      <c r="S570" t="s">
        <v>165</v>
      </c>
      <c r="T570">
        <f t="shared" si="56"/>
        <v>10264</v>
      </c>
      <c r="U570" t="str">
        <f t="shared" si="57"/>
        <v>MKT</v>
      </c>
      <c r="V570" t="str">
        <f t="shared" si="58"/>
        <v>L1</v>
      </c>
      <c r="W570" t="str">
        <f>PROPER(TRIM(VLOOKUP(S570,Employee_Lookups!$I$4:$M$19,2,FALSE())))</f>
        <v>Arjun Sengupta</v>
      </c>
      <c r="X570" t="str">
        <f>VLOOKUP(C570,Employee_Lookups!$A$4:$G$9,4,FALSE())</f>
        <v>CC-606</v>
      </c>
      <c r="Y570" t="str">
        <f>INDEX(Employee_Lookups!$C$13:$C$17,MATCH(F570,Employee_Lookups!$A$13:$A$17,0))</f>
        <v>Band A (Entry)</v>
      </c>
      <c r="Z570" s="27">
        <f>_xlfn.XLOOKUP(F570,Employee_Lookups!$A$13:$A$17,Employee_Lookups!$E$13:$E$17,0)</f>
        <v>700000</v>
      </c>
      <c r="AA570" s="28">
        <f>ROUND(O570/INDEX(Employee_Lookups!$E$13:$E$17,MATCH(F570,Employee_Lookups!$A$13:$A$17,0)),3)</f>
        <v>0.98699999999999999</v>
      </c>
      <c r="AB570">
        <f t="shared" si="59"/>
        <v>2022</v>
      </c>
      <c r="AC570" t="str">
        <f t="shared" si="60"/>
        <v/>
      </c>
      <c r="AD570" s="28">
        <f>ROUND((IF(ISBLANK(L570),Employee_Lookups!$O$14,L570)-J570)/365.25,2)</f>
        <v>3.44</v>
      </c>
      <c r="AE570" t="str">
        <f t="shared" si="61"/>
        <v>3 - 5 Yrs</v>
      </c>
      <c r="AF570" t="str">
        <f t="shared" si="62"/>
        <v>Low Risk</v>
      </c>
    </row>
    <row r="571" spans="1:32" x14ac:dyDescent="0.45">
      <c r="A571" t="s">
        <v>1211</v>
      </c>
      <c r="B571" t="s">
        <v>1212</v>
      </c>
      <c r="C571" t="s">
        <v>51</v>
      </c>
      <c r="D571" t="s">
        <v>50</v>
      </c>
      <c r="E571" t="s">
        <v>328</v>
      </c>
      <c r="F571" t="s">
        <v>85</v>
      </c>
      <c r="G571" t="s">
        <v>329</v>
      </c>
      <c r="H571" t="s">
        <v>106</v>
      </c>
      <c r="I571" t="s">
        <v>107</v>
      </c>
      <c r="J571" s="26">
        <v>44767</v>
      </c>
      <c r="K571" t="s">
        <v>162</v>
      </c>
      <c r="L571" s="26"/>
      <c r="M571" t="s">
        <v>163</v>
      </c>
      <c r="N571" t="s">
        <v>98</v>
      </c>
      <c r="O571" s="27">
        <v>4740000</v>
      </c>
      <c r="P571">
        <v>3</v>
      </c>
      <c r="Q571" t="s">
        <v>164</v>
      </c>
      <c r="R571">
        <v>31</v>
      </c>
      <c r="S571" t="s">
        <v>219</v>
      </c>
      <c r="T571">
        <f t="shared" si="56"/>
        <v>10641</v>
      </c>
      <c r="U571" t="str">
        <f t="shared" si="57"/>
        <v>ENG</v>
      </c>
      <c r="V571" t="str">
        <f t="shared" si="58"/>
        <v>L5</v>
      </c>
      <c r="W571" t="str">
        <f>PROPER(TRIM(VLOOKUP(S571,Employee_Lookups!$I$4:$M$19,2,FALSE())))</f>
        <v>Neha Kulkarni</v>
      </c>
      <c r="X571" t="str">
        <f>VLOOKUP(C571,Employee_Lookups!$A$4:$G$9,4,FALSE())</f>
        <v>CC-101</v>
      </c>
      <c r="Y571" t="str">
        <f>INDEX(Employee_Lookups!$C$13:$C$17,MATCH(F571,Employee_Lookups!$A$13:$A$17,0))</f>
        <v>Band E (Executive)</v>
      </c>
      <c r="Z571" s="27">
        <f>_xlfn.XLOOKUP(F571,Employee_Lookups!$A$13:$A$17,Employee_Lookups!$E$13:$E$17,0)</f>
        <v>4300000</v>
      </c>
      <c r="AA571" s="28">
        <f>ROUND(O571/INDEX(Employee_Lookups!$E$13:$E$17,MATCH(F571,Employee_Lookups!$A$13:$A$17,0)),3)</f>
        <v>1.1020000000000001</v>
      </c>
      <c r="AB571">
        <f t="shared" si="59"/>
        <v>2022</v>
      </c>
      <c r="AC571" t="str">
        <f t="shared" si="60"/>
        <v/>
      </c>
      <c r="AD571" s="28">
        <f>ROUND((IF(ISBLANK(L571),Employee_Lookups!$O$14,L571)-J571)/365.25,2)</f>
        <v>3.44</v>
      </c>
      <c r="AE571" t="str">
        <f t="shared" si="61"/>
        <v>3 - 5 Yrs</v>
      </c>
      <c r="AF571" t="str">
        <f t="shared" si="62"/>
        <v>Low Risk</v>
      </c>
    </row>
    <row r="572" spans="1:32" x14ac:dyDescent="0.45">
      <c r="A572" t="s">
        <v>1213</v>
      </c>
      <c r="B572" t="s">
        <v>1214</v>
      </c>
      <c r="C572" t="s">
        <v>51</v>
      </c>
      <c r="D572" t="s">
        <v>50</v>
      </c>
      <c r="E572" t="s">
        <v>397</v>
      </c>
      <c r="F572" t="s">
        <v>84</v>
      </c>
      <c r="G572" t="s">
        <v>398</v>
      </c>
      <c r="H572" t="s">
        <v>106</v>
      </c>
      <c r="I572" t="s">
        <v>107</v>
      </c>
      <c r="J572" s="26">
        <v>44767</v>
      </c>
      <c r="K572" t="s">
        <v>187</v>
      </c>
      <c r="L572" s="26">
        <v>45111</v>
      </c>
      <c r="M572" t="s">
        <v>213</v>
      </c>
      <c r="N572" t="s">
        <v>96</v>
      </c>
      <c r="O572" s="27">
        <v>2622000</v>
      </c>
      <c r="P572">
        <v>3</v>
      </c>
      <c r="Q572" t="s">
        <v>164</v>
      </c>
      <c r="R572">
        <v>51</v>
      </c>
      <c r="S572" t="s">
        <v>178</v>
      </c>
      <c r="T572">
        <f t="shared" si="56"/>
        <v>11263</v>
      </c>
      <c r="U572" t="str">
        <f t="shared" si="57"/>
        <v>ENG</v>
      </c>
      <c r="V572" t="str">
        <f t="shared" si="58"/>
        <v>L4</v>
      </c>
      <c r="W572" t="str">
        <f>PROPER(TRIM(VLOOKUP(S572,Employee_Lookups!$I$4:$M$19,2,FALSE())))</f>
        <v>Aarav Deshmukh</v>
      </c>
      <c r="X572" t="str">
        <f>VLOOKUP(C572,Employee_Lookups!$A$4:$G$9,4,FALSE())</f>
        <v>CC-101</v>
      </c>
      <c r="Y572" t="str">
        <f>INDEX(Employee_Lookups!$C$13:$C$17,MATCH(F572,Employee_Lookups!$A$13:$A$17,0))</f>
        <v>Band D (Leadership)</v>
      </c>
      <c r="Z572" s="27">
        <f>_xlfn.XLOOKUP(F572,Employee_Lookups!$A$13:$A$17,Employee_Lookups!$E$13:$E$17,0)</f>
        <v>2750000</v>
      </c>
      <c r="AA572" s="28">
        <f>ROUND(O572/INDEX(Employee_Lookups!$E$13:$E$17,MATCH(F572,Employee_Lookups!$A$13:$A$17,0)),3)</f>
        <v>0.95299999999999996</v>
      </c>
      <c r="AB572">
        <f t="shared" si="59"/>
        <v>2022</v>
      </c>
      <c r="AC572">
        <f t="shared" si="60"/>
        <v>2023</v>
      </c>
      <c r="AD572" s="28">
        <f>ROUND((IF(ISBLANK(L572),Employee_Lookups!$O$14,L572)-J572)/365.25,2)</f>
        <v>0.94</v>
      </c>
      <c r="AE572" t="str">
        <f t="shared" si="61"/>
        <v>&lt; 1 Yr (New)</v>
      </c>
      <c r="AF572" t="str">
        <f t="shared" si="62"/>
        <v>Exited</v>
      </c>
    </row>
    <row r="573" spans="1:32" x14ac:dyDescent="0.45">
      <c r="A573" t="s">
        <v>1215</v>
      </c>
      <c r="B573" t="s">
        <v>1088</v>
      </c>
      <c r="C573" t="s">
        <v>55</v>
      </c>
      <c r="D573" t="s">
        <v>54</v>
      </c>
      <c r="E573" t="s">
        <v>229</v>
      </c>
      <c r="F573" t="s">
        <v>82</v>
      </c>
      <c r="G573" t="s">
        <v>230</v>
      </c>
      <c r="H573" t="s">
        <v>106</v>
      </c>
      <c r="I573" t="s">
        <v>107</v>
      </c>
      <c r="J573" s="26">
        <v>44769</v>
      </c>
      <c r="K573" t="s">
        <v>162</v>
      </c>
      <c r="L573" s="26"/>
      <c r="M573" t="s">
        <v>163</v>
      </c>
      <c r="N573" t="s">
        <v>97</v>
      </c>
      <c r="O573" s="27">
        <v>1176000</v>
      </c>
      <c r="P573">
        <v>3</v>
      </c>
      <c r="Q573" t="s">
        <v>164</v>
      </c>
      <c r="R573">
        <v>47</v>
      </c>
      <c r="S573" t="s">
        <v>173</v>
      </c>
      <c r="T573">
        <f t="shared" si="56"/>
        <v>10317</v>
      </c>
      <c r="U573" t="str">
        <f t="shared" si="57"/>
        <v>OPS</v>
      </c>
      <c r="V573" t="str">
        <f t="shared" si="58"/>
        <v>L2</v>
      </c>
      <c r="W573" t="str">
        <f>PROPER(TRIM(VLOOKUP(S573,Employee_Lookups!$I$4:$M$19,2,FALSE())))</f>
        <v>Deepak Patil</v>
      </c>
      <c r="X573" t="str">
        <f>VLOOKUP(C573,Employee_Lookups!$A$4:$G$9,4,FALSE())</f>
        <v>CC-303</v>
      </c>
      <c r="Y573" t="str">
        <f>INDEX(Employee_Lookups!$C$13:$C$17,MATCH(F573,Employee_Lookups!$A$13:$A$17,0))</f>
        <v>Band B (Mid)</v>
      </c>
      <c r="Z573" s="27">
        <f>_xlfn.XLOOKUP(F573,Employee_Lookups!$A$13:$A$17,Employee_Lookups!$E$13:$E$17,0)</f>
        <v>1100000</v>
      </c>
      <c r="AA573" s="28">
        <f>ROUND(O573/INDEX(Employee_Lookups!$E$13:$E$17,MATCH(F573,Employee_Lookups!$A$13:$A$17,0)),3)</f>
        <v>1.069</v>
      </c>
      <c r="AB573">
        <f t="shared" si="59"/>
        <v>2022</v>
      </c>
      <c r="AC573" t="str">
        <f t="shared" si="60"/>
        <v/>
      </c>
      <c r="AD573" s="28">
        <f>ROUND((IF(ISBLANK(L573),Employee_Lookups!$O$14,L573)-J573)/365.25,2)</f>
        <v>3.43</v>
      </c>
      <c r="AE573" t="str">
        <f t="shared" si="61"/>
        <v>3 - 5 Yrs</v>
      </c>
      <c r="AF573" t="str">
        <f t="shared" si="62"/>
        <v>Low Risk</v>
      </c>
    </row>
    <row r="574" spans="1:32" x14ac:dyDescent="0.45">
      <c r="A574" t="s">
        <v>1216</v>
      </c>
      <c r="B574" t="s">
        <v>962</v>
      </c>
      <c r="C574" t="s">
        <v>55</v>
      </c>
      <c r="D574" t="s">
        <v>54</v>
      </c>
      <c r="E574" t="s">
        <v>277</v>
      </c>
      <c r="F574" t="s">
        <v>81</v>
      </c>
      <c r="G574" t="s">
        <v>278</v>
      </c>
      <c r="H574" t="s">
        <v>106</v>
      </c>
      <c r="I574" t="s">
        <v>107</v>
      </c>
      <c r="J574" s="26">
        <v>44769</v>
      </c>
      <c r="K574" t="s">
        <v>187</v>
      </c>
      <c r="L574" s="26">
        <v>44969</v>
      </c>
      <c r="M574" t="s">
        <v>213</v>
      </c>
      <c r="N574" t="s">
        <v>98</v>
      </c>
      <c r="O574" s="27">
        <v>747000</v>
      </c>
      <c r="P574">
        <v>3</v>
      </c>
      <c r="Q574" t="s">
        <v>164</v>
      </c>
      <c r="R574">
        <v>43</v>
      </c>
      <c r="S574" t="s">
        <v>262</v>
      </c>
      <c r="T574">
        <f t="shared" si="56"/>
        <v>11422</v>
      </c>
      <c r="U574" t="str">
        <f t="shared" si="57"/>
        <v>OPS</v>
      </c>
      <c r="V574" t="str">
        <f t="shared" si="58"/>
        <v>L1</v>
      </c>
      <c r="W574" t="str">
        <f>PROPER(TRIM(VLOOKUP(S574,Employee_Lookups!$I$4:$M$19,2,FALSE())))</f>
        <v>Ananya Iyer</v>
      </c>
      <c r="X574" t="str">
        <f>VLOOKUP(C574,Employee_Lookups!$A$4:$G$9,4,FALSE())</f>
        <v>CC-303</v>
      </c>
      <c r="Y574" t="str">
        <f>INDEX(Employee_Lookups!$C$13:$C$17,MATCH(F574,Employee_Lookups!$A$13:$A$17,0))</f>
        <v>Band A (Entry)</v>
      </c>
      <c r="Z574" s="27">
        <f>_xlfn.XLOOKUP(F574,Employee_Lookups!$A$13:$A$17,Employee_Lookups!$E$13:$E$17,0)</f>
        <v>700000</v>
      </c>
      <c r="AA574" s="28">
        <f>ROUND(O574/INDEX(Employee_Lookups!$E$13:$E$17,MATCH(F574,Employee_Lookups!$A$13:$A$17,0)),3)</f>
        <v>1.0669999999999999</v>
      </c>
      <c r="AB574">
        <f t="shared" si="59"/>
        <v>2022</v>
      </c>
      <c r="AC574">
        <f t="shared" si="60"/>
        <v>2023</v>
      </c>
      <c r="AD574" s="28">
        <f>ROUND((IF(ISBLANK(L574),Employee_Lookups!$O$14,L574)-J574)/365.25,2)</f>
        <v>0.55000000000000004</v>
      </c>
      <c r="AE574" t="str">
        <f t="shared" si="61"/>
        <v>&lt; 1 Yr (New)</v>
      </c>
      <c r="AF574" t="str">
        <f t="shared" si="62"/>
        <v>Exited</v>
      </c>
    </row>
    <row r="575" spans="1:32" x14ac:dyDescent="0.45">
      <c r="A575" t="s">
        <v>1217</v>
      </c>
      <c r="B575" t="s">
        <v>582</v>
      </c>
      <c r="C575" t="s">
        <v>51</v>
      </c>
      <c r="D575" t="s">
        <v>50</v>
      </c>
      <c r="E575" t="s">
        <v>176</v>
      </c>
      <c r="F575" t="s">
        <v>82</v>
      </c>
      <c r="G575" t="s">
        <v>177</v>
      </c>
      <c r="H575" t="s">
        <v>109</v>
      </c>
      <c r="I575" t="s">
        <v>110</v>
      </c>
      <c r="J575" s="26">
        <v>44769</v>
      </c>
      <c r="K575" t="s">
        <v>187</v>
      </c>
      <c r="L575" s="26">
        <v>45056</v>
      </c>
      <c r="M575" t="s">
        <v>308</v>
      </c>
      <c r="N575" t="s">
        <v>99</v>
      </c>
      <c r="O575" s="27">
        <v>920000</v>
      </c>
      <c r="P575">
        <v>3</v>
      </c>
      <c r="Q575" t="s">
        <v>164</v>
      </c>
      <c r="R575">
        <v>60</v>
      </c>
      <c r="S575" t="s">
        <v>178</v>
      </c>
      <c r="T575">
        <f t="shared" si="56"/>
        <v>10887</v>
      </c>
      <c r="U575" t="str">
        <f t="shared" si="57"/>
        <v>ENG</v>
      </c>
      <c r="V575" t="str">
        <f t="shared" si="58"/>
        <v>L2</v>
      </c>
      <c r="W575" t="str">
        <f>PROPER(TRIM(VLOOKUP(S575,Employee_Lookups!$I$4:$M$19,2,FALSE())))</f>
        <v>Aarav Deshmukh</v>
      </c>
      <c r="X575" t="str">
        <f>VLOOKUP(C575,Employee_Lookups!$A$4:$G$9,4,FALSE())</f>
        <v>CC-101</v>
      </c>
      <c r="Y575" t="str">
        <f>INDEX(Employee_Lookups!$C$13:$C$17,MATCH(F575,Employee_Lookups!$A$13:$A$17,0))</f>
        <v>Band B (Mid)</v>
      </c>
      <c r="Z575" s="27">
        <f>_xlfn.XLOOKUP(F575,Employee_Lookups!$A$13:$A$17,Employee_Lookups!$E$13:$E$17,0)</f>
        <v>1100000</v>
      </c>
      <c r="AA575" s="28">
        <f>ROUND(O575/INDEX(Employee_Lookups!$E$13:$E$17,MATCH(F575,Employee_Lookups!$A$13:$A$17,0)),3)</f>
        <v>0.83599999999999997</v>
      </c>
      <c r="AB575">
        <f t="shared" si="59"/>
        <v>2022</v>
      </c>
      <c r="AC575">
        <f t="shared" si="60"/>
        <v>2023</v>
      </c>
      <c r="AD575" s="28">
        <f>ROUND((IF(ISBLANK(L575),Employee_Lookups!$O$14,L575)-J575)/365.25,2)</f>
        <v>0.79</v>
      </c>
      <c r="AE575" t="str">
        <f t="shared" si="61"/>
        <v>&lt; 1 Yr (New)</v>
      </c>
      <c r="AF575" t="str">
        <f t="shared" si="62"/>
        <v>Exited</v>
      </c>
    </row>
    <row r="576" spans="1:32" x14ac:dyDescent="0.45">
      <c r="A576" t="s">
        <v>1218</v>
      </c>
      <c r="B576" t="s">
        <v>1219</v>
      </c>
      <c r="C576" t="s">
        <v>53</v>
      </c>
      <c r="D576" t="s">
        <v>52</v>
      </c>
      <c r="E576" t="s">
        <v>185</v>
      </c>
      <c r="F576" t="s">
        <v>82</v>
      </c>
      <c r="G576" t="s">
        <v>186</v>
      </c>
      <c r="H576" t="s">
        <v>108</v>
      </c>
      <c r="I576" t="s">
        <v>107</v>
      </c>
      <c r="J576" s="26">
        <v>44769</v>
      </c>
      <c r="K576" t="s">
        <v>187</v>
      </c>
      <c r="L576" s="26">
        <v>44875</v>
      </c>
      <c r="M576" t="s">
        <v>282</v>
      </c>
      <c r="N576" t="s">
        <v>97</v>
      </c>
      <c r="O576" s="27">
        <v>1014000</v>
      </c>
      <c r="P576">
        <v>3</v>
      </c>
      <c r="Q576" t="s">
        <v>172</v>
      </c>
      <c r="R576">
        <v>29</v>
      </c>
      <c r="S576" t="s">
        <v>237</v>
      </c>
      <c r="T576">
        <f t="shared" si="56"/>
        <v>10259</v>
      </c>
      <c r="U576" t="str">
        <f t="shared" si="57"/>
        <v>SAL</v>
      </c>
      <c r="V576" t="str">
        <f t="shared" si="58"/>
        <v>L2</v>
      </c>
      <c r="W576" t="str">
        <f>PROPER(TRIM(VLOOKUP(S576,Employee_Lookups!$I$4:$M$19,2,FALSE())))</f>
        <v>Karan Malhotra</v>
      </c>
      <c r="X576" t="str">
        <f>VLOOKUP(C576,Employee_Lookups!$A$4:$G$9,4,FALSE())</f>
        <v>CC-202</v>
      </c>
      <c r="Y576" t="str">
        <f>INDEX(Employee_Lookups!$C$13:$C$17,MATCH(F576,Employee_Lookups!$A$13:$A$17,0))</f>
        <v>Band B (Mid)</v>
      </c>
      <c r="Z576" s="27">
        <f>_xlfn.XLOOKUP(F576,Employee_Lookups!$A$13:$A$17,Employee_Lookups!$E$13:$E$17,0)</f>
        <v>1100000</v>
      </c>
      <c r="AA576" s="28">
        <f>ROUND(O576/INDEX(Employee_Lookups!$E$13:$E$17,MATCH(F576,Employee_Lookups!$A$13:$A$17,0)),3)</f>
        <v>0.92200000000000004</v>
      </c>
      <c r="AB576">
        <f t="shared" si="59"/>
        <v>2022</v>
      </c>
      <c r="AC576">
        <f t="shared" si="60"/>
        <v>2022</v>
      </c>
      <c r="AD576" s="28">
        <f>ROUND((IF(ISBLANK(L576),Employee_Lookups!$O$14,L576)-J576)/365.25,2)</f>
        <v>0.28999999999999998</v>
      </c>
      <c r="AE576" t="str">
        <f t="shared" si="61"/>
        <v>&lt; 1 Yr (New)</v>
      </c>
      <c r="AF576" t="str">
        <f t="shared" si="62"/>
        <v>Exited</v>
      </c>
    </row>
    <row r="577" spans="1:32" x14ac:dyDescent="0.45">
      <c r="A577" t="s">
        <v>1220</v>
      </c>
      <c r="B577" t="s">
        <v>1099</v>
      </c>
      <c r="C577" t="s">
        <v>59</v>
      </c>
      <c r="D577" t="s">
        <v>58</v>
      </c>
      <c r="E577" t="s">
        <v>206</v>
      </c>
      <c r="F577" t="s">
        <v>81</v>
      </c>
      <c r="G577" t="s">
        <v>207</v>
      </c>
      <c r="H577" t="s">
        <v>106</v>
      </c>
      <c r="I577" t="s">
        <v>107</v>
      </c>
      <c r="J577" s="26">
        <v>44774</v>
      </c>
      <c r="K577" t="s">
        <v>162</v>
      </c>
      <c r="L577" s="26"/>
      <c r="M577" t="s">
        <v>163</v>
      </c>
      <c r="N577" t="s">
        <v>97</v>
      </c>
      <c r="O577" s="27">
        <v>566000</v>
      </c>
      <c r="P577">
        <v>3</v>
      </c>
      <c r="Q577" t="s">
        <v>164</v>
      </c>
      <c r="R577">
        <v>21</v>
      </c>
      <c r="S577" t="s">
        <v>208</v>
      </c>
      <c r="T577">
        <f t="shared" si="56"/>
        <v>10073</v>
      </c>
      <c r="U577" t="str">
        <f t="shared" si="57"/>
        <v>FIN</v>
      </c>
      <c r="V577" t="str">
        <f t="shared" si="58"/>
        <v>L1</v>
      </c>
      <c r="W577" t="str">
        <f>PROPER(TRIM(VLOOKUP(S577,Employee_Lookups!$I$4:$M$19,2,FALSE())))</f>
        <v>Rajeshwari Rao</v>
      </c>
      <c r="X577" t="str">
        <f>VLOOKUP(C577,Employee_Lookups!$A$4:$G$9,4,FALSE())</f>
        <v>CC-404</v>
      </c>
      <c r="Y577" t="str">
        <f>INDEX(Employee_Lookups!$C$13:$C$17,MATCH(F577,Employee_Lookups!$A$13:$A$17,0))</f>
        <v>Band A (Entry)</v>
      </c>
      <c r="Z577" s="27">
        <f>_xlfn.XLOOKUP(F577,Employee_Lookups!$A$13:$A$17,Employee_Lookups!$E$13:$E$17,0)</f>
        <v>700000</v>
      </c>
      <c r="AA577" s="28">
        <f>ROUND(O577/INDEX(Employee_Lookups!$E$13:$E$17,MATCH(F577,Employee_Lookups!$A$13:$A$17,0)),3)</f>
        <v>0.80900000000000005</v>
      </c>
      <c r="AB577">
        <f t="shared" si="59"/>
        <v>2022</v>
      </c>
      <c r="AC577" t="str">
        <f t="shared" si="60"/>
        <v/>
      </c>
      <c r="AD577" s="28">
        <f>ROUND((IF(ISBLANK(L577),Employee_Lookups!$O$14,L577)-J577)/365.25,2)</f>
        <v>3.42</v>
      </c>
      <c r="AE577" t="str">
        <f t="shared" si="61"/>
        <v>3 - 5 Yrs</v>
      </c>
      <c r="AF577" t="str">
        <f t="shared" si="62"/>
        <v>Low Risk</v>
      </c>
    </row>
    <row r="578" spans="1:32" x14ac:dyDescent="0.45">
      <c r="A578" t="s">
        <v>1221</v>
      </c>
      <c r="B578" t="s">
        <v>1222</v>
      </c>
      <c r="C578" t="s">
        <v>57</v>
      </c>
      <c r="D578" t="s">
        <v>56</v>
      </c>
      <c r="E578" t="s">
        <v>222</v>
      </c>
      <c r="F578" t="s">
        <v>82</v>
      </c>
      <c r="G578" t="s">
        <v>223</v>
      </c>
      <c r="H578" t="s">
        <v>108</v>
      </c>
      <c r="I578" t="s">
        <v>107</v>
      </c>
      <c r="J578" s="26">
        <v>44774</v>
      </c>
      <c r="K578" t="s">
        <v>187</v>
      </c>
      <c r="L578" s="26">
        <v>44864</v>
      </c>
      <c r="M578" t="s">
        <v>282</v>
      </c>
      <c r="N578" t="s">
        <v>99</v>
      </c>
      <c r="O578" s="27">
        <v>975000</v>
      </c>
      <c r="P578">
        <v>4</v>
      </c>
      <c r="Q578" t="s">
        <v>172</v>
      </c>
      <c r="R578">
        <v>49</v>
      </c>
      <c r="S578" t="s">
        <v>165</v>
      </c>
      <c r="T578">
        <f t="shared" ref="T578:T641" si="63">VALUE(MID(A578,5,5))</f>
        <v>10415</v>
      </c>
      <c r="U578" t="str">
        <f t="shared" ref="U578:U641" si="64">LEFT(E578,3)</f>
        <v>MKT</v>
      </c>
      <c r="V578" t="str">
        <f t="shared" ref="V578:V641" si="65">RIGHT(E578,2)</f>
        <v>L2</v>
      </c>
      <c r="W578" t="str">
        <f>PROPER(TRIM(VLOOKUP(S578,Employee_Lookups!$I$4:$M$19,2,FALSE())))</f>
        <v>Arjun Sengupta</v>
      </c>
      <c r="X578" t="str">
        <f>VLOOKUP(C578,Employee_Lookups!$A$4:$G$9,4,FALSE())</f>
        <v>CC-606</v>
      </c>
      <c r="Y578" t="str">
        <f>INDEX(Employee_Lookups!$C$13:$C$17,MATCH(F578,Employee_Lookups!$A$13:$A$17,0))</f>
        <v>Band B (Mid)</v>
      </c>
      <c r="Z578" s="27">
        <f>_xlfn.XLOOKUP(F578,Employee_Lookups!$A$13:$A$17,Employee_Lookups!$E$13:$E$17,0)</f>
        <v>1100000</v>
      </c>
      <c r="AA578" s="28">
        <f>ROUND(O578/INDEX(Employee_Lookups!$E$13:$E$17,MATCH(F578,Employee_Lookups!$A$13:$A$17,0)),3)</f>
        <v>0.88600000000000001</v>
      </c>
      <c r="AB578">
        <f t="shared" ref="AB578:AB641" si="66">YEAR(J578)</f>
        <v>2022</v>
      </c>
      <c r="AC578">
        <f t="shared" ref="AC578:AC641" si="67">IF(ISBLANK(L578),"",YEAR(L578))</f>
        <v>2022</v>
      </c>
      <c r="AD578" s="28">
        <f>ROUND((IF(ISBLANK(L578),Employee_Lookups!$O$14,L578)-J578)/365.25,2)</f>
        <v>0.25</v>
      </c>
      <c r="AE578" t="str">
        <f t="shared" ref="AE578:AE641" si="68">IF(AD578&lt;1,"&lt; 1 Yr (New)",IF(AD578&lt;3,"1 - 3 Yrs",IF(AD578&lt;5,"3 - 5 Yrs","5+ Yrs")))</f>
        <v>&lt; 1 Yr (New)</v>
      </c>
      <c r="AF578" t="str">
        <f t="shared" ref="AF578:AF641" si="69">IF(K578&lt;&gt;"Active","Exited",IF(AND(Q578="Yes",OR(P578&gt;=4,AA578&lt;0.95)),"High Risk",IF(OR(Q578="Yes",AND(NOT(ISBLANK(P578)),P578&lt;=2)),"Moderate Risk","Low Risk")))</f>
        <v>Exited</v>
      </c>
    </row>
    <row r="579" spans="1:32" x14ac:dyDescent="0.45">
      <c r="A579" t="s">
        <v>1223</v>
      </c>
      <c r="B579" t="s">
        <v>1224</v>
      </c>
      <c r="C579" t="s">
        <v>61</v>
      </c>
      <c r="D579" t="s">
        <v>60</v>
      </c>
      <c r="E579" t="s">
        <v>356</v>
      </c>
      <c r="F579" t="s">
        <v>81</v>
      </c>
      <c r="G579" t="s">
        <v>357</v>
      </c>
      <c r="H579" t="s">
        <v>106</v>
      </c>
      <c r="I579" t="s">
        <v>107</v>
      </c>
      <c r="J579" s="26">
        <v>44774</v>
      </c>
      <c r="K579" t="s">
        <v>162</v>
      </c>
      <c r="L579" s="26"/>
      <c r="M579" t="s">
        <v>163</v>
      </c>
      <c r="N579" t="s">
        <v>99</v>
      </c>
      <c r="O579" s="27">
        <v>676000</v>
      </c>
      <c r="P579">
        <v>3</v>
      </c>
      <c r="Q579" t="s">
        <v>172</v>
      </c>
      <c r="R579">
        <v>49</v>
      </c>
      <c r="S579" t="s">
        <v>319</v>
      </c>
      <c r="T579">
        <f t="shared" si="63"/>
        <v>11430</v>
      </c>
      <c r="U579" t="str">
        <f t="shared" si="64"/>
        <v>-HR</v>
      </c>
      <c r="V579" t="str">
        <f t="shared" si="65"/>
        <v>L1</v>
      </c>
      <c r="W579" t="str">
        <f>PROPER(TRIM(VLOOKUP(S579,Employee_Lookups!$I$4:$M$19,2,FALSE())))</f>
        <v>Kavita Menon</v>
      </c>
      <c r="X579" t="str">
        <f>VLOOKUP(C579,Employee_Lookups!$A$4:$G$9,4,FALSE())</f>
        <v>CC-505</v>
      </c>
      <c r="Y579" t="str">
        <f>INDEX(Employee_Lookups!$C$13:$C$17,MATCH(F579,Employee_Lookups!$A$13:$A$17,0))</f>
        <v>Band A (Entry)</v>
      </c>
      <c r="Z579" s="27">
        <f>_xlfn.XLOOKUP(F579,Employee_Lookups!$A$13:$A$17,Employee_Lookups!$E$13:$E$17,0)</f>
        <v>700000</v>
      </c>
      <c r="AA579" s="28">
        <f>ROUND(O579/INDEX(Employee_Lookups!$E$13:$E$17,MATCH(F579,Employee_Lookups!$A$13:$A$17,0)),3)</f>
        <v>0.96599999999999997</v>
      </c>
      <c r="AB579">
        <f t="shared" si="66"/>
        <v>2022</v>
      </c>
      <c r="AC579" t="str">
        <f t="shared" si="67"/>
        <v/>
      </c>
      <c r="AD579" s="28">
        <f>ROUND((IF(ISBLANK(L579),Employee_Lookups!$O$14,L579)-J579)/365.25,2)</f>
        <v>3.42</v>
      </c>
      <c r="AE579" t="str">
        <f t="shared" si="68"/>
        <v>3 - 5 Yrs</v>
      </c>
      <c r="AF579" t="str">
        <f t="shared" si="69"/>
        <v>Moderate Risk</v>
      </c>
    </row>
    <row r="580" spans="1:32" x14ac:dyDescent="0.45">
      <c r="A580" t="s">
        <v>1225</v>
      </c>
      <c r="B580" t="s">
        <v>1009</v>
      </c>
      <c r="C580" t="s">
        <v>55</v>
      </c>
      <c r="D580" t="s">
        <v>54</v>
      </c>
      <c r="E580" t="s">
        <v>240</v>
      </c>
      <c r="F580" t="s">
        <v>83</v>
      </c>
      <c r="G580" t="s">
        <v>241</v>
      </c>
      <c r="H580" t="s">
        <v>109</v>
      </c>
      <c r="I580" t="s">
        <v>110</v>
      </c>
      <c r="J580" s="26">
        <v>44775</v>
      </c>
      <c r="K580" t="s">
        <v>187</v>
      </c>
      <c r="L580" s="26">
        <v>44928</v>
      </c>
      <c r="M580" t="s">
        <v>213</v>
      </c>
      <c r="N580" t="s">
        <v>99</v>
      </c>
      <c r="O580" s="27">
        <v>1457000</v>
      </c>
      <c r="P580">
        <v>3</v>
      </c>
      <c r="Q580" t="s">
        <v>164</v>
      </c>
      <c r="R580">
        <v>46</v>
      </c>
      <c r="S580" t="s">
        <v>173</v>
      </c>
      <c r="T580">
        <f t="shared" si="63"/>
        <v>10385</v>
      </c>
      <c r="U580" t="str">
        <f t="shared" si="64"/>
        <v>OPS</v>
      </c>
      <c r="V580" t="str">
        <f t="shared" si="65"/>
        <v>L3</v>
      </c>
      <c r="W580" t="str">
        <f>PROPER(TRIM(VLOOKUP(S580,Employee_Lookups!$I$4:$M$19,2,FALSE())))</f>
        <v>Deepak Patil</v>
      </c>
      <c r="X580" t="str">
        <f>VLOOKUP(C580,Employee_Lookups!$A$4:$G$9,4,FALSE())</f>
        <v>CC-303</v>
      </c>
      <c r="Y580" t="str">
        <f>INDEX(Employee_Lookups!$C$13:$C$17,MATCH(F580,Employee_Lookups!$A$13:$A$17,0))</f>
        <v>Band C (Senior)</v>
      </c>
      <c r="Z580" s="27">
        <f>_xlfn.XLOOKUP(F580,Employee_Lookups!$A$13:$A$17,Employee_Lookups!$E$13:$E$17,0)</f>
        <v>1725000</v>
      </c>
      <c r="AA580" s="28">
        <f>ROUND(O580/INDEX(Employee_Lookups!$E$13:$E$17,MATCH(F580,Employee_Lookups!$A$13:$A$17,0)),3)</f>
        <v>0.84499999999999997</v>
      </c>
      <c r="AB580">
        <f t="shared" si="66"/>
        <v>2022</v>
      </c>
      <c r="AC580">
        <f t="shared" si="67"/>
        <v>2023</v>
      </c>
      <c r="AD580" s="28">
        <f>ROUND((IF(ISBLANK(L580),Employee_Lookups!$O$14,L580)-J580)/365.25,2)</f>
        <v>0.42</v>
      </c>
      <c r="AE580" t="str">
        <f t="shared" si="68"/>
        <v>&lt; 1 Yr (New)</v>
      </c>
      <c r="AF580" t="str">
        <f t="shared" si="69"/>
        <v>Exited</v>
      </c>
    </row>
    <row r="581" spans="1:32" x14ac:dyDescent="0.45">
      <c r="A581" t="s">
        <v>1226</v>
      </c>
      <c r="B581" t="s">
        <v>1227</v>
      </c>
      <c r="C581" t="s">
        <v>57</v>
      </c>
      <c r="D581" t="s">
        <v>56</v>
      </c>
      <c r="E581" t="s">
        <v>160</v>
      </c>
      <c r="F581" t="s">
        <v>81</v>
      </c>
      <c r="G581" t="s">
        <v>161</v>
      </c>
      <c r="H581" t="s">
        <v>108</v>
      </c>
      <c r="I581" t="s">
        <v>107</v>
      </c>
      <c r="J581" s="26">
        <v>44775</v>
      </c>
      <c r="K581" t="s">
        <v>187</v>
      </c>
      <c r="L581" s="26">
        <v>44859</v>
      </c>
      <c r="M581" t="s">
        <v>213</v>
      </c>
      <c r="N581" t="s">
        <v>99</v>
      </c>
      <c r="O581" s="27">
        <v>745000</v>
      </c>
      <c r="P581">
        <v>3</v>
      </c>
      <c r="Q581" t="s">
        <v>172</v>
      </c>
      <c r="R581">
        <v>22</v>
      </c>
      <c r="S581" t="s">
        <v>165</v>
      </c>
      <c r="T581">
        <f t="shared" si="63"/>
        <v>10519</v>
      </c>
      <c r="U581" t="str">
        <f t="shared" si="64"/>
        <v>MKT</v>
      </c>
      <c r="V581" t="str">
        <f t="shared" si="65"/>
        <v>L1</v>
      </c>
      <c r="W581" t="str">
        <f>PROPER(TRIM(VLOOKUP(S581,Employee_Lookups!$I$4:$M$19,2,FALSE())))</f>
        <v>Arjun Sengupta</v>
      </c>
      <c r="X581" t="str">
        <f>VLOOKUP(C581,Employee_Lookups!$A$4:$G$9,4,FALSE())</f>
        <v>CC-606</v>
      </c>
      <c r="Y581" t="str">
        <f>INDEX(Employee_Lookups!$C$13:$C$17,MATCH(F581,Employee_Lookups!$A$13:$A$17,0))</f>
        <v>Band A (Entry)</v>
      </c>
      <c r="Z581" s="27">
        <f>_xlfn.XLOOKUP(F581,Employee_Lookups!$A$13:$A$17,Employee_Lookups!$E$13:$E$17,0)</f>
        <v>700000</v>
      </c>
      <c r="AA581" s="28">
        <f>ROUND(O581/INDEX(Employee_Lookups!$E$13:$E$17,MATCH(F581,Employee_Lookups!$A$13:$A$17,0)),3)</f>
        <v>1.0640000000000001</v>
      </c>
      <c r="AB581">
        <f t="shared" si="66"/>
        <v>2022</v>
      </c>
      <c r="AC581">
        <f t="shared" si="67"/>
        <v>2022</v>
      </c>
      <c r="AD581" s="28">
        <f>ROUND((IF(ISBLANK(L581),Employee_Lookups!$O$14,L581)-J581)/365.25,2)</f>
        <v>0.23</v>
      </c>
      <c r="AE581" t="str">
        <f t="shared" si="68"/>
        <v>&lt; 1 Yr (New)</v>
      </c>
      <c r="AF581" t="str">
        <f t="shared" si="69"/>
        <v>Exited</v>
      </c>
    </row>
    <row r="582" spans="1:32" x14ac:dyDescent="0.45">
      <c r="A582" t="s">
        <v>1228</v>
      </c>
      <c r="B582" t="s">
        <v>1229</v>
      </c>
      <c r="C582" t="s">
        <v>55</v>
      </c>
      <c r="D582" t="s">
        <v>54</v>
      </c>
      <c r="E582" t="s">
        <v>240</v>
      </c>
      <c r="F582" t="s">
        <v>83</v>
      </c>
      <c r="G582" t="s">
        <v>241</v>
      </c>
      <c r="H582" t="s">
        <v>109</v>
      </c>
      <c r="I582" t="s">
        <v>110</v>
      </c>
      <c r="J582" s="26">
        <v>44777</v>
      </c>
      <c r="K582" t="s">
        <v>162</v>
      </c>
      <c r="L582" s="26"/>
      <c r="M582" t="s">
        <v>163</v>
      </c>
      <c r="N582" t="s">
        <v>97</v>
      </c>
      <c r="O582" s="27">
        <v>1578000</v>
      </c>
      <c r="P582">
        <v>3</v>
      </c>
      <c r="Q582" t="s">
        <v>164</v>
      </c>
      <c r="R582">
        <v>54</v>
      </c>
      <c r="S582" t="s">
        <v>173</v>
      </c>
      <c r="T582">
        <f t="shared" si="63"/>
        <v>10099</v>
      </c>
      <c r="U582" t="str">
        <f t="shared" si="64"/>
        <v>OPS</v>
      </c>
      <c r="V582" t="str">
        <f t="shared" si="65"/>
        <v>L3</v>
      </c>
      <c r="W582" t="str">
        <f>PROPER(TRIM(VLOOKUP(S582,Employee_Lookups!$I$4:$M$19,2,FALSE())))</f>
        <v>Deepak Patil</v>
      </c>
      <c r="X582" t="str">
        <f>VLOOKUP(C582,Employee_Lookups!$A$4:$G$9,4,FALSE())</f>
        <v>CC-303</v>
      </c>
      <c r="Y582" t="str">
        <f>INDEX(Employee_Lookups!$C$13:$C$17,MATCH(F582,Employee_Lookups!$A$13:$A$17,0))</f>
        <v>Band C (Senior)</v>
      </c>
      <c r="Z582" s="27">
        <f>_xlfn.XLOOKUP(F582,Employee_Lookups!$A$13:$A$17,Employee_Lookups!$E$13:$E$17,0)</f>
        <v>1725000</v>
      </c>
      <c r="AA582" s="28">
        <f>ROUND(O582/INDEX(Employee_Lookups!$E$13:$E$17,MATCH(F582,Employee_Lookups!$A$13:$A$17,0)),3)</f>
        <v>0.91500000000000004</v>
      </c>
      <c r="AB582">
        <f t="shared" si="66"/>
        <v>2022</v>
      </c>
      <c r="AC582" t="str">
        <f t="shared" si="67"/>
        <v/>
      </c>
      <c r="AD582" s="28">
        <f>ROUND((IF(ISBLANK(L582),Employee_Lookups!$O$14,L582)-J582)/365.25,2)</f>
        <v>3.41</v>
      </c>
      <c r="AE582" t="str">
        <f t="shared" si="68"/>
        <v>3 - 5 Yrs</v>
      </c>
      <c r="AF582" t="str">
        <f t="shared" si="69"/>
        <v>Low Risk</v>
      </c>
    </row>
    <row r="583" spans="1:32" x14ac:dyDescent="0.45">
      <c r="A583" t="s">
        <v>1230</v>
      </c>
      <c r="B583" t="s">
        <v>1231</v>
      </c>
      <c r="C583" t="s">
        <v>51</v>
      </c>
      <c r="D583" t="s">
        <v>50</v>
      </c>
      <c r="E583" t="s">
        <v>176</v>
      </c>
      <c r="F583" t="s">
        <v>82</v>
      </c>
      <c r="G583" t="s">
        <v>177</v>
      </c>
      <c r="H583" t="s">
        <v>106</v>
      </c>
      <c r="I583" t="s">
        <v>107</v>
      </c>
      <c r="J583" s="26">
        <v>44777</v>
      </c>
      <c r="K583" t="s">
        <v>170</v>
      </c>
      <c r="L583" s="26">
        <v>45595</v>
      </c>
      <c r="M583" t="s">
        <v>171</v>
      </c>
      <c r="N583" t="s">
        <v>96</v>
      </c>
      <c r="O583" s="27">
        <v>853000</v>
      </c>
      <c r="P583">
        <v>2</v>
      </c>
      <c r="Q583" t="s">
        <v>172</v>
      </c>
      <c r="R583">
        <v>35</v>
      </c>
      <c r="S583" t="s">
        <v>219</v>
      </c>
      <c r="T583">
        <f t="shared" si="63"/>
        <v>10316</v>
      </c>
      <c r="U583" t="str">
        <f t="shared" si="64"/>
        <v>ENG</v>
      </c>
      <c r="V583" t="str">
        <f t="shared" si="65"/>
        <v>L2</v>
      </c>
      <c r="W583" t="str">
        <f>PROPER(TRIM(VLOOKUP(S583,Employee_Lookups!$I$4:$M$19,2,FALSE())))</f>
        <v>Neha Kulkarni</v>
      </c>
      <c r="X583" t="str">
        <f>VLOOKUP(C583,Employee_Lookups!$A$4:$G$9,4,FALSE())</f>
        <v>CC-101</v>
      </c>
      <c r="Y583" t="str">
        <f>INDEX(Employee_Lookups!$C$13:$C$17,MATCH(F583,Employee_Lookups!$A$13:$A$17,0))</f>
        <v>Band B (Mid)</v>
      </c>
      <c r="Z583" s="27">
        <f>_xlfn.XLOOKUP(F583,Employee_Lookups!$A$13:$A$17,Employee_Lookups!$E$13:$E$17,0)</f>
        <v>1100000</v>
      </c>
      <c r="AA583" s="28">
        <f>ROUND(O583/INDEX(Employee_Lookups!$E$13:$E$17,MATCH(F583,Employee_Lookups!$A$13:$A$17,0)),3)</f>
        <v>0.77500000000000002</v>
      </c>
      <c r="AB583">
        <f t="shared" si="66"/>
        <v>2022</v>
      </c>
      <c r="AC583">
        <f t="shared" si="67"/>
        <v>2024</v>
      </c>
      <c r="AD583" s="28">
        <f>ROUND((IF(ISBLANK(L583),Employee_Lookups!$O$14,L583)-J583)/365.25,2)</f>
        <v>2.2400000000000002</v>
      </c>
      <c r="AE583" t="str">
        <f t="shared" si="68"/>
        <v>1 - 3 Yrs</v>
      </c>
      <c r="AF583" t="str">
        <f t="shared" si="69"/>
        <v>Exited</v>
      </c>
    </row>
    <row r="584" spans="1:32" x14ac:dyDescent="0.45">
      <c r="A584" t="s">
        <v>1232</v>
      </c>
      <c r="B584" t="s">
        <v>730</v>
      </c>
      <c r="C584" t="s">
        <v>57</v>
      </c>
      <c r="D584" t="s">
        <v>56</v>
      </c>
      <c r="E584" t="s">
        <v>222</v>
      </c>
      <c r="F584" t="s">
        <v>82</v>
      </c>
      <c r="G584" t="s">
        <v>223</v>
      </c>
      <c r="H584" t="s">
        <v>106</v>
      </c>
      <c r="I584" t="s">
        <v>107</v>
      </c>
      <c r="J584" s="26">
        <v>44781</v>
      </c>
      <c r="K584" t="s">
        <v>162</v>
      </c>
      <c r="L584" s="26"/>
      <c r="M584" t="s">
        <v>163</v>
      </c>
      <c r="N584" t="s">
        <v>96</v>
      </c>
      <c r="O584" s="27">
        <v>1258000</v>
      </c>
      <c r="P584">
        <v>3</v>
      </c>
      <c r="Q584" t="s">
        <v>172</v>
      </c>
      <c r="R584">
        <v>30</v>
      </c>
      <c r="S584" t="s">
        <v>224</v>
      </c>
      <c r="T584">
        <f t="shared" si="63"/>
        <v>11082</v>
      </c>
      <c r="U584" t="str">
        <f t="shared" si="64"/>
        <v>MKT</v>
      </c>
      <c r="V584" t="str">
        <f t="shared" si="65"/>
        <v>L2</v>
      </c>
      <c r="W584" t="str">
        <f>PROPER(TRIM(VLOOKUP(S584,Employee_Lookups!$I$4:$M$19,2,FALSE())))</f>
        <v>Tanvi Chitnis</v>
      </c>
      <c r="X584" t="str">
        <f>VLOOKUP(C584,Employee_Lookups!$A$4:$G$9,4,FALSE())</f>
        <v>CC-606</v>
      </c>
      <c r="Y584" t="str">
        <f>INDEX(Employee_Lookups!$C$13:$C$17,MATCH(F584,Employee_Lookups!$A$13:$A$17,0))</f>
        <v>Band B (Mid)</v>
      </c>
      <c r="Z584" s="27">
        <f>_xlfn.XLOOKUP(F584,Employee_Lookups!$A$13:$A$17,Employee_Lookups!$E$13:$E$17,0)</f>
        <v>1100000</v>
      </c>
      <c r="AA584" s="28">
        <f>ROUND(O584/INDEX(Employee_Lookups!$E$13:$E$17,MATCH(F584,Employee_Lookups!$A$13:$A$17,0)),3)</f>
        <v>1.1439999999999999</v>
      </c>
      <c r="AB584">
        <f t="shared" si="66"/>
        <v>2022</v>
      </c>
      <c r="AC584" t="str">
        <f t="shared" si="67"/>
        <v/>
      </c>
      <c r="AD584" s="28">
        <f>ROUND((IF(ISBLANK(L584),Employee_Lookups!$O$14,L584)-J584)/365.25,2)</f>
        <v>3.4</v>
      </c>
      <c r="AE584" t="str">
        <f t="shared" si="68"/>
        <v>3 - 5 Yrs</v>
      </c>
      <c r="AF584" t="str">
        <f t="shared" si="69"/>
        <v>Moderate Risk</v>
      </c>
    </row>
    <row r="585" spans="1:32" x14ac:dyDescent="0.45">
      <c r="A585" t="s">
        <v>1233</v>
      </c>
      <c r="B585" t="s">
        <v>945</v>
      </c>
      <c r="C585" t="s">
        <v>55</v>
      </c>
      <c r="D585" t="s">
        <v>54</v>
      </c>
      <c r="E585" t="s">
        <v>229</v>
      </c>
      <c r="F585" t="s">
        <v>82</v>
      </c>
      <c r="G585" t="s">
        <v>230</v>
      </c>
      <c r="H585" t="s">
        <v>106</v>
      </c>
      <c r="I585" t="s">
        <v>107</v>
      </c>
      <c r="J585" s="26">
        <v>44783</v>
      </c>
      <c r="K585" t="s">
        <v>162</v>
      </c>
      <c r="L585" s="26"/>
      <c r="M585" t="s">
        <v>163</v>
      </c>
      <c r="N585" t="s">
        <v>99</v>
      </c>
      <c r="O585" s="27">
        <v>1301000</v>
      </c>
      <c r="P585">
        <v>4</v>
      </c>
      <c r="Q585" t="s">
        <v>172</v>
      </c>
      <c r="R585">
        <v>8</v>
      </c>
      <c r="S585" t="s">
        <v>262</v>
      </c>
      <c r="T585">
        <f t="shared" si="63"/>
        <v>10428</v>
      </c>
      <c r="U585" t="str">
        <f t="shared" si="64"/>
        <v>OPS</v>
      </c>
      <c r="V585" t="str">
        <f t="shared" si="65"/>
        <v>L2</v>
      </c>
      <c r="W585" t="str">
        <f>PROPER(TRIM(VLOOKUP(S585,Employee_Lookups!$I$4:$M$19,2,FALSE())))</f>
        <v>Ananya Iyer</v>
      </c>
      <c r="X585" t="str">
        <f>VLOOKUP(C585,Employee_Lookups!$A$4:$G$9,4,FALSE())</f>
        <v>CC-303</v>
      </c>
      <c r="Y585" t="str">
        <f>INDEX(Employee_Lookups!$C$13:$C$17,MATCH(F585,Employee_Lookups!$A$13:$A$17,0))</f>
        <v>Band B (Mid)</v>
      </c>
      <c r="Z585" s="27">
        <f>_xlfn.XLOOKUP(F585,Employee_Lookups!$A$13:$A$17,Employee_Lookups!$E$13:$E$17,0)</f>
        <v>1100000</v>
      </c>
      <c r="AA585" s="28">
        <f>ROUND(O585/INDEX(Employee_Lookups!$E$13:$E$17,MATCH(F585,Employee_Lookups!$A$13:$A$17,0)),3)</f>
        <v>1.1830000000000001</v>
      </c>
      <c r="AB585">
        <f t="shared" si="66"/>
        <v>2022</v>
      </c>
      <c r="AC585" t="str">
        <f t="shared" si="67"/>
        <v/>
      </c>
      <c r="AD585" s="28">
        <f>ROUND((IF(ISBLANK(L585),Employee_Lookups!$O$14,L585)-J585)/365.25,2)</f>
        <v>3.39</v>
      </c>
      <c r="AE585" t="str">
        <f t="shared" si="68"/>
        <v>3 - 5 Yrs</v>
      </c>
      <c r="AF585" t="str">
        <f t="shared" si="69"/>
        <v>High Risk</v>
      </c>
    </row>
    <row r="586" spans="1:32" x14ac:dyDescent="0.45">
      <c r="A586" t="s">
        <v>1234</v>
      </c>
      <c r="B586" t="s">
        <v>1235</v>
      </c>
      <c r="C586" t="s">
        <v>55</v>
      </c>
      <c r="D586" t="s">
        <v>54</v>
      </c>
      <c r="E586" t="s">
        <v>240</v>
      </c>
      <c r="F586" t="s">
        <v>83</v>
      </c>
      <c r="G586" t="s">
        <v>241</v>
      </c>
      <c r="H586" t="s">
        <v>108</v>
      </c>
      <c r="I586" t="s">
        <v>107</v>
      </c>
      <c r="J586" s="26">
        <v>44783</v>
      </c>
      <c r="K586" t="s">
        <v>187</v>
      </c>
      <c r="L586" s="26">
        <v>44881</v>
      </c>
      <c r="M586" t="s">
        <v>269</v>
      </c>
      <c r="N586" t="s">
        <v>98</v>
      </c>
      <c r="O586" s="27">
        <v>1791000</v>
      </c>
      <c r="P586">
        <v>5</v>
      </c>
      <c r="Q586" t="s">
        <v>164</v>
      </c>
      <c r="R586">
        <v>4</v>
      </c>
      <c r="S586" t="s">
        <v>173</v>
      </c>
      <c r="T586">
        <f t="shared" si="63"/>
        <v>11101</v>
      </c>
      <c r="U586" t="str">
        <f t="shared" si="64"/>
        <v>OPS</v>
      </c>
      <c r="V586" t="str">
        <f t="shared" si="65"/>
        <v>L3</v>
      </c>
      <c r="W586" t="str">
        <f>PROPER(TRIM(VLOOKUP(S586,Employee_Lookups!$I$4:$M$19,2,FALSE())))</f>
        <v>Deepak Patil</v>
      </c>
      <c r="X586" t="str">
        <f>VLOOKUP(C586,Employee_Lookups!$A$4:$G$9,4,FALSE())</f>
        <v>CC-303</v>
      </c>
      <c r="Y586" t="str">
        <f>INDEX(Employee_Lookups!$C$13:$C$17,MATCH(F586,Employee_Lookups!$A$13:$A$17,0))</f>
        <v>Band C (Senior)</v>
      </c>
      <c r="Z586" s="27">
        <f>_xlfn.XLOOKUP(F586,Employee_Lookups!$A$13:$A$17,Employee_Lookups!$E$13:$E$17,0)</f>
        <v>1725000</v>
      </c>
      <c r="AA586" s="28">
        <f>ROUND(O586/INDEX(Employee_Lookups!$E$13:$E$17,MATCH(F586,Employee_Lookups!$A$13:$A$17,0)),3)</f>
        <v>1.038</v>
      </c>
      <c r="AB586">
        <f t="shared" si="66"/>
        <v>2022</v>
      </c>
      <c r="AC586">
        <f t="shared" si="67"/>
        <v>2022</v>
      </c>
      <c r="AD586" s="28">
        <f>ROUND((IF(ISBLANK(L586),Employee_Lookups!$O$14,L586)-J586)/365.25,2)</f>
        <v>0.27</v>
      </c>
      <c r="AE586" t="str">
        <f t="shared" si="68"/>
        <v>&lt; 1 Yr (New)</v>
      </c>
      <c r="AF586" t="str">
        <f t="shared" si="69"/>
        <v>Exited</v>
      </c>
    </row>
    <row r="587" spans="1:32" x14ac:dyDescent="0.45">
      <c r="A587" t="s">
        <v>1236</v>
      </c>
      <c r="B587" t="s">
        <v>912</v>
      </c>
      <c r="C587" t="s">
        <v>53</v>
      </c>
      <c r="D587" t="s">
        <v>52</v>
      </c>
      <c r="E587" t="s">
        <v>185</v>
      </c>
      <c r="F587" t="s">
        <v>82</v>
      </c>
      <c r="G587" t="s">
        <v>186</v>
      </c>
      <c r="H587" t="s">
        <v>108</v>
      </c>
      <c r="I587" t="s">
        <v>107</v>
      </c>
      <c r="J587" s="26">
        <v>44784</v>
      </c>
      <c r="K587" t="s">
        <v>162</v>
      </c>
      <c r="L587" s="26"/>
      <c r="M587" t="s">
        <v>163</v>
      </c>
      <c r="N587" t="s">
        <v>99</v>
      </c>
      <c r="O587" s="27">
        <v>1003000</v>
      </c>
      <c r="P587">
        <v>3</v>
      </c>
      <c r="Q587" t="s">
        <v>164</v>
      </c>
      <c r="R587">
        <v>44</v>
      </c>
      <c r="S587" t="s">
        <v>189</v>
      </c>
      <c r="T587">
        <f t="shared" si="63"/>
        <v>10534</v>
      </c>
      <c r="U587" t="str">
        <f t="shared" si="64"/>
        <v>SAL</v>
      </c>
      <c r="V587" t="str">
        <f t="shared" si="65"/>
        <v>L2</v>
      </c>
      <c r="W587" t="str">
        <f>PROPER(TRIM(VLOOKUP(S587,Employee_Lookups!$I$4:$M$19,2,FALSE())))</f>
        <v>Priya Sharma</v>
      </c>
      <c r="X587" t="str">
        <f>VLOOKUP(C587,Employee_Lookups!$A$4:$G$9,4,FALSE())</f>
        <v>CC-202</v>
      </c>
      <c r="Y587" t="str">
        <f>INDEX(Employee_Lookups!$C$13:$C$17,MATCH(F587,Employee_Lookups!$A$13:$A$17,0))</f>
        <v>Band B (Mid)</v>
      </c>
      <c r="Z587" s="27">
        <f>_xlfn.XLOOKUP(F587,Employee_Lookups!$A$13:$A$17,Employee_Lookups!$E$13:$E$17,0)</f>
        <v>1100000</v>
      </c>
      <c r="AA587" s="28">
        <f>ROUND(O587/INDEX(Employee_Lookups!$E$13:$E$17,MATCH(F587,Employee_Lookups!$A$13:$A$17,0)),3)</f>
        <v>0.91200000000000003</v>
      </c>
      <c r="AB587">
        <f t="shared" si="66"/>
        <v>2022</v>
      </c>
      <c r="AC587" t="str">
        <f t="shared" si="67"/>
        <v/>
      </c>
      <c r="AD587" s="28">
        <f>ROUND((IF(ISBLANK(L587),Employee_Lookups!$O$14,L587)-J587)/365.25,2)</f>
        <v>3.39</v>
      </c>
      <c r="AE587" t="str">
        <f t="shared" si="68"/>
        <v>3 - 5 Yrs</v>
      </c>
      <c r="AF587" t="str">
        <f t="shared" si="69"/>
        <v>Low Risk</v>
      </c>
    </row>
    <row r="588" spans="1:32" x14ac:dyDescent="0.45">
      <c r="A588" t="s">
        <v>1237</v>
      </c>
      <c r="B588" t="s">
        <v>460</v>
      </c>
      <c r="C588" t="s">
        <v>53</v>
      </c>
      <c r="D588" t="s">
        <v>52</v>
      </c>
      <c r="E588" t="s">
        <v>322</v>
      </c>
      <c r="F588" t="s">
        <v>81</v>
      </c>
      <c r="G588" t="s">
        <v>323</v>
      </c>
      <c r="H588" t="s">
        <v>106</v>
      </c>
      <c r="I588" t="s">
        <v>107</v>
      </c>
      <c r="J588" s="26">
        <v>44784</v>
      </c>
      <c r="K588" t="s">
        <v>187</v>
      </c>
      <c r="L588" s="26">
        <v>44966</v>
      </c>
      <c r="M588" t="s">
        <v>282</v>
      </c>
      <c r="N588" t="s">
        <v>99</v>
      </c>
      <c r="O588" s="27">
        <v>797000</v>
      </c>
      <c r="P588">
        <v>3</v>
      </c>
      <c r="Q588" t="s">
        <v>164</v>
      </c>
      <c r="R588">
        <v>47</v>
      </c>
      <c r="S588" t="s">
        <v>237</v>
      </c>
      <c r="T588">
        <f t="shared" si="63"/>
        <v>10728</v>
      </c>
      <c r="U588" t="str">
        <f t="shared" si="64"/>
        <v>SAL</v>
      </c>
      <c r="V588" t="str">
        <f t="shared" si="65"/>
        <v>L1</v>
      </c>
      <c r="W588" t="str">
        <f>PROPER(TRIM(VLOOKUP(S588,Employee_Lookups!$I$4:$M$19,2,FALSE())))</f>
        <v>Karan Malhotra</v>
      </c>
      <c r="X588" t="str">
        <f>VLOOKUP(C588,Employee_Lookups!$A$4:$G$9,4,FALSE())</f>
        <v>CC-202</v>
      </c>
      <c r="Y588" t="str">
        <f>INDEX(Employee_Lookups!$C$13:$C$17,MATCH(F588,Employee_Lookups!$A$13:$A$17,0))</f>
        <v>Band A (Entry)</v>
      </c>
      <c r="Z588" s="27">
        <f>_xlfn.XLOOKUP(F588,Employee_Lookups!$A$13:$A$17,Employee_Lookups!$E$13:$E$17,0)</f>
        <v>700000</v>
      </c>
      <c r="AA588" s="28">
        <f>ROUND(O588/INDEX(Employee_Lookups!$E$13:$E$17,MATCH(F588,Employee_Lookups!$A$13:$A$17,0)),3)</f>
        <v>1.139</v>
      </c>
      <c r="AB588">
        <f t="shared" si="66"/>
        <v>2022</v>
      </c>
      <c r="AC588">
        <f t="shared" si="67"/>
        <v>2023</v>
      </c>
      <c r="AD588" s="28">
        <f>ROUND((IF(ISBLANK(L588),Employee_Lookups!$O$14,L588)-J588)/365.25,2)</f>
        <v>0.5</v>
      </c>
      <c r="AE588" t="str">
        <f t="shared" si="68"/>
        <v>&lt; 1 Yr (New)</v>
      </c>
      <c r="AF588" t="str">
        <f t="shared" si="69"/>
        <v>Exited</v>
      </c>
    </row>
    <row r="589" spans="1:32" x14ac:dyDescent="0.45">
      <c r="A589" t="s">
        <v>1238</v>
      </c>
      <c r="B589" t="s">
        <v>466</v>
      </c>
      <c r="C589" t="s">
        <v>53</v>
      </c>
      <c r="D589" t="s">
        <v>52</v>
      </c>
      <c r="E589" t="s">
        <v>322</v>
      </c>
      <c r="F589" t="s">
        <v>81</v>
      </c>
      <c r="G589" t="s">
        <v>323</v>
      </c>
      <c r="H589" t="s">
        <v>108</v>
      </c>
      <c r="I589" t="s">
        <v>107</v>
      </c>
      <c r="J589" s="26">
        <v>44785</v>
      </c>
      <c r="K589" t="s">
        <v>162</v>
      </c>
      <c r="L589" s="26"/>
      <c r="M589" t="s">
        <v>163</v>
      </c>
      <c r="N589" t="s">
        <v>97</v>
      </c>
      <c r="O589" s="27">
        <v>567000</v>
      </c>
      <c r="P589">
        <v>3</v>
      </c>
      <c r="Q589" t="s">
        <v>172</v>
      </c>
      <c r="R589">
        <v>21</v>
      </c>
      <c r="S589" t="s">
        <v>194</v>
      </c>
      <c r="T589">
        <f t="shared" si="63"/>
        <v>10822</v>
      </c>
      <c r="U589" t="str">
        <f t="shared" si="64"/>
        <v>SAL</v>
      </c>
      <c r="V589" t="str">
        <f t="shared" si="65"/>
        <v>L1</v>
      </c>
      <c r="W589" t="str">
        <f>PROPER(TRIM(VLOOKUP(S589,Employee_Lookups!$I$4:$M$19,2,FALSE())))</f>
        <v>Vikramaditya Joshi</v>
      </c>
      <c r="X589" t="str">
        <f>VLOOKUP(C589,Employee_Lookups!$A$4:$G$9,4,FALSE())</f>
        <v>CC-202</v>
      </c>
      <c r="Y589" t="str">
        <f>INDEX(Employee_Lookups!$C$13:$C$17,MATCH(F589,Employee_Lookups!$A$13:$A$17,0))</f>
        <v>Band A (Entry)</v>
      </c>
      <c r="Z589" s="27">
        <f>_xlfn.XLOOKUP(F589,Employee_Lookups!$A$13:$A$17,Employee_Lookups!$E$13:$E$17,0)</f>
        <v>700000</v>
      </c>
      <c r="AA589" s="28">
        <f>ROUND(O589/INDEX(Employee_Lookups!$E$13:$E$17,MATCH(F589,Employee_Lookups!$A$13:$A$17,0)),3)</f>
        <v>0.81</v>
      </c>
      <c r="AB589">
        <f t="shared" si="66"/>
        <v>2022</v>
      </c>
      <c r="AC589" t="str">
        <f t="shared" si="67"/>
        <v/>
      </c>
      <c r="AD589" s="28">
        <f>ROUND((IF(ISBLANK(L589),Employee_Lookups!$O$14,L589)-J589)/365.25,2)</f>
        <v>3.39</v>
      </c>
      <c r="AE589" t="str">
        <f t="shared" si="68"/>
        <v>3 - 5 Yrs</v>
      </c>
      <c r="AF589" t="str">
        <f t="shared" si="69"/>
        <v>High Risk</v>
      </c>
    </row>
    <row r="590" spans="1:32" x14ac:dyDescent="0.45">
      <c r="A590" t="s">
        <v>1239</v>
      </c>
      <c r="B590" t="s">
        <v>1240</v>
      </c>
      <c r="C590" t="s">
        <v>61</v>
      </c>
      <c r="D590" t="s">
        <v>60</v>
      </c>
      <c r="E590" t="s">
        <v>317</v>
      </c>
      <c r="F590" t="s">
        <v>84</v>
      </c>
      <c r="G590" t="s">
        <v>318</v>
      </c>
      <c r="H590" t="s">
        <v>106</v>
      </c>
      <c r="I590" t="s">
        <v>107</v>
      </c>
      <c r="J590" s="26">
        <v>44786</v>
      </c>
      <c r="K590" t="s">
        <v>162</v>
      </c>
      <c r="L590" s="26"/>
      <c r="M590" t="s">
        <v>163</v>
      </c>
      <c r="N590" t="s">
        <v>99</v>
      </c>
      <c r="O590" s="27">
        <v>2959000</v>
      </c>
      <c r="P590">
        <v>4</v>
      </c>
      <c r="Q590" t="s">
        <v>164</v>
      </c>
      <c r="R590">
        <v>43</v>
      </c>
      <c r="S590" t="s">
        <v>253</v>
      </c>
      <c r="T590">
        <f t="shared" si="63"/>
        <v>10526</v>
      </c>
      <c r="U590" t="str">
        <f t="shared" si="64"/>
        <v>-HR</v>
      </c>
      <c r="V590" t="str">
        <f t="shared" si="65"/>
        <v>L4</v>
      </c>
      <c r="W590" t="str">
        <f>PROPER(TRIM(VLOOKUP(S590,Employee_Lookups!$I$4:$M$19,2,FALSE())))</f>
        <v>Nikhil Chatterjee</v>
      </c>
      <c r="X590" t="str">
        <f>VLOOKUP(C590,Employee_Lookups!$A$4:$G$9,4,FALSE())</f>
        <v>CC-505</v>
      </c>
      <c r="Y590" t="str">
        <f>INDEX(Employee_Lookups!$C$13:$C$17,MATCH(F590,Employee_Lookups!$A$13:$A$17,0))</f>
        <v>Band D (Leadership)</v>
      </c>
      <c r="Z590" s="27">
        <f>_xlfn.XLOOKUP(F590,Employee_Lookups!$A$13:$A$17,Employee_Lookups!$E$13:$E$17,0)</f>
        <v>2750000</v>
      </c>
      <c r="AA590" s="28">
        <f>ROUND(O590/INDEX(Employee_Lookups!$E$13:$E$17,MATCH(F590,Employee_Lookups!$A$13:$A$17,0)),3)</f>
        <v>1.0760000000000001</v>
      </c>
      <c r="AB590">
        <f t="shared" si="66"/>
        <v>2022</v>
      </c>
      <c r="AC590" t="str">
        <f t="shared" si="67"/>
        <v/>
      </c>
      <c r="AD590" s="28">
        <f>ROUND((IF(ISBLANK(L590),Employee_Lookups!$O$14,L590)-J590)/365.25,2)</f>
        <v>3.38</v>
      </c>
      <c r="AE590" t="str">
        <f t="shared" si="68"/>
        <v>3 - 5 Yrs</v>
      </c>
      <c r="AF590" t="str">
        <f t="shared" si="69"/>
        <v>Low Risk</v>
      </c>
    </row>
    <row r="591" spans="1:32" x14ac:dyDescent="0.45">
      <c r="A591" t="s">
        <v>1241</v>
      </c>
      <c r="B591" t="s">
        <v>629</v>
      </c>
      <c r="C591" t="s">
        <v>57</v>
      </c>
      <c r="D591" t="s">
        <v>56</v>
      </c>
      <c r="E591" t="s">
        <v>222</v>
      </c>
      <c r="F591" t="s">
        <v>82</v>
      </c>
      <c r="G591" t="s">
        <v>223</v>
      </c>
      <c r="H591" t="s">
        <v>109</v>
      </c>
      <c r="I591" t="s">
        <v>110</v>
      </c>
      <c r="J591" s="26">
        <v>44792</v>
      </c>
      <c r="K591" t="s">
        <v>162</v>
      </c>
      <c r="L591" s="26"/>
      <c r="M591" t="s">
        <v>163</v>
      </c>
      <c r="N591" t="s">
        <v>99</v>
      </c>
      <c r="O591" s="27">
        <v>896000</v>
      </c>
      <c r="P591">
        <v>3</v>
      </c>
      <c r="Q591" t="s">
        <v>172</v>
      </c>
      <c r="R591">
        <v>69</v>
      </c>
      <c r="S591" t="s">
        <v>165</v>
      </c>
      <c r="T591">
        <f t="shared" si="63"/>
        <v>11065</v>
      </c>
      <c r="U591" t="str">
        <f t="shared" si="64"/>
        <v>MKT</v>
      </c>
      <c r="V591" t="str">
        <f t="shared" si="65"/>
        <v>L2</v>
      </c>
      <c r="W591" t="str">
        <f>PROPER(TRIM(VLOOKUP(S591,Employee_Lookups!$I$4:$M$19,2,FALSE())))</f>
        <v>Arjun Sengupta</v>
      </c>
      <c r="X591" t="str">
        <f>VLOOKUP(C591,Employee_Lookups!$A$4:$G$9,4,FALSE())</f>
        <v>CC-606</v>
      </c>
      <c r="Y591" t="str">
        <f>INDEX(Employee_Lookups!$C$13:$C$17,MATCH(F591,Employee_Lookups!$A$13:$A$17,0))</f>
        <v>Band B (Mid)</v>
      </c>
      <c r="Z591" s="27">
        <f>_xlfn.XLOOKUP(F591,Employee_Lookups!$A$13:$A$17,Employee_Lookups!$E$13:$E$17,0)</f>
        <v>1100000</v>
      </c>
      <c r="AA591" s="28">
        <f>ROUND(O591/INDEX(Employee_Lookups!$E$13:$E$17,MATCH(F591,Employee_Lookups!$A$13:$A$17,0)),3)</f>
        <v>0.81499999999999995</v>
      </c>
      <c r="AB591">
        <f t="shared" si="66"/>
        <v>2022</v>
      </c>
      <c r="AC591" t="str">
        <f t="shared" si="67"/>
        <v/>
      </c>
      <c r="AD591" s="28">
        <f>ROUND((IF(ISBLANK(L591),Employee_Lookups!$O$14,L591)-J591)/365.25,2)</f>
        <v>3.37</v>
      </c>
      <c r="AE591" t="str">
        <f t="shared" si="68"/>
        <v>3 - 5 Yrs</v>
      </c>
      <c r="AF591" t="str">
        <f t="shared" si="69"/>
        <v>High Risk</v>
      </c>
    </row>
    <row r="592" spans="1:32" x14ac:dyDescent="0.45">
      <c r="A592" t="s">
        <v>1242</v>
      </c>
      <c r="B592" t="s">
        <v>1183</v>
      </c>
      <c r="C592" t="s">
        <v>51</v>
      </c>
      <c r="D592" t="s">
        <v>50</v>
      </c>
      <c r="E592" t="s">
        <v>176</v>
      </c>
      <c r="F592" t="s">
        <v>82</v>
      </c>
      <c r="G592" t="s">
        <v>177</v>
      </c>
      <c r="H592" t="s">
        <v>106</v>
      </c>
      <c r="I592" t="s">
        <v>107</v>
      </c>
      <c r="J592" s="26">
        <v>44793</v>
      </c>
      <c r="K592" t="s">
        <v>162</v>
      </c>
      <c r="L592" s="26"/>
      <c r="M592" t="s">
        <v>163</v>
      </c>
      <c r="N592" t="s">
        <v>99</v>
      </c>
      <c r="O592" s="27">
        <v>1166000</v>
      </c>
      <c r="P592">
        <v>3</v>
      </c>
      <c r="Q592" t="s">
        <v>164</v>
      </c>
      <c r="R592">
        <v>25</v>
      </c>
      <c r="S592" t="s">
        <v>178</v>
      </c>
      <c r="T592">
        <f t="shared" si="63"/>
        <v>10195</v>
      </c>
      <c r="U592" t="str">
        <f t="shared" si="64"/>
        <v>ENG</v>
      </c>
      <c r="V592" t="str">
        <f t="shared" si="65"/>
        <v>L2</v>
      </c>
      <c r="W592" t="str">
        <f>PROPER(TRIM(VLOOKUP(S592,Employee_Lookups!$I$4:$M$19,2,FALSE())))</f>
        <v>Aarav Deshmukh</v>
      </c>
      <c r="X592" t="str">
        <f>VLOOKUP(C592,Employee_Lookups!$A$4:$G$9,4,FALSE())</f>
        <v>CC-101</v>
      </c>
      <c r="Y592" t="str">
        <f>INDEX(Employee_Lookups!$C$13:$C$17,MATCH(F592,Employee_Lookups!$A$13:$A$17,0))</f>
        <v>Band B (Mid)</v>
      </c>
      <c r="Z592" s="27">
        <f>_xlfn.XLOOKUP(F592,Employee_Lookups!$A$13:$A$17,Employee_Lookups!$E$13:$E$17,0)</f>
        <v>1100000</v>
      </c>
      <c r="AA592" s="28">
        <f>ROUND(O592/INDEX(Employee_Lookups!$E$13:$E$17,MATCH(F592,Employee_Lookups!$A$13:$A$17,0)),3)</f>
        <v>1.06</v>
      </c>
      <c r="AB592">
        <f t="shared" si="66"/>
        <v>2022</v>
      </c>
      <c r="AC592" t="str">
        <f t="shared" si="67"/>
        <v/>
      </c>
      <c r="AD592" s="28">
        <f>ROUND((IF(ISBLANK(L592),Employee_Lookups!$O$14,L592)-J592)/365.25,2)</f>
        <v>3.36</v>
      </c>
      <c r="AE592" t="str">
        <f t="shared" si="68"/>
        <v>3 - 5 Yrs</v>
      </c>
      <c r="AF592" t="str">
        <f t="shared" si="69"/>
        <v>Low Risk</v>
      </c>
    </row>
    <row r="593" spans="1:32" x14ac:dyDescent="0.45">
      <c r="A593" t="s">
        <v>1243</v>
      </c>
      <c r="B593" t="s">
        <v>1244</v>
      </c>
      <c r="C593" t="s">
        <v>51</v>
      </c>
      <c r="D593" t="s">
        <v>50</v>
      </c>
      <c r="E593" t="s">
        <v>176</v>
      </c>
      <c r="F593" t="s">
        <v>82</v>
      </c>
      <c r="G593" t="s">
        <v>177</v>
      </c>
      <c r="H593" t="s">
        <v>108</v>
      </c>
      <c r="I593" t="s">
        <v>107</v>
      </c>
      <c r="J593" s="26">
        <v>44794</v>
      </c>
      <c r="K593" t="s">
        <v>187</v>
      </c>
      <c r="L593" s="26">
        <v>45065</v>
      </c>
      <c r="M593" t="s">
        <v>269</v>
      </c>
      <c r="N593" t="s">
        <v>99</v>
      </c>
      <c r="O593" s="27">
        <v>1030000</v>
      </c>
      <c r="P593">
        <v>4</v>
      </c>
      <c r="Q593" t="s">
        <v>172</v>
      </c>
      <c r="R593">
        <v>42</v>
      </c>
      <c r="S593" t="s">
        <v>197</v>
      </c>
      <c r="T593">
        <f t="shared" si="63"/>
        <v>10621</v>
      </c>
      <c r="U593" t="str">
        <f t="shared" si="64"/>
        <v>ENG</v>
      </c>
      <c r="V593" t="str">
        <f t="shared" si="65"/>
        <v>L2</v>
      </c>
      <c r="W593" t="str">
        <f>PROPER(TRIM(VLOOKUP(S593,Employee_Lookups!$I$4:$M$19,2,FALSE())))</f>
        <v>Rohan Verma</v>
      </c>
      <c r="X593" t="str">
        <f>VLOOKUP(C593,Employee_Lookups!$A$4:$G$9,4,FALSE())</f>
        <v>CC-101</v>
      </c>
      <c r="Y593" t="str">
        <f>INDEX(Employee_Lookups!$C$13:$C$17,MATCH(F593,Employee_Lookups!$A$13:$A$17,0))</f>
        <v>Band B (Mid)</v>
      </c>
      <c r="Z593" s="27">
        <f>_xlfn.XLOOKUP(F593,Employee_Lookups!$A$13:$A$17,Employee_Lookups!$E$13:$E$17,0)</f>
        <v>1100000</v>
      </c>
      <c r="AA593" s="28">
        <f>ROUND(O593/INDEX(Employee_Lookups!$E$13:$E$17,MATCH(F593,Employee_Lookups!$A$13:$A$17,0)),3)</f>
        <v>0.93600000000000005</v>
      </c>
      <c r="AB593">
        <f t="shared" si="66"/>
        <v>2022</v>
      </c>
      <c r="AC593">
        <f t="shared" si="67"/>
        <v>2023</v>
      </c>
      <c r="AD593" s="28">
        <f>ROUND((IF(ISBLANK(L593),Employee_Lookups!$O$14,L593)-J593)/365.25,2)</f>
        <v>0.74</v>
      </c>
      <c r="AE593" t="str">
        <f t="shared" si="68"/>
        <v>&lt; 1 Yr (New)</v>
      </c>
      <c r="AF593" t="str">
        <f t="shared" si="69"/>
        <v>Exited</v>
      </c>
    </row>
    <row r="594" spans="1:32" x14ac:dyDescent="0.45">
      <c r="A594" t="s">
        <v>1245</v>
      </c>
      <c r="B594" t="s">
        <v>1246</v>
      </c>
      <c r="C594" t="s">
        <v>53</v>
      </c>
      <c r="D594" t="s">
        <v>52</v>
      </c>
      <c r="E594" t="s">
        <v>185</v>
      </c>
      <c r="F594" t="s">
        <v>82</v>
      </c>
      <c r="G594" t="s">
        <v>186</v>
      </c>
      <c r="H594" t="s">
        <v>106</v>
      </c>
      <c r="I594" t="s">
        <v>107</v>
      </c>
      <c r="J594" s="26">
        <v>44794</v>
      </c>
      <c r="K594" t="s">
        <v>170</v>
      </c>
      <c r="L594" s="26">
        <v>45086</v>
      </c>
      <c r="M594" t="s">
        <v>171</v>
      </c>
      <c r="N594" t="s">
        <v>98</v>
      </c>
      <c r="O594" s="27">
        <v>1305000</v>
      </c>
      <c r="P594">
        <v>2</v>
      </c>
      <c r="Q594" t="s">
        <v>164</v>
      </c>
      <c r="R594">
        <v>29</v>
      </c>
      <c r="S594" t="s">
        <v>189</v>
      </c>
      <c r="T594">
        <f t="shared" si="63"/>
        <v>11202</v>
      </c>
      <c r="U594" t="str">
        <f t="shared" si="64"/>
        <v>SAL</v>
      </c>
      <c r="V594" t="str">
        <f t="shared" si="65"/>
        <v>L2</v>
      </c>
      <c r="W594" t="str">
        <f>PROPER(TRIM(VLOOKUP(S594,Employee_Lookups!$I$4:$M$19,2,FALSE())))</f>
        <v>Priya Sharma</v>
      </c>
      <c r="X594" t="str">
        <f>VLOOKUP(C594,Employee_Lookups!$A$4:$G$9,4,FALSE())</f>
        <v>CC-202</v>
      </c>
      <c r="Y594" t="str">
        <f>INDEX(Employee_Lookups!$C$13:$C$17,MATCH(F594,Employee_Lookups!$A$13:$A$17,0))</f>
        <v>Band B (Mid)</v>
      </c>
      <c r="Z594" s="27">
        <f>_xlfn.XLOOKUP(F594,Employee_Lookups!$A$13:$A$17,Employee_Lookups!$E$13:$E$17,0)</f>
        <v>1100000</v>
      </c>
      <c r="AA594" s="28">
        <f>ROUND(O594/INDEX(Employee_Lookups!$E$13:$E$17,MATCH(F594,Employee_Lookups!$A$13:$A$17,0)),3)</f>
        <v>1.1859999999999999</v>
      </c>
      <c r="AB594">
        <f t="shared" si="66"/>
        <v>2022</v>
      </c>
      <c r="AC594">
        <f t="shared" si="67"/>
        <v>2023</v>
      </c>
      <c r="AD594" s="28">
        <f>ROUND((IF(ISBLANK(L594),Employee_Lookups!$O$14,L594)-J594)/365.25,2)</f>
        <v>0.8</v>
      </c>
      <c r="AE594" t="str">
        <f t="shared" si="68"/>
        <v>&lt; 1 Yr (New)</v>
      </c>
      <c r="AF594" t="str">
        <f t="shared" si="69"/>
        <v>Exited</v>
      </c>
    </row>
    <row r="595" spans="1:32" x14ac:dyDescent="0.45">
      <c r="A595" t="s">
        <v>1247</v>
      </c>
      <c r="B595" t="s">
        <v>822</v>
      </c>
      <c r="C595" t="s">
        <v>51</v>
      </c>
      <c r="D595" t="s">
        <v>50</v>
      </c>
      <c r="E595" t="s">
        <v>176</v>
      </c>
      <c r="F595" t="s">
        <v>82</v>
      </c>
      <c r="G595" t="s">
        <v>177</v>
      </c>
      <c r="H595" t="s">
        <v>106</v>
      </c>
      <c r="I595" t="s">
        <v>107</v>
      </c>
      <c r="J595" s="26">
        <v>44795</v>
      </c>
      <c r="K595" t="s">
        <v>162</v>
      </c>
      <c r="L595" s="26"/>
      <c r="M595" t="s">
        <v>163</v>
      </c>
      <c r="N595" t="s">
        <v>95</v>
      </c>
      <c r="O595" s="27">
        <v>1102000</v>
      </c>
      <c r="P595">
        <v>2</v>
      </c>
      <c r="Q595" t="s">
        <v>164</v>
      </c>
      <c r="R595">
        <v>42</v>
      </c>
      <c r="S595" t="s">
        <v>244</v>
      </c>
      <c r="T595">
        <f t="shared" si="63"/>
        <v>10496</v>
      </c>
      <c r="U595" t="str">
        <f t="shared" si="64"/>
        <v>ENG</v>
      </c>
      <c r="V595" t="str">
        <f t="shared" si="65"/>
        <v>L2</v>
      </c>
      <c r="W595" t="str">
        <f>PROPER(TRIM(VLOOKUP(S595,Employee_Lookups!$I$4:$M$19,2,FALSE())))</f>
        <v>Siddharth Nair</v>
      </c>
      <c r="X595" t="str">
        <f>VLOOKUP(C595,Employee_Lookups!$A$4:$G$9,4,FALSE())</f>
        <v>CC-101</v>
      </c>
      <c r="Y595" t="str">
        <f>INDEX(Employee_Lookups!$C$13:$C$17,MATCH(F595,Employee_Lookups!$A$13:$A$17,0))</f>
        <v>Band B (Mid)</v>
      </c>
      <c r="Z595" s="27">
        <f>_xlfn.XLOOKUP(F595,Employee_Lookups!$A$13:$A$17,Employee_Lookups!$E$13:$E$17,0)</f>
        <v>1100000</v>
      </c>
      <c r="AA595" s="28">
        <f>ROUND(O595/INDEX(Employee_Lookups!$E$13:$E$17,MATCH(F595,Employee_Lookups!$A$13:$A$17,0)),3)</f>
        <v>1.002</v>
      </c>
      <c r="AB595">
        <f t="shared" si="66"/>
        <v>2022</v>
      </c>
      <c r="AC595" t="str">
        <f t="shared" si="67"/>
        <v/>
      </c>
      <c r="AD595" s="28">
        <f>ROUND((IF(ISBLANK(L595),Employee_Lookups!$O$14,L595)-J595)/365.25,2)</f>
        <v>3.36</v>
      </c>
      <c r="AE595" t="str">
        <f t="shared" si="68"/>
        <v>3 - 5 Yrs</v>
      </c>
      <c r="AF595" t="str">
        <f t="shared" si="69"/>
        <v>Moderate Risk</v>
      </c>
    </row>
    <row r="596" spans="1:32" x14ac:dyDescent="0.45">
      <c r="A596" t="s">
        <v>1248</v>
      </c>
      <c r="B596" t="s">
        <v>1249</v>
      </c>
      <c r="C596" t="s">
        <v>53</v>
      </c>
      <c r="D596" t="s">
        <v>52</v>
      </c>
      <c r="E596" t="s">
        <v>192</v>
      </c>
      <c r="F596" t="s">
        <v>83</v>
      </c>
      <c r="G596" t="s">
        <v>193</v>
      </c>
      <c r="H596" t="s">
        <v>108</v>
      </c>
      <c r="I596" t="s">
        <v>107</v>
      </c>
      <c r="J596" s="26">
        <v>44796</v>
      </c>
      <c r="K596" t="s">
        <v>187</v>
      </c>
      <c r="L596" s="26">
        <v>45765</v>
      </c>
      <c r="M596" t="s">
        <v>269</v>
      </c>
      <c r="N596" t="s">
        <v>99</v>
      </c>
      <c r="O596" s="27">
        <v>1568000</v>
      </c>
      <c r="P596">
        <v>3</v>
      </c>
      <c r="Q596" t="s">
        <v>164</v>
      </c>
      <c r="R596">
        <v>40</v>
      </c>
      <c r="S596" t="s">
        <v>189</v>
      </c>
      <c r="T596">
        <f t="shared" si="63"/>
        <v>10096</v>
      </c>
      <c r="U596" t="str">
        <f t="shared" si="64"/>
        <v>SAL</v>
      </c>
      <c r="V596" t="str">
        <f t="shared" si="65"/>
        <v>L3</v>
      </c>
      <c r="W596" t="str">
        <f>PROPER(TRIM(VLOOKUP(S596,Employee_Lookups!$I$4:$M$19,2,FALSE())))</f>
        <v>Priya Sharma</v>
      </c>
      <c r="X596" t="str">
        <f>VLOOKUP(C596,Employee_Lookups!$A$4:$G$9,4,FALSE())</f>
        <v>CC-202</v>
      </c>
      <c r="Y596" t="str">
        <f>INDEX(Employee_Lookups!$C$13:$C$17,MATCH(F596,Employee_Lookups!$A$13:$A$17,0))</f>
        <v>Band C (Senior)</v>
      </c>
      <c r="Z596" s="27">
        <f>_xlfn.XLOOKUP(F596,Employee_Lookups!$A$13:$A$17,Employee_Lookups!$E$13:$E$17,0)</f>
        <v>1725000</v>
      </c>
      <c r="AA596" s="28">
        <f>ROUND(O596/INDEX(Employee_Lookups!$E$13:$E$17,MATCH(F596,Employee_Lookups!$A$13:$A$17,0)),3)</f>
        <v>0.90900000000000003</v>
      </c>
      <c r="AB596">
        <f t="shared" si="66"/>
        <v>2022</v>
      </c>
      <c r="AC596">
        <f t="shared" si="67"/>
        <v>2025</v>
      </c>
      <c r="AD596" s="28">
        <f>ROUND((IF(ISBLANK(L596),Employee_Lookups!$O$14,L596)-J596)/365.25,2)</f>
        <v>2.65</v>
      </c>
      <c r="AE596" t="str">
        <f t="shared" si="68"/>
        <v>1 - 3 Yrs</v>
      </c>
      <c r="AF596" t="str">
        <f t="shared" si="69"/>
        <v>Exited</v>
      </c>
    </row>
    <row r="597" spans="1:32" x14ac:dyDescent="0.45">
      <c r="A597" t="s">
        <v>1250</v>
      </c>
      <c r="B597" t="s">
        <v>1251</v>
      </c>
      <c r="C597" t="s">
        <v>55</v>
      </c>
      <c r="D597" t="s">
        <v>54</v>
      </c>
      <c r="E597" t="s">
        <v>277</v>
      </c>
      <c r="F597" t="s">
        <v>81</v>
      </c>
      <c r="G597" t="s">
        <v>278</v>
      </c>
      <c r="H597" t="s">
        <v>109</v>
      </c>
      <c r="I597" t="s">
        <v>110</v>
      </c>
      <c r="J597" s="26">
        <v>44797</v>
      </c>
      <c r="K597" t="s">
        <v>187</v>
      </c>
      <c r="L597" s="26">
        <v>45556</v>
      </c>
      <c r="M597" t="s">
        <v>188</v>
      </c>
      <c r="N597" t="s">
        <v>99</v>
      </c>
      <c r="O597" s="27">
        <v>600000</v>
      </c>
      <c r="P597">
        <v>3</v>
      </c>
      <c r="Q597" t="s">
        <v>172</v>
      </c>
      <c r="R597">
        <v>43</v>
      </c>
      <c r="S597" t="s">
        <v>173</v>
      </c>
      <c r="T597">
        <f t="shared" si="63"/>
        <v>10416</v>
      </c>
      <c r="U597" t="str">
        <f t="shared" si="64"/>
        <v>OPS</v>
      </c>
      <c r="V597" t="str">
        <f t="shared" si="65"/>
        <v>L1</v>
      </c>
      <c r="W597" t="str">
        <f>PROPER(TRIM(VLOOKUP(S597,Employee_Lookups!$I$4:$M$19,2,FALSE())))</f>
        <v>Deepak Patil</v>
      </c>
      <c r="X597" t="str">
        <f>VLOOKUP(C597,Employee_Lookups!$A$4:$G$9,4,FALSE())</f>
        <v>CC-303</v>
      </c>
      <c r="Y597" t="str">
        <f>INDEX(Employee_Lookups!$C$13:$C$17,MATCH(F597,Employee_Lookups!$A$13:$A$17,0))</f>
        <v>Band A (Entry)</v>
      </c>
      <c r="Z597" s="27">
        <f>_xlfn.XLOOKUP(F597,Employee_Lookups!$A$13:$A$17,Employee_Lookups!$E$13:$E$17,0)</f>
        <v>700000</v>
      </c>
      <c r="AA597" s="28">
        <f>ROUND(O597/INDEX(Employee_Lookups!$E$13:$E$17,MATCH(F597,Employee_Lookups!$A$13:$A$17,0)),3)</f>
        <v>0.85699999999999998</v>
      </c>
      <c r="AB597">
        <f t="shared" si="66"/>
        <v>2022</v>
      </c>
      <c r="AC597">
        <f t="shared" si="67"/>
        <v>2024</v>
      </c>
      <c r="AD597" s="28">
        <f>ROUND((IF(ISBLANK(L597),Employee_Lookups!$O$14,L597)-J597)/365.25,2)</f>
        <v>2.08</v>
      </c>
      <c r="AE597" t="str">
        <f t="shared" si="68"/>
        <v>1 - 3 Yrs</v>
      </c>
      <c r="AF597" t="str">
        <f t="shared" si="69"/>
        <v>Exited</v>
      </c>
    </row>
    <row r="598" spans="1:32" x14ac:dyDescent="0.45">
      <c r="A598" t="s">
        <v>1252</v>
      </c>
      <c r="B598" t="s">
        <v>1253</v>
      </c>
      <c r="C598" t="s">
        <v>55</v>
      </c>
      <c r="D598" t="s">
        <v>54</v>
      </c>
      <c r="E598" t="s">
        <v>277</v>
      </c>
      <c r="F598" t="s">
        <v>81</v>
      </c>
      <c r="G598" t="s">
        <v>278</v>
      </c>
      <c r="H598" t="s">
        <v>106</v>
      </c>
      <c r="I598" t="s">
        <v>107</v>
      </c>
      <c r="J598" s="26">
        <v>44801</v>
      </c>
      <c r="K598" t="s">
        <v>170</v>
      </c>
      <c r="L598" s="26">
        <v>45989</v>
      </c>
      <c r="M598" t="s">
        <v>171</v>
      </c>
      <c r="N598" t="s">
        <v>97</v>
      </c>
      <c r="O598" s="27">
        <v>576000</v>
      </c>
      <c r="P598">
        <v>3</v>
      </c>
      <c r="Q598" t="s">
        <v>164</v>
      </c>
      <c r="R598">
        <v>40</v>
      </c>
      <c r="S598" t="s">
        <v>173</v>
      </c>
      <c r="T598">
        <f t="shared" si="63"/>
        <v>10663</v>
      </c>
      <c r="U598" t="str">
        <f t="shared" si="64"/>
        <v>OPS</v>
      </c>
      <c r="V598" t="str">
        <f t="shared" si="65"/>
        <v>L1</v>
      </c>
      <c r="W598" t="str">
        <f>PROPER(TRIM(VLOOKUP(S598,Employee_Lookups!$I$4:$M$19,2,FALSE())))</f>
        <v>Deepak Patil</v>
      </c>
      <c r="X598" t="str">
        <f>VLOOKUP(C598,Employee_Lookups!$A$4:$G$9,4,FALSE())</f>
        <v>CC-303</v>
      </c>
      <c r="Y598" t="str">
        <f>INDEX(Employee_Lookups!$C$13:$C$17,MATCH(F598,Employee_Lookups!$A$13:$A$17,0))</f>
        <v>Band A (Entry)</v>
      </c>
      <c r="Z598" s="27">
        <f>_xlfn.XLOOKUP(F598,Employee_Lookups!$A$13:$A$17,Employee_Lookups!$E$13:$E$17,0)</f>
        <v>700000</v>
      </c>
      <c r="AA598" s="28">
        <f>ROUND(O598/INDEX(Employee_Lookups!$E$13:$E$17,MATCH(F598,Employee_Lookups!$A$13:$A$17,0)),3)</f>
        <v>0.82299999999999995</v>
      </c>
      <c r="AB598">
        <f t="shared" si="66"/>
        <v>2022</v>
      </c>
      <c r="AC598">
        <f t="shared" si="67"/>
        <v>2025</v>
      </c>
      <c r="AD598" s="28">
        <f>ROUND((IF(ISBLANK(L598),Employee_Lookups!$O$14,L598)-J598)/365.25,2)</f>
        <v>3.25</v>
      </c>
      <c r="AE598" t="str">
        <f t="shared" si="68"/>
        <v>3 - 5 Yrs</v>
      </c>
      <c r="AF598" t="str">
        <f t="shared" si="69"/>
        <v>Exited</v>
      </c>
    </row>
    <row r="599" spans="1:32" x14ac:dyDescent="0.45">
      <c r="A599" t="s">
        <v>1254</v>
      </c>
      <c r="B599" t="s">
        <v>582</v>
      </c>
      <c r="C599" t="s">
        <v>51</v>
      </c>
      <c r="D599" t="s">
        <v>50</v>
      </c>
      <c r="E599" t="s">
        <v>397</v>
      </c>
      <c r="F599" t="s">
        <v>84</v>
      </c>
      <c r="G599" t="s">
        <v>398</v>
      </c>
      <c r="H599" t="s">
        <v>109</v>
      </c>
      <c r="I599" t="s">
        <v>110</v>
      </c>
      <c r="J599" s="26">
        <v>44801</v>
      </c>
      <c r="K599" t="s">
        <v>187</v>
      </c>
      <c r="L599" s="26">
        <v>45945</v>
      </c>
      <c r="M599" t="s">
        <v>213</v>
      </c>
      <c r="N599" t="s">
        <v>95</v>
      </c>
      <c r="O599" s="27">
        <v>2591000</v>
      </c>
      <c r="P599">
        <v>3</v>
      </c>
      <c r="Q599" t="s">
        <v>164</v>
      </c>
      <c r="R599">
        <v>0</v>
      </c>
      <c r="S599" t="s">
        <v>244</v>
      </c>
      <c r="T599">
        <f t="shared" si="63"/>
        <v>10271</v>
      </c>
      <c r="U599" t="str">
        <f t="shared" si="64"/>
        <v>ENG</v>
      </c>
      <c r="V599" t="str">
        <f t="shared" si="65"/>
        <v>L4</v>
      </c>
      <c r="W599" t="str">
        <f>PROPER(TRIM(VLOOKUP(S599,Employee_Lookups!$I$4:$M$19,2,FALSE())))</f>
        <v>Siddharth Nair</v>
      </c>
      <c r="X599" t="str">
        <f>VLOOKUP(C599,Employee_Lookups!$A$4:$G$9,4,FALSE())</f>
        <v>CC-101</v>
      </c>
      <c r="Y599" t="str">
        <f>INDEX(Employee_Lookups!$C$13:$C$17,MATCH(F599,Employee_Lookups!$A$13:$A$17,0))</f>
        <v>Band D (Leadership)</v>
      </c>
      <c r="Z599" s="27">
        <f>_xlfn.XLOOKUP(F599,Employee_Lookups!$A$13:$A$17,Employee_Lookups!$E$13:$E$17,0)</f>
        <v>2750000</v>
      </c>
      <c r="AA599" s="28">
        <f>ROUND(O599/INDEX(Employee_Lookups!$E$13:$E$17,MATCH(F599,Employee_Lookups!$A$13:$A$17,0)),3)</f>
        <v>0.94199999999999995</v>
      </c>
      <c r="AB599">
        <f t="shared" si="66"/>
        <v>2022</v>
      </c>
      <c r="AC599">
        <f t="shared" si="67"/>
        <v>2025</v>
      </c>
      <c r="AD599" s="28">
        <f>ROUND((IF(ISBLANK(L599),Employee_Lookups!$O$14,L599)-J599)/365.25,2)</f>
        <v>3.13</v>
      </c>
      <c r="AE599" t="str">
        <f t="shared" si="68"/>
        <v>3 - 5 Yrs</v>
      </c>
      <c r="AF599" t="str">
        <f t="shared" si="69"/>
        <v>Exited</v>
      </c>
    </row>
    <row r="600" spans="1:32" x14ac:dyDescent="0.45">
      <c r="A600" t="s">
        <v>1255</v>
      </c>
      <c r="B600" t="s">
        <v>1256</v>
      </c>
      <c r="C600" t="s">
        <v>51</v>
      </c>
      <c r="D600" t="s">
        <v>50</v>
      </c>
      <c r="E600" t="s">
        <v>181</v>
      </c>
      <c r="F600" t="s">
        <v>81</v>
      </c>
      <c r="G600" t="s">
        <v>182</v>
      </c>
      <c r="H600" t="s">
        <v>111</v>
      </c>
      <c r="I600" t="s">
        <v>110</v>
      </c>
      <c r="J600" s="26">
        <v>44801</v>
      </c>
      <c r="K600" t="s">
        <v>162</v>
      </c>
      <c r="L600" s="26"/>
      <c r="M600" t="s">
        <v>163</v>
      </c>
      <c r="N600" t="s">
        <v>99</v>
      </c>
      <c r="O600" s="27">
        <v>665000</v>
      </c>
      <c r="P600">
        <v>1</v>
      </c>
      <c r="Q600" t="s">
        <v>164</v>
      </c>
      <c r="R600">
        <v>4</v>
      </c>
      <c r="S600" t="s">
        <v>178</v>
      </c>
      <c r="T600">
        <f t="shared" si="63"/>
        <v>11146</v>
      </c>
      <c r="U600" t="str">
        <f t="shared" si="64"/>
        <v>ENG</v>
      </c>
      <c r="V600" t="str">
        <f t="shared" si="65"/>
        <v>L1</v>
      </c>
      <c r="W600" t="str">
        <f>PROPER(TRIM(VLOOKUP(S600,Employee_Lookups!$I$4:$M$19,2,FALSE())))</f>
        <v>Aarav Deshmukh</v>
      </c>
      <c r="X600" t="str">
        <f>VLOOKUP(C600,Employee_Lookups!$A$4:$G$9,4,FALSE())</f>
        <v>CC-101</v>
      </c>
      <c r="Y600" t="str">
        <f>INDEX(Employee_Lookups!$C$13:$C$17,MATCH(F600,Employee_Lookups!$A$13:$A$17,0))</f>
        <v>Band A (Entry)</v>
      </c>
      <c r="Z600" s="27">
        <f>_xlfn.XLOOKUP(F600,Employee_Lookups!$A$13:$A$17,Employee_Lookups!$E$13:$E$17,0)</f>
        <v>700000</v>
      </c>
      <c r="AA600" s="28">
        <f>ROUND(O600/INDEX(Employee_Lookups!$E$13:$E$17,MATCH(F600,Employee_Lookups!$A$13:$A$17,0)),3)</f>
        <v>0.95</v>
      </c>
      <c r="AB600">
        <f t="shared" si="66"/>
        <v>2022</v>
      </c>
      <c r="AC600" t="str">
        <f t="shared" si="67"/>
        <v/>
      </c>
      <c r="AD600" s="28">
        <f>ROUND((IF(ISBLANK(L600),Employee_Lookups!$O$14,L600)-J600)/365.25,2)</f>
        <v>3.34</v>
      </c>
      <c r="AE600" t="str">
        <f t="shared" si="68"/>
        <v>3 - 5 Yrs</v>
      </c>
      <c r="AF600" t="str">
        <f t="shared" si="69"/>
        <v>Moderate Risk</v>
      </c>
    </row>
    <row r="601" spans="1:32" x14ac:dyDescent="0.45">
      <c r="A601" t="s">
        <v>1257</v>
      </c>
      <c r="B601" t="s">
        <v>929</v>
      </c>
      <c r="C601" t="s">
        <v>59</v>
      </c>
      <c r="D601" t="s">
        <v>58</v>
      </c>
      <c r="E601" t="s">
        <v>1258</v>
      </c>
      <c r="F601" t="s">
        <v>85</v>
      </c>
      <c r="G601" t="s">
        <v>1259</v>
      </c>
      <c r="H601" t="s">
        <v>106</v>
      </c>
      <c r="I601" t="s">
        <v>107</v>
      </c>
      <c r="J601" s="26">
        <v>44801</v>
      </c>
      <c r="K601" t="s">
        <v>162</v>
      </c>
      <c r="L601" s="26"/>
      <c r="M601" t="s">
        <v>163</v>
      </c>
      <c r="N601" t="s">
        <v>98</v>
      </c>
      <c r="O601" s="27">
        <v>4909000</v>
      </c>
      <c r="P601">
        <v>2</v>
      </c>
      <c r="Q601" t="s">
        <v>164</v>
      </c>
      <c r="R601">
        <v>38</v>
      </c>
      <c r="S601" t="s">
        <v>208</v>
      </c>
      <c r="T601">
        <f t="shared" si="63"/>
        <v>11295</v>
      </c>
      <c r="U601" t="str">
        <f t="shared" si="64"/>
        <v>FIN</v>
      </c>
      <c r="V601" t="str">
        <f t="shared" si="65"/>
        <v>L5</v>
      </c>
      <c r="W601" t="str">
        <f>PROPER(TRIM(VLOOKUP(S601,Employee_Lookups!$I$4:$M$19,2,FALSE())))</f>
        <v>Rajeshwari Rao</v>
      </c>
      <c r="X601" t="str">
        <f>VLOOKUP(C601,Employee_Lookups!$A$4:$G$9,4,FALSE())</f>
        <v>CC-404</v>
      </c>
      <c r="Y601" t="str">
        <f>INDEX(Employee_Lookups!$C$13:$C$17,MATCH(F601,Employee_Lookups!$A$13:$A$17,0))</f>
        <v>Band E (Executive)</v>
      </c>
      <c r="Z601" s="27">
        <f>_xlfn.XLOOKUP(F601,Employee_Lookups!$A$13:$A$17,Employee_Lookups!$E$13:$E$17,0)</f>
        <v>4300000</v>
      </c>
      <c r="AA601" s="28">
        <f>ROUND(O601/INDEX(Employee_Lookups!$E$13:$E$17,MATCH(F601,Employee_Lookups!$A$13:$A$17,0)),3)</f>
        <v>1.1419999999999999</v>
      </c>
      <c r="AB601">
        <f t="shared" si="66"/>
        <v>2022</v>
      </c>
      <c r="AC601" t="str">
        <f t="shared" si="67"/>
        <v/>
      </c>
      <c r="AD601" s="28">
        <f>ROUND((IF(ISBLANK(L601),Employee_Lookups!$O$14,L601)-J601)/365.25,2)</f>
        <v>3.34</v>
      </c>
      <c r="AE601" t="str">
        <f t="shared" si="68"/>
        <v>3 - 5 Yrs</v>
      </c>
      <c r="AF601" t="str">
        <f t="shared" si="69"/>
        <v>Moderate Risk</v>
      </c>
    </row>
    <row r="602" spans="1:32" x14ac:dyDescent="0.45">
      <c r="A602" t="s">
        <v>1260</v>
      </c>
      <c r="B602" t="s">
        <v>804</v>
      </c>
      <c r="C602" t="s">
        <v>55</v>
      </c>
      <c r="D602" t="s">
        <v>54</v>
      </c>
      <c r="E602" t="s">
        <v>277</v>
      </c>
      <c r="F602" t="s">
        <v>81</v>
      </c>
      <c r="G602" t="s">
        <v>278</v>
      </c>
      <c r="H602" t="s">
        <v>109</v>
      </c>
      <c r="I602" t="s">
        <v>110</v>
      </c>
      <c r="J602" s="26">
        <v>44805</v>
      </c>
      <c r="K602" t="s">
        <v>187</v>
      </c>
      <c r="L602" s="26">
        <v>45087</v>
      </c>
      <c r="M602" t="s">
        <v>282</v>
      </c>
      <c r="N602" t="s">
        <v>97</v>
      </c>
      <c r="O602" s="27">
        <v>821000</v>
      </c>
      <c r="P602">
        <v>3</v>
      </c>
      <c r="Q602" t="s">
        <v>164</v>
      </c>
      <c r="R602">
        <v>36</v>
      </c>
      <c r="S602" t="s">
        <v>173</v>
      </c>
      <c r="T602">
        <f t="shared" si="63"/>
        <v>10710</v>
      </c>
      <c r="U602" t="str">
        <f t="shared" si="64"/>
        <v>OPS</v>
      </c>
      <c r="V602" t="str">
        <f t="shared" si="65"/>
        <v>L1</v>
      </c>
      <c r="W602" t="str">
        <f>PROPER(TRIM(VLOOKUP(S602,Employee_Lookups!$I$4:$M$19,2,FALSE())))</f>
        <v>Deepak Patil</v>
      </c>
      <c r="X602" t="str">
        <f>VLOOKUP(C602,Employee_Lookups!$A$4:$G$9,4,FALSE())</f>
        <v>CC-303</v>
      </c>
      <c r="Y602" t="str">
        <f>INDEX(Employee_Lookups!$C$13:$C$17,MATCH(F602,Employee_Lookups!$A$13:$A$17,0))</f>
        <v>Band A (Entry)</v>
      </c>
      <c r="Z602" s="27">
        <f>_xlfn.XLOOKUP(F602,Employee_Lookups!$A$13:$A$17,Employee_Lookups!$E$13:$E$17,0)</f>
        <v>700000</v>
      </c>
      <c r="AA602" s="28">
        <f>ROUND(O602/INDEX(Employee_Lookups!$E$13:$E$17,MATCH(F602,Employee_Lookups!$A$13:$A$17,0)),3)</f>
        <v>1.173</v>
      </c>
      <c r="AB602">
        <f t="shared" si="66"/>
        <v>2022</v>
      </c>
      <c r="AC602">
        <f t="shared" si="67"/>
        <v>2023</v>
      </c>
      <c r="AD602" s="28">
        <f>ROUND((IF(ISBLANK(L602),Employee_Lookups!$O$14,L602)-J602)/365.25,2)</f>
        <v>0.77</v>
      </c>
      <c r="AE602" t="str">
        <f t="shared" si="68"/>
        <v>&lt; 1 Yr (New)</v>
      </c>
      <c r="AF602" t="str">
        <f t="shared" si="69"/>
        <v>Exited</v>
      </c>
    </row>
    <row r="603" spans="1:32" x14ac:dyDescent="0.45">
      <c r="A603" t="s">
        <v>1261</v>
      </c>
      <c r="B603" t="s">
        <v>548</v>
      </c>
      <c r="C603" t="s">
        <v>51</v>
      </c>
      <c r="D603" t="s">
        <v>50</v>
      </c>
      <c r="E603" t="s">
        <v>176</v>
      </c>
      <c r="F603" t="s">
        <v>82</v>
      </c>
      <c r="G603" t="s">
        <v>177</v>
      </c>
      <c r="H603" t="s">
        <v>106</v>
      </c>
      <c r="I603" t="s">
        <v>107</v>
      </c>
      <c r="J603" s="26">
        <v>44805</v>
      </c>
      <c r="K603" t="s">
        <v>162</v>
      </c>
      <c r="L603" s="26"/>
      <c r="M603" t="s">
        <v>163</v>
      </c>
      <c r="N603" t="s">
        <v>99</v>
      </c>
      <c r="O603" s="27">
        <v>1096000</v>
      </c>
      <c r="P603">
        <v>4</v>
      </c>
      <c r="Q603" t="s">
        <v>164</v>
      </c>
      <c r="R603">
        <v>31</v>
      </c>
      <c r="S603" t="s">
        <v>244</v>
      </c>
      <c r="T603">
        <f t="shared" si="63"/>
        <v>10609</v>
      </c>
      <c r="U603" t="str">
        <f t="shared" si="64"/>
        <v>ENG</v>
      </c>
      <c r="V603" t="str">
        <f t="shared" si="65"/>
        <v>L2</v>
      </c>
      <c r="W603" t="str">
        <f>PROPER(TRIM(VLOOKUP(S603,Employee_Lookups!$I$4:$M$19,2,FALSE())))</f>
        <v>Siddharth Nair</v>
      </c>
      <c r="X603" t="str">
        <f>VLOOKUP(C603,Employee_Lookups!$A$4:$G$9,4,FALSE())</f>
        <v>CC-101</v>
      </c>
      <c r="Y603" t="str">
        <f>INDEX(Employee_Lookups!$C$13:$C$17,MATCH(F603,Employee_Lookups!$A$13:$A$17,0))</f>
        <v>Band B (Mid)</v>
      </c>
      <c r="Z603" s="27">
        <f>_xlfn.XLOOKUP(F603,Employee_Lookups!$A$13:$A$17,Employee_Lookups!$E$13:$E$17,0)</f>
        <v>1100000</v>
      </c>
      <c r="AA603" s="28">
        <f>ROUND(O603/INDEX(Employee_Lookups!$E$13:$E$17,MATCH(F603,Employee_Lookups!$A$13:$A$17,0)),3)</f>
        <v>0.996</v>
      </c>
      <c r="AB603">
        <f t="shared" si="66"/>
        <v>2022</v>
      </c>
      <c r="AC603" t="str">
        <f t="shared" si="67"/>
        <v/>
      </c>
      <c r="AD603" s="28">
        <f>ROUND((IF(ISBLANK(L603),Employee_Lookups!$O$14,L603)-J603)/365.25,2)</f>
        <v>3.33</v>
      </c>
      <c r="AE603" t="str">
        <f t="shared" si="68"/>
        <v>3 - 5 Yrs</v>
      </c>
      <c r="AF603" t="str">
        <f t="shared" si="69"/>
        <v>Low Risk</v>
      </c>
    </row>
    <row r="604" spans="1:32" x14ac:dyDescent="0.45">
      <c r="A604" t="s">
        <v>1262</v>
      </c>
      <c r="B604" t="s">
        <v>909</v>
      </c>
      <c r="C604" t="s">
        <v>53</v>
      </c>
      <c r="D604" t="s">
        <v>52</v>
      </c>
      <c r="E604" t="s">
        <v>322</v>
      </c>
      <c r="F604" t="s">
        <v>81</v>
      </c>
      <c r="G604" t="s">
        <v>323</v>
      </c>
      <c r="H604" t="s">
        <v>111</v>
      </c>
      <c r="I604" t="s">
        <v>110</v>
      </c>
      <c r="J604" s="26">
        <v>44807</v>
      </c>
      <c r="K604" t="s">
        <v>187</v>
      </c>
      <c r="L604" s="26">
        <v>45133</v>
      </c>
      <c r="M604" t="s">
        <v>269</v>
      </c>
      <c r="N604" t="s">
        <v>99</v>
      </c>
      <c r="O604" s="27">
        <v>736000</v>
      </c>
      <c r="P604">
        <v>3</v>
      </c>
      <c r="Q604" t="s">
        <v>172</v>
      </c>
      <c r="R604">
        <v>41</v>
      </c>
      <c r="S604" t="s">
        <v>237</v>
      </c>
      <c r="T604">
        <f t="shared" si="63"/>
        <v>10987</v>
      </c>
      <c r="U604" t="str">
        <f t="shared" si="64"/>
        <v>SAL</v>
      </c>
      <c r="V604" t="str">
        <f t="shared" si="65"/>
        <v>L1</v>
      </c>
      <c r="W604" t="str">
        <f>PROPER(TRIM(VLOOKUP(S604,Employee_Lookups!$I$4:$M$19,2,FALSE())))</f>
        <v>Karan Malhotra</v>
      </c>
      <c r="X604" t="str">
        <f>VLOOKUP(C604,Employee_Lookups!$A$4:$G$9,4,FALSE())</f>
        <v>CC-202</v>
      </c>
      <c r="Y604" t="str">
        <f>INDEX(Employee_Lookups!$C$13:$C$17,MATCH(F604,Employee_Lookups!$A$13:$A$17,0))</f>
        <v>Band A (Entry)</v>
      </c>
      <c r="Z604" s="27">
        <f>_xlfn.XLOOKUP(F604,Employee_Lookups!$A$13:$A$17,Employee_Lookups!$E$13:$E$17,0)</f>
        <v>700000</v>
      </c>
      <c r="AA604" s="28">
        <f>ROUND(O604/INDEX(Employee_Lookups!$E$13:$E$17,MATCH(F604,Employee_Lookups!$A$13:$A$17,0)),3)</f>
        <v>1.0509999999999999</v>
      </c>
      <c r="AB604">
        <f t="shared" si="66"/>
        <v>2022</v>
      </c>
      <c r="AC604">
        <f t="shared" si="67"/>
        <v>2023</v>
      </c>
      <c r="AD604" s="28">
        <f>ROUND((IF(ISBLANK(L604),Employee_Lookups!$O$14,L604)-J604)/365.25,2)</f>
        <v>0.89</v>
      </c>
      <c r="AE604" t="str">
        <f t="shared" si="68"/>
        <v>&lt; 1 Yr (New)</v>
      </c>
      <c r="AF604" t="str">
        <f t="shared" si="69"/>
        <v>Exited</v>
      </c>
    </row>
    <row r="605" spans="1:32" x14ac:dyDescent="0.45">
      <c r="A605" t="s">
        <v>1263</v>
      </c>
      <c r="B605" t="s">
        <v>501</v>
      </c>
      <c r="C605" t="s">
        <v>57</v>
      </c>
      <c r="D605" t="s">
        <v>56</v>
      </c>
      <c r="E605" t="s">
        <v>160</v>
      </c>
      <c r="F605" t="s">
        <v>81</v>
      </c>
      <c r="G605" t="s">
        <v>161</v>
      </c>
      <c r="H605" t="s">
        <v>106</v>
      </c>
      <c r="I605" t="s">
        <v>107</v>
      </c>
      <c r="J605" s="26">
        <v>44808</v>
      </c>
      <c r="K605" t="s">
        <v>162</v>
      </c>
      <c r="L605" s="26"/>
      <c r="M605" t="s">
        <v>163</v>
      </c>
      <c r="N605" t="s">
        <v>99</v>
      </c>
      <c r="O605" s="27">
        <v>640000</v>
      </c>
      <c r="P605">
        <v>4</v>
      </c>
      <c r="Q605" t="s">
        <v>164</v>
      </c>
      <c r="R605">
        <v>38</v>
      </c>
      <c r="S605" t="s">
        <v>224</v>
      </c>
      <c r="T605">
        <f t="shared" si="63"/>
        <v>10016</v>
      </c>
      <c r="U605" t="str">
        <f t="shared" si="64"/>
        <v>MKT</v>
      </c>
      <c r="V605" t="str">
        <f t="shared" si="65"/>
        <v>L1</v>
      </c>
      <c r="W605" t="str">
        <f>PROPER(TRIM(VLOOKUP(S605,Employee_Lookups!$I$4:$M$19,2,FALSE())))</f>
        <v>Tanvi Chitnis</v>
      </c>
      <c r="X605" t="str">
        <f>VLOOKUP(C605,Employee_Lookups!$A$4:$G$9,4,FALSE())</f>
        <v>CC-606</v>
      </c>
      <c r="Y605" t="str">
        <f>INDEX(Employee_Lookups!$C$13:$C$17,MATCH(F605,Employee_Lookups!$A$13:$A$17,0))</f>
        <v>Band A (Entry)</v>
      </c>
      <c r="Z605" s="27">
        <f>_xlfn.XLOOKUP(F605,Employee_Lookups!$A$13:$A$17,Employee_Lookups!$E$13:$E$17,0)</f>
        <v>700000</v>
      </c>
      <c r="AA605" s="28">
        <f>ROUND(O605/INDEX(Employee_Lookups!$E$13:$E$17,MATCH(F605,Employee_Lookups!$A$13:$A$17,0)),3)</f>
        <v>0.91400000000000003</v>
      </c>
      <c r="AB605">
        <f t="shared" si="66"/>
        <v>2022</v>
      </c>
      <c r="AC605" t="str">
        <f t="shared" si="67"/>
        <v/>
      </c>
      <c r="AD605" s="28">
        <f>ROUND((IF(ISBLANK(L605),Employee_Lookups!$O$14,L605)-J605)/365.25,2)</f>
        <v>3.32</v>
      </c>
      <c r="AE605" t="str">
        <f t="shared" si="68"/>
        <v>3 - 5 Yrs</v>
      </c>
      <c r="AF605" t="str">
        <f t="shared" si="69"/>
        <v>Low Risk</v>
      </c>
    </row>
    <row r="606" spans="1:32" x14ac:dyDescent="0.45">
      <c r="A606" t="s">
        <v>1264</v>
      </c>
      <c r="B606" t="s">
        <v>522</v>
      </c>
      <c r="C606" t="s">
        <v>51</v>
      </c>
      <c r="D606" t="s">
        <v>50</v>
      </c>
      <c r="E606" t="s">
        <v>176</v>
      </c>
      <c r="F606" t="s">
        <v>82</v>
      </c>
      <c r="G606" t="s">
        <v>177</v>
      </c>
      <c r="H606" t="s">
        <v>106</v>
      </c>
      <c r="I606" t="s">
        <v>107</v>
      </c>
      <c r="J606" s="26">
        <v>44811</v>
      </c>
      <c r="K606" t="s">
        <v>162</v>
      </c>
      <c r="L606" s="26"/>
      <c r="M606" t="s">
        <v>163</v>
      </c>
      <c r="N606" t="s">
        <v>98</v>
      </c>
      <c r="O606" s="27">
        <v>901000</v>
      </c>
      <c r="P606">
        <v>1</v>
      </c>
      <c r="Q606" t="s">
        <v>164</v>
      </c>
      <c r="R606">
        <v>21</v>
      </c>
      <c r="S606" t="s">
        <v>244</v>
      </c>
      <c r="T606">
        <f t="shared" si="63"/>
        <v>10344</v>
      </c>
      <c r="U606" t="str">
        <f t="shared" si="64"/>
        <v>ENG</v>
      </c>
      <c r="V606" t="str">
        <f t="shared" si="65"/>
        <v>L2</v>
      </c>
      <c r="W606" t="str">
        <f>PROPER(TRIM(VLOOKUP(S606,Employee_Lookups!$I$4:$M$19,2,FALSE())))</f>
        <v>Siddharth Nair</v>
      </c>
      <c r="X606" t="str">
        <f>VLOOKUP(C606,Employee_Lookups!$A$4:$G$9,4,FALSE())</f>
        <v>CC-101</v>
      </c>
      <c r="Y606" t="str">
        <f>INDEX(Employee_Lookups!$C$13:$C$17,MATCH(F606,Employee_Lookups!$A$13:$A$17,0))</f>
        <v>Band B (Mid)</v>
      </c>
      <c r="Z606" s="27">
        <f>_xlfn.XLOOKUP(F606,Employee_Lookups!$A$13:$A$17,Employee_Lookups!$E$13:$E$17,0)</f>
        <v>1100000</v>
      </c>
      <c r="AA606" s="28">
        <f>ROUND(O606/INDEX(Employee_Lookups!$E$13:$E$17,MATCH(F606,Employee_Lookups!$A$13:$A$17,0)),3)</f>
        <v>0.81899999999999995</v>
      </c>
      <c r="AB606">
        <f t="shared" si="66"/>
        <v>2022</v>
      </c>
      <c r="AC606" t="str">
        <f t="shared" si="67"/>
        <v/>
      </c>
      <c r="AD606" s="28">
        <f>ROUND((IF(ISBLANK(L606),Employee_Lookups!$O$14,L606)-J606)/365.25,2)</f>
        <v>3.32</v>
      </c>
      <c r="AE606" t="str">
        <f t="shared" si="68"/>
        <v>3 - 5 Yrs</v>
      </c>
      <c r="AF606" t="str">
        <f t="shared" si="69"/>
        <v>Moderate Risk</v>
      </c>
    </row>
    <row r="607" spans="1:32" x14ac:dyDescent="0.45">
      <c r="A607" t="s">
        <v>1265</v>
      </c>
      <c r="B607" t="s">
        <v>991</v>
      </c>
      <c r="C607" t="s">
        <v>51</v>
      </c>
      <c r="D607" t="s">
        <v>50</v>
      </c>
      <c r="E607" t="s">
        <v>181</v>
      </c>
      <c r="F607" t="s">
        <v>81</v>
      </c>
      <c r="G607" t="s">
        <v>182</v>
      </c>
      <c r="H607" t="s">
        <v>108</v>
      </c>
      <c r="I607" t="s">
        <v>107</v>
      </c>
      <c r="J607" s="26">
        <v>44812</v>
      </c>
      <c r="K607" t="s">
        <v>162</v>
      </c>
      <c r="L607" s="26"/>
      <c r="M607" t="s">
        <v>163</v>
      </c>
      <c r="N607" t="s">
        <v>96</v>
      </c>
      <c r="O607" s="27">
        <v>793000</v>
      </c>
      <c r="P607">
        <v>3</v>
      </c>
      <c r="Q607" t="s">
        <v>172</v>
      </c>
      <c r="R607">
        <v>36</v>
      </c>
      <c r="S607" t="s">
        <v>219</v>
      </c>
      <c r="T607">
        <f t="shared" si="63"/>
        <v>10186</v>
      </c>
      <c r="U607" t="str">
        <f t="shared" si="64"/>
        <v>ENG</v>
      </c>
      <c r="V607" t="str">
        <f t="shared" si="65"/>
        <v>L1</v>
      </c>
      <c r="W607" t="str">
        <f>PROPER(TRIM(VLOOKUP(S607,Employee_Lookups!$I$4:$M$19,2,FALSE())))</f>
        <v>Neha Kulkarni</v>
      </c>
      <c r="X607" t="str">
        <f>VLOOKUP(C607,Employee_Lookups!$A$4:$G$9,4,FALSE())</f>
        <v>CC-101</v>
      </c>
      <c r="Y607" t="str">
        <f>INDEX(Employee_Lookups!$C$13:$C$17,MATCH(F607,Employee_Lookups!$A$13:$A$17,0))</f>
        <v>Band A (Entry)</v>
      </c>
      <c r="Z607" s="27">
        <f>_xlfn.XLOOKUP(F607,Employee_Lookups!$A$13:$A$17,Employee_Lookups!$E$13:$E$17,0)</f>
        <v>700000</v>
      </c>
      <c r="AA607" s="28">
        <f>ROUND(O607/INDEX(Employee_Lookups!$E$13:$E$17,MATCH(F607,Employee_Lookups!$A$13:$A$17,0)),3)</f>
        <v>1.133</v>
      </c>
      <c r="AB607">
        <f t="shared" si="66"/>
        <v>2022</v>
      </c>
      <c r="AC607" t="str">
        <f t="shared" si="67"/>
        <v/>
      </c>
      <c r="AD607" s="28">
        <f>ROUND((IF(ISBLANK(L607),Employee_Lookups!$O$14,L607)-J607)/365.25,2)</f>
        <v>3.31</v>
      </c>
      <c r="AE607" t="str">
        <f t="shared" si="68"/>
        <v>3 - 5 Yrs</v>
      </c>
      <c r="AF607" t="str">
        <f t="shared" si="69"/>
        <v>Moderate Risk</v>
      </c>
    </row>
    <row r="608" spans="1:32" x14ac:dyDescent="0.45">
      <c r="A608" t="s">
        <v>1266</v>
      </c>
      <c r="B608" t="s">
        <v>1267</v>
      </c>
      <c r="C608" t="s">
        <v>51</v>
      </c>
      <c r="D608" t="s">
        <v>50</v>
      </c>
      <c r="E608" t="s">
        <v>176</v>
      </c>
      <c r="F608" t="s">
        <v>82</v>
      </c>
      <c r="G608" t="s">
        <v>177</v>
      </c>
      <c r="H608" t="s">
        <v>108</v>
      </c>
      <c r="I608" t="s">
        <v>107</v>
      </c>
      <c r="J608" s="26">
        <v>44814</v>
      </c>
      <c r="K608" t="s">
        <v>162</v>
      </c>
      <c r="L608" s="26"/>
      <c r="M608" t="s">
        <v>163</v>
      </c>
      <c r="N608" t="s">
        <v>99</v>
      </c>
      <c r="O608" s="27">
        <v>1189000</v>
      </c>
      <c r="P608">
        <v>2</v>
      </c>
      <c r="Q608" t="s">
        <v>164</v>
      </c>
      <c r="R608">
        <v>20</v>
      </c>
      <c r="S608" t="s">
        <v>178</v>
      </c>
      <c r="T608">
        <f t="shared" si="63"/>
        <v>10705</v>
      </c>
      <c r="U608" t="str">
        <f t="shared" si="64"/>
        <v>ENG</v>
      </c>
      <c r="V608" t="str">
        <f t="shared" si="65"/>
        <v>L2</v>
      </c>
      <c r="W608" t="str">
        <f>PROPER(TRIM(VLOOKUP(S608,Employee_Lookups!$I$4:$M$19,2,FALSE())))</f>
        <v>Aarav Deshmukh</v>
      </c>
      <c r="X608" t="str">
        <f>VLOOKUP(C608,Employee_Lookups!$A$4:$G$9,4,FALSE())</f>
        <v>CC-101</v>
      </c>
      <c r="Y608" t="str">
        <f>INDEX(Employee_Lookups!$C$13:$C$17,MATCH(F608,Employee_Lookups!$A$13:$A$17,0))</f>
        <v>Band B (Mid)</v>
      </c>
      <c r="Z608" s="27">
        <f>_xlfn.XLOOKUP(F608,Employee_Lookups!$A$13:$A$17,Employee_Lookups!$E$13:$E$17,0)</f>
        <v>1100000</v>
      </c>
      <c r="AA608" s="28">
        <f>ROUND(O608/INDEX(Employee_Lookups!$E$13:$E$17,MATCH(F608,Employee_Lookups!$A$13:$A$17,0)),3)</f>
        <v>1.081</v>
      </c>
      <c r="AB608">
        <f t="shared" si="66"/>
        <v>2022</v>
      </c>
      <c r="AC608" t="str">
        <f t="shared" si="67"/>
        <v/>
      </c>
      <c r="AD608" s="28">
        <f>ROUND((IF(ISBLANK(L608),Employee_Lookups!$O$14,L608)-J608)/365.25,2)</f>
        <v>3.31</v>
      </c>
      <c r="AE608" t="str">
        <f t="shared" si="68"/>
        <v>3 - 5 Yrs</v>
      </c>
      <c r="AF608" t="str">
        <f t="shared" si="69"/>
        <v>Moderate Risk</v>
      </c>
    </row>
    <row r="609" spans="1:32" x14ac:dyDescent="0.45">
      <c r="A609" t="s">
        <v>1268</v>
      </c>
      <c r="B609" t="s">
        <v>466</v>
      </c>
      <c r="C609" t="s">
        <v>53</v>
      </c>
      <c r="D609" t="s">
        <v>52</v>
      </c>
      <c r="E609" t="s">
        <v>185</v>
      </c>
      <c r="F609" t="s">
        <v>82</v>
      </c>
      <c r="G609" t="s">
        <v>186</v>
      </c>
      <c r="H609" t="s">
        <v>111</v>
      </c>
      <c r="I609" t="s">
        <v>110</v>
      </c>
      <c r="J609" s="26">
        <v>44814</v>
      </c>
      <c r="K609" t="s">
        <v>162</v>
      </c>
      <c r="L609" s="26"/>
      <c r="M609" t="s">
        <v>163</v>
      </c>
      <c r="N609" t="s">
        <v>95</v>
      </c>
      <c r="O609" s="27">
        <v>1149000</v>
      </c>
      <c r="P609">
        <v>4</v>
      </c>
      <c r="Q609" t="s">
        <v>164</v>
      </c>
      <c r="R609">
        <v>30</v>
      </c>
      <c r="S609" t="s">
        <v>237</v>
      </c>
      <c r="T609">
        <f t="shared" si="63"/>
        <v>10570</v>
      </c>
      <c r="U609" t="str">
        <f t="shared" si="64"/>
        <v>SAL</v>
      </c>
      <c r="V609" t="str">
        <f t="shared" si="65"/>
        <v>L2</v>
      </c>
      <c r="W609" t="str">
        <f>PROPER(TRIM(VLOOKUP(S609,Employee_Lookups!$I$4:$M$19,2,FALSE())))</f>
        <v>Karan Malhotra</v>
      </c>
      <c r="X609" t="str">
        <f>VLOOKUP(C609,Employee_Lookups!$A$4:$G$9,4,FALSE())</f>
        <v>CC-202</v>
      </c>
      <c r="Y609" t="str">
        <f>INDEX(Employee_Lookups!$C$13:$C$17,MATCH(F609,Employee_Lookups!$A$13:$A$17,0))</f>
        <v>Band B (Mid)</v>
      </c>
      <c r="Z609" s="27">
        <f>_xlfn.XLOOKUP(F609,Employee_Lookups!$A$13:$A$17,Employee_Lookups!$E$13:$E$17,0)</f>
        <v>1100000</v>
      </c>
      <c r="AA609" s="28">
        <f>ROUND(O609/INDEX(Employee_Lookups!$E$13:$E$17,MATCH(F609,Employee_Lookups!$A$13:$A$17,0)),3)</f>
        <v>1.0449999999999999</v>
      </c>
      <c r="AB609">
        <f t="shared" si="66"/>
        <v>2022</v>
      </c>
      <c r="AC609" t="str">
        <f t="shared" si="67"/>
        <v/>
      </c>
      <c r="AD609" s="28">
        <f>ROUND((IF(ISBLANK(L609),Employee_Lookups!$O$14,L609)-J609)/365.25,2)</f>
        <v>3.31</v>
      </c>
      <c r="AE609" t="str">
        <f t="shared" si="68"/>
        <v>3 - 5 Yrs</v>
      </c>
      <c r="AF609" t="str">
        <f t="shared" si="69"/>
        <v>Low Risk</v>
      </c>
    </row>
    <row r="610" spans="1:32" x14ac:dyDescent="0.45">
      <c r="A610" t="s">
        <v>1269</v>
      </c>
      <c r="B610" t="s">
        <v>479</v>
      </c>
      <c r="C610" t="s">
        <v>55</v>
      </c>
      <c r="D610" t="s">
        <v>54</v>
      </c>
      <c r="E610" t="s">
        <v>168</v>
      </c>
      <c r="F610" t="s">
        <v>84</v>
      </c>
      <c r="G610" t="s">
        <v>169</v>
      </c>
      <c r="H610" t="s">
        <v>106</v>
      </c>
      <c r="I610" t="s">
        <v>107</v>
      </c>
      <c r="J610" s="26">
        <v>44815</v>
      </c>
      <c r="K610" t="s">
        <v>162</v>
      </c>
      <c r="L610" s="26"/>
      <c r="M610" t="s">
        <v>163</v>
      </c>
      <c r="N610" t="s">
        <v>96</v>
      </c>
      <c r="O610" s="27">
        <v>3391000</v>
      </c>
      <c r="P610">
        <v>5</v>
      </c>
      <c r="Q610" t="s">
        <v>164</v>
      </c>
      <c r="R610">
        <v>32</v>
      </c>
      <c r="S610" t="s">
        <v>262</v>
      </c>
      <c r="T610">
        <f t="shared" si="63"/>
        <v>10756</v>
      </c>
      <c r="U610" t="str">
        <f t="shared" si="64"/>
        <v>OPS</v>
      </c>
      <c r="V610" t="str">
        <f t="shared" si="65"/>
        <v>L4</v>
      </c>
      <c r="W610" t="str">
        <f>PROPER(TRIM(VLOOKUP(S610,Employee_Lookups!$I$4:$M$19,2,FALSE())))</f>
        <v>Ananya Iyer</v>
      </c>
      <c r="X610" t="str">
        <f>VLOOKUP(C610,Employee_Lookups!$A$4:$G$9,4,FALSE())</f>
        <v>CC-303</v>
      </c>
      <c r="Y610" t="str">
        <f>INDEX(Employee_Lookups!$C$13:$C$17,MATCH(F610,Employee_Lookups!$A$13:$A$17,0))</f>
        <v>Band D (Leadership)</v>
      </c>
      <c r="Z610" s="27">
        <f>_xlfn.XLOOKUP(F610,Employee_Lookups!$A$13:$A$17,Employee_Lookups!$E$13:$E$17,0)</f>
        <v>2750000</v>
      </c>
      <c r="AA610" s="28">
        <f>ROUND(O610/INDEX(Employee_Lookups!$E$13:$E$17,MATCH(F610,Employee_Lookups!$A$13:$A$17,0)),3)</f>
        <v>1.2330000000000001</v>
      </c>
      <c r="AB610">
        <f t="shared" si="66"/>
        <v>2022</v>
      </c>
      <c r="AC610" t="str">
        <f t="shared" si="67"/>
        <v/>
      </c>
      <c r="AD610" s="28">
        <f>ROUND((IF(ISBLANK(L610),Employee_Lookups!$O$14,L610)-J610)/365.25,2)</f>
        <v>3.3</v>
      </c>
      <c r="AE610" t="str">
        <f t="shared" si="68"/>
        <v>3 - 5 Yrs</v>
      </c>
      <c r="AF610" t="str">
        <f t="shared" si="69"/>
        <v>Low Risk</v>
      </c>
    </row>
    <row r="611" spans="1:32" x14ac:dyDescent="0.45">
      <c r="A611" t="s">
        <v>1270</v>
      </c>
      <c r="B611" t="s">
        <v>1271</v>
      </c>
      <c r="C611" t="s">
        <v>51</v>
      </c>
      <c r="D611" t="s">
        <v>50</v>
      </c>
      <c r="E611" t="s">
        <v>176</v>
      </c>
      <c r="F611" t="s">
        <v>82</v>
      </c>
      <c r="G611" t="s">
        <v>177</v>
      </c>
      <c r="H611" t="s">
        <v>106</v>
      </c>
      <c r="I611" t="s">
        <v>107</v>
      </c>
      <c r="J611" s="26">
        <v>44815</v>
      </c>
      <c r="K611" t="s">
        <v>162</v>
      </c>
      <c r="L611" s="26"/>
      <c r="M611" t="s">
        <v>163</v>
      </c>
      <c r="N611" t="s">
        <v>97</v>
      </c>
      <c r="O611" s="27">
        <v>1322000</v>
      </c>
      <c r="P611">
        <v>3</v>
      </c>
      <c r="Q611" t="s">
        <v>172</v>
      </c>
      <c r="R611">
        <v>39</v>
      </c>
      <c r="S611" t="s">
        <v>197</v>
      </c>
      <c r="T611">
        <f t="shared" si="63"/>
        <v>10716</v>
      </c>
      <c r="U611" t="str">
        <f t="shared" si="64"/>
        <v>ENG</v>
      </c>
      <c r="V611" t="str">
        <f t="shared" si="65"/>
        <v>L2</v>
      </c>
      <c r="W611" t="str">
        <f>PROPER(TRIM(VLOOKUP(S611,Employee_Lookups!$I$4:$M$19,2,FALSE())))</f>
        <v>Rohan Verma</v>
      </c>
      <c r="X611" t="str">
        <f>VLOOKUP(C611,Employee_Lookups!$A$4:$G$9,4,FALSE())</f>
        <v>CC-101</v>
      </c>
      <c r="Y611" t="str">
        <f>INDEX(Employee_Lookups!$C$13:$C$17,MATCH(F611,Employee_Lookups!$A$13:$A$17,0))</f>
        <v>Band B (Mid)</v>
      </c>
      <c r="Z611" s="27">
        <f>_xlfn.XLOOKUP(F611,Employee_Lookups!$A$13:$A$17,Employee_Lookups!$E$13:$E$17,0)</f>
        <v>1100000</v>
      </c>
      <c r="AA611" s="28">
        <f>ROUND(O611/INDEX(Employee_Lookups!$E$13:$E$17,MATCH(F611,Employee_Lookups!$A$13:$A$17,0)),3)</f>
        <v>1.202</v>
      </c>
      <c r="AB611">
        <f t="shared" si="66"/>
        <v>2022</v>
      </c>
      <c r="AC611" t="str">
        <f t="shared" si="67"/>
        <v/>
      </c>
      <c r="AD611" s="28">
        <f>ROUND((IF(ISBLANK(L611),Employee_Lookups!$O$14,L611)-J611)/365.25,2)</f>
        <v>3.3</v>
      </c>
      <c r="AE611" t="str">
        <f t="shared" si="68"/>
        <v>3 - 5 Yrs</v>
      </c>
      <c r="AF611" t="str">
        <f t="shared" si="69"/>
        <v>Moderate Risk</v>
      </c>
    </row>
    <row r="612" spans="1:32" x14ac:dyDescent="0.45">
      <c r="A612" t="s">
        <v>1272</v>
      </c>
      <c r="B612" t="s">
        <v>610</v>
      </c>
      <c r="C612" t="s">
        <v>51</v>
      </c>
      <c r="D612" t="s">
        <v>50</v>
      </c>
      <c r="E612" t="s">
        <v>217</v>
      </c>
      <c r="F612" t="s">
        <v>83</v>
      </c>
      <c r="G612" t="s">
        <v>218</v>
      </c>
      <c r="H612" t="s">
        <v>106</v>
      </c>
      <c r="I612" t="s">
        <v>107</v>
      </c>
      <c r="J612" s="26">
        <v>44815</v>
      </c>
      <c r="K612" t="s">
        <v>187</v>
      </c>
      <c r="L612" s="26">
        <v>45249</v>
      </c>
      <c r="M612" t="s">
        <v>269</v>
      </c>
      <c r="N612" t="s">
        <v>95</v>
      </c>
      <c r="O612" s="27">
        <v>1822000</v>
      </c>
      <c r="P612">
        <v>3</v>
      </c>
      <c r="Q612" t="s">
        <v>172</v>
      </c>
      <c r="R612">
        <v>27</v>
      </c>
      <c r="S612" t="s">
        <v>244</v>
      </c>
      <c r="T612">
        <f t="shared" si="63"/>
        <v>11092</v>
      </c>
      <c r="U612" t="str">
        <f t="shared" si="64"/>
        <v>ENG</v>
      </c>
      <c r="V612" t="str">
        <f t="shared" si="65"/>
        <v>L3</v>
      </c>
      <c r="W612" t="str">
        <f>PROPER(TRIM(VLOOKUP(S612,Employee_Lookups!$I$4:$M$19,2,FALSE())))</f>
        <v>Siddharth Nair</v>
      </c>
      <c r="X612" t="str">
        <f>VLOOKUP(C612,Employee_Lookups!$A$4:$G$9,4,FALSE())</f>
        <v>CC-101</v>
      </c>
      <c r="Y612" t="str">
        <f>INDEX(Employee_Lookups!$C$13:$C$17,MATCH(F612,Employee_Lookups!$A$13:$A$17,0))</f>
        <v>Band C (Senior)</v>
      </c>
      <c r="Z612" s="27">
        <f>_xlfn.XLOOKUP(F612,Employee_Lookups!$A$13:$A$17,Employee_Lookups!$E$13:$E$17,0)</f>
        <v>1725000</v>
      </c>
      <c r="AA612" s="28">
        <f>ROUND(O612/INDEX(Employee_Lookups!$E$13:$E$17,MATCH(F612,Employee_Lookups!$A$13:$A$17,0)),3)</f>
        <v>1.056</v>
      </c>
      <c r="AB612">
        <f t="shared" si="66"/>
        <v>2022</v>
      </c>
      <c r="AC612">
        <f t="shared" si="67"/>
        <v>2023</v>
      </c>
      <c r="AD612" s="28">
        <f>ROUND((IF(ISBLANK(L612),Employee_Lookups!$O$14,L612)-J612)/365.25,2)</f>
        <v>1.19</v>
      </c>
      <c r="AE612" t="str">
        <f t="shared" si="68"/>
        <v>1 - 3 Yrs</v>
      </c>
      <c r="AF612" t="str">
        <f t="shared" si="69"/>
        <v>Exited</v>
      </c>
    </row>
    <row r="613" spans="1:32" x14ac:dyDescent="0.45">
      <c r="A613" t="s">
        <v>1273</v>
      </c>
      <c r="B613" t="s">
        <v>1274</v>
      </c>
      <c r="C613" t="s">
        <v>53</v>
      </c>
      <c r="D613" t="s">
        <v>52</v>
      </c>
      <c r="E613" t="s">
        <v>192</v>
      </c>
      <c r="F613" t="s">
        <v>83</v>
      </c>
      <c r="G613" t="s">
        <v>193</v>
      </c>
      <c r="H613" t="s">
        <v>106</v>
      </c>
      <c r="I613" t="s">
        <v>107</v>
      </c>
      <c r="J613" s="26">
        <v>44816</v>
      </c>
      <c r="K613" t="s">
        <v>187</v>
      </c>
      <c r="L613" s="26">
        <v>44903</v>
      </c>
      <c r="M613" t="s">
        <v>213</v>
      </c>
      <c r="N613" t="s">
        <v>95</v>
      </c>
      <c r="O613" s="27">
        <v>1995000</v>
      </c>
      <c r="P613">
        <v>3</v>
      </c>
      <c r="Q613" t="s">
        <v>172</v>
      </c>
      <c r="R613">
        <v>43</v>
      </c>
      <c r="S613" t="s">
        <v>189</v>
      </c>
      <c r="T613">
        <f t="shared" si="63"/>
        <v>10376</v>
      </c>
      <c r="U613" t="str">
        <f t="shared" si="64"/>
        <v>SAL</v>
      </c>
      <c r="V613" t="str">
        <f t="shared" si="65"/>
        <v>L3</v>
      </c>
      <c r="W613" t="str">
        <f>PROPER(TRIM(VLOOKUP(S613,Employee_Lookups!$I$4:$M$19,2,FALSE())))</f>
        <v>Priya Sharma</v>
      </c>
      <c r="X613" t="str">
        <f>VLOOKUP(C613,Employee_Lookups!$A$4:$G$9,4,FALSE())</f>
        <v>CC-202</v>
      </c>
      <c r="Y613" t="str">
        <f>INDEX(Employee_Lookups!$C$13:$C$17,MATCH(F613,Employee_Lookups!$A$13:$A$17,0))</f>
        <v>Band C (Senior)</v>
      </c>
      <c r="Z613" s="27">
        <f>_xlfn.XLOOKUP(F613,Employee_Lookups!$A$13:$A$17,Employee_Lookups!$E$13:$E$17,0)</f>
        <v>1725000</v>
      </c>
      <c r="AA613" s="28">
        <f>ROUND(O613/INDEX(Employee_Lookups!$E$13:$E$17,MATCH(F613,Employee_Lookups!$A$13:$A$17,0)),3)</f>
        <v>1.157</v>
      </c>
      <c r="AB613">
        <f t="shared" si="66"/>
        <v>2022</v>
      </c>
      <c r="AC613">
        <f t="shared" si="67"/>
        <v>2022</v>
      </c>
      <c r="AD613" s="28">
        <f>ROUND((IF(ISBLANK(L613),Employee_Lookups!$O$14,L613)-J613)/365.25,2)</f>
        <v>0.24</v>
      </c>
      <c r="AE613" t="str">
        <f t="shared" si="68"/>
        <v>&lt; 1 Yr (New)</v>
      </c>
      <c r="AF613" t="str">
        <f t="shared" si="69"/>
        <v>Exited</v>
      </c>
    </row>
    <row r="614" spans="1:32" x14ac:dyDescent="0.45">
      <c r="A614" t="s">
        <v>1275</v>
      </c>
      <c r="B614" t="s">
        <v>1276</v>
      </c>
      <c r="C614" t="s">
        <v>53</v>
      </c>
      <c r="D614" t="s">
        <v>52</v>
      </c>
      <c r="E614" t="s">
        <v>200</v>
      </c>
      <c r="F614" t="s">
        <v>84</v>
      </c>
      <c r="G614" t="s">
        <v>201</v>
      </c>
      <c r="H614" t="s">
        <v>106</v>
      </c>
      <c r="I614" t="s">
        <v>107</v>
      </c>
      <c r="J614" s="26">
        <v>44817</v>
      </c>
      <c r="K614" t="s">
        <v>187</v>
      </c>
      <c r="L614" s="26">
        <v>45036</v>
      </c>
      <c r="M614" t="s">
        <v>282</v>
      </c>
      <c r="N614" t="s">
        <v>96</v>
      </c>
      <c r="O614" s="27">
        <v>2388000</v>
      </c>
      <c r="P614">
        <v>3</v>
      </c>
      <c r="Q614" t="s">
        <v>172</v>
      </c>
      <c r="R614">
        <v>44</v>
      </c>
      <c r="S614" t="s">
        <v>237</v>
      </c>
      <c r="T614">
        <f t="shared" si="63"/>
        <v>10515</v>
      </c>
      <c r="U614" t="str">
        <f t="shared" si="64"/>
        <v>SAL</v>
      </c>
      <c r="V614" t="str">
        <f t="shared" si="65"/>
        <v>L4</v>
      </c>
      <c r="W614" t="str">
        <f>PROPER(TRIM(VLOOKUP(S614,Employee_Lookups!$I$4:$M$19,2,FALSE())))</f>
        <v>Karan Malhotra</v>
      </c>
      <c r="X614" t="str">
        <f>VLOOKUP(C614,Employee_Lookups!$A$4:$G$9,4,FALSE())</f>
        <v>CC-202</v>
      </c>
      <c r="Y614" t="str">
        <f>INDEX(Employee_Lookups!$C$13:$C$17,MATCH(F614,Employee_Lookups!$A$13:$A$17,0))</f>
        <v>Band D (Leadership)</v>
      </c>
      <c r="Z614" s="27">
        <f>_xlfn.XLOOKUP(F614,Employee_Lookups!$A$13:$A$17,Employee_Lookups!$E$13:$E$17,0)</f>
        <v>2750000</v>
      </c>
      <c r="AA614" s="28">
        <f>ROUND(O614/INDEX(Employee_Lookups!$E$13:$E$17,MATCH(F614,Employee_Lookups!$A$13:$A$17,0)),3)</f>
        <v>0.86799999999999999</v>
      </c>
      <c r="AB614">
        <f t="shared" si="66"/>
        <v>2022</v>
      </c>
      <c r="AC614">
        <f t="shared" si="67"/>
        <v>2023</v>
      </c>
      <c r="AD614" s="28">
        <f>ROUND((IF(ISBLANK(L614),Employee_Lookups!$O$14,L614)-J614)/365.25,2)</f>
        <v>0.6</v>
      </c>
      <c r="AE614" t="str">
        <f t="shared" si="68"/>
        <v>&lt; 1 Yr (New)</v>
      </c>
      <c r="AF614" t="str">
        <f t="shared" si="69"/>
        <v>Exited</v>
      </c>
    </row>
    <row r="615" spans="1:32" x14ac:dyDescent="0.45">
      <c r="A615" t="s">
        <v>1277</v>
      </c>
      <c r="B615" t="s">
        <v>1116</v>
      </c>
      <c r="C615" t="s">
        <v>53</v>
      </c>
      <c r="D615" t="s">
        <v>52</v>
      </c>
      <c r="E615" t="s">
        <v>185</v>
      </c>
      <c r="F615" t="s">
        <v>82</v>
      </c>
      <c r="G615" t="s">
        <v>186</v>
      </c>
      <c r="H615" t="s">
        <v>112</v>
      </c>
      <c r="I615" t="s">
        <v>113</v>
      </c>
      <c r="J615" s="26">
        <v>44820</v>
      </c>
      <c r="K615" t="s">
        <v>162</v>
      </c>
      <c r="L615" s="26"/>
      <c r="M615" t="s">
        <v>163</v>
      </c>
      <c r="N615" t="s">
        <v>95</v>
      </c>
      <c r="O615" s="27">
        <v>1269000</v>
      </c>
      <c r="P615">
        <v>3</v>
      </c>
      <c r="Q615" t="s">
        <v>172</v>
      </c>
      <c r="R615">
        <v>0</v>
      </c>
      <c r="S615" t="s">
        <v>237</v>
      </c>
      <c r="T615">
        <f t="shared" si="63"/>
        <v>11151</v>
      </c>
      <c r="U615" t="str">
        <f t="shared" si="64"/>
        <v>SAL</v>
      </c>
      <c r="V615" t="str">
        <f t="shared" si="65"/>
        <v>L2</v>
      </c>
      <c r="W615" t="str">
        <f>PROPER(TRIM(VLOOKUP(S615,Employee_Lookups!$I$4:$M$19,2,FALSE())))</f>
        <v>Karan Malhotra</v>
      </c>
      <c r="X615" t="str">
        <f>VLOOKUP(C615,Employee_Lookups!$A$4:$G$9,4,FALSE())</f>
        <v>CC-202</v>
      </c>
      <c r="Y615" t="str">
        <f>INDEX(Employee_Lookups!$C$13:$C$17,MATCH(F615,Employee_Lookups!$A$13:$A$17,0))</f>
        <v>Band B (Mid)</v>
      </c>
      <c r="Z615" s="27">
        <f>_xlfn.XLOOKUP(F615,Employee_Lookups!$A$13:$A$17,Employee_Lookups!$E$13:$E$17,0)</f>
        <v>1100000</v>
      </c>
      <c r="AA615" s="28">
        <f>ROUND(O615/INDEX(Employee_Lookups!$E$13:$E$17,MATCH(F615,Employee_Lookups!$A$13:$A$17,0)),3)</f>
        <v>1.1539999999999999</v>
      </c>
      <c r="AB615">
        <f t="shared" si="66"/>
        <v>2022</v>
      </c>
      <c r="AC615" t="str">
        <f t="shared" si="67"/>
        <v/>
      </c>
      <c r="AD615" s="28">
        <f>ROUND((IF(ISBLANK(L615),Employee_Lookups!$O$14,L615)-J615)/365.25,2)</f>
        <v>3.29</v>
      </c>
      <c r="AE615" t="str">
        <f t="shared" si="68"/>
        <v>3 - 5 Yrs</v>
      </c>
      <c r="AF615" t="str">
        <f t="shared" si="69"/>
        <v>Moderate Risk</v>
      </c>
    </row>
    <row r="616" spans="1:32" x14ac:dyDescent="0.45">
      <c r="A616" t="s">
        <v>1278</v>
      </c>
      <c r="B616" t="s">
        <v>681</v>
      </c>
      <c r="C616" t="s">
        <v>53</v>
      </c>
      <c r="D616" t="s">
        <v>52</v>
      </c>
      <c r="E616" t="s">
        <v>185</v>
      </c>
      <c r="F616" t="s">
        <v>82</v>
      </c>
      <c r="G616" t="s">
        <v>186</v>
      </c>
      <c r="H616" t="s">
        <v>106</v>
      </c>
      <c r="I616" t="s">
        <v>107</v>
      </c>
      <c r="J616" s="26">
        <v>44821</v>
      </c>
      <c r="K616" t="s">
        <v>187</v>
      </c>
      <c r="L616" s="26">
        <v>44993</v>
      </c>
      <c r="M616" t="s">
        <v>188</v>
      </c>
      <c r="N616" t="s">
        <v>99</v>
      </c>
      <c r="O616" s="27">
        <v>1210000</v>
      </c>
      <c r="P616">
        <v>5</v>
      </c>
      <c r="Q616" t="s">
        <v>164</v>
      </c>
      <c r="R616">
        <v>25</v>
      </c>
      <c r="S616" t="s">
        <v>189</v>
      </c>
      <c r="T616">
        <f t="shared" si="63"/>
        <v>10374</v>
      </c>
      <c r="U616" t="str">
        <f t="shared" si="64"/>
        <v>SAL</v>
      </c>
      <c r="V616" t="str">
        <f t="shared" si="65"/>
        <v>L2</v>
      </c>
      <c r="W616" t="str">
        <f>PROPER(TRIM(VLOOKUP(S616,Employee_Lookups!$I$4:$M$19,2,FALSE())))</f>
        <v>Priya Sharma</v>
      </c>
      <c r="X616" t="str">
        <f>VLOOKUP(C616,Employee_Lookups!$A$4:$G$9,4,FALSE())</f>
        <v>CC-202</v>
      </c>
      <c r="Y616" t="str">
        <f>INDEX(Employee_Lookups!$C$13:$C$17,MATCH(F616,Employee_Lookups!$A$13:$A$17,0))</f>
        <v>Band B (Mid)</v>
      </c>
      <c r="Z616" s="27">
        <f>_xlfn.XLOOKUP(F616,Employee_Lookups!$A$13:$A$17,Employee_Lookups!$E$13:$E$17,0)</f>
        <v>1100000</v>
      </c>
      <c r="AA616" s="28">
        <f>ROUND(O616/INDEX(Employee_Lookups!$E$13:$E$17,MATCH(F616,Employee_Lookups!$A$13:$A$17,0)),3)</f>
        <v>1.1000000000000001</v>
      </c>
      <c r="AB616">
        <f t="shared" si="66"/>
        <v>2022</v>
      </c>
      <c r="AC616">
        <f t="shared" si="67"/>
        <v>2023</v>
      </c>
      <c r="AD616" s="28">
        <f>ROUND((IF(ISBLANK(L616),Employee_Lookups!$O$14,L616)-J616)/365.25,2)</f>
        <v>0.47</v>
      </c>
      <c r="AE616" t="str">
        <f t="shared" si="68"/>
        <v>&lt; 1 Yr (New)</v>
      </c>
      <c r="AF616" t="str">
        <f t="shared" si="69"/>
        <v>Exited</v>
      </c>
    </row>
    <row r="617" spans="1:32" x14ac:dyDescent="0.45">
      <c r="A617" t="s">
        <v>1279</v>
      </c>
      <c r="B617" t="s">
        <v>511</v>
      </c>
      <c r="C617" t="s">
        <v>51</v>
      </c>
      <c r="D617" t="s">
        <v>50</v>
      </c>
      <c r="E617" t="s">
        <v>181</v>
      </c>
      <c r="F617" t="s">
        <v>81</v>
      </c>
      <c r="G617" t="s">
        <v>182</v>
      </c>
      <c r="H617" t="s">
        <v>106</v>
      </c>
      <c r="I617" t="s">
        <v>107</v>
      </c>
      <c r="J617" s="26">
        <v>44823</v>
      </c>
      <c r="K617" t="s">
        <v>162</v>
      </c>
      <c r="L617" s="26"/>
      <c r="M617" t="s">
        <v>163</v>
      </c>
      <c r="N617" t="s">
        <v>97</v>
      </c>
      <c r="O617" s="27">
        <v>593000</v>
      </c>
      <c r="P617">
        <v>4</v>
      </c>
      <c r="Q617" t="s">
        <v>164</v>
      </c>
      <c r="R617">
        <v>36</v>
      </c>
      <c r="S617" t="s">
        <v>178</v>
      </c>
      <c r="T617">
        <f t="shared" si="63"/>
        <v>11028</v>
      </c>
      <c r="U617" t="str">
        <f t="shared" si="64"/>
        <v>ENG</v>
      </c>
      <c r="V617" t="str">
        <f t="shared" si="65"/>
        <v>L1</v>
      </c>
      <c r="W617" t="str">
        <f>PROPER(TRIM(VLOOKUP(S617,Employee_Lookups!$I$4:$M$19,2,FALSE())))</f>
        <v>Aarav Deshmukh</v>
      </c>
      <c r="X617" t="str">
        <f>VLOOKUP(C617,Employee_Lookups!$A$4:$G$9,4,FALSE())</f>
        <v>CC-101</v>
      </c>
      <c r="Y617" t="str">
        <f>INDEX(Employee_Lookups!$C$13:$C$17,MATCH(F617,Employee_Lookups!$A$13:$A$17,0))</f>
        <v>Band A (Entry)</v>
      </c>
      <c r="Z617" s="27">
        <f>_xlfn.XLOOKUP(F617,Employee_Lookups!$A$13:$A$17,Employee_Lookups!$E$13:$E$17,0)</f>
        <v>700000</v>
      </c>
      <c r="AA617" s="28">
        <f>ROUND(O617/INDEX(Employee_Lookups!$E$13:$E$17,MATCH(F617,Employee_Lookups!$A$13:$A$17,0)),3)</f>
        <v>0.84699999999999998</v>
      </c>
      <c r="AB617">
        <f t="shared" si="66"/>
        <v>2022</v>
      </c>
      <c r="AC617" t="str">
        <f t="shared" si="67"/>
        <v/>
      </c>
      <c r="AD617" s="28">
        <f>ROUND((IF(ISBLANK(L617),Employee_Lookups!$O$14,L617)-J617)/365.25,2)</f>
        <v>3.28</v>
      </c>
      <c r="AE617" t="str">
        <f t="shared" si="68"/>
        <v>3 - 5 Yrs</v>
      </c>
      <c r="AF617" t="str">
        <f t="shared" si="69"/>
        <v>Low Risk</v>
      </c>
    </row>
    <row r="618" spans="1:32" x14ac:dyDescent="0.45">
      <c r="A618" t="s">
        <v>1280</v>
      </c>
      <c r="B618" t="s">
        <v>1281</v>
      </c>
      <c r="C618" t="s">
        <v>57</v>
      </c>
      <c r="D618" t="s">
        <v>56</v>
      </c>
      <c r="E618" t="s">
        <v>455</v>
      </c>
      <c r="F618" t="s">
        <v>84</v>
      </c>
      <c r="G618" t="s">
        <v>456</v>
      </c>
      <c r="H618" t="s">
        <v>106</v>
      </c>
      <c r="I618" t="s">
        <v>107</v>
      </c>
      <c r="J618" s="26">
        <v>44824</v>
      </c>
      <c r="K618" t="s">
        <v>170</v>
      </c>
      <c r="L618" s="26">
        <v>45091</v>
      </c>
      <c r="M618" t="s">
        <v>171</v>
      </c>
      <c r="N618" t="s">
        <v>99</v>
      </c>
      <c r="O618" s="27">
        <v>2619000</v>
      </c>
      <c r="P618">
        <v>3</v>
      </c>
      <c r="Q618" t="s">
        <v>164</v>
      </c>
      <c r="R618">
        <v>37</v>
      </c>
      <c r="S618" t="s">
        <v>224</v>
      </c>
      <c r="T618">
        <f t="shared" si="63"/>
        <v>11387</v>
      </c>
      <c r="U618" t="str">
        <f t="shared" si="64"/>
        <v>MKT</v>
      </c>
      <c r="V618" t="str">
        <f t="shared" si="65"/>
        <v>L4</v>
      </c>
      <c r="W618" t="str">
        <f>PROPER(TRIM(VLOOKUP(S618,Employee_Lookups!$I$4:$M$19,2,FALSE())))</f>
        <v>Tanvi Chitnis</v>
      </c>
      <c r="X618" t="str">
        <f>VLOOKUP(C618,Employee_Lookups!$A$4:$G$9,4,FALSE())</f>
        <v>CC-606</v>
      </c>
      <c r="Y618" t="str">
        <f>INDEX(Employee_Lookups!$C$13:$C$17,MATCH(F618,Employee_Lookups!$A$13:$A$17,0))</f>
        <v>Band D (Leadership)</v>
      </c>
      <c r="Z618" s="27">
        <f>_xlfn.XLOOKUP(F618,Employee_Lookups!$A$13:$A$17,Employee_Lookups!$E$13:$E$17,0)</f>
        <v>2750000</v>
      </c>
      <c r="AA618" s="28">
        <f>ROUND(O618/INDEX(Employee_Lookups!$E$13:$E$17,MATCH(F618,Employee_Lookups!$A$13:$A$17,0)),3)</f>
        <v>0.95199999999999996</v>
      </c>
      <c r="AB618">
        <f t="shared" si="66"/>
        <v>2022</v>
      </c>
      <c r="AC618">
        <f t="shared" si="67"/>
        <v>2023</v>
      </c>
      <c r="AD618" s="28">
        <f>ROUND((IF(ISBLANK(L618),Employee_Lookups!$O$14,L618)-J618)/365.25,2)</f>
        <v>0.73</v>
      </c>
      <c r="AE618" t="str">
        <f t="shared" si="68"/>
        <v>&lt; 1 Yr (New)</v>
      </c>
      <c r="AF618" t="str">
        <f t="shared" si="69"/>
        <v>Exited</v>
      </c>
    </row>
    <row r="619" spans="1:32" x14ac:dyDescent="0.45">
      <c r="A619" t="s">
        <v>1282</v>
      </c>
      <c r="B619" t="s">
        <v>988</v>
      </c>
      <c r="C619" t="s">
        <v>55</v>
      </c>
      <c r="D619" t="s">
        <v>54</v>
      </c>
      <c r="E619" t="s">
        <v>240</v>
      </c>
      <c r="F619" t="s">
        <v>83</v>
      </c>
      <c r="G619" t="s">
        <v>241</v>
      </c>
      <c r="H619" t="s">
        <v>106</v>
      </c>
      <c r="I619" t="s">
        <v>107</v>
      </c>
      <c r="J619" s="26">
        <v>44825</v>
      </c>
      <c r="K619" t="s">
        <v>170</v>
      </c>
      <c r="L619" s="26">
        <v>45556</v>
      </c>
      <c r="M619" t="s">
        <v>171</v>
      </c>
      <c r="N619" t="s">
        <v>99</v>
      </c>
      <c r="O619" s="27">
        <v>2056000</v>
      </c>
      <c r="P619">
        <v>2</v>
      </c>
      <c r="Q619" t="s">
        <v>172</v>
      </c>
      <c r="R619">
        <v>31</v>
      </c>
      <c r="S619" t="s">
        <v>262</v>
      </c>
      <c r="T619">
        <f t="shared" si="63"/>
        <v>10222</v>
      </c>
      <c r="U619" t="str">
        <f t="shared" si="64"/>
        <v>OPS</v>
      </c>
      <c r="V619" t="str">
        <f t="shared" si="65"/>
        <v>L3</v>
      </c>
      <c r="W619" t="str">
        <f>PROPER(TRIM(VLOOKUP(S619,Employee_Lookups!$I$4:$M$19,2,FALSE())))</f>
        <v>Ananya Iyer</v>
      </c>
      <c r="X619" t="str">
        <f>VLOOKUP(C619,Employee_Lookups!$A$4:$G$9,4,FALSE())</f>
        <v>CC-303</v>
      </c>
      <c r="Y619" t="str">
        <f>INDEX(Employee_Lookups!$C$13:$C$17,MATCH(F619,Employee_Lookups!$A$13:$A$17,0))</f>
        <v>Band C (Senior)</v>
      </c>
      <c r="Z619" s="27">
        <f>_xlfn.XLOOKUP(F619,Employee_Lookups!$A$13:$A$17,Employee_Lookups!$E$13:$E$17,0)</f>
        <v>1725000</v>
      </c>
      <c r="AA619" s="28">
        <f>ROUND(O619/INDEX(Employee_Lookups!$E$13:$E$17,MATCH(F619,Employee_Lookups!$A$13:$A$17,0)),3)</f>
        <v>1.1919999999999999</v>
      </c>
      <c r="AB619">
        <f t="shared" si="66"/>
        <v>2022</v>
      </c>
      <c r="AC619">
        <f t="shared" si="67"/>
        <v>2024</v>
      </c>
      <c r="AD619" s="28">
        <f>ROUND((IF(ISBLANK(L619),Employee_Lookups!$O$14,L619)-J619)/365.25,2)</f>
        <v>2</v>
      </c>
      <c r="AE619" t="str">
        <f t="shared" si="68"/>
        <v>1 - 3 Yrs</v>
      </c>
      <c r="AF619" t="str">
        <f t="shared" si="69"/>
        <v>Exited</v>
      </c>
    </row>
    <row r="620" spans="1:32" x14ac:dyDescent="0.45">
      <c r="A620" t="s">
        <v>1283</v>
      </c>
      <c r="B620" t="s">
        <v>1284</v>
      </c>
      <c r="C620" t="s">
        <v>53</v>
      </c>
      <c r="D620" t="s">
        <v>52</v>
      </c>
      <c r="E620" t="s">
        <v>185</v>
      </c>
      <c r="F620" t="s">
        <v>82</v>
      </c>
      <c r="G620" t="s">
        <v>186</v>
      </c>
      <c r="H620" t="s">
        <v>106</v>
      </c>
      <c r="I620" t="s">
        <v>107</v>
      </c>
      <c r="J620" s="26">
        <v>44825</v>
      </c>
      <c r="K620" t="s">
        <v>162</v>
      </c>
      <c r="L620" s="26"/>
      <c r="M620" t="s">
        <v>163</v>
      </c>
      <c r="N620" t="s">
        <v>97</v>
      </c>
      <c r="O620" s="27">
        <v>892000</v>
      </c>
      <c r="P620">
        <v>4</v>
      </c>
      <c r="Q620" t="s">
        <v>164</v>
      </c>
      <c r="R620">
        <v>45</v>
      </c>
      <c r="S620" t="s">
        <v>189</v>
      </c>
      <c r="T620">
        <f t="shared" si="63"/>
        <v>10933</v>
      </c>
      <c r="U620" t="str">
        <f t="shared" si="64"/>
        <v>SAL</v>
      </c>
      <c r="V620" t="str">
        <f t="shared" si="65"/>
        <v>L2</v>
      </c>
      <c r="W620" t="str">
        <f>PROPER(TRIM(VLOOKUP(S620,Employee_Lookups!$I$4:$M$19,2,FALSE())))</f>
        <v>Priya Sharma</v>
      </c>
      <c r="X620" t="str">
        <f>VLOOKUP(C620,Employee_Lookups!$A$4:$G$9,4,FALSE())</f>
        <v>CC-202</v>
      </c>
      <c r="Y620" t="str">
        <f>INDEX(Employee_Lookups!$C$13:$C$17,MATCH(F620,Employee_Lookups!$A$13:$A$17,0))</f>
        <v>Band B (Mid)</v>
      </c>
      <c r="Z620" s="27">
        <f>_xlfn.XLOOKUP(F620,Employee_Lookups!$A$13:$A$17,Employee_Lookups!$E$13:$E$17,0)</f>
        <v>1100000</v>
      </c>
      <c r="AA620" s="28">
        <f>ROUND(O620/INDEX(Employee_Lookups!$E$13:$E$17,MATCH(F620,Employee_Lookups!$A$13:$A$17,0)),3)</f>
        <v>0.81100000000000005</v>
      </c>
      <c r="AB620">
        <f t="shared" si="66"/>
        <v>2022</v>
      </c>
      <c r="AC620" t="str">
        <f t="shared" si="67"/>
        <v/>
      </c>
      <c r="AD620" s="28">
        <f>ROUND((IF(ISBLANK(L620),Employee_Lookups!$O$14,L620)-J620)/365.25,2)</f>
        <v>3.28</v>
      </c>
      <c r="AE620" t="str">
        <f t="shared" si="68"/>
        <v>3 - 5 Yrs</v>
      </c>
      <c r="AF620" t="str">
        <f t="shared" si="69"/>
        <v>Low Risk</v>
      </c>
    </row>
    <row r="621" spans="1:32" x14ac:dyDescent="0.45">
      <c r="A621" t="s">
        <v>1285</v>
      </c>
      <c r="B621" t="s">
        <v>349</v>
      </c>
      <c r="C621" t="s">
        <v>59</v>
      </c>
      <c r="D621" t="s">
        <v>58</v>
      </c>
      <c r="E621" t="s">
        <v>211</v>
      </c>
      <c r="F621" t="s">
        <v>82</v>
      </c>
      <c r="G621" t="s">
        <v>212</v>
      </c>
      <c r="H621" t="s">
        <v>106</v>
      </c>
      <c r="I621" t="s">
        <v>107</v>
      </c>
      <c r="J621" s="26">
        <v>44827</v>
      </c>
      <c r="K621" t="s">
        <v>187</v>
      </c>
      <c r="L621" s="26">
        <v>45863</v>
      </c>
      <c r="M621" t="s">
        <v>269</v>
      </c>
      <c r="N621" t="s">
        <v>99</v>
      </c>
      <c r="O621" s="27">
        <v>1181000</v>
      </c>
      <c r="P621">
        <v>3</v>
      </c>
      <c r="Q621" t="s">
        <v>172</v>
      </c>
      <c r="R621">
        <v>38</v>
      </c>
      <c r="S621" t="s">
        <v>214</v>
      </c>
      <c r="T621">
        <f t="shared" si="63"/>
        <v>10727</v>
      </c>
      <c r="U621" t="str">
        <f t="shared" si="64"/>
        <v>FIN</v>
      </c>
      <c r="V621" t="str">
        <f t="shared" si="65"/>
        <v>L2</v>
      </c>
      <c r="W621" t="str">
        <f>PROPER(TRIM(VLOOKUP(S621,Employee_Lookups!$I$4:$M$19,2,FALSE())))</f>
        <v>Aditya Gokhale</v>
      </c>
      <c r="X621" t="str">
        <f>VLOOKUP(C621,Employee_Lookups!$A$4:$G$9,4,FALSE())</f>
        <v>CC-404</v>
      </c>
      <c r="Y621" t="str">
        <f>INDEX(Employee_Lookups!$C$13:$C$17,MATCH(F621,Employee_Lookups!$A$13:$A$17,0))</f>
        <v>Band B (Mid)</v>
      </c>
      <c r="Z621" s="27">
        <f>_xlfn.XLOOKUP(F621,Employee_Lookups!$A$13:$A$17,Employee_Lookups!$E$13:$E$17,0)</f>
        <v>1100000</v>
      </c>
      <c r="AA621" s="28">
        <f>ROUND(O621/INDEX(Employee_Lookups!$E$13:$E$17,MATCH(F621,Employee_Lookups!$A$13:$A$17,0)),3)</f>
        <v>1.0740000000000001</v>
      </c>
      <c r="AB621">
        <f t="shared" si="66"/>
        <v>2022</v>
      </c>
      <c r="AC621">
        <f t="shared" si="67"/>
        <v>2025</v>
      </c>
      <c r="AD621" s="28">
        <f>ROUND((IF(ISBLANK(L621),Employee_Lookups!$O$14,L621)-J621)/365.25,2)</f>
        <v>2.84</v>
      </c>
      <c r="AE621" t="str">
        <f t="shared" si="68"/>
        <v>1 - 3 Yrs</v>
      </c>
      <c r="AF621" t="str">
        <f t="shared" si="69"/>
        <v>Exited</v>
      </c>
    </row>
    <row r="622" spans="1:32" x14ac:dyDescent="0.45">
      <c r="A622" t="s">
        <v>1286</v>
      </c>
      <c r="B622" t="s">
        <v>1287</v>
      </c>
      <c r="C622" t="s">
        <v>57</v>
      </c>
      <c r="D622" t="s">
        <v>56</v>
      </c>
      <c r="E622" t="s">
        <v>222</v>
      </c>
      <c r="F622" t="s">
        <v>82</v>
      </c>
      <c r="G622" t="s">
        <v>223</v>
      </c>
      <c r="H622" t="s">
        <v>108</v>
      </c>
      <c r="I622" t="s">
        <v>107</v>
      </c>
      <c r="J622" s="26">
        <v>44827</v>
      </c>
      <c r="K622" t="s">
        <v>162</v>
      </c>
      <c r="L622" s="26"/>
      <c r="M622" t="s">
        <v>163</v>
      </c>
      <c r="N622" t="s">
        <v>99</v>
      </c>
      <c r="O622" s="27">
        <v>979000</v>
      </c>
      <c r="P622">
        <v>3</v>
      </c>
      <c r="Q622" t="s">
        <v>164</v>
      </c>
      <c r="R622">
        <v>24</v>
      </c>
      <c r="S622" t="s">
        <v>165</v>
      </c>
      <c r="T622">
        <f t="shared" si="63"/>
        <v>11206</v>
      </c>
      <c r="U622" t="str">
        <f t="shared" si="64"/>
        <v>MKT</v>
      </c>
      <c r="V622" t="str">
        <f t="shared" si="65"/>
        <v>L2</v>
      </c>
      <c r="W622" t="str">
        <f>PROPER(TRIM(VLOOKUP(S622,Employee_Lookups!$I$4:$M$19,2,FALSE())))</f>
        <v>Arjun Sengupta</v>
      </c>
      <c r="X622" t="str">
        <f>VLOOKUP(C622,Employee_Lookups!$A$4:$G$9,4,FALSE())</f>
        <v>CC-606</v>
      </c>
      <c r="Y622" t="str">
        <f>INDEX(Employee_Lookups!$C$13:$C$17,MATCH(F622,Employee_Lookups!$A$13:$A$17,0))</f>
        <v>Band B (Mid)</v>
      </c>
      <c r="Z622" s="27">
        <f>_xlfn.XLOOKUP(F622,Employee_Lookups!$A$13:$A$17,Employee_Lookups!$E$13:$E$17,0)</f>
        <v>1100000</v>
      </c>
      <c r="AA622" s="28">
        <f>ROUND(O622/INDEX(Employee_Lookups!$E$13:$E$17,MATCH(F622,Employee_Lookups!$A$13:$A$17,0)),3)</f>
        <v>0.89</v>
      </c>
      <c r="AB622">
        <f t="shared" si="66"/>
        <v>2022</v>
      </c>
      <c r="AC622" t="str">
        <f t="shared" si="67"/>
        <v/>
      </c>
      <c r="AD622" s="28">
        <f>ROUND((IF(ISBLANK(L622),Employee_Lookups!$O$14,L622)-J622)/365.25,2)</f>
        <v>3.27</v>
      </c>
      <c r="AE622" t="str">
        <f t="shared" si="68"/>
        <v>3 - 5 Yrs</v>
      </c>
      <c r="AF622" t="str">
        <f t="shared" si="69"/>
        <v>Low Risk</v>
      </c>
    </row>
    <row r="623" spans="1:32" x14ac:dyDescent="0.45">
      <c r="A623" t="s">
        <v>1288</v>
      </c>
      <c r="B623" t="s">
        <v>1289</v>
      </c>
      <c r="C623" t="s">
        <v>51</v>
      </c>
      <c r="D623" t="s">
        <v>50</v>
      </c>
      <c r="E623" t="s">
        <v>217</v>
      </c>
      <c r="F623" t="s">
        <v>83</v>
      </c>
      <c r="G623" t="s">
        <v>218</v>
      </c>
      <c r="H623" t="s">
        <v>106</v>
      </c>
      <c r="I623" t="s">
        <v>107</v>
      </c>
      <c r="J623" s="26">
        <v>44828</v>
      </c>
      <c r="K623" t="s">
        <v>162</v>
      </c>
      <c r="L623" s="26"/>
      <c r="M623" t="s">
        <v>163</v>
      </c>
      <c r="N623" t="s">
        <v>95</v>
      </c>
      <c r="O623" s="27">
        <v>2009000</v>
      </c>
      <c r="P623">
        <v>3</v>
      </c>
      <c r="Q623" t="s">
        <v>172</v>
      </c>
      <c r="R623">
        <v>32</v>
      </c>
      <c r="S623" t="s">
        <v>244</v>
      </c>
      <c r="T623">
        <f t="shared" si="63"/>
        <v>11423</v>
      </c>
      <c r="U623" t="str">
        <f t="shared" si="64"/>
        <v>ENG</v>
      </c>
      <c r="V623" t="str">
        <f t="shared" si="65"/>
        <v>L3</v>
      </c>
      <c r="W623" t="str">
        <f>PROPER(TRIM(VLOOKUP(S623,Employee_Lookups!$I$4:$M$19,2,FALSE())))</f>
        <v>Siddharth Nair</v>
      </c>
      <c r="X623" t="str">
        <f>VLOOKUP(C623,Employee_Lookups!$A$4:$G$9,4,FALSE())</f>
        <v>CC-101</v>
      </c>
      <c r="Y623" t="str">
        <f>INDEX(Employee_Lookups!$C$13:$C$17,MATCH(F623,Employee_Lookups!$A$13:$A$17,0))</f>
        <v>Band C (Senior)</v>
      </c>
      <c r="Z623" s="27">
        <f>_xlfn.XLOOKUP(F623,Employee_Lookups!$A$13:$A$17,Employee_Lookups!$E$13:$E$17,0)</f>
        <v>1725000</v>
      </c>
      <c r="AA623" s="28">
        <f>ROUND(O623/INDEX(Employee_Lookups!$E$13:$E$17,MATCH(F623,Employee_Lookups!$A$13:$A$17,0)),3)</f>
        <v>1.165</v>
      </c>
      <c r="AB623">
        <f t="shared" si="66"/>
        <v>2022</v>
      </c>
      <c r="AC623" t="str">
        <f t="shared" si="67"/>
        <v/>
      </c>
      <c r="AD623" s="28">
        <f>ROUND((IF(ISBLANK(L623),Employee_Lookups!$O$14,L623)-J623)/365.25,2)</f>
        <v>3.27</v>
      </c>
      <c r="AE623" t="str">
        <f t="shared" si="68"/>
        <v>3 - 5 Yrs</v>
      </c>
      <c r="AF623" t="str">
        <f t="shared" si="69"/>
        <v>Moderate Risk</v>
      </c>
    </row>
    <row r="624" spans="1:32" x14ac:dyDescent="0.45">
      <c r="A624" t="s">
        <v>1290</v>
      </c>
      <c r="B624" t="s">
        <v>205</v>
      </c>
      <c r="C624" t="s">
        <v>59</v>
      </c>
      <c r="D624" t="s">
        <v>58</v>
      </c>
      <c r="E624" t="s">
        <v>206</v>
      </c>
      <c r="F624" t="s">
        <v>81</v>
      </c>
      <c r="G624" t="s">
        <v>207</v>
      </c>
      <c r="H624" t="s">
        <v>109</v>
      </c>
      <c r="I624" t="s">
        <v>110</v>
      </c>
      <c r="J624" s="26">
        <v>44828</v>
      </c>
      <c r="K624" t="s">
        <v>187</v>
      </c>
      <c r="L624" s="26">
        <v>45026</v>
      </c>
      <c r="M624" t="s">
        <v>282</v>
      </c>
      <c r="N624" t="s">
        <v>99</v>
      </c>
      <c r="O624" s="27">
        <v>804000</v>
      </c>
      <c r="P624">
        <v>4</v>
      </c>
      <c r="Q624" t="s">
        <v>164</v>
      </c>
      <c r="R624">
        <v>33</v>
      </c>
      <c r="S624" t="s">
        <v>214</v>
      </c>
      <c r="T624">
        <f t="shared" si="63"/>
        <v>10834</v>
      </c>
      <c r="U624" t="str">
        <f t="shared" si="64"/>
        <v>FIN</v>
      </c>
      <c r="V624" t="str">
        <f t="shared" si="65"/>
        <v>L1</v>
      </c>
      <c r="W624" t="str">
        <f>PROPER(TRIM(VLOOKUP(S624,Employee_Lookups!$I$4:$M$19,2,FALSE())))</f>
        <v>Aditya Gokhale</v>
      </c>
      <c r="X624" t="str">
        <f>VLOOKUP(C624,Employee_Lookups!$A$4:$G$9,4,FALSE())</f>
        <v>CC-404</v>
      </c>
      <c r="Y624" t="str">
        <f>INDEX(Employee_Lookups!$C$13:$C$17,MATCH(F624,Employee_Lookups!$A$13:$A$17,0))</f>
        <v>Band A (Entry)</v>
      </c>
      <c r="Z624" s="27">
        <f>_xlfn.XLOOKUP(F624,Employee_Lookups!$A$13:$A$17,Employee_Lookups!$E$13:$E$17,0)</f>
        <v>700000</v>
      </c>
      <c r="AA624" s="28">
        <f>ROUND(O624/INDEX(Employee_Lookups!$E$13:$E$17,MATCH(F624,Employee_Lookups!$A$13:$A$17,0)),3)</f>
        <v>1.149</v>
      </c>
      <c r="AB624">
        <f t="shared" si="66"/>
        <v>2022</v>
      </c>
      <c r="AC624">
        <f t="shared" si="67"/>
        <v>2023</v>
      </c>
      <c r="AD624" s="28">
        <f>ROUND((IF(ISBLANK(L624),Employee_Lookups!$O$14,L624)-J624)/365.25,2)</f>
        <v>0.54</v>
      </c>
      <c r="AE624" t="str">
        <f t="shared" si="68"/>
        <v>&lt; 1 Yr (New)</v>
      </c>
      <c r="AF624" t="str">
        <f t="shared" si="69"/>
        <v>Exited</v>
      </c>
    </row>
    <row r="625" spans="1:32" x14ac:dyDescent="0.45">
      <c r="A625" t="s">
        <v>1291</v>
      </c>
      <c r="B625" t="s">
        <v>921</v>
      </c>
      <c r="C625" t="s">
        <v>61</v>
      </c>
      <c r="D625" t="s">
        <v>60</v>
      </c>
      <c r="E625" t="s">
        <v>356</v>
      </c>
      <c r="F625" t="s">
        <v>81</v>
      </c>
      <c r="G625" t="s">
        <v>357</v>
      </c>
      <c r="H625" t="s">
        <v>111</v>
      </c>
      <c r="I625" t="s">
        <v>110</v>
      </c>
      <c r="J625" s="26">
        <v>44828</v>
      </c>
      <c r="K625" t="s">
        <v>162</v>
      </c>
      <c r="L625" s="26"/>
      <c r="M625" t="s">
        <v>163</v>
      </c>
      <c r="N625" t="s">
        <v>96</v>
      </c>
      <c r="O625" s="27">
        <v>697000</v>
      </c>
      <c r="P625">
        <v>4</v>
      </c>
      <c r="Q625" t="s">
        <v>164</v>
      </c>
      <c r="R625">
        <v>34</v>
      </c>
      <c r="S625" t="s">
        <v>319</v>
      </c>
      <c r="T625">
        <f t="shared" si="63"/>
        <v>11100</v>
      </c>
      <c r="U625" t="str">
        <f t="shared" si="64"/>
        <v>-HR</v>
      </c>
      <c r="V625" t="str">
        <f t="shared" si="65"/>
        <v>L1</v>
      </c>
      <c r="W625" t="str">
        <f>PROPER(TRIM(VLOOKUP(S625,Employee_Lookups!$I$4:$M$19,2,FALSE())))</f>
        <v>Kavita Menon</v>
      </c>
      <c r="X625" t="str">
        <f>VLOOKUP(C625,Employee_Lookups!$A$4:$G$9,4,FALSE())</f>
        <v>CC-505</v>
      </c>
      <c r="Y625" t="str">
        <f>INDEX(Employee_Lookups!$C$13:$C$17,MATCH(F625,Employee_Lookups!$A$13:$A$17,0))</f>
        <v>Band A (Entry)</v>
      </c>
      <c r="Z625" s="27">
        <f>_xlfn.XLOOKUP(F625,Employee_Lookups!$A$13:$A$17,Employee_Lookups!$E$13:$E$17,0)</f>
        <v>700000</v>
      </c>
      <c r="AA625" s="28">
        <f>ROUND(O625/INDEX(Employee_Lookups!$E$13:$E$17,MATCH(F625,Employee_Lookups!$A$13:$A$17,0)),3)</f>
        <v>0.996</v>
      </c>
      <c r="AB625">
        <f t="shared" si="66"/>
        <v>2022</v>
      </c>
      <c r="AC625" t="str">
        <f t="shared" si="67"/>
        <v/>
      </c>
      <c r="AD625" s="28">
        <f>ROUND((IF(ISBLANK(L625),Employee_Lookups!$O$14,L625)-J625)/365.25,2)</f>
        <v>3.27</v>
      </c>
      <c r="AE625" t="str">
        <f t="shared" si="68"/>
        <v>3 - 5 Yrs</v>
      </c>
      <c r="AF625" t="str">
        <f t="shared" si="69"/>
        <v>Low Risk</v>
      </c>
    </row>
    <row r="626" spans="1:32" x14ac:dyDescent="0.45">
      <c r="A626" t="s">
        <v>1292</v>
      </c>
      <c r="B626" t="s">
        <v>1060</v>
      </c>
      <c r="C626" t="s">
        <v>53</v>
      </c>
      <c r="D626" t="s">
        <v>52</v>
      </c>
      <c r="E626" t="s">
        <v>192</v>
      </c>
      <c r="F626" t="s">
        <v>83</v>
      </c>
      <c r="G626" t="s">
        <v>193</v>
      </c>
      <c r="H626" t="s">
        <v>106</v>
      </c>
      <c r="I626" t="s">
        <v>107</v>
      </c>
      <c r="J626" s="26">
        <v>44832</v>
      </c>
      <c r="K626" t="s">
        <v>162</v>
      </c>
      <c r="L626" s="26"/>
      <c r="M626" t="s">
        <v>163</v>
      </c>
      <c r="N626" t="s">
        <v>97</v>
      </c>
      <c r="O626" s="27">
        <v>1625000</v>
      </c>
      <c r="P626">
        <v>3</v>
      </c>
      <c r="Q626" t="s">
        <v>164</v>
      </c>
      <c r="R626">
        <v>37</v>
      </c>
      <c r="S626" t="s">
        <v>194</v>
      </c>
      <c r="T626">
        <f t="shared" si="63"/>
        <v>10849</v>
      </c>
      <c r="U626" t="str">
        <f t="shared" si="64"/>
        <v>SAL</v>
      </c>
      <c r="V626" t="str">
        <f t="shared" si="65"/>
        <v>L3</v>
      </c>
      <c r="W626" t="str">
        <f>PROPER(TRIM(VLOOKUP(S626,Employee_Lookups!$I$4:$M$19,2,FALSE())))</f>
        <v>Vikramaditya Joshi</v>
      </c>
      <c r="X626" t="str">
        <f>VLOOKUP(C626,Employee_Lookups!$A$4:$G$9,4,FALSE())</f>
        <v>CC-202</v>
      </c>
      <c r="Y626" t="str">
        <f>INDEX(Employee_Lookups!$C$13:$C$17,MATCH(F626,Employee_Lookups!$A$13:$A$17,0))</f>
        <v>Band C (Senior)</v>
      </c>
      <c r="Z626" s="27">
        <f>_xlfn.XLOOKUP(F626,Employee_Lookups!$A$13:$A$17,Employee_Lookups!$E$13:$E$17,0)</f>
        <v>1725000</v>
      </c>
      <c r="AA626" s="28">
        <f>ROUND(O626/INDEX(Employee_Lookups!$E$13:$E$17,MATCH(F626,Employee_Lookups!$A$13:$A$17,0)),3)</f>
        <v>0.94199999999999995</v>
      </c>
      <c r="AB626">
        <f t="shared" si="66"/>
        <v>2022</v>
      </c>
      <c r="AC626" t="str">
        <f t="shared" si="67"/>
        <v/>
      </c>
      <c r="AD626" s="28">
        <f>ROUND((IF(ISBLANK(L626),Employee_Lookups!$O$14,L626)-J626)/365.25,2)</f>
        <v>3.26</v>
      </c>
      <c r="AE626" t="str">
        <f t="shared" si="68"/>
        <v>3 - 5 Yrs</v>
      </c>
      <c r="AF626" t="str">
        <f t="shared" si="69"/>
        <v>Low Risk</v>
      </c>
    </row>
    <row r="627" spans="1:32" x14ac:dyDescent="0.45">
      <c r="A627" t="s">
        <v>1293</v>
      </c>
      <c r="B627" t="s">
        <v>1276</v>
      </c>
      <c r="C627" t="s">
        <v>51</v>
      </c>
      <c r="D627" t="s">
        <v>50</v>
      </c>
      <c r="E627" t="s">
        <v>397</v>
      </c>
      <c r="F627" t="s">
        <v>84</v>
      </c>
      <c r="G627" t="s">
        <v>398</v>
      </c>
      <c r="H627" t="s">
        <v>109</v>
      </c>
      <c r="I627" t="s">
        <v>110</v>
      </c>
      <c r="J627" s="26">
        <v>44836</v>
      </c>
      <c r="K627" t="s">
        <v>162</v>
      </c>
      <c r="L627" s="26"/>
      <c r="M627" t="s">
        <v>163</v>
      </c>
      <c r="N627" t="s">
        <v>95</v>
      </c>
      <c r="O627" s="27">
        <v>3275000</v>
      </c>
      <c r="P627">
        <v>3</v>
      </c>
      <c r="Q627" t="s">
        <v>164</v>
      </c>
      <c r="R627">
        <v>34</v>
      </c>
      <c r="S627" t="s">
        <v>197</v>
      </c>
      <c r="T627">
        <f t="shared" si="63"/>
        <v>10681</v>
      </c>
      <c r="U627" t="str">
        <f t="shared" si="64"/>
        <v>ENG</v>
      </c>
      <c r="V627" t="str">
        <f t="shared" si="65"/>
        <v>L4</v>
      </c>
      <c r="W627" t="str">
        <f>PROPER(TRIM(VLOOKUP(S627,Employee_Lookups!$I$4:$M$19,2,FALSE())))</f>
        <v>Rohan Verma</v>
      </c>
      <c r="X627" t="str">
        <f>VLOOKUP(C627,Employee_Lookups!$A$4:$G$9,4,FALSE())</f>
        <v>CC-101</v>
      </c>
      <c r="Y627" t="str">
        <f>INDEX(Employee_Lookups!$C$13:$C$17,MATCH(F627,Employee_Lookups!$A$13:$A$17,0))</f>
        <v>Band D (Leadership)</v>
      </c>
      <c r="Z627" s="27">
        <f>_xlfn.XLOOKUP(F627,Employee_Lookups!$A$13:$A$17,Employee_Lookups!$E$13:$E$17,0)</f>
        <v>2750000</v>
      </c>
      <c r="AA627" s="28">
        <f>ROUND(O627/INDEX(Employee_Lookups!$E$13:$E$17,MATCH(F627,Employee_Lookups!$A$13:$A$17,0)),3)</f>
        <v>1.1910000000000001</v>
      </c>
      <c r="AB627">
        <f t="shared" si="66"/>
        <v>2022</v>
      </c>
      <c r="AC627" t="str">
        <f t="shared" si="67"/>
        <v/>
      </c>
      <c r="AD627" s="28">
        <f>ROUND((IF(ISBLANK(L627),Employee_Lookups!$O$14,L627)-J627)/365.25,2)</f>
        <v>3.25</v>
      </c>
      <c r="AE627" t="str">
        <f t="shared" si="68"/>
        <v>3 - 5 Yrs</v>
      </c>
      <c r="AF627" t="str">
        <f t="shared" si="69"/>
        <v>Low Risk</v>
      </c>
    </row>
    <row r="628" spans="1:32" x14ac:dyDescent="0.45">
      <c r="A628" t="s">
        <v>1294</v>
      </c>
      <c r="B628" t="s">
        <v>546</v>
      </c>
      <c r="C628" t="s">
        <v>61</v>
      </c>
      <c r="D628" t="s">
        <v>60</v>
      </c>
      <c r="E628" t="s">
        <v>356</v>
      </c>
      <c r="F628" t="s">
        <v>81</v>
      </c>
      <c r="G628" t="s">
        <v>357</v>
      </c>
      <c r="H628" t="s">
        <v>106</v>
      </c>
      <c r="I628" t="s">
        <v>107</v>
      </c>
      <c r="J628" s="26">
        <v>44836</v>
      </c>
      <c r="K628" t="s">
        <v>187</v>
      </c>
      <c r="L628" s="26">
        <v>45505</v>
      </c>
      <c r="M628" t="s">
        <v>213</v>
      </c>
      <c r="N628" t="s">
        <v>98</v>
      </c>
      <c r="O628" s="27">
        <v>745000</v>
      </c>
      <c r="P628">
        <v>3</v>
      </c>
      <c r="Q628" t="s">
        <v>172</v>
      </c>
      <c r="R628">
        <v>53</v>
      </c>
      <c r="S628" t="s">
        <v>253</v>
      </c>
      <c r="T628">
        <f t="shared" si="63"/>
        <v>10775</v>
      </c>
      <c r="U628" t="str">
        <f t="shared" si="64"/>
        <v>-HR</v>
      </c>
      <c r="V628" t="str">
        <f t="shared" si="65"/>
        <v>L1</v>
      </c>
      <c r="W628" t="str">
        <f>PROPER(TRIM(VLOOKUP(S628,Employee_Lookups!$I$4:$M$19,2,FALSE())))</f>
        <v>Nikhil Chatterjee</v>
      </c>
      <c r="X628" t="str">
        <f>VLOOKUP(C628,Employee_Lookups!$A$4:$G$9,4,FALSE())</f>
        <v>CC-505</v>
      </c>
      <c r="Y628" t="str">
        <f>INDEX(Employee_Lookups!$C$13:$C$17,MATCH(F628,Employee_Lookups!$A$13:$A$17,0))</f>
        <v>Band A (Entry)</v>
      </c>
      <c r="Z628" s="27">
        <f>_xlfn.XLOOKUP(F628,Employee_Lookups!$A$13:$A$17,Employee_Lookups!$E$13:$E$17,0)</f>
        <v>700000</v>
      </c>
      <c r="AA628" s="28">
        <f>ROUND(O628/INDEX(Employee_Lookups!$E$13:$E$17,MATCH(F628,Employee_Lookups!$A$13:$A$17,0)),3)</f>
        <v>1.0640000000000001</v>
      </c>
      <c r="AB628">
        <f t="shared" si="66"/>
        <v>2022</v>
      </c>
      <c r="AC628">
        <f t="shared" si="67"/>
        <v>2024</v>
      </c>
      <c r="AD628" s="28">
        <f>ROUND((IF(ISBLANK(L628),Employee_Lookups!$O$14,L628)-J628)/365.25,2)</f>
        <v>1.83</v>
      </c>
      <c r="AE628" t="str">
        <f t="shared" si="68"/>
        <v>1 - 3 Yrs</v>
      </c>
      <c r="AF628" t="str">
        <f t="shared" si="69"/>
        <v>Exited</v>
      </c>
    </row>
    <row r="629" spans="1:32" x14ac:dyDescent="0.45">
      <c r="A629" t="s">
        <v>1295</v>
      </c>
      <c r="B629" t="s">
        <v>1296</v>
      </c>
      <c r="C629" t="s">
        <v>55</v>
      </c>
      <c r="D629" t="s">
        <v>54</v>
      </c>
      <c r="E629" t="s">
        <v>240</v>
      </c>
      <c r="F629" t="s">
        <v>83</v>
      </c>
      <c r="G629" t="s">
        <v>241</v>
      </c>
      <c r="H629" t="s">
        <v>109</v>
      </c>
      <c r="I629" t="s">
        <v>110</v>
      </c>
      <c r="J629" s="26">
        <v>44838</v>
      </c>
      <c r="K629" t="s">
        <v>162</v>
      </c>
      <c r="L629" s="26"/>
      <c r="M629" t="s">
        <v>163</v>
      </c>
      <c r="N629" t="s">
        <v>97</v>
      </c>
      <c r="O629" s="27">
        <v>1384000</v>
      </c>
      <c r="P629">
        <v>3</v>
      </c>
      <c r="Q629" t="s">
        <v>164</v>
      </c>
      <c r="R629">
        <v>40</v>
      </c>
      <c r="S629" t="s">
        <v>274</v>
      </c>
      <c r="T629">
        <f t="shared" si="63"/>
        <v>11433</v>
      </c>
      <c r="U629" t="str">
        <f t="shared" si="64"/>
        <v>OPS</v>
      </c>
      <c r="V629" t="str">
        <f t="shared" si="65"/>
        <v>L3</v>
      </c>
      <c r="W629" t="str">
        <f>PROPER(TRIM(VLOOKUP(S629,Employee_Lookups!$I$4:$M$19,2,FALSE())))</f>
        <v>Meera Krishnan</v>
      </c>
      <c r="X629" t="str">
        <f>VLOOKUP(C629,Employee_Lookups!$A$4:$G$9,4,FALSE())</f>
        <v>CC-303</v>
      </c>
      <c r="Y629" t="str">
        <f>INDEX(Employee_Lookups!$C$13:$C$17,MATCH(F629,Employee_Lookups!$A$13:$A$17,0))</f>
        <v>Band C (Senior)</v>
      </c>
      <c r="Z629" s="27">
        <f>_xlfn.XLOOKUP(F629,Employee_Lookups!$A$13:$A$17,Employee_Lookups!$E$13:$E$17,0)</f>
        <v>1725000</v>
      </c>
      <c r="AA629" s="28">
        <f>ROUND(O629/INDEX(Employee_Lookups!$E$13:$E$17,MATCH(F629,Employee_Lookups!$A$13:$A$17,0)),3)</f>
        <v>0.80200000000000005</v>
      </c>
      <c r="AB629">
        <f t="shared" si="66"/>
        <v>2022</v>
      </c>
      <c r="AC629" t="str">
        <f t="shared" si="67"/>
        <v/>
      </c>
      <c r="AD629" s="28">
        <f>ROUND((IF(ISBLANK(L629),Employee_Lookups!$O$14,L629)-J629)/365.25,2)</f>
        <v>3.24</v>
      </c>
      <c r="AE629" t="str">
        <f t="shared" si="68"/>
        <v>3 - 5 Yrs</v>
      </c>
      <c r="AF629" t="str">
        <f t="shared" si="69"/>
        <v>Low Risk</v>
      </c>
    </row>
    <row r="630" spans="1:32" x14ac:dyDescent="0.45">
      <c r="A630" t="s">
        <v>1297</v>
      </c>
      <c r="B630" t="s">
        <v>1298</v>
      </c>
      <c r="C630" t="s">
        <v>53</v>
      </c>
      <c r="D630" t="s">
        <v>52</v>
      </c>
      <c r="E630" t="s">
        <v>185</v>
      </c>
      <c r="F630" t="s">
        <v>82</v>
      </c>
      <c r="G630" t="s">
        <v>186</v>
      </c>
      <c r="H630" t="s">
        <v>106</v>
      </c>
      <c r="I630" t="s">
        <v>107</v>
      </c>
      <c r="J630" s="26">
        <v>44838</v>
      </c>
      <c r="K630" t="s">
        <v>162</v>
      </c>
      <c r="L630" s="26"/>
      <c r="M630" t="s">
        <v>163</v>
      </c>
      <c r="N630" t="s">
        <v>99</v>
      </c>
      <c r="O630" s="27">
        <v>987000</v>
      </c>
      <c r="P630">
        <v>3</v>
      </c>
      <c r="Q630" t="s">
        <v>164</v>
      </c>
      <c r="R630">
        <v>21</v>
      </c>
      <c r="S630" t="s">
        <v>237</v>
      </c>
      <c r="T630">
        <f t="shared" si="63"/>
        <v>10876</v>
      </c>
      <c r="U630" t="str">
        <f t="shared" si="64"/>
        <v>SAL</v>
      </c>
      <c r="V630" t="str">
        <f t="shared" si="65"/>
        <v>L2</v>
      </c>
      <c r="W630" t="str">
        <f>PROPER(TRIM(VLOOKUP(S630,Employee_Lookups!$I$4:$M$19,2,FALSE())))</f>
        <v>Karan Malhotra</v>
      </c>
      <c r="X630" t="str">
        <f>VLOOKUP(C630,Employee_Lookups!$A$4:$G$9,4,FALSE())</f>
        <v>CC-202</v>
      </c>
      <c r="Y630" t="str">
        <f>INDEX(Employee_Lookups!$C$13:$C$17,MATCH(F630,Employee_Lookups!$A$13:$A$17,0))</f>
        <v>Band B (Mid)</v>
      </c>
      <c r="Z630" s="27">
        <f>_xlfn.XLOOKUP(F630,Employee_Lookups!$A$13:$A$17,Employee_Lookups!$E$13:$E$17,0)</f>
        <v>1100000</v>
      </c>
      <c r="AA630" s="28">
        <f>ROUND(O630/INDEX(Employee_Lookups!$E$13:$E$17,MATCH(F630,Employee_Lookups!$A$13:$A$17,0)),3)</f>
        <v>0.89700000000000002</v>
      </c>
      <c r="AB630">
        <f t="shared" si="66"/>
        <v>2022</v>
      </c>
      <c r="AC630" t="str">
        <f t="shared" si="67"/>
        <v/>
      </c>
      <c r="AD630" s="28">
        <f>ROUND((IF(ISBLANK(L630),Employee_Lookups!$O$14,L630)-J630)/365.25,2)</f>
        <v>3.24</v>
      </c>
      <c r="AE630" t="str">
        <f t="shared" si="68"/>
        <v>3 - 5 Yrs</v>
      </c>
      <c r="AF630" t="str">
        <f t="shared" si="69"/>
        <v>Low Risk</v>
      </c>
    </row>
    <row r="631" spans="1:32" x14ac:dyDescent="0.45">
      <c r="A631" t="s">
        <v>1299</v>
      </c>
      <c r="B631" t="s">
        <v>689</v>
      </c>
      <c r="C631" t="s">
        <v>61</v>
      </c>
      <c r="D631" t="s">
        <v>60</v>
      </c>
      <c r="E631" t="s">
        <v>251</v>
      </c>
      <c r="F631" t="s">
        <v>82</v>
      </c>
      <c r="G631" t="s">
        <v>252</v>
      </c>
      <c r="H631" t="s">
        <v>106</v>
      </c>
      <c r="I631" t="s">
        <v>107</v>
      </c>
      <c r="J631" s="26">
        <v>44838</v>
      </c>
      <c r="K631" t="s">
        <v>162</v>
      </c>
      <c r="L631" s="26"/>
      <c r="M631" t="s">
        <v>163</v>
      </c>
      <c r="N631" t="s">
        <v>97</v>
      </c>
      <c r="O631" s="27">
        <v>976000</v>
      </c>
      <c r="P631">
        <v>5</v>
      </c>
      <c r="Q631" t="s">
        <v>164</v>
      </c>
      <c r="R631">
        <v>39</v>
      </c>
      <c r="S631" t="s">
        <v>253</v>
      </c>
      <c r="T631">
        <f t="shared" si="63"/>
        <v>11196</v>
      </c>
      <c r="U631" t="str">
        <f t="shared" si="64"/>
        <v>-HR</v>
      </c>
      <c r="V631" t="str">
        <f t="shared" si="65"/>
        <v>L2</v>
      </c>
      <c r="W631" t="str">
        <f>PROPER(TRIM(VLOOKUP(S631,Employee_Lookups!$I$4:$M$19,2,FALSE())))</f>
        <v>Nikhil Chatterjee</v>
      </c>
      <c r="X631" t="str">
        <f>VLOOKUP(C631,Employee_Lookups!$A$4:$G$9,4,FALSE())</f>
        <v>CC-505</v>
      </c>
      <c r="Y631" t="str">
        <f>INDEX(Employee_Lookups!$C$13:$C$17,MATCH(F631,Employee_Lookups!$A$13:$A$17,0))</f>
        <v>Band B (Mid)</v>
      </c>
      <c r="Z631" s="27">
        <f>_xlfn.XLOOKUP(F631,Employee_Lookups!$A$13:$A$17,Employee_Lookups!$E$13:$E$17,0)</f>
        <v>1100000</v>
      </c>
      <c r="AA631" s="28">
        <f>ROUND(O631/INDEX(Employee_Lookups!$E$13:$E$17,MATCH(F631,Employee_Lookups!$A$13:$A$17,0)),3)</f>
        <v>0.88700000000000001</v>
      </c>
      <c r="AB631">
        <f t="shared" si="66"/>
        <v>2022</v>
      </c>
      <c r="AC631" t="str">
        <f t="shared" si="67"/>
        <v/>
      </c>
      <c r="AD631" s="28">
        <f>ROUND((IF(ISBLANK(L631),Employee_Lookups!$O$14,L631)-J631)/365.25,2)</f>
        <v>3.24</v>
      </c>
      <c r="AE631" t="str">
        <f t="shared" si="68"/>
        <v>3 - 5 Yrs</v>
      </c>
      <c r="AF631" t="str">
        <f t="shared" si="69"/>
        <v>Low Risk</v>
      </c>
    </row>
    <row r="632" spans="1:32" x14ac:dyDescent="0.45">
      <c r="A632" t="s">
        <v>1300</v>
      </c>
      <c r="B632" t="s">
        <v>1039</v>
      </c>
      <c r="C632" t="s">
        <v>51</v>
      </c>
      <c r="D632" t="s">
        <v>50</v>
      </c>
      <c r="E632" t="s">
        <v>181</v>
      </c>
      <c r="F632" t="s">
        <v>81</v>
      </c>
      <c r="G632" t="s">
        <v>182</v>
      </c>
      <c r="H632" t="s">
        <v>109</v>
      </c>
      <c r="I632" t="s">
        <v>110</v>
      </c>
      <c r="J632" s="26">
        <v>44840</v>
      </c>
      <c r="K632" t="s">
        <v>162</v>
      </c>
      <c r="L632" s="26"/>
      <c r="M632" t="s">
        <v>163</v>
      </c>
      <c r="N632" t="s">
        <v>96</v>
      </c>
      <c r="O632" s="27">
        <v>701000</v>
      </c>
      <c r="P632">
        <v>3</v>
      </c>
      <c r="Q632" t="s">
        <v>172</v>
      </c>
      <c r="R632">
        <v>45</v>
      </c>
      <c r="S632" t="s">
        <v>178</v>
      </c>
      <c r="T632">
        <f t="shared" si="63"/>
        <v>10914</v>
      </c>
      <c r="U632" t="str">
        <f t="shared" si="64"/>
        <v>ENG</v>
      </c>
      <c r="V632" t="str">
        <f t="shared" si="65"/>
        <v>L1</v>
      </c>
      <c r="W632" t="str">
        <f>PROPER(TRIM(VLOOKUP(S632,Employee_Lookups!$I$4:$M$19,2,FALSE())))</f>
        <v>Aarav Deshmukh</v>
      </c>
      <c r="X632" t="str">
        <f>VLOOKUP(C632,Employee_Lookups!$A$4:$G$9,4,FALSE())</f>
        <v>CC-101</v>
      </c>
      <c r="Y632" t="str">
        <f>INDEX(Employee_Lookups!$C$13:$C$17,MATCH(F632,Employee_Lookups!$A$13:$A$17,0))</f>
        <v>Band A (Entry)</v>
      </c>
      <c r="Z632" s="27">
        <f>_xlfn.XLOOKUP(F632,Employee_Lookups!$A$13:$A$17,Employee_Lookups!$E$13:$E$17,0)</f>
        <v>700000</v>
      </c>
      <c r="AA632" s="28">
        <f>ROUND(O632/INDEX(Employee_Lookups!$E$13:$E$17,MATCH(F632,Employee_Lookups!$A$13:$A$17,0)),3)</f>
        <v>1.0009999999999999</v>
      </c>
      <c r="AB632">
        <f t="shared" si="66"/>
        <v>2022</v>
      </c>
      <c r="AC632" t="str">
        <f t="shared" si="67"/>
        <v/>
      </c>
      <c r="AD632" s="28">
        <f>ROUND((IF(ISBLANK(L632),Employee_Lookups!$O$14,L632)-J632)/365.25,2)</f>
        <v>3.24</v>
      </c>
      <c r="AE632" t="str">
        <f t="shared" si="68"/>
        <v>3 - 5 Yrs</v>
      </c>
      <c r="AF632" t="str">
        <f t="shared" si="69"/>
        <v>Moderate Risk</v>
      </c>
    </row>
    <row r="633" spans="1:32" x14ac:dyDescent="0.45">
      <c r="A633" t="s">
        <v>1301</v>
      </c>
      <c r="B633" t="s">
        <v>433</v>
      </c>
      <c r="C633" t="s">
        <v>59</v>
      </c>
      <c r="D633" t="s">
        <v>58</v>
      </c>
      <c r="E633" t="s">
        <v>206</v>
      </c>
      <c r="F633" t="s">
        <v>81</v>
      </c>
      <c r="G633" t="s">
        <v>207</v>
      </c>
      <c r="H633" t="s">
        <v>106</v>
      </c>
      <c r="I633" t="s">
        <v>107</v>
      </c>
      <c r="J633" s="26">
        <v>44841</v>
      </c>
      <c r="K633" t="s">
        <v>162</v>
      </c>
      <c r="L633" s="26"/>
      <c r="M633" t="s">
        <v>163</v>
      </c>
      <c r="N633" t="s">
        <v>96</v>
      </c>
      <c r="O633" s="27">
        <v>755000</v>
      </c>
      <c r="P633">
        <v>5</v>
      </c>
      <c r="Q633" t="s">
        <v>164</v>
      </c>
      <c r="R633">
        <v>24</v>
      </c>
      <c r="S633" t="s">
        <v>214</v>
      </c>
      <c r="T633">
        <f t="shared" si="63"/>
        <v>11063</v>
      </c>
      <c r="U633" t="str">
        <f t="shared" si="64"/>
        <v>FIN</v>
      </c>
      <c r="V633" t="str">
        <f t="shared" si="65"/>
        <v>L1</v>
      </c>
      <c r="W633" t="str">
        <f>PROPER(TRIM(VLOOKUP(S633,Employee_Lookups!$I$4:$M$19,2,FALSE())))</f>
        <v>Aditya Gokhale</v>
      </c>
      <c r="X633" t="str">
        <f>VLOOKUP(C633,Employee_Lookups!$A$4:$G$9,4,FALSE())</f>
        <v>CC-404</v>
      </c>
      <c r="Y633" t="str">
        <f>INDEX(Employee_Lookups!$C$13:$C$17,MATCH(F633,Employee_Lookups!$A$13:$A$17,0))</f>
        <v>Band A (Entry)</v>
      </c>
      <c r="Z633" s="27">
        <f>_xlfn.XLOOKUP(F633,Employee_Lookups!$A$13:$A$17,Employee_Lookups!$E$13:$E$17,0)</f>
        <v>700000</v>
      </c>
      <c r="AA633" s="28">
        <f>ROUND(O633/INDEX(Employee_Lookups!$E$13:$E$17,MATCH(F633,Employee_Lookups!$A$13:$A$17,0)),3)</f>
        <v>1.079</v>
      </c>
      <c r="AB633">
        <f t="shared" si="66"/>
        <v>2022</v>
      </c>
      <c r="AC633" t="str">
        <f t="shared" si="67"/>
        <v/>
      </c>
      <c r="AD633" s="28">
        <f>ROUND((IF(ISBLANK(L633),Employee_Lookups!$O$14,L633)-J633)/365.25,2)</f>
        <v>3.23</v>
      </c>
      <c r="AE633" t="str">
        <f t="shared" si="68"/>
        <v>3 - 5 Yrs</v>
      </c>
      <c r="AF633" t="str">
        <f t="shared" si="69"/>
        <v>Low Risk</v>
      </c>
    </row>
    <row r="634" spans="1:32" x14ac:dyDescent="0.45">
      <c r="A634" t="s">
        <v>1302</v>
      </c>
      <c r="B634" t="s">
        <v>891</v>
      </c>
      <c r="C634" t="s">
        <v>57</v>
      </c>
      <c r="D634" t="s">
        <v>56</v>
      </c>
      <c r="E634" t="s">
        <v>455</v>
      </c>
      <c r="F634" t="s">
        <v>84</v>
      </c>
      <c r="G634" t="s">
        <v>456</v>
      </c>
      <c r="H634" t="s">
        <v>111</v>
      </c>
      <c r="I634" t="s">
        <v>110</v>
      </c>
      <c r="J634" s="26">
        <v>44842</v>
      </c>
      <c r="K634" t="s">
        <v>187</v>
      </c>
      <c r="L634" s="26">
        <v>45952</v>
      </c>
      <c r="M634" t="s">
        <v>282</v>
      </c>
      <c r="N634" t="s">
        <v>99</v>
      </c>
      <c r="O634" s="27">
        <v>2152000</v>
      </c>
      <c r="P634">
        <v>4</v>
      </c>
      <c r="Q634" t="s">
        <v>164</v>
      </c>
      <c r="R634">
        <v>24</v>
      </c>
      <c r="S634" t="s">
        <v>224</v>
      </c>
      <c r="T634">
        <f t="shared" si="63"/>
        <v>10033</v>
      </c>
      <c r="U634" t="str">
        <f t="shared" si="64"/>
        <v>MKT</v>
      </c>
      <c r="V634" t="str">
        <f t="shared" si="65"/>
        <v>L4</v>
      </c>
      <c r="W634" t="str">
        <f>PROPER(TRIM(VLOOKUP(S634,Employee_Lookups!$I$4:$M$19,2,FALSE())))</f>
        <v>Tanvi Chitnis</v>
      </c>
      <c r="X634" t="str">
        <f>VLOOKUP(C634,Employee_Lookups!$A$4:$G$9,4,FALSE())</f>
        <v>CC-606</v>
      </c>
      <c r="Y634" t="str">
        <f>INDEX(Employee_Lookups!$C$13:$C$17,MATCH(F634,Employee_Lookups!$A$13:$A$17,0))</f>
        <v>Band D (Leadership)</v>
      </c>
      <c r="Z634" s="27">
        <f>_xlfn.XLOOKUP(F634,Employee_Lookups!$A$13:$A$17,Employee_Lookups!$E$13:$E$17,0)</f>
        <v>2750000</v>
      </c>
      <c r="AA634" s="28">
        <f>ROUND(O634/INDEX(Employee_Lookups!$E$13:$E$17,MATCH(F634,Employee_Lookups!$A$13:$A$17,0)),3)</f>
        <v>0.78300000000000003</v>
      </c>
      <c r="AB634">
        <f t="shared" si="66"/>
        <v>2022</v>
      </c>
      <c r="AC634">
        <f t="shared" si="67"/>
        <v>2025</v>
      </c>
      <c r="AD634" s="28">
        <f>ROUND((IF(ISBLANK(L634),Employee_Lookups!$O$14,L634)-J634)/365.25,2)</f>
        <v>3.04</v>
      </c>
      <c r="AE634" t="str">
        <f t="shared" si="68"/>
        <v>3 - 5 Yrs</v>
      </c>
      <c r="AF634" t="str">
        <f t="shared" si="69"/>
        <v>Exited</v>
      </c>
    </row>
    <row r="635" spans="1:32" x14ac:dyDescent="0.45">
      <c r="A635" t="s">
        <v>1303</v>
      </c>
      <c r="B635" t="s">
        <v>216</v>
      </c>
      <c r="C635" t="s">
        <v>55</v>
      </c>
      <c r="D635" t="s">
        <v>54</v>
      </c>
      <c r="E635" t="s">
        <v>277</v>
      </c>
      <c r="F635" t="s">
        <v>81</v>
      </c>
      <c r="G635" t="s">
        <v>278</v>
      </c>
      <c r="H635" t="s">
        <v>108</v>
      </c>
      <c r="I635" t="s">
        <v>107</v>
      </c>
      <c r="J635" s="26">
        <v>44844</v>
      </c>
      <c r="K635" t="s">
        <v>187</v>
      </c>
      <c r="L635" s="26">
        <v>45123</v>
      </c>
      <c r="M635" t="s">
        <v>213</v>
      </c>
      <c r="N635" t="s">
        <v>97</v>
      </c>
      <c r="O635" s="27">
        <v>682000</v>
      </c>
      <c r="P635">
        <v>3</v>
      </c>
      <c r="Q635" t="s">
        <v>172</v>
      </c>
      <c r="R635">
        <v>34</v>
      </c>
      <c r="S635" t="s">
        <v>262</v>
      </c>
      <c r="T635">
        <f t="shared" si="63"/>
        <v>10091</v>
      </c>
      <c r="U635" t="str">
        <f t="shared" si="64"/>
        <v>OPS</v>
      </c>
      <c r="V635" t="str">
        <f t="shared" si="65"/>
        <v>L1</v>
      </c>
      <c r="W635" t="str">
        <f>PROPER(TRIM(VLOOKUP(S635,Employee_Lookups!$I$4:$M$19,2,FALSE())))</f>
        <v>Ananya Iyer</v>
      </c>
      <c r="X635" t="str">
        <f>VLOOKUP(C635,Employee_Lookups!$A$4:$G$9,4,FALSE())</f>
        <v>CC-303</v>
      </c>
      <c r="Y635" t="str">
        <f>INDEX(Employee_Lookups!$C$13:$C$17,MATCH(F635,Employee_Lookups!$A$13:$A$17,0))</f>
        <v>Band A (Entry)</v>
      </c>
      <c r="Z635" s="27">
        <f>_xlfn.XLOOKUP(F635,Employee_Lookups!$A$13:$A$17,Employee_Lookups!$E$13:$E$17,0)</f>
        <v>700000</v>
      </c>
      <c r="AA635" s="28">
        <f>ROUND(O635/INDEX(Employee_Lookups!$E$13:$E$17,MATCH(F635,Employee_Lookups!$A$13:$A$17,0)),3)</f>
        <v>0.97399999999999998</v>
      </c>
      <c r="AB635">
        <f t="shared" si="66"/>
        <v>2022</v>
      </c>
      <c r="AC635">
        <f t="shared" si="67"/>
        <v>2023</v>
      </c>
      <c r="AD635" s="28">
        <f>ROUND((IF(ISBLANK(L635),Employee_Lookups!$O$14,L635)-J635)/365.25,2)</f>
        <v>0.76</v>
      </c>
      <c r="AE635" t="str">
        <f t="shared" si="68"/>
        <v>&lt; 1 Yr (New)</v>
      </c>
      <c r="AF635" t="str">
        <f t="shared" si="69"/>
        <v>Exited</v>
      </c>
    </row>
    <row r="636" spans="1:32" x14ac:dyDescent="0.45">
      <c r="A636" t="s">
        <v>1304</v>
      </c>
      <c r="B636" t="s">
        <v>1305</v>
      </c>
      <c r="C636" t="s">
        <v>51</v>
      </c>
      <c r="D636" t="s">
        <v>50</v>
      </c>
      <c r="E636" t="s">
        <v>181</v>
      </c>
      <c r="F636" t="s">
        <v>81</v>
      </c>
      <c r="G636" t="s">
        <v>182</v>
      </c>
      <c r="H636" t="s">
        <v>111</v>
      </c>
      <c r="I636" t="s">
        <v>110</v>
      </c>
      <c r="J636" s="26">
        <v>44847</v>
      </c>
      <c r="K636" t="s">
        <v>162</v>
      </c>
      <c r="L636" s="26"/>
      <c r="M636" t="s">
        <v>163</v>
      </c>
      <c r="N636" t="s">
        <v>96</v>
      </c>
      <c r="O636" s="27">
        <v>620000</v>
      </c>
      <c r="P636">
        <v>4</v>
      </c>
      <c r="Q636" t="s">
        <v>164</v>
      </c>
      <c r="R636">
        <v>28</v>
      </c>
      <c r="S636" t="s">
        <v>197</v>
      </c>
      <c r="T636">
        <f t="shared" si="63"/>
        <v>11450</v>
      </c>
      <c r="U636" t="str">
        <f t="shared" si="64"/>
        <v>ENG</v>
      </c>
      <c r="V636" t="str">
        <f t="shared" si="65"/>
        <v>L1</v>
      </c>
      <c r="W636" t="str">
        <f>PROPER(TRIM(VLOOKUP(S636,Employee_Lookups!$I$4:$M$19,2,FALSE())))</f>
        <v>Rohan Verma</v>
      </c>
      <c r="X636" t="str">
        <f>VLOOKUP(C636,Employee_Lookups!$A$4:$G$9,4,FALSE())</f>
        <v>CC-101</v>
      </c>
      <c r="Y636" t="str">
        <f>INDEX(Employee_Lookups!$C$13:$C$17,MATCH(F636,Employee_Lookups!$A$13:$A$17,0))</f>
        <v>Band A (Entry)</v>
      </c>
      <c r="Z636" s="27">
        <f>_xlfn.XLOOKUP(F636,Employee_Lookups!$A$13:$A$17,Employee_Lookups!$E$13:$E$17,0)</f>
        <v>700000</v>
      </c>
      <c r="AA636" s="28">
        <f>ROUND(O636/INDEX(Employee_Lookups!$E$13:$E$17,MATCH(F636,Employee_Lookups!$A$13:$A$17,0)),3)</f>
        <v>0.88600000000000001</v>
      </c>
      <c r="AB636">
        <f t="shared" si="66"/>
        <v>2022</v>
      </c>
      <c r="AC636" t="str">
        <f t="shared" si="67"/>
        <v/>
      </c>
      <c r="AD636" s="28">
        <f>ROUND((IF(ISBLANK(L636),Employee_Lookups!$O$14,L636)-J636)/365.25,2)</f>
        <v>3.22</v>
      </c>
      <c r="AE636" t="str">
        <f t="shared" si="68"/>
        <v>3 - 5 Yrs</v>
      </c>
      <c r="AF636" t="str">
        <f t="shared" si="69"/>
        <v>Low Risk</v>
      </c>
    </row>
    <row r="637" spans="1:32" x14ac:dyDescent="0.45">
      <c r="A637" t="s">
        <v>1306</v>
      </c>
      <c r="B637" t="s">
        <v>1307</v>
      </c>
      <c r="C637" t="s">
        <v>53</v>
      </c>
      <c r="D637" t="s">
        <v>52</v>
      </c>
      <c r="E637" t="s">
        <v>322</v>
      </c>
      <c r="F637" t="s">
        <v>81</v>
      </c>
      <c r="G637" t="s">
        <v>323</v>
      </c>
      <c r="H637" t="s">
        <v>106</v>
      </c>
      <c r="I637" t="s">
        <v>107</v>
      </c>
      <c r="J637" s="26">
        <v>44852</v>
      </c>
      <c r="K637" t="s">
        <v>187</v>
      </c>
      <c r="L637" s="26">
        <v>45820</v>
      </c>
      <c r="M637" t="s">
        <v>308</v>
      </c>
      <c r="N637" t="s">
        <v>95</v>
      </c>
      <c r="O637" s="27">
        <v>768000</v>
      </c>
      <c r="P637">
        <v>3</v>
      </c>
      <c r="Q637" t="s">
        <v>172</v>
      </c>
      <c r="R637">
        <v>4</v>
      </c>
      <c r="S637" t="s">
        <v>189</v>
      </c>
      <c r="T637">
        <f t="shared" si="63"/>
        <v>11098</v>
      </c>
      <c r="U637" t="str">
        <f t="shared" si="64"/>
        <v>SAL</v>
      </c>
      <c r="V637" t="str">
        <f t="shared" si="65"/>
        <v>L1</v>
      </c>
      <c r="W637" t="str">
        <f>PROPER(TRIM(VLOOKUP(S637,Employee_Lookups!$I$4:$M$19,2,FALSE())))</f>
        <v>Priya Sharma</v>
      </c>
      <c r="X637" t="str">
        <f>VLOOKUP(C637,Employee_Lookups!$A$4:$G$9,4,FALSE())</f>
        <v>CC-202</v>
      </c>
      <c r="Y637" t="str">
        <f>INDEX(Employee_Lookups!$C$13:$C$17,MATCH(F637,Employee_Lookups!$A$13:$A$17,0))</f>
        <v>Band A (Entry)</v>
      </c>
      <c r="Z637" s="27">
        <f>_xlfn.XLOOKUP(F637,Employee_Lookups!$A$13:$A$17,Employee_Lookups!$E$13:$E$17,0)</f>
        <v>700000</v>
      </c>
      <c r="AA637" s="28">
        <f>ROUND(O637/INDEX(Employee_Lookups!$E$13:$E$17,MATCH(F637,Employee_Lookups!$A$13:$A$17,0)),3)</f>
        <v>1.097</v>
      </c>
      <c r="AB637">
        <f t="shared" si="66"/>
        <v>2022</v>
      </c>
      <c r="AC637">
        <f t="shared" si="67"/>
        <v>2025</v>
      </c>
      <c r="AD637" s="28">
        <f>ROUND((IF(ISBLANK(L637),Employee_Lookups!$O$14,L637)-J637)/365.25,2)</f>
        <v>2.65</v>
      </c>
      <c r="AE637" t="str">
        <f t="shared" si="68"/>
        <v>1 - 3 Yrs</v>
      </c>
      <c r="AF637" t="str">
        <f t="shared" si="69"/>
        <v>Exited</v>
      </c>
    </row>
    <row r="638" spans="1:32" x14ac:dyDescent="0.45">
      <c r="A638" t="s">
        <v>1308</v>
      </c>
      <c r="B638" t="s">
        <v>664</v>
      </c>
      <c r="C638" t="s">
        <v>51</v>
      </c>
      <c r="D638" t="s">
        <v>50</v>
      </c>
      <c r="E638" t="s">
        <v>176</v>
      </c>
      <c r="F638" t="s">
        <v>82</v>
      </c>
      <c r="G638" t="s">
        <v>177</v>
      </c>
      <c r="H638" t="s">
        <v>106</v>
      </c>
      <c r="I638" t="s">
        <v>107</v>
      </c>
      <c r="J638" s="26">
        <v>44853</v>
      </c>
      <c r="K638" t="s">
        <v>170</v>
      </c>
      <c r="L638" s="26">
        <v>44981</v>
      </c>
      <c r="M638" t="s">
        <v>171</v>
      </c>
      <c r="N638" t="s">
        <v>99</v>
      </c>
      <c r="O638" s="27">
        <v>917000</v>
      </c>
      <c r="P638">
        <v>2</v>
      </c>
      <c r="Q638" t="s">
        <v>172</v>
      </c>
      <c r="R638">
        <v>12</v>
      </c>
      <c r="S638" t="s">
        <v>197</v>
      </c>
      <c r="T638">
        <f t="shared" si="63"/>
        <v>10337</v>
      </c>
      <c r="U638" t="str">
        <f t="shared" si="64"/>
        <v>ENG</v>
      </c>
      <c r="V638" t="str">
        <f t="shared" si="65"/>
        <v>L2</v>
      </c>
      <c r="W638" t="str">
        <f>PROPER(TRIM(VLOOKUP(S638,Employee_Lookups!$I$4:$M$19,2,FALSE())))</f>
        <v>Rohan Verma</v>
      </c>
      <c r="X638" t="str">
        <f>VLOOKUP(C638,Employee_Lookups!$A$4:$G$9,4,FALSE())</f>
        <v>CC-101</v>
      </c>
      <c r="Y638" t="str">
        <f>INDEX(Employee_Lookups!$C$13:$C$17,MATCH(F638,Employee_Lookups!$A$13:$A$17,0))</f>
        <v>Band B (Mid)</v>
      </c>
      <c r="Z638" s="27">
        <f>_xlfn.XLOOKUP(F638,Employee_Lookups!$A$13:$A$17,Employee_Lookups!$E$13:$E$17,0)</f>
        <v>1100000</v>
      </c>
      <c r="AA638" s="28">
        <f>ROUND(O638/INDEX(Employee_Lookups!$E$13:$E$17,MATCH(F638,Employee_Lookups!$A$13:$A$17,0)),3)</f>
        <v>0.83399999999999996</v>
      </c>
      <c r="AB638">
        <f t="shared" si="66"/>
        <v>2022</v>
      </c>
      <c r="AC638">
        <f t="shared" si="67"/>
        <v>2023</v>
      </c>
      <c r="AD638" s="28">
        <f>ROUND((IF(ISBLANK(L638),Employee_Lookups!$O$14,L638)-J638)/365.25,2)</f>
        <v>0.35</v>
      </c>
      <c r="AE638" t="str">
        <f t="shared" si="68"/>
        <v>&lt; 1 Yr (New)</v>
      </c>
      <c r="AF638" t="str">
        <f t="shared" si="69"/>
        <v>Exited</v>
      </c>
    </row>
    <row r="639" spans="1:32" x14ac:dyDescent="0.45">
      <c r="A639" t="s">
        <v>1309</v>
      </c>
      <c r="B639" t="s">
        <v>765</v>
      </c>
      <c r="C639" t="s">
        <v>53</v>
      </c>
      <c r="D639" t="s">
        <v>52</v>
      </c>
      <c r="E639" t="s">
        <v>322</v>
      </c>
      <c r="F639" t="s">
        <v>81</v>
      </c>
      <c r="G639" t="s">
        <v>323</v>
      </c>
      <c r="H639" t="s">
        <v>108</v>
      </c>
      <c r="I639" t="s">
        <v>107</v>
      </c>
      <c r="J639" s="26">
        <v>44855</v>
      </c>
      <c r="K639" t="s">
        <v>162</v>
      </c>
      <c r="L639" s="26"/>
      <c r="M639" t="s">
        <v>163</v>
      </c>
      <c r="N639" t="s">
        <v>95</v>
      </c>
      <c r="O639" s="27">
        <v>602000</v>
      </c>
      <c r="P639">
        <v>3</v>
      </c>
      <c r="Q639" t="s">
        <v>164</v>
      </c>
      <c r="R639">
        <v>35</v>
      </c>
      <c r="S639" t="s">
        <v>237</v>
      </c>
      <c r="T639">
        <f t="shared" si="63"/>
        <v>10595</v>
      </c>
      <c r="U639" t="str">
        <f t="shared" si="64"/>
        <v>SAL</v>
      </c>
      <c r="V639" t="str">
        <f t="shared" si="65"/>
        <v>L1</v>
      </c>
      <c r="W639" t="str">
        <f>PROPER(TRIM(VLOOKUP(S639,Employee_Lookups!$I$4:$M$19,2,FALSE())))</f>
        <v>Karan Malhotra</v>
      </c>
      <c r="X639" t="str">
        <f>VLOOKUP(C639,Employee_Lookups!$A$4:$G$9,4,FALSE())</f>
        <v>CC-202</v>
      </c>
      <c r="Y639" t="str">
        <f>INDEX(Employee_Lookups!$C$13:$C$17,MATCH(F639,Employee_Lookups!$A$13:$A$17,0))</f>
        <v>Band A (Entry)</v>
      </c>
      <c r="Z639" s="27">
        <f>_xlfn.XLOOKUP(F639,Employee_Lookups!$A$13:$A$17,Employee_Lookups!$E$13:$E$17,0)</f>
        <v>700000</v>
      </c>
      <c r="AA639" s="28">
        <f>ROUND(O639/INDEX(Employee_Lookups!$E$13:$E$17,MATCH(F639,Employee_Lookups!$A$13:$A$17,0)),3)</f>
        <v>0.86</v>
      </c>
      <c r="AB639">
        <f t="shared" si="66"/>
        <v>2022</v>
      </c>
      <c r="AC639" t="str">
        <f t="shared" si="67"/>
        <v/>
      </c>
      <c r="AD639" s="28">
        <f>ROUND((IF(ISBLANK(L639),Employee_Lookups!$O$14,L639)-J639)/365.25,2)</f>
        <v>3.2</v>
      </c>
      <c r="AE639" t="str">
        <f t="shared" si="68"/>
        <v>3 - 5 Yrs</v>
      </c>
      <c r="AF639" t="str">
        <f t="shared" si="69"/>
        <v>Low Risk</v>
      </c>
    </row>
    <row r="640" spans="1:32" x14ac:dyDescent="0.45">
      <c r="A640" t="s">
        <v>1310</v>
      </c>
      <c r="B640" t="s">
        <v>1311</v>
      </c>
      <c r="C640" t="s">
        <v>53</v>
      </c>
      <c r="D640" t="s">
        <v>52</v>
      </c>
      <c r="E640" t="s">
        <v>322</v>
      </c>
      <c r="F640" t="s">
        <v>81</v>
      </c>
      <c r="G640" t="s">
        <v>323</v>
      </c>
      <c r="H640" t="s">
        <v>108</v>
      </c>
      <c r="I640" t="s">
        <v>107</v>
      </c>
      <c r="J640" s="26">
        <v>44858</v>
      </c>
      <c r="K640" t="s">
        <v>162</v>
      </c>
      <c r="L640" s="26"/>
      <c r="M640" t="s">
        <v>163</v>
      </c>
      <c r="N640" t="s">
        <v>95</v>
      </c>
      <c r="O640" s="27">
        <v>665000</v>
      </c>
      <c r="P640">
        <v>3</v>
      </c>
      <c r="Q640" t="s">
        <v>172</v>
      </c>
      <c r="R640">
        <v>46</v>
      </c>
      <c r="S640" t="s">
        <v>194</v>
      </c>
      <c r="T640">
        <f t="shared" si="63"/>
        <v>11067</v>
      </c>
      <c r="U640" t="str">
        <f t="shared" si="64"/>
        <v>SAL</v>
      </c>
      <c r="V640" t="str">
        <f t="shared" si="65"/>
        <v>L1</v>
      </c>
      <c r="W640" t="str">
        <f>PROPER(TRIM(VLOOKUP(S640,Employee_Lookups!$I$4:$M$19,2,FALSE())))</f>
        <v>Vikramaditya Joshi</v>
      </c>
      <c r="X640" t="str">
        <f>VLOOKUP(C640,Employee_Lookups!$A$4:$G$9,4,FALSE())</f>
        <v>CC-202</v>
      </c>
      <c r="Y640" t="str">
        <f>INDEX(Employee_Lookups!$C$13:$C$17,MATCH(F640,Employee_Lookups!$A$13:$A$17,0))</f>
        <v>Band A (Entry)</v>
      </c>
      <c r="Z640" s="27">
        <f>_xlfn.XLOOKUP(F640,Employee_Lookups!$A$13:$A$17,Employee_Lookups!$E$13:$E$17,0)</f>
        <v>700000</v>
      </c>
      <c r="AA640" s="28">
        <f>ROUND(O640/INDEX(Employee_Lookups!$E$13:$E$17,MATCH(F640,Employee_Lookups!$A$13:$A$17,0)),3)</f>
        <v>0.95</v>
      </c>
      <c r="AB640">
        <f t="shared" si="66"/>
        <v>2022</v>
      </c>
      <c r="AC640" t="str">
        <f t="shared" si="67"/>
        <v/>
      </c>
      <c r="AD640" s="28">
        <f>ROUND((IF(ISBLANK(L640),Employee_Lookups!$O$14,L640)-J640)/365.25,2)</f>
        <v>3.19</v>
      </c>
      <c r="AE640" t="str">
        <f t="shared" si="68"/>
        <v>3 - 5 Yrs</v>
      </c>
      <c r="AF640" t="str">
        <f t="shared" si="69"/>
        <v>Moderate Risk</v>
      </c>
    </row>
    <row r="641" spans="1:32" x14ac:dyDescent="0.45">
      <c r="A641" t="s">
        <v>1312</v>
      </c>
      <c r="B641" t="s">
        <v>1313</v>
      </c>
      <c r="C641" t="s">
        <v>55</v>
      </c>
      <c r="D641" t="s">
        <v>54</v>
      </c>
      <c r="E641" t="s">
        <v>537</v>
      </c>
      <c r="F641" t="s">
        <v>85</v>
      </c>
      <c r="G641" t="s">
        <v>538</v>
      </c>
      <c r="H641" t="s">
        <v>108</v>
      </c>
      <c r="I641" t="s">
        <v>107</v>
      </c>
      <c r="J641" s="26">
        <v>44860</v>
      </c>
      <c r="K641" t="s">
        <v>170</v>
      </c>
      <c r="L641" s="26">
        <v>45409</v>
      </c>
      <c r="M641" t="s">
        <v>171</v>
      </c>
      <c r="N641" t="s">
        <v>96</v>
      </c>
      <c r="O641" s="27">
        <v>4639000</v>
      </c>
      <c r="P641">
        <v>2</v>
      </c>
      <c r="Q641" t="s">
        <v>164</v>
      </c>
      <c r="R641">
        <v>0</v>
      </c>
      <c r="S641" t="s">
        <v>262</v>
      </c>
      <c r="T641">
        <f t="shared" si="63"/>
        <v>10623</v>
      </c>
      <c r="U641" t="str">
        <f t="shared" si="64"/>
        <v>OPS</v>
      </c>
      <c r="V641" t="str">
        <f t="shared" si="65"/>
        <v>L5</v>
      </c>
      <c r="W641" t="str">
        <f>PROPER(TRIM(VLOOKUP(S641,Employee_Lookups!$I$4:$M$19,2,FALSE())))</f>
        <v>Ananya Iyer</v>
      </c>
      <c r="X641" t="str">
        <f>VLOOKUP(C641,Employee_Lookups!$A$4:$G$9,4,FALSE())</f>
        <v>CC-303</v>
      </c>
      <c r="Y641" t="str">
        <f>INDEX(Employee_Lookups!$C$13:$C$17,MATCH(F641,Employee_Lookups!$A$13:$A$17,0))</f>
        <v>Band E (Executive)</v>
      </c>
      <c r="Z641" s="27">
        <f>_xlfn.XLOOKUP(F641,Employee_Lookups!$A$13:$A$17,Employee_Lookups!$E$13:$E$17,0)</f>
        <v>4300000</v>
      </c>
      <c r="AA641" s="28">
        <f>ROUND(O641/INDEX(Employee_Lookups!$E$13:$E$17,MATCH(F641,Employee_Lookups!$A$13:$A$17,0)),3)</f>
        <v>1.079</v>
      </c>
      <c r="AB641">
        <f t="shared" si="66"/>
        <v>2022</v>
      </c>
      <c r="AC641">
        <f t="shared" si="67"/>
        <v>2024</v>
      </c>
      <c r="AD641" s="28">
        <f>ROUND((IF(ISBLANK(L641),Employee_Lookups!$O$14,L641)-J641)/365.25,2)</f>
        <v>1.5</v>
      </c>
      <c r="AE641" t="str">
        <f t="shared" si="68"/>
        <v>1 - 3 Yrs</v>
      </c>
      <c r="AF641" t="str">
        <f t="shared" si="69"/>
        <v>Exited</v>
      </c>
    </row>
    <row r="642" spans="1:32" x14ac:dyDescent="0.45">
      <c r="A642" t="s">
        <v>1314</v>
      </c>
      <c r="B642" t="s">
        <v>1315</v>
      </c>
      <c r="C642" t="s">
        <v>59</v>
      </c>
      <c r="D642" t="s">
        <v>58</v>
      </c>
      <c r="E642" t="s">
        <v>206</v>
      </c>
      <c r="F642" t="s">
        <v>81</v>
      </c>
      <c r="G642" t="s">
        <v>207</v>
      </c>
      <c r="H642" t="s">
        <v>108</v>
      </c>
      <c r="I642" t="s">
        <v>107</v>
      </c>
      <c r="J642" s="26">
        <v>44862</v>
      </c>
      <c r="K642" t="s">
        <v>187</v>
      </c>
      <c r="L642" s="26">
        <v>45096</v>
      </c>
      <c r="M642" t="s">
        <v>269</v>
      </c>
      <c r="N642" t="s">
        <v>99</v>
      </c>
      <c r="O642" s="27">
        <v>747000</v>
      </c>
      <c r="P642">
        <v>4</v>
      </c>
      <c r="Q642" t="s">
        <v>164</v>
      </c>
      <c r="R642">
        <v>35</v>
      </c>
      <c r="S642" t="s">
        <v>214</v>
      </c>
      <c r="T642">
        <f t="shared" ref="T642:T705" si="70">VALUE(MID(A642,5,5))</f>
        <v>10950</v>
      </c>
      <c r="U642" t="str">
        <f t="shared" ref="U642:U705" si="71">LEFT(E642,3)</f>
        <v>FIN</v>
      </c>
      <c r="V642" t="str">
        <f t="shared" ref="V642:V705" si="72">RIGHT(E642,2)</f>
        <v>L1</v>
      </c>
      <c r="W642" t="str">
        <f>PROPER(TRIM(VLOOKUP(S642,Employee_Lookups!$I$4:$M$19,2,FALSE())))</f>
        <v>Aditya Gokhale</v>
      </c>
      <c r="X642" t="str">
        <f>VLOOKUP(C642,Employee_Lookups!$A$4:$G$9,4,FALSE())</f>
        <v>CC-404</v>
      </c>
      <c r="Y642" t="str">
        <f>INDEX(Employee_Lookups!$C$13:$C$17,MATCH(F642,Employee_Lookups!$A$13:$A$17,0))</f>
        <v>Band A (Entry)</v>
      </c>
      <c r="Z642" s="27">
        <f>_xlfn.XLOOKUP(F642,Employee_Lookups!$A$13:$A$17,Employee_Lookups!$E$13:$E$17,0)</f>
        <v>700000</v>
      </c>
      <c r="AA642" s="28">
        <f>ROUND(O642/INDEX(Employee_Lookups!$E$13:$E$17,MATCH(F642,Employee_Lookups!$A$13:$A$17,0)),3)</f>
        <v>1.0669999999999999</v>
      </c>
      <c r="AB642">
        <f t="shared" ref="AB642:AB705" si="73">YEAR(J642)</f>
        <v>2022</v>
      </c>
      <c r="AC642">
        <f t="shared" ref="AC642:AC705" si="74">IF(ISBLANK(L642),"",YEAR(L642))</f>
        <v>2023</v>
      </c>
      <c r="AD642" s="28">
        <f>ROUND((IF(ISBLANK(L642),Employee_Lookups!$O$14,L642)-J642)/365.25,2)</f>
        <v>0.64</v>
      </c>
      <c r="AE642" t="str">
        <f t="shared" ref="AE642:AE705" si="75">IF(AD642&lt;1,"&lt; 1 Yr (New)",IF(AD642&lt;3,"1 - 3 Yrs",IF(AD642&lt;5,"3 - 5 Yrs","5+ Yrs")))</f>
        <v>&lt; 1 Yr (New)</v>
      </c>
      <c r="AF642" t="str">
        <f t="shared" ref="AF642:AF705" si="76">IF(K642&lt;&gt;"Active","Exited",IF(AND(Q642="Yes",OR(P642&gt;=4,AA642&lt;0.95)),"High Risk",IF(OR(Q642="Yes",AND(NOT(ISBLANK(P642)),P642&lt;=2)),"Moderate Risk","Low Risk")))</f>
        <v>Exited</v>
      </c>
    </row>
    <row r="643" spans="1:32" x14ac:dyDescent="0.45">
      <c r="A643" t="s">
        <v>1316</v>
      </c>
      <c r="B643" t="s">
        <v>1037</v>
      </c>
      <c r="C643" t="s">
        <v>55</v>
      </c>
      <c r="D643" t="s">
        <v>54</v>
      </c>
      <c r="E643" t="s">
        <v>277</v>
      </c>
      <c r="F643" t="s">
        <v>81</v>
      </c>
      <c r="G643" t="s">
        <v>278</v>
      </c>
      <c r="H643" t="s">
        <v>108</v>
      </c>
      <c r="I643" t="s">
        <v>107</v>
      </c>
      <c r="J643" s="26">
        <v>44866</v>
      </c>
      <c r="K643" t="s">
        <v>162</v>
      </c>
      <c r="L643" s="26"/>
      <c r="M643" t="s">
        <v>163</v>
      </c>
      <c r="N643" t="s">
        <v>96</v>
      </c>
      <c r="O643" s="27">
        <v>748000</v>
      </c>
      <c r="P643">
        <v>4</v>
      </c>
      <c r="Q643" t="s">
        <v>172</v>
      </c>
      <c r="R643">
        <v>37</v>
      </c>
      <c r="S643" t="s">
        <v>173</v>
      </c>
      <c r="T643">
        <f t="shared" si="70"/>
        <v>10661</v>
      </c>
      <c r="U643" t="str">
        <f t="shared" si="71"/>
        <v>OPS</v>
      </c>
      <c r="V643" t="str">
        <f t="shared" si="72"/>
        <v>L1</v>
      </c>
      <c r="W643" t="str">
        <f>PROPER(TRIM(VLOOKUP(S643,Employee_Lookups!$I$4:$M$19,2,FALSE())))</f>
        <v>Deepak Patil</v>
      </c>
      <c r="X643" t="str">
        <f>VLOOKUP(C643,Employee_Lookups!$A$4:$G$9,4,FALSE())</f>
        <v>CC-303</v>
      </c>
      <c r="Y643" t="str">
        <f>INDEX(Employee_Lookups!$C$13:$C$17,MATCH(F643,Employee_Lookups!$A$13:$A$17,0))</f>
        <v>Band A (Entry)</v>
      </c>
      <c r="Z643" s="27">
        <f>_xlfn.XLOOKUP(F643,Employee_Lookups!$A$13:$A$17,Employee_Lookups!$E$13:$E$17,0)</f>
        <v>700000</v>
      </c>
      <c r="AA643" s="28">
        <f>ROUND(O643/INDEX(Employee_Lookups!$E$13:$E$17,MATCH(F643,Employee_Lookups!$A$13:$A$17,0)),3)</f>
        <v>1.069</v>
      </c>
      <c r="AB643">
        <f t="shared" si="73"/>
        <v>2022</v>
      </c>
      <c r="AC643" t="str">
        <f t="shared" si="74"/>
        <v/>
      </c>
      <c r="AD643" s="28">
        <f>ROUND((IF(ISBLANK(L643),Employee_Lookups!$O$14,L643)-J643)/365.25,2)</f>
        <v>3.16</v>
      </c>
      <c r="AE643" t="str">
        <f t="shared" si="75"/>
        <v>3 - 5 Yrs</v>
      </c>
      <c r="AF643" t="str">
        <f t="shared" si="76"/>
        <v>High Risk</v>
      </c>
    </row>
    <row r="644" spans="1:32" x14ac:dyDescent="0.45">
      <c r="A644" t="s">
        <v>1317</v>
      </c>
      <c r="B644" t="s">
        <v>1318</v>
      </c>
      <c r="C644" t="s">
        <v>51</v>
      </c>
      <c r="D644" t="s">
        <v>50</v>
      </c>
      <c r="E644" t="s">
        <v>176</v>
      </c>
      <c r="F644" t="s">
        <v>82</v>
      </c>
      <c r="G644" t="s">
        <v>177</v>
      </c>
      <c r="H644" t="s">
        <v>106</v>
      </c>
      <c r="I644" t="s">
        <v>107</v>
      </c>
      <c r="J644" s="26">
        <v>44866</v>
      </c>
      <c r="K644" t="s">
        <v>162</v>
      </c>
      <c r="L644" s="26"/>
      <c r="M644" t="s">
        <v>163</v>
      </c>
      <c r="N644" t="s">
        <v>99</v>
      </c>
      <c r="O644" s="27">
        <v>891000</v>
      </c>
      <c r="P644">
        <v>3</v>
      </c>
      <c r="Q644" t="s">
        <v>164</v>
      </c>
      <c r="R644">
        <v>56</v>
      </c>
      <c r="S644" t="s">
        <v>178</v>
      </c>
      <c r="T644">
        <f t="shared" si="70"/>
        <v>10300</v>
      </c>
      <c r="U644" t="str">
        <f t="shared" si="71"/>
        <v>ENG</v>
      </c>
      <c r="V644" t="str">
        <f t="shared" si="72"/>
        <v>L2</v>
      </c>
      <c r="W644" t="str">
        <f>PROPER(TRIM(VLOOKUP(S644,Employee_Lookups!$I$4:$M$19,2,FALSE())))</f>
        <v>Aarav Deshmukh</v>
      </c>
      <c r="X644" t="str">
        <f>VLOOKUP(C644,Employee_Lookups!$A$4:$G$9,4,FALSE())</f>
        <v>CC-101</v>
      </c>
      <c r="Y644" t="str">
        <f>INDEX(Employee_Lookups!$C$13:$C$17,MATCH(F644,Employee_Lookups!$A$13:$A$17,0))</f>
        <v>Band B (Mid)</v>
      </c>
      <c r="Z644" s="27">
        <f>_xlfn.XLOOKUP(F644,Employee_Lookups!$A$13:$A$17,Employee_Lookups!$E$13:$E$17,0)</f>
        <v>1100000</v>
      </c>
      <c r="AA644" s="28">
        <f>ROUND(O644/INDEX(Employee_Lookups!$E$13:$E$17,MATCH(F644,Employee_Lookups!$A$13:$A$17,0)),3)</f>
        <v>0.81</v>
      </c>
      <c r="AB644">
        <f t="shared" si="73"/>
        <v>2022</v>
      </c>
      <c r="AC644" t="str">
        <f t="shared" si="74"/>
        <v/>
      </c>
      <c r="AD644" s="28">
        <f>ROUND((IF(ISBLANK(L644),Employee_Lookups!$O$14,L644)-J644)/365.25,2)</f>
        <v>3.16</v>
      </c>
      <c r="AE644" t="str">
        <f t="shared" si="75"/>
        <v>3 - 5 Yrs</v>
      </c>
      <c r="AF644" t="str">
        <f t="shared" si="76"/>
        <v>Low Risk</v>
      </c>
    </row>
    <row r="645" spans="1:32" x14ac:dyDescent="0.45">
      <c r="A645" t="s">
        <v>1319</v>
      </c>
      <c r="B645" t="s">
        <v>722</v>
      </c>
      <c r="C645" t="s">
        <v>61</v>
      </c>
      <c r="D645" t="s">
        <v>60</v>
      </c>
      <c r="E645" t="s">
        <v>484</v>
      </c>
      <c r="F645" t="s">
        <v>83</v>
      </c>
      <c r="G645" t="s">
        <v>485</v>
      </c>
      <c r="H645" t="s">
        <v>106</v>
      </c>
      <c r="I645" t="s">
        <v>107</v>
      </c>
      <c r="J645" s="26">
        <v>44866</v>
      </c>
      <c r="K645" t="s">
        <v>170</v>
      </c>
      <c r="L645" s="26">
        <v>45027</v>
      </c>
      <c r="M645" t="s">
        <v>171</v>
      </c>
      <c r="N645" t="s">
        <v>98</v>
      </c>
      <c r="O645" s="27">
        <v>1666000</v>
      </c>
      <c r="P645">
        <v>3</v>
      </c>
      <c r="Q645" t="s">
        <v>172</v>
      </c>
      <c r="R645">
        <v>53</v>
      </c>
      <c r="S645" t="s">
        <v>253</v>
      </c>
      <c r="T645">
        <f t="shared" si="70"/>
        <v>11388</v>
      </c>
      <c r="U645" t="str">
        <f t="shared" si="71"/>
        <v>-HR</v>
      </c>
      <c r="V645" t="str">
        <f t="shared" si="72"/>
        <v>L3</v>
      </c>
      <c r="W645" t="str">
        <f>PROPER(TRIM(VLOOKUP(S645,Employee_Lookups!$I$4:$M$19,2,FALSE())))</f>
        <v>Nikhil Chatterjee</v>
      </c>
      <c r="X645" t="str">
        <f>VLOOKUP(C645,Employee_Lookups!$A$4:$G$9,4,FALSE())</f>
        <v>CC-505</v>
      </c>
      <c r="Y645" t="str">
        <f>INDEX(Employee_Lookups!$C$13:$C$17,MATCH(F645,Employee_Lookups!$A$13:$A$17,0))</f>
        <v>Band C (Senior)</v>
      </c>
      <c r="Z645" s="27">
        <f>_xlfn.XLOOKUP(F645,Employee_Lookups!$A$13:$A$17,Employee_Lookups!$E$13:$E$17,0)</f>
        <v>1725000</v>
      </c>
      <c r="AA645" s="28">
        <f>ROUND(O645/INDEX(Employee_Lookups!$E$13:$E$17,MATCH(F645,Employee_Lookups!$A$13:$A$17,0)),3)</f>
        <v>0.96599999999999997</v>
      </c>
      <c r="AB645">
        <f t="shared" si="73"/>
        <v>2022</v>
      </c>
      <c r="AC645">
        <f t="shared" si="74"/>
        <v>2023</v>
      </c>
      <c r="AD645" s="28">
        <f>ROUND((IF(ISBLANK(L645),Employee_Lookups!$O$14,L645)-J645)/365.25,2)</f>
        <v>0.44</v>
      </c>
      <c r="AE645" t="str">
        <f t="shared" si="75"/>
        <v>&lt; 1 Yr (New)</v>
      </c>
      <c r="AF645" t="str">
        <f t="shared" si="76"/>
        <v>Exited</v>
      </c>
    </row>
    <row r="646" spans="1:32" x14ac:dyDescent="0.45">
      <c r="A646" t="s">
        <v>1320</v>
      </c>
      <c r="B646" t="s">
        <v>627</v>
      </c>
      <c r="C646" t="s">
        <v>55</v>
      </c>
      <c r="D646" t="s">
        <v>54</v>
      </c>
      <c r="E646" t="s">
        <v>277</v>
      </c>
      <c r="F646" t="s">
        <v>81</v>
      </c>
      <c r="G646" t="s">
        <v>278</v>
      </c>
      <c r="H646" t="s">
        <v>106</v>
      </c>
      <c r="I646" t="s">
        <v>107</v>
      </c>
      <c r="J646" s="26">
        <v>44867</v>
      </c>
      <c r="K646" t="s">
        <v>187</v>
      </c>
      <c r="L646" s="26">
        <v>45217</v>
      </c>
      <c r="M646" t="s">
        <v>282</v>
      </c>
      <c r="N646" t="s">
        <v>99</v>
      </c>
      <c r="O646" s="27">
        <v>659000</v>
      </c>
      <c r="P646">
        <v>3</v>
      </c>
      <c r="Q646" t="s">
        <v>172</v>
      </c>
      <c r="R646">
        <v>35</v>
      </c>
      <c r="S646" t="s">
        <v>262</v>
      </c>
      <c r="T646">
        <f t="shared" si="70"/>
        <v>10787</v>
      </c>
      <c r="U646" t="str">
        <f t="shared" si="71"/>
        <v>OPS</v>
      </c>
      <c r="V646" t="str">
        <f t="shared" si="72"/>
        <v>L1</v>
      </c>
      <c r="W646" t="str">
        <f>PROPER(TRIM(VLOOKUP(S646,Employee_Lookups!$I$4:$M$19,2,FALSE())))</f>
        <v>Ananya Iyer</v>
      </c>
      <c r="X646" t="str">
        <f>VLOOKUP(C646,Employee_Lookups!$A$4:$G$9,4,FALSE())</f>
        <v>CC-303</v>
      </c>
      <c r="Y646" t="str">
        <f>INDEX(Employee_Lookups!$C$13:$C$17,MATCH(F646,Employee_Lookups!$A$13:$A$17,0))</f>
        <v>Band A (Entry)</v>
      </c>
      <c r="Z646" s="27">
        <f>_xlfn.XLOOKUP(F646,Employee_Lookups!$A$13:$A$17,Employee_Lookups!$E$13:$E$17,0)</f>
        <v>700000</v>
      </c>
      <c r="AA646" s="28">
        <f>ROUND(O646/INDEX(Employee_Lookups!$E$13:$E$17,MATCH(F646,Employee_Lookups!$A$13:$A$17,0)),3)</f>
        <v>0.94099999999999995</v>
      </c>
      <c r="AB646">
        <f t="shared" si="73"/>
        <v>2022</v>
      </c>
      <c r="AC646">
        <f t="shared" si="74"/>
        <v>2023</v>
      </c>
      <c r="AD646" s="28">
        <f>ROUND((IF(ISBLANK(L646),Employee_Lookups!$O$14,L646)-J646)/365.25,2)</f>
        <v>0.96</v>
      </c>
      <c r="AE646" t="str">
        <f t="shared" si="75"/>
        <v>&lt; 1 Yr (New)</v>
      </c>
      <c r="AF646" t="str">
        <f t="shared" si="76"/>
        <v>Exited</v>
      </c>
    </row>
    <row r="647" spans="1:32" x14ac:dyDescent="0.45">
      <c r="A647" t="s">
        <v>1321</v>
      </c>
      <c r="B647" t="s">
        <v>305</v>
      </c>
      <c r="C647" t="s">
        <v>57</v>
      </c>
      <c r="D647" t="s">
        <v>56</v>
      </c>
      <c r="E647" t="s">
        <v>160</v>
      </c>
      <c r="F647" t="s">
        <v>81</v>
      </c>
      <c r="G647" t="s">
        <v>161</v>
      </c>
      <c r="H647" t="s">
        <v>108</v>
      </c>
      <c r="I647" t="s">
        <v>107</v>
      </c>
      <c r="J647" s="26">
        <v>44873</v>
      </c>
      <c r="K647" t="s">
        <v>162</v>
      </c>
      <c r="L647" s="26"/>
      <c r="M647" t="s">
        <v>163</v>
      </c>
      <c r="N647" t="s">
        <v>96</v>
      </c>
      <c r="O647" s="27">
        <v>738000</v>
      </c>
      <c r="P647">
        <v>3</v>
      </c>
      <c r="Q647" t="s">
        <v>164</v>
      </c>
      <c r="R647">
        <v>31</v>
      </c>
      <c r="S647" t="s">
        <v>224</v>
      </c>
      <c r="T647">
        <f t="shared" si="70"/>
        <v>10942</v>
      </c>
      <c r="U647" t="str">
        <f t="shared" si="71"/>
        <v>MKT</v>
      </c>
      <c r="V647" t="str">
        <f t="shared" si="72"/>
        <v>L1</v>
      </c>
      <c r="W647" t="str">
        <f>PROPER(TRIM(VLOOKUP(S647,Employee_Lookups!$I$4:$M$19,2,FALSE())))</f>
        <v>Tanvi Chitnis</v>
      </c>
      <c r="X647" t="str">
        <f>VLOOKUP(C647,Employee_Lookups!$A$4:$G$9,4,FALSE())</f>
        <v>CC-606</v>
      </c>
      <c r="Y647" t="str">
        <f>INDEX(Employee_Lookups!$C$13:$C$17,MATCH(F647,Employee_Lookups!$A$13:$A$17,0))</f>
        <v>Band A (Entry)</v>
      </c>
      <c r="Z647" s="27">
        <f>_xlfn.XLOOKUP(F647,Employee_Lookups!$A$13:$A$17,Employee_Lookups!$E$13:$E$17,0)</f>
        <v>700000</v>
      </c>
      <c r="AA647" s="28">
        <f>ROUND(O647/INDEX(Employee_Lookups!$E$13:$E$17,MATCH(F647,Employee_Lookups!$A$13:$A$17,0)),3)</f>
        <v>1.054</v>
      </c>
      <c r="AB647">
        <f t="shared" si="73"/>
        <v>2022</v>
      </c>
      <c r="AC647" t="str">
        <f t="shared" si="74"/>
        <v/>
      </c>
      <c r="AD647" s="28">
        <f>ROUND((IF(ISBLANK(L647),Employee_Lookups!$O$14,L647)-J647)/365.25,2)</f>
        <v>3.15</v>
      </c>
      <c r="AE647" t="str">
        <f t="shared" si="75"/>
        <v>3 - 5 Yrs</v>
      </c>
      <c r="AF647" t="str">
        <f t="shared" si="76"/>
        <v>Low Risk</v>
      </c>
    </row>
    <row r="648" spans="1:32" x14ac:dyDescent="0.45">
      <c r="A648" t="s">
        <v>1322</v>
      </c>
      <c r="B648" t="s">
        <v>1323</v>
      </c>
      <c r="C648" t="s">
        <v>51</v>
      </c>
      <c r="D648" t="s">
        <v>50</v>
      </c>
      <c r="E648" t="s">
        <v>181</v>
      </c>
      <c r="F648" t="s">
        <v>81</v>
      </c>
      <c r="G648" t="s">
        <v>182</v>
      </c>
      <c r="H648" t="s">
        <v>106</v>
      </c>
      <c r="I648" t="s">
        <v>107</v>
      </c>
      <c r="J648" s="26">
        <v>44874</v>
      </c>
      <c r="K648" t="s">
        <v>170</v>
      </c>
      <c r="L648" s="26">
        <v>46007</v>
      </c>
      <c r="M648" t="s">
        <v>171</v>
      </c>
      <c r="N648" t="s">
        <v>99</v>
      </c>
      <c r="O648" s="27">
        <v>755000</v>
      </c>
      <c r="P648">
        <v>3</v>
      </c>
      <c r="Q648" t="s">
        <v>164</v>
      </c>
      <c r="R648">
        <v>38</v>
      </c>
      <c r="S648" t="s">
        <v>219</v>
      </c>
      <c r="T648">
        <f t="shared" si="70"/>
        <v>10008</v>
      </c>
      <c r="U648" t="str">
        <f t="shared" si="71"/>
        <v>ENG</v>
      </c>
      <c r="V648" t="str">
        <f t="shared" si="72"/>
        <v>L1</v>
      </c>
      <c r="W648" t="str">
        <f>PROPER(TRIM(VLOOKUP(S648,Employee_Lookups!$I$4:$M$19,2,FALSE())))</f>
        <v>Neha Kulkarni</v>
      </c>
      <c r="X648" t="str">
        <f>VLOOKUP(C648,Employee_Lookups!$A$4:$G$9,4,FALSE())</f>
        <v>CC-101</v>
      </c>
      <c r="Y648" t="str">
        <f>INDEX(Employee_Lookups!$C$13:$C$17,MATCH(F648,Employee_Lookups!$A$13:$A$17,0))</f>
        <v>Band A (Entry)</v>
      </c>
      <c r="Z648" s="27">
        <f>_xlfn.XLOOKUP(F648,Employee_Lookups!$A$13:$A$17,Employee_Lookups!$E$13:$E$17,0)</f>
        <v>700000</v>
      </c>
      <c r="AA648" s="28">
        <f>ROUND(O648/INDEX(Employee_Lookups!$E$13:$E$17,MATCH(F648,Employee_Lookups!$A$13:$A$17,0)),3)</f>
        <v>1.079</v>
      </c>
      <c r="AB648">
        <f t="shared" si="73"/>
        <v>2022</v>
      </c>
      <c r="AC648">
        <f t="shared" si="74"/>
        <v>2025</v>
      </c>
      <c r="AD648" s="28">
        <f>ROUND((IF(ISBLANK(L648),Employee_Lookups!$O$14,L648)-J648)/365.25,2)</f>
        <v>3.1</v>
      </c>
      <c r="AE648" t="str">
        <f t="shared" si="75"/>
        <v>3 - 5 Yrs</v>
      </c>
      <c r="AF648" t="str">
        <f t="shared" si="76"/>
        <v>Exited</v>
      </c>
    </row>
    <row r="649" spans="1:32" x14ac:dyDescent="0.45">
      <c r="A649" t="s">
        <v>1324</v>
      </c>
      <c r="B649" t="s">
        <v>203</v>
      </c>
      <c r="C649" t="s">
        <v>51</v>
      </c>
      <c r="D649" t="s">
        <v>50</v>
      </c>
      <c r="E649" t="s">
        <v>181</v>
      </c>
      <c r="F649" t="s">
        <v>81</v>
      </c>
      <c r="G649" t="s">
        <v>182</v>
      </c>
      <c r="H649" t="s">
        <v>106</v>
      </c>
      <c r="I649" t="s">
        <v>107</v>
      </c>
      <c r="J649" s="26">
        <v>44875</v>
      </c>
      <c r="K649" t="s">
        <v>170</v>
      </c>
      <c r="L649" s="26">
        <v>44937</v>
      </c>
      <c r="M649" t="s">
        <v>171</v>
      </c>
      <c r="N649" t="s">
        <v>95</v>
      </c>
      <c r="O649" s="27">
        <v>732000</v>
      </c>
      <c r="P649">
        <v>2</v>
      </c>
      <c r="Q649" t="s">
        <v>172</v>
      </c>
      <c r="R649">
        <v>22</v>
      </c>
      <c r="S649" t="s">
        <v>178</v>
      </c>
      <c r="T649">
        <f t="shared" si="70"/>
        <v>10365</v>
      </c>
      <c r="U649" t="str">
        <f t="shared" si="71"/>
        <v>ENG</v>
      </c>
      <c r="V649" t="str">
        <f t="shared" si="72"/>
        <v>L1</v>
      </c>
      <c r="W649" t="str">
        <f>PROPER(TRIM(VLOOKUP(S649,Employee_Lookups!$I$4:$M$19,2,FALSE())))</f>
        <v>Aarav Deshmukh</v>
      </c>
      <c r="X649" t="str">
        <f>VLOOKUP(C649,Employee_Lookups!$A$4:$G$9,4,FALSE())</f>
        <v>CC-101</v>
      </c>
      <c r="Y649" t="str">
        <f>INDEX(Employee_Lookups!$C$13:$C$17,MATCH(F649,Employee_Lookups!$A$13:$A$17,0))</f>
        <v>Band A (Entry)</v>
      </c>
      <c r="Z649" s="27">
        <f>_xlfn.XLOOKUP(F649,Employee_Lookups!$A$13:$A$17,Employee_Lookups!$E$13:$E$17,0)</f>
        <v>700000</v>
      </c>
      <c r="AA649" s="28">
        <f>ROUND(O649/INDEX(Employee_Lookups!$E$13:$E$17,MATCH(F649,Employee_Lookups!$A$13:$A$17,0)),3)</f>
        <v>1.046</v>
      </c>
      <c r="AB649">
        <f t="shared" si="73"/>
        <v>2022</v>
      </c>
      <c r="AC649">
        <f t="shared" si="74"/>
        <v>2023</v>
      </c>
      <c r="AD649" s="28">
        <f>ROUND((IF(ISBLANK(L649),Employee_Lookups!$O$14,L649)-J649)/365.25,2)</f>
        <v>0.17</v>
      </c>
      <c r="AE649" t="str">
        <f t="shared" si="75"/>
        <v>&lt; 1 Yr (New)</v>
      </c>
      <c r="AF649" t="str">
        <f t="shared" si="76"/>
        <v>Exited</v>
      </c>
    </row>
    <row r="650" spans="1:32" x14ac:dyDescent="0.45">
      <c r="A650" t="s">
        <v>1325</v>
      </c>
      <c r="B650" t="s">
        <v>1326</v>
      </c>
      <c r="C650" t="s">
        <v>55</v>
      </c>
      <c r="D650" t="s">
        <v>54</v>
      </c>
      <c r="E650" t="s">
        <v>240</v>
      </c>
      <c r="F650" t="s">
        <v>83</v>
      </c>
      <c r="G650" t="s">
        <v>241</v>
      </c>
      <c r="H650" t="s">
        <v>106</v>
      </c>
      <c r="I650" t="s">
        <v>107</v>
      </c>
      <c r="J650" s="26">
        <v>44877</v>
      </c>
      <c r="K650" t="s">
        <v>162</v>
      </c>
      <c r="L650" s="26"/>
      <c r="M650" t="s">
        <v>163</v>
      </c>
      <c r="N650" t="s">
        <v>99</v>
      </c>
      <c r="O650" s="27">
        <v>1674000</v>
      </c>
      <c r="P650">
        <v>5</v>
      </c>
      <c r="Q650" t="s">
        <v>164</v>
      </c>
      <c r="R650">
        <v>25</v>
      </c>
      <c r="S650" t="s">
        <v>274</v>
      </c>
      <c r="T650">
        <f t="shared" si="70"/>
        <v>10754</v>
      </c>
      <c r="U650" t="str">
        <f t="shared" si="71"/>
        <v>OPS</v>
      </c>
      <c r="V650" t="str">
        <f t="shared" si="72"/>
        <v>L3</v>
      </c>
      <c r="W650" t="str">
        <f>PROPER(TRIM(VLOOKUP(S650,Employee_Lookups!$I$4:$M$19,2,FALSE())))</f>
        <v>Meera Krishnan</v>
      </c>
      <c r="X650" t="str">
        <f>VLOOKUP(C650,Employee_Lookups!$A$4:$G$9,4,FALSE())</f>
        <v>CC-303</v>
      </c>
      <c r="Y650" t="str">
        <f>INDEX(Employee_Lookups!$C$13:$C$17,MATCH(F650,Employee_Lookups!$A$13:$A$17,0))</f>
        <v>Band C (Senior)</v>
      </c>
      <c r="Z650" s="27">
        <f>_xlfn.XLOOKUP(F650,Employee_Lookups!$A$13:$A$17,Employee_Lookups!$E$13:$E$17,0)</f>
        <v>1725000</v>
      </c>
      <c r="AA650" s="28">
        <f>ROUND(O650/INDEX(Employee_Lookups!$E$13:$E$17,MATCH(F650,Employee_Lookups!$A$13:$A$17,0)),3)</f>
        <v>0.97</v>
      </c>
      <c r="AB650">
        <f t="shared" si="73"/>
        <v>2022</v>
      </c>
      <c r="AC650" t="str">
        <f t="shared" si="74"/>
        <v/>
      </c>
      <c r="AD650" s="28">
        <f>ROUND((IF(ISBLANK(L650),Employee_Lookups!$O$14,L650)-J650)/365.25,2)</f>
        <v>3.13</v>
      </c>
      <c r="AE650" t="str">
        <f t="shared" si="75"/>
        <v>3 - 5 Yrs</v>
      </c>
      <c r="AF650" t="str">
        <f t="shared" si="76"/>
        <v>Low Risk</v>
      </c>
    </row>
    <row r="651" spans="1:32" x14ac:dyDescent="0.45">
      <c r="A651" t="s">
        <v>1327</v>
      </c>
      <c r="B651" t="s">
        <v>1033</v>
      </c>
      <c r="C651" t="s">
        <v>55</v>
      </c>
      <c r="D651" t="s">
        <v>54</v>
      </c>
      <c r="E651" t="s">
        <v>277</v>
      </c>
      <c r="F651" t="s">
        <v>81</v>
      </c>
      <c r="G651" t="s">
        <v>278</v>
      </c>
      <c r="H651" t="s">
        <v>106</v>
      </c>
      <c r="I651" t="s">
        <v>107</v>
      </c>
      <c r="J651" s="26">
        <v>44878</v>
      </c>
      <c r="K651" t="s">
        <v>170</v>
      </c>
      <c r="L651" s="26">
        <v>45909</v>
      </c>
      <c r="M651" t="s">
        <v>171</v>
      </c>
      <c r="N651" t="s">
        <v>98</v>
      </c>
      <c r="O651" s="27">
        <v>572000</v>
      </c>
      <c r="P651">
        <v>2</v>
      </c>
      <c r="Q651" t="s">
        <v>172</v>
      </c>
      <c r="R651">
        <v>15</v>
      </c>
      <c r="S651" t="s">
        <v>262</v>
      </c>
      <c r="T651">
        <f t="shared" si="70"/>
        <v>10225</v>
      </c>
      <c r="U651" t="str">
        <f t="shared" si="71"/>
        <v>OPS</v>
      </c>
      <c r="V651" t="str">
        <f t="shared" si="72"/>
        <v>L1</v>
      </c>
      <c r="W651" t="str">
        <f>PROPER(TRIM(VLOOKUP(S651,Employee_Lookups!$I$4:$M$19,2,FALSE())))</f>
        <v>Ananya Iyer</v>
      </c>
      <c r="X651" t="str">
        <f>VLOOKUP(C651,Employee_Lookups!$A$4:$G$9,4,FALSE())</f>
        <v>CC-303</v>
      </c>
      <c r="Y651" t="str">
        <f>INDEX(Employee_Lookups!$C$13:$C$17,MATCH(F651,Employee_Lookups!$A$13:$A$17,0))</f>
        <v>Band A (Entry)</v>
      </c>
      <c r="Z651" s="27">
        <f>_xlfn.XLOOKUP(F651,Employee_Lookups!$A$13:$A$17,Employee_Lookups!$E$13:$E$17,0)</f>
        <v>700000</v>
      </c>
      <c r="AA651" s="28">
        <f>ROUND(O651/INDEX(Employee_Lookups!$E$13:$E$17,MATCH(F651,Employee_Lookups!$A$13:$A$17,0)),3)</f>
        <v>0.81699999999999995</v>
      </c>
      <c r="AB651">
        <f t="shared" si="73"/>
        <v>2022</v>
      </c>
      <c r="AC651">
        <f t="shared" si="74"/>
        <v>2025</v>
      </c>
      <c r="AD651" s="28">
        <f>ROUND((IF(ISBLANK(L651),Employee_Lookups!$O$14,L651)-J651)/365.25,2)</f>
        <v>2.82</v>
      </c>
      <c r="AE651" t="str">
        <f t="shared" si="75"/>
        <v>1 - 3 Yrs</v>
      </c>
      <c r="AF651" t="str">
        <f t="shared" si="76"/>
        <v>Exited</v>
      </c>
    </row>
    <row r="652" spans="1:32" x14ac:dyDescent="0.45">
      <c r="A652" t="s">
        <v>1328</v>
      </c>
      <c r="B652" t="s">
        <v>1139</v>
      </c>
      <c r="C652" t="s">
        <v>55</v>
      </c>
      <c r="D652" t="s">
        <v>54</v>
      </c>
      <c r="E652" t="s">
        <v>277</v>
      </c>
      <c r="F652" t="s">
        <v>81</v>
      </c>
      <c r="G652" t="s">
        <v>278</v>
      </c>
      <c r="H652" t="s">
        <v>108</v>
      </c>
      <c r="I652" t="s">
        <v>107</v>
      </c>
      <c r="J652" s="26">
        <v>44880</v>
      </c>
      <c r="K652" t="s">
        <v>187</v>
      </c>
      <c r="L652" s="26">
        <v>45923</v>
      </c>
      <c r="M652" t="s">
        <v>269</v>
      </c>
      <c r="N652" t="s">
        <v>95</v>
      </c>
      <c r="O652" s="27">
        <v>707000</v>
      </c>
      <c r="P652">
        <v>3</v>
      </c>
      <c r="Q652" t="s">
        <v>164</v>
      </c>
      <c r="R652">
        <v>69</v>
      </c>
      <c r="S652" t="s">
        <v>173</v>
      </c>
      <c r="T652">
        <f t="shared" si="70"/>
        <v>11321</v>
      </c>
      <c r="U652" t="str">
        <f t="shared" si="71"/>
        <v>OPS</v>
      </c>
      <c r="V652" t="str">
        <f t="shared" si="72"/>
        <v>L1</v>
      </c>
      <c r="W652" t="str">
        <f>PROPER(TRIM(VLOOKUP(S652,Employee_Lookups!$I$4:$M$19,2,FALSE())))</f>
        <v>Deepak Patil</v>
      </c>
      <c r="X652" t="str">
        <f>VLOOKUP(C652,Employee_Lookups!$A$4:$G$9,4,FALSE())</f>
        <v>CC-303</v>
      </c>
      <c r="Y652" t="str">
        <f>INDEX(Employee_Lookups!$C$13:$C$17,MATCH(F652,Employee_Lookups!$A$13:$A$17,0))</f>
        <v>Band A (Entry)</v>
      </c>
      <c r="Z652" s="27">
        <f>_xlfn.XLOOKUP(F652,Employee_Lookups!$A$13:$A$17,Employee_Lookups!$E$13:$E$17,0)</f>
        <v>700000</v>
      </c>
      <c r="AA652" s="28">
        <f>ROUND(O652/INDEX(Employee_Lookups!$E$13:$E$17,MATCH(F652,Employee_Lookups!$A$13:$A$17,0)),3)</f>
        <v>1.01</v>
      </c>
      <c r="AB652">
        <f t="shared" si="73"/>
        <v>2022</v>
      </c>
      <c r="AC652">
        <f t="shared" si="74"/>
        <v>2025</v>
      </c>
      <c r="AD652" s="28">
        <f>ROUND((IF(ISBLANK(L652),Employee_Lookups!$O$14,L652)-J652)/365.25,2)</f>
        <v>2.86</v>
      </c>
      <c r="AE652" t="str">
        <f t="shared" si="75"/>
        <v>1 - 3 Yrs</v>
      </c>
      <c r="AF652" t="str">
        <f t="shared" si="76"/>
        <v>Exited</v>
      </c>
    </row>
    <row r="653" spans="1:32" x14ac:dyDescent="0.45">
      <c r="A653" t="s">
        <v>1329</v>
      </c>
      <c r="B653" t="s">
        <v>625</v>
      </c>
      <c r="C653" t="s">
        <v>53</v>
      </c>
      <c r="D653" t="s">
        <v>52</v>
      </c>
      <c r="E653" t="s">
        <v>185</v>
      </c>
      <c r="F653" t="s">
        <v>82</v>
      </c>
      <c r="G653" t="s">
        <v>186</v>
      </c>
      <c r="H653" t="s">
        <v>106</v>
      </c>
      <c r="I653" t="s">
        <v>107</v>
      </c>
      <c r="J653" s="26">
        <v>44880</v>
      </c>
      <c r="K653" t="s">
        <v>162</v>
      </c>
      <c r="L653" s="26"/>
      <c r="M653" t="s">
        <v>163</v>
      </c>
      <c r="N653" t="s">
        <v>97</v>
      </c>
      <c r="O653" s="27">
        <v>952000</v>
      </c>
      <c r="P653">
        <v>4</v>
      </c>
      <c r="Q653" t="s">
        <v>164</v>
      </c>
      <c r="R653">
        <v>46</v>
      </c>
      <c r="S653" t="s">
        <v>189</v>
      </c>
      <c r="T653">
        <f t="shared" si="70"/>
        <v>10107</v>
      </c>
      <c r="U653" t="str">
        <f t="shared" si="71"/>
        <v>SAL</v>
      </c>
      <c r="V653" t="str">
        <f t="shared" si="72"/>
        <v>L2</v>
      </c>
      <c r="W653" t="str">
        <f>PROPER(TRIM(VLOOKUP(S653,Employee_Lookups!$I$4:$M$19,2,FALSE())))</f>
        <v>Priya Sharma</v>
      </c>
      <c r="X653" t="str">
        <f>VLOOKUP(C653,Employee_Lookups!$A$4:$G$9,4,FALSE())</f>
        <v>CC-202</v>
      </c>
      <c r="Y653" t="str">
        <f>INDEX(Employee_Lookups!$C$13:$C$17,MATCH(F653,Employee_Lookups!$A$13:$A$17,0))</f>
        <v>Band B (Mid)</v>
      </c>
      <c r="Z653" s="27">
        <f>_xlfn.XLOOKUP(F653,Employee_Lookups!$A$13:$A$17,Employee_Lookups!$E$13:$E$17,0)</f>
        <v>1100000</v>
      </c>
      <c r="AA653" s="28">
        <f>ROUND(O653/INDEX(Employee_Lookups!$E$13:$E$17,MATCH(F653,Employee_Lookups!$A$13:$A$17,0)),3)</f>
        <v>0.86499999999999999</v>
      </c>
      <c r="AB653">
        <f t="shared" si="73"/>
        <v>2022</v>
      </c>
      <c r="AC653" t="str">
        <f t="shared" si="74"/>
        <v/>
      </c>
      <c r="AD653" s="28">
        <f>ROUND((IF(ISBLANK(L653),Employee_Lookups!$O$14,L653)-J653)/365.25,2)</f>
        <v>3.13</v>
      </c>
      <c r="AE653" t="str">
        <f t="shared" si="75"/>
        <v>3 - 5 Yrs</v>
      </c>
      <c r="AF653" t="str">
        <f t="shared" si="76"/>
        <v>Low Risk</v>
      </c>
    </row>
    <row r="654" spans="1:32" x14ac:dyDescent="0.45">
      <c r="A654" t="s">
        <v>1330</v>
      </c>
      <c r="B654" t="s">
        <v>1331</v>
      </c>
      <c r="C654" t="s">
        <v>55</v>
      </c>
      <c r="D654" t="s">
        <v>54</v>
      </c>
      <c r="E654" t="s">
        <v>277</v>
      </c>
      <c r="F654" t="s">
        <v>81</v>
      </c>
      <c r="G654" t="s">
        <v>278</v>
      </c>
      <c r="H654" t="s">
        <v>106</v>
      </c>
      <c r="I654" t="s">
        <v>107</v>
      </c>
      <c r="J654" s="26">
        <v>44881</v>
      </c>
      <c r="K654" t="s">
        <v>187</v>
      </c>
      <c r="L654" s="26">
        <v>45042</v>
      </c>
      <c r="M654" t="s">
        <v>282</v>
      </c>
      <c r="N654" t="s">
        <v>99</v>
      </c>
      <c r="O654" s="27">
        <v>824000</v>
      </c>
      <c r="P654">
        <v>4</v>
      </c>
      <c r="Q654" t="s">
        <v>172</v>
      </c>
      <c r="R654">
        <v>46</v>
      </c>
      <c r="S654" t="s">
        <v>262</v>
      </c>
      <c r="T654">
        <f t="shared" si="70"/>
        <v>10011</v>
      </c>
      <c r="U654" t="str">
        <f t="shared" si="71"/>
        <v>OPS</v>
      </c>
      <c r="V654" t="str">
        <f t="shared" si="72"/>
        <v>L1</v>
      </c>
      <c r="W654" t="str">
        <f>PROPER(TRIM(VLOOKUP(S654,Employee_Lookups!$I$4:$M$19,2,FALSE())))</f>
        <v>Ananya Iyer</v>
      </c>
      <c r="X654" t="str">
        <f>VLOOKUP(C654,Employee_Lookups!$A$4:$G$9,4,FALSE())</f>
        <v>CC-303</v>
      </c>
      <c r="Y654" t="str">
        <f>INDEX(Employee_Lookups!$C$13:$C$17,MATCH(F654,Employee_Lookups!$A$13:$A$17,0))</f>
        <v>Band A (Entry)</v>
      </c>
      <c r="Z654" s="27">
        <f>_xlfn.XLOOKUP(F654,Employee_Lookups!$A$13:$A$17,Employee_Lookups!$E$13:$E$17,0)</f>
        <v>700000</v>
      </c>
      <c r="AA654" s="28">
        <f>ROUND(O654/INDEX(Employee_Lookups!$E$13:$E$17,MATCH(F654,Employee_Lookups!$A$13:$A$17,0)),3)</f>
        <v>1.177</v>
      </c>
      <c r="AB654">
        <f t="shared" si="73"/>
        <v>2022</v>
      </c>
      <c r="AC654">
        <f t="shared" si="74"/>
        <v>2023</v>
      </c>
      <c r="AD654" s="28">
        <f>ROUND((IF(ISBLANK(L654),Employee_Lookups!$O$14,L654)-J654)/365.25,2)</f>
        <v>0.44</v>
      </c>
      <c r="AE654" t="str">
        <f t="shared" si="75"/>
        <v>&lt; 1 Yr (New)</v>
      </c>
      <c r="AF654" t="str">
        <f t="shared" si="76"/>
        <v>Exited</v>
      </c>
    </row>
    <row r="655" spans="1:32" x14ac:dyDescent="0.45">
      <c r="A655" t="s">
        <v>1332</v>
      </c>
      <c r="B655" t="s">
        <v>531</v>
      </c>
      <c r="C655" t="s">
        <v>51</v>
      </c>
      <c r="D655" t="s">
        <v>50</v>
      </c>
      <c r="E655" t="s">
        <v>397</v>
      </c>
      <c r="F655" t="s">
        <v>84</v>
      </c>
      <c r="G655" t="s">
        <v>398</v>
      </c>
      <c r="H655" t="s">
        <v>106</v>
      </c>
      <c r="I655" t="s">
        <v>107</v>
      </c>
      <c r="J655" s="26">
        <v>44881</v>
      </c>
      <c r="K655" t="s">
        <v>162</v>
      </c>
      <c r="L655" s="26"/>
      <c r="M655" t="s">
        <v>163</v>
      </c>
      <c r="N655" t="s">
        <v>99</v>
      </c>
      <c r="O655" s="27">
        <v>3012000</v>
      </c>
      <c r="P655">
        <v>3</v>
      </c>
      <c r="Q655" t="s">
        <v>164</v>
      </c>
      <c r="R655">
        <v>41</v>
      </c>
      <c r="S655" t="s">
        <v>244</v>
      </c>
      <c r="T655">
        <f t="shared" si="70"/>
        <v>10633</v>
      </c>
      <c r="U655" t="str">
        <f t="shared" si="71"/>
        <v>ENG</v>
      </c>
      <c r="V655" t="str">
        <f t="shared" si="72"/>
        <v>L4</v>
      </c>
      <c r="W655" t="str">
        <f>PROPER(TRIM(VLOOKUP(S655,Employee_Lookups!$I$4:$M$19,2,FALSE())))</f>
        <v>Siddharth Nair</v>
      </c>
      <c r="X655" t="str">
        <f>VLOOKUP(C655,Employee_Lookups!$A$4:$G$9,4,FALSE())</f>
        <v>CC-101</v>
      </c>
      <c r="Y655" t="str">
        <f>INDEX(Employee_Lookups!$C$13:$C$17,MATCH(F655,Employee_Lookups!$A$13:$A$17,0))</f>
        <v>Band D (Leadership)</v>
      </c>
      <c r="Z655" s="27">
        <f>_xlfn.XLOOKUP(F655,Employee_Lookups!$A$13:$A$17,Employee_Lookups!$E$13:$E$17,0)</f>
        <v>2750000</v>
      </c>
      <c r="AA655" s="28">
        <f>ROUND(O655/INDEX(Employee_Lookups!$E$13:$E$17,MATCH(F655,Employee_Lookups!$A$13:$A$17,0)),3)</f>
        <v>1.095</v>
      </c>
      <c r="AB655">
        <f t="shared" si="73"/>
        <v>2022</v>
      </c>
      <c r="AC655" t="str">
        <f t="shared" si="74"/>
        <v/>
      </c>
      <c r="AD655" s="28">
        <f>ROUND((IF(ISBLANK(L655),Employee_Lookups!$O$14,L655)-J655)/365.25,2)</f>
        <v>3.12</v>
      </c>
      <c r="AE655" t="str">
        <f t="shared" si="75"/>
        <v>3 - 5 Yrs</v>
      </c>
      <c r="AF655" t="str">
        <f t="shared" si="76"/>
        <v>Low Risk</v>
      </c>
    </row>
    <row r="656" spans="1:32" x14ac:dyDescent="0.45">
      <c r="A656" t="s">
        <v>1333</v>
      </c>
      <c r="B656" t="s">
        <v>407</v>
      </c>
      <c r="C656" t="s">
        <v>57</v>
      </c>
      <c r="D656" t="s">
        <v>56</v>
      </c>
      <c r="E656" t="s">
        <v>455</v>
      </c>
      <c r="F656" t="s">
        <v>84</v>
      </c>
      <c r="G656" t="s">
        <v>456</v>
      </c>
      <c r="H656" t="s">
        <v>111</v>
      </c>
      <c r="I656" t="s">
        <v>110</v>
      </c>
      <c r="J656" s="26">
        <v>44881</v>
      </c>
      <c r="K656" t="s">
        <v>162</v>
      </c>
      <c r="L656" s="26"/>
      <c r="M656" t="s">
        <v>163</v>
      </c>
      <c r="N656" t="s">
        <v>97</v>
      </c>
      <c r="O656" s="27">
        <v>2713000</v>
      </c>
      <c r="P656">
        <v>4</v>
      </c>
      <c r="Q656" t="s">
        <v>164</v>
      </c>
      <c r="R656">
        <v>39</v>
      </c>
      <c r="S656" t="s">
        <v>224</v>
      </c>
      <c r="T656">
        <f t="shared" si="70"/>
        <v>11374</v>
      </c>
      <c r="U656" t="str">
        <f t="shared" si="71"/>
        <v>MKT</v>
      </c>
      <c r="V656" t="str">
        <f t="shared" si="72"/>
        <v>L4</v>
      </c>
      <c r="W656" t="str">
        <f>PROPER(TRIM(VLOOKUP(S656,Employee_Lookups!$I$4:$M$19,2,FALSE())))</f>
        <v>Tanvi Chitnis</v>
      </c>
      <c r="X656" t="str">
        <f>VLOOKUP(C656,Employee_Lookups!$A$4:$G$9,4,FALSE())</f>
        <v>CC-606</v>
      </c>
      <c r="Y656" t="str">
        <f>INDEX(Employee_Lookups!$C$13:$C$17,MATCH(F656,Employee_Lookups!$A$13:$A$17,0))</f>
        <v>Band D (Leadership)</v>
      </c>
      <c r="Z656" s="27">
        <f>_xlfn.XLOOKUP(F656,Employee_Lookups!$A$13:$A$17,Employee_Lookups!$E$13:$E$17,0)</f>
        <v>2750000</v>
      </c>
      <c r="AA656" s="28">
        <f>ROUND(O656/INDEX(Employee_Lookups!$E$13:$E$17,MATCH(F656,Employee_Lookups!$A$13:$A$17,0)),3)</f>
        <v>0.98699999999999999</v>
      </c>
      <c r="AB656">
        <f t="shared" si="73"/>
        <v>2022</v>
      </c>
      <c r="AC656" t="str">
        <f t="shared" si="74"/>
        <v/>
      </c>
      <c r="AD656" s="28">
        <f>ROUND((IF(ISBLANK(L656),Employee_Lookups!$O$14,L656)-J656)/365.25,2)</f>
        <v>3.12</v>
      </c>
      <c r="AE656" t="str">
        <f t="shared" si="75"/>
        <v>3 - 5 Yrs</v>
      </c>
      <c r="AF656" t="str">
        <f t="shared" si="76"/>
        <v>Low Risk</v>
      </c>
    </row>
    <row r="657" spans="1:32" x14ac:dyDescent="0.45">
      <c r="A657" t="s">
        <v>1334</v>
      </c>
      <c r="B657" t="s">
        <v>1335</v>
      </c>
      <c r="C657" t="s">
        <v>55</v>
      </c>
      <c r="D657" t="s">
        <v>54</v>
      </c>
      <c r="E657" t="s">
        <v>240</v>
      </c>
      <c r="F657" t="s">
        <v>83</v>
      </c>
      <c r="G657" t="s">
        <v>241</v>
      </c>
      <c r="H657" t="s">
        <v>108</v>
      </c>
      <c r="I657" t="s">
        <v>107</v>
      </c>
      <c r="J657" s="26">
        <v>44882</v>
      </c>
      <c r="K657" t="s">
        <v>162</v>
      </c>
      <c r="L657" s="26"/>
      <c r="M657" t="s">
        <v>163</v>
      </c>
      <c r="N657" t="s">
        <v>95</v>
      </c>
      <c r="O657" s="27">
        <v>1393000</v>
      </c>
      <c r="P657">
        <v>4</v>
      </c>
      <c r="Q657" t="s">
        <v>172</v>
      </c>
      <c r="R657">
        <v>26</v>
      </c>
      <c r="S657" t="s">
        <v>173</v>
      </c>
      <c r="T657">
        <f t="shared" si="70"/>
        <v>11060</v>
      </c>
      <c r="U657" t="str">
        <f t="shared" si="71"/>
        <v>OPS</v>
      </c>
      <c r="V657" t="str">
        <f t="shared" si="72"/>
        <v>L3</v>
      </c>
      <c r="W657" t="str">
        <f>PROPER(TRIM(VLOOKUP(S657,Employee_Lookups!$I$4:$M$19,2,FALSE())))</f>
        <v>Deepak Patil</v>
      </c>
      <c r="X657" t="str">
        <f>VLOOKUP(C657,Employee_Lookups!$A$4:$G$9,4,FALSE())</f>
        <v>CC-303</v>
      </c>
      <c r="Y657" t="str">
        <f>INDEX(Employee_Lookups!$C$13:$C$17,MATCH(F657,Employee_Lookups!$A$13:$A$17,0))</f>
        <v>Band C (Senior)</v>
      </c>
      <c r="Z657" s="27">
        <f>_xlfn.XLOOKUP(F657,Employee_Lookups!$A$13:$A$17,Employee_Lookups!$E$13:$E$17,0)</f>
        <v>1725000</v>
      </c>
      <c r="AA657" s="28">
        <f>ROUND(O657/INDEX(Employee_Lookups!$E$13:$E$17,MATCH(F657,Employee_Lookups!$A$13:$A$17,0)),3)</f>
        <v>0.80800000000000005</v>
      </c>
      <c r="AB657">
        <f t="shared" si="73"/>
        <v>2022</v>
      </c>
      <c r="AC657" t="str">
        <f t="shared" si="74"/>
        <v/>
      </c>
      <c r="AD657" s="28">
        <f>ROUND((IF(ISBLANK(L657),Employee_Lookups!$O$14,L657)-J657)/365.25,2)</f>
        <v>3.12</v>
      </c>
      <c r="AE657" t="str">
        <f t="shared" si="75"/>
        <v>3 - 5 Yrs</v>
      </c>
      <c r="AF657" t="str">
        <f t="shared" si="76"/>
        <v>High Risk</v>
      </c>
    </row>
    <row r="658" spans="1:32" x14ac:dyDescent="0.45">
      <c r="A658" t="s">
        <v>1336</v>
      </c>
      <c r="B658" t="s">
        <v>1337</v>
      </c>
      <c r="C658" t="s">
        <v>51</v>
      </c>
      <c r="D658" t="s">
        <v>50</v>
      </c>
      <c r="E658" t="s">
        <v>176</v>
      </c>
      <c r="F658" t="s">
        <v>82</v>
      </c>
      <c r="G658" t="s">
        <v>177</v>
      </c>
      <c r="H658" t="s">
        <v>106</v>
      </c>
      <c r="I658" t="s">
        <v>107</v>
      </c>
      <c r="J658" s="26">
        <v>44883</v>
      </c>
      <c r="K658" t="s">
        <v>162</v>
      </c>
      <c r="L658" s="26"/>
      <c r="M658" t="s">
        <v>163</v>
      </c>
      <c r="N658" t="s">
        <v>99</v>
      </c>
      <c r="O658" s="27">
        <v>1276000</v>
      </c>
      <c r="P658">
        <v>3</v>
      </c>
      <c r="Q658" t="s">
        <v>172</v>
      </c>
      <c r="R658">
        <v>44</v>
      </c>
      <c r="S658" t="s">
        <v>197</v>
      </c>
      <c r="T658">
        <f t="shared" si="70"/>
        <v>10885</v>
      </c>
      <c r="U658" t="str">
        <f t="shared" si="71"/>
        <v>ENG</v>
      </c>
      <c r="V658" t="str">
        <f t="shared" si="72"/>
        <v>L2</v>
      </c>
      <c r="W658" t="str">
        <f>PROPER(TRIM(VLOOKUP(S658,Employee_Lookups!$I$4:$M$19,2,FALSE())))</f>
        <v>Rohan Verma</v>
      </c>
      <c r="X658" t="str">
        <f>VLOOKUP(C658,Employee_Lookups!$A$4:$G$9,4,FALSE())</f>
        <v>CC-101</v>
      </c>
      <c r="Y658" t="str">
        <f>INDEX(Employee_Lookups!$C$13:$C$17,MATCH(F658,Employee_Lookups!$A$13:$A$17,0))</f>
        <v>Band B (Mid)</v>
      </c>
      <c r="Z658" s="27">
        <f>_xlfn.XLOOKUP(F658,Employee_Lookups!$A$13:$A$17,Employee_Lookups!$E$13:$E$17,0)</f>
        <v>1100000</v>
      </c>
      <c r="AA658" s="28">
        <f>ROUND(O658/INDEX(Employee_Lookups!$E$13:$E$17,MATCH(F658,Employee_Lookups!$A$13:$A$17,0)),3)</f>
        <v>1.1599999999999999</v>
      </c>
      <c r="AB658">
        <f t="shared" si="73"/>
        <v>2022</v>
      </c>
      <c r="AC658" t="str">
        <f t="shared" si="74"/>
        <v/>
      </c>
      <c r="AD658" s="28">
        <f>ROUND((IF(ISBLANK(L658),Employee_Lookups!$O$14,L658)-J658)/365.25,2)</f>
        <v>3.12</v>
      </c>
      <c r="AE658" t="str">
        <f t="shared" si="75"/>
        <v>3 - 5 Yrs</v>
      </c>
      <c r="AF658" t="str">
        <f t="shared" si="76"/>
        <v>Moderate Risk</v>
      </c>
    </row>
    <row r="659" spans="1:32" x14ac:dyDescent="0.45">
      <c r="A659" t="s">
        <v>1338</v>
      </c>
      <c r="B659" t="s">
        <v>1091</v>
      </c>
      <c r="C659" t="s">
        <v>61</v>
      </c>
      <c r="D659" t="s">
        <v>60</v>
      </c>
      <c r="E659" t="s">
        <v>356</v>
      </c>
      <c r="F659" t="s">
        <v>81</v>
      </c>
      <c r="G659" t="s">
        <v>357</v>
      </c>
      <c r="H659" t="s">
        <v>108</v>
      </c>
      <c r="I659" t="s">
        <v>107</v>
      </c>
      <c r="J659" s="26">
        <v>44884</v>
      </c>
      <c r="K659" t="s">
        <v>162</v>
      </c>
      <c r="L659" s="26"/>
      <c r="M659" t="s">
        <v>163</v>
      </c>
      <c r="N659" t="s">
        <v>96</v>
      </c>
      <c r="O659" s="27">
        <v>735000</v>
      </c>
      <c r="P659">
        <v>4</v>
      </c>
      <c r="Q659" t="s">
        <v>172</v>
      </c>
      <c r="R659">
        <v>37</v>
      </c>
      <c r="S659" t="s">
        <v>253</v>
      </c>
      <c r="T659">
        <f t="shared" si="70"/>
        <v>10653</v>
      </c>
      <c r="U659" t="str">
        <f t="shared" si="71"/>
        <v>-HR</v>
      </c>
      <c r="V659" t="str">
        <f t="shared" si="72"/>
        <v>L1</v>
      </c>
      <c r="W659" t="str">
        <f>PROPER(TRIM(VLOOKUP(S659,Employee_Lookups!$I$4:$M$19,2,FALSE())))</f>
        <v>Nikhil Chatterjee</v>
      </c>
      <c r="X659" t="str">
        <f>VLOOKUP(C659,Employee_Lookups!$A$4:$G$9,4,FALSE())</f>
        <v>CC-505</v>
      </c>
      <c r="Y659" t="str">
        <f>INDEX(Employee_Lookups!$C$13:$C$17,MATCH(F659,Employee_Lookups!$A$13:$A$17,0))</f>
        <v>Band A (Entry)</v>
      </c>
      <c r="Z659" s="27">
        <f>_xlfn.XLOOKUP(F659,Employee_Lookups!$A$13:$A$17,Employee_Lookups!$E$13:$E$17,0)</f>
        <v>700000</v>
      </c>
      <c r="AA659" s="28">
        <f>ROUND(O659/INDEX(Employee_Lookups!$E$13:$E$17,MATCH(F659,Employee_Lookups!$A$13:$A$17,0)),3)</f>
        <v>1.05</v>
      </c>
      <c r="AB659">
        <f t="shared" si="73"/>
        <v>2022</v>
      </c>
      <c r="AC659" t="str">
        <f t="shared" si="74"/>
        <v/>
      </c>
      <c r="AD659" s="28">
        <f>ROUND((IF(ISBLANK(L659),Employee_Lookups!$O$14,L659)-J659)/365.25,2)</f>
        <v>3.12</v>
      </c>
      <c r="AE659" t="str">
        <f t="shared" si="75"/>
        <v>3 - 5 Yrs</v>
      </c>
      <c r="AF659" t="str">
        <f t="shared" si="76"/>
        <v>High Risk</v>
      </c>
    </row>
    <row r="660" spans="1:32" x14ac:dyDescent="0.45">
      <c r="A660" t="s">
        <v>1339</v>
      </c>
      <c r="B660" t="s">
        <v>1340</v>
      </c>
      <c r="C660" t="s">
        <v>55</v>
      </c>
      <c r="D660" t="s">
        <v>54</v>
      </c>
      <c r="E660" t="s">
        <v>229</v>
      </c>
      <c r="F660" t="s">
        <v>82</v>
      </c>
      <c r="G660" t="s">
        <v>230</v>
      </c>
      <c r="H660" t="s">
        <v>109</v>
      </c>
      <c r="I660" t="s">
        <v>110</v>
      </c>
      <c r="J660" s="26">
        <v>44886</v>
      </c>
      <c r="K660" t="s">
        <v>187</v>
      </c>
      <c r="L660" s="26">
        <v>45206</v>
      </c>
      <c r="M660" t="s">
        <v>213</v>
      </c>
      <c r="N660" t="s">
        <v>96</v>
      </c>
      <c r="O660" s="27">
        <v>1060000</v>
      </c>
      <c r="P660">
        <v>3</v>
      </c>
      <c r="Q660" t="s">
        <v>172</v>
      </c>
      <c r="R660">
        <v>32</v>
      </c>
      <c r="S660" t="s">
        <v>274</v>
      </c>
      <c r="T660">
        <f t="shared" si="70"/>
        <v>10471</v>
      </c>
      <c r="U660" t="str">
        <f t="shared" si="71"/>
        <v>OPS</v>
      </c>
      <c r="V660" t="str">
        <f t="shared" si="72"/>
        <v>L2</v>
      </c>
      <c r="W660" t="str">
        <f>PROPER(TRIM(VLOOKUP(S660,Employee_Lookups!$I$4:$M$19,2,FALSE())))</f>
        <v>Meera Krishnan</v>
      </c>
      <c r="X660" t="str">
        <f>VLOOKUP(C660,Employee_Lookups!$A$4:$G$9,4,FALSE())</f>
        <v>CC-303</v>
      </c>
      <c r="Y660" t="str">
        <f>INDEX(Employee_Lookups!$C$13:$C$17,MATCH(F660,Employee_Lookups!$A$13:$A$17,0))</f>
        <v>Band B (Mid)</v>
      </c>
      <c r="Z660" s="27">
        <f>_xlfn.XLOOKUP(F660,Employee_Lookups!$A$13:$A$17,Employee_Lookups!$E$13:$E$17,0)</f>
        <v>1100000</v>
      </c>
      <c r="AA660" s="28">
        <f>ROUND(O660/INDEX(Employee_Lookups!$E$13:$E$17,MATCH(F660,Employee_Lookups!$A$13:$A$17,0)),3)</f>
        <v>0.96399999999999997</v>
      </c>
      <c r="AB660">
        <f t="shared" si="73"/>
        <v>2022</v>
      </c>
      <c r="AC660">
        <f t="shared" si="74"/>
        <v>2023</v>
      </c>
      <c r="AD660" s="28">
        <f>ROUND((IF(ISBLANK(L660),Employee_Lookups!$O$14,L660)-J660)/365.25,2)</f>
        <v>0.88</v>
      </c>
      <c r="AE660" t="str">
        <f t="shared" si="75"/>
        <v>&lt; 1 Yr (New)</v>
      </c>
      <c r="AF660" t="str">
        <f t="shared" si="76"/>
        <v>Exited</v>
      </c>
    </row>
    <row r="661" spans="1:32" x14ac:dyDescent="0.45">
      <c r="A661" t="s">
        <v>1341</v>
      </c>
      <c r="B661" t="s">
        <v>619</v>
      </c>
      <c r="C661" t="s">
        <v>51</v>
      </c>
      <c r="D661" t="s">
        <v>50</v>
      </c>
      <c r="E661" t="s">
        <v>181</v>
      </c>
      <c r="F661" t="s">
        <v>81</v>
      </c>
      <c r="G661" t="s">
        <v>182</v>
      </c>
      <c r="H661" t="s">
        <v>106</v>
      </c>
      <c r="I661" t="s">
        <v>107</v>
      </c>
      <c r="J661" s="26">
        <v>44887</v>
      </c>
      <c r="K661" t="s">
        <v>162</v>
      </c>
      <c r="L661" s="26"/>
      <c r="M661" t="s">
        <v>163</v>
      </c>
      <c r="N661" t="s">
        <v>95</v>
      </c>
      <c r="O661" s="27">
        <v>708000</v>
      </c>
      <c r="P661">
        <v>4</v>
      </c>
      <c r="Q661" t="s">
        <v>164</v>
      </c>
      <c r="R661">
        <v>38</v>
      </c>
      <c r="S661" t="s">
        <v>197</v>
      </c>
      <c r="T661">
        <f t="shared" si="70"/>
        <v>10162</v>
      </c>
      <c r="U661" t="str">
        <f t="shared" si="71"/>
        <v>ENG</v>
      </c>
      <c r="V661" t="str">
        <f t="shared" si="72"/>
        <v>L1</v>
      </c>
      <c r="W661" t="str">
        <f>PROPER(TRIM(VLOOKUP(S661,Employee_Lookups!$I$4:$M$19,2,FALSE())))</f>
        <v>Rohan Verma</v>
      </c>
      <c r="X661" t="str">
        <f>VLOOKUP(C661,Employee_Lookups!$A$4:$G$9,4,FALSE())</f>
        <v>CC-101</v>
      </c>
      <c r="Y661" t="str">
        <f>INDEX(Employee_Lookups!$C$13:$C$17,MATCH(F661,Employee_Lookups!$A$13:$A$17,0))</f>
        <v>Band A (Entry)</v>
      </c>
      <c r="Z661" s="27">
        <f>_xlfn.XLOOKUP(F661,Employee_Lookups!$A$13:$A$17,Employee_Lookups!$E$13:$E$17,0)</f>
        <v>700000</v>
      </c>
      <c r="AA661" s="28">
        <f>ROUND(O661/INDEX(Employee_Lookups!$E$13:$E$17,MATCH(F661,Employee_Lookups!$A$13:$A$17,0)),3)</f>
        <v>1.0109999999999999</v>
      </c>
      <c r="AB661">
        <f t="shared" si="73"/>
        <v>2022</v>
      </c>
      <c r="AC661" t="str">
        <f t="shared" si="74"/>
        <v/>
      </c>
      <c r="AD661" s="28">
        <f>ROUND((IF(ISBLANK(L661),Employee_Lookups!$O$14,L661)-J661)/365.25,2)</f>
        <v>3.11</v>
      </c>
      <c r="AE661" t="str">
        <f t="shared" si="75"/>
        <v>3 - 5 Yrs</v>
      </c>
      <c r="AF661" t="str">
        <f t="shared" si="76"/>
        <v>Low Risk</v>
      </c>
    </row>
    <row r="662" spans="1:32" x14ac:dyDescent="0.45">
      <c r="A662" t="s">
        <v>1342</v>
      </c>
      <c r="B662" t="s">
        <v>266</v>
      </c>
      <c r="C662" t="s">
        <v>59</v>
      </c>
      <c r="D662" t="s">
        <v>58</v>
      </c>
      <c r="E662" t="s">
        <v>211</v>
      </c>
      <c r="F662" t="s">
        <v>82</v>
      </c>
      <c r="G662" t="s">
        <v>212</v>
      </c>
      <c r="H662" t="s">
        <v>111</v>
      </c>
      <c r="I662" t="s">
        <v>110</v>
      </c>
      <c r="J662" s="26">
        <v>44888</v>
      </c>
      <c r="K662" t="s">
        <v>162</v>
      </c>
      <c r="L662" s="26"/>
      <c r="M662" t="s">
        <v>163</v>
      </c>
      <c r="N662" t="s">
        <v>99</v>
      </c>
      <c r="O662" s="27">
        <v>906000</v>
      </c>
      <c r="P662">
        <v>3</v>
      </c>
      <c r="Q662" t="s">
        <v>164</v>
      </c>
      <c r="R662">
        <v>48</v>
      </c>
      <c r="S662" t="s">
        <v>214</v>
      </c>
      <c r="T662">
        <f t="shared" si="70"/>
        <v>11224</v>
      </c>
      <c r="U662" t="str">
        <f t="shared" si="71"/>
        <v>FIN</v>
      </c>
      <c r="V662" t="str">
        <f t="shared" si="72"/>
        <v>L2</v>
      </c>
      <c r="W662" t="str">
        <f>PROPER(TRIM(VLOOKUP(S662,Employee_Lookups!$I$4:$M$19,2,FALSE())))</f>
        <v>Aditya Gokhale</v>
      </c>
      <c r="X662" t="str">
        <f>VLOOKUP(C662,Employee_Lookups!$A$4:$G$9,4,FALSE())</f>
        <v>CC-404</v>
      </c>
      <c r="Y662" t="str">
        <f>INDEX(Employee_Lookups!$C$13:$C$17,MATCH(F662,Employee_Lookups!$A$13:$A$17,0))</f>
        <v>Band B (Mid)</v>
      </c>
      <c r="Z662" s="27">
        <f>_xlfn.XLOOKUP(F662,Employee_Lookups!$A$13:$A$17,Employee_Lookups!$E$13:$E$17,0)</f>
        <v>1100000</v>
      </c>
      <c r="AA662" s="28">
        <f>ROUND(O662/INDEX(Employee_Lookups!$E$13:$E$17,MATCH(F662,Employee_Lookups!$A$13:$A$17,0)),3)</f>
        <v>0.82399999999999995</v>
      </c>
      <c r="AB662">
        <f t="shared" si="73"/>
        <v>2022</v>
      </c>
      <c r="AC662" t="str">
        <f t="shared" si="74"/>
        <v/>
      </c>
      <c r="AD662" s="28">
        <f>ROUND((IF(ISBLANK(L662),Employee_Lookups!$O$14,L662)-J662)/365.25,2)</f>
        <v>3.1</v>
      </c>
      <c r="AE662" t="str">
        <f t="shared" si="75"/>
        <v>3 - 5 Yrs</v>
      </c>
      <c r="AF662" t="str">
        <f t="shared" si="76"/>
        <v>Low Risk</v>
      </c>
    </row>
    <row r="663" spans="1:32" x14ac:dyDescent="0.45">
      <c r="A663" t="s">
        <v>1343</v>
      </c>
      <c r="B663" t="s">
        <v>576</v>
      </c>
      <c r="C663" t="s">
        <v>51</v>
      </c>
      <c r="D663" t="s">
        <v>50</v>
      </c>
      <c r="E663" t="s">
        <v>217</v>
      </c>
      <c r="F663" t="s">
        <v>83</v>
      </c>
      <c r="G663" t="s">
        <v>218</v>
      </c>
      <c r="H663" t="s">
        <v>106</v>
      </c>
      <c r="I663" t="s">
        <v>107</v>
      </c>
      <c r="J663" s="26">
        <v>44891</v>
      </c>
      <c r="K663" t="s">
        <v>162</v>
      </c>
      <c r="L663" s="26"/>
      <c r="M663" t="s">
        <v>163</v>
      </c>
      <c r="N663" t="s">
        <v>99</v>
      </c>
      <c r="O663" s="27">
        <v>1362000</v>
      </c>
      <c r="P663">
        <v>1</v>
      </c>
      <c r="Q663" t="s">
        <v>164</v>
      </c>
      <c r="R663">
        <v>19</v>
      </c>
      <c r="S663" t="s">
        <v>178</v>
      </c>
      <c r="T663">
        <f t="shared" si="70"/>
        <v>10355</v>
      </c>
      <c r="U663" t="str">
        <f t="shared" si="71"/>
        <v>ENG</v>
      </c>
      <c r="V663" t="str">
        <f t="shared" si="72"/>
        <v>L3</v>
      </c>
      <c r="W663" t="str">
        <f>PROPER(TRIM(VLOOKUP(S663,Employee_Lookups!$I$4:$M$19,2,FALSE())))</f>
        <v>Aarav Deshmukh</v>
      </c>
      <c r="X663" t="str">
        <f>VLOOKUP(C663,Employee_Lookups!$A$4:$G$9,4,FALSE())</f>
        <v>CC-101</v>
      </c>
      <c r="Y663" t="str">
        <f>INDEX(Employee_Lookups!$C$13:$C$17,MATCH(F663,Employee_Lookups!$A$13:$A$17,0))</f>
        <v>Band C (Senior)</v>
      </c>
      <c r="Z663" s="27">
        <f>_xlfn.XLOOKUP(F663,Employee_Lookups!$A$13:$A$17,Employee_Lookups!$E$13:$E$17,0)</f>
        <v>1725000</v>
      </c>
      <c r="AA663" s="28">
        <f>ROUND(O663/INDEX(Employee_Lookups!$E$13:$E$17,MATCH(F663,Employee_Lookups!$A$13:$A$17,0)),3)</f>
        <v>0.79</v>
      </c>
      <c r="AB663">
        <f t="shared" si="73"/>
        <v>2022</v>
      </c>
      <c r="AC663" t="str">
        <f t="shared" si="74"/>
        <v/>
      </c>
      <c r="AD663" s="28">
        <f>ROUND((IF(ISBLANK(L663),Employee_Lookups!$O$14,L663)-J663)/365.25,2)</f>
        <v>3.1</v>
      </c>
      <c r="AE663" t="str">
        <f t="shared" si="75"/>
        <v>3 - 5 Yrs</v>
      </c>
      <c r="AF663" t="str">
        <f t="shared" si="76"/>
        <v>Moderate Risk</v>
      </c>
    </row>
    <row r="664" spans="1:32" x14ac:dyDescent="0.45">
      <c r="A664" t="s">
        <v>1344</v>
      </c>
      <c r="B664" t="s">
        <v>1345</v>
      </c>
      <c r="C664" t="s">
        <v>51</v>
      </c>
      <c r="D664" t="s">
        <v>50</v>
      </c>
      <c r="E664" t="s">
        <v>176</v>
      </c>
      <c r="F664" t="s">
        <v>82</v>
      </c>
      <c r="G664" t="s">
        <v>177</v>
      </c>
      <c r="H664" t="s">
        <v>112</v>
      </c>
      <c r="I664" t="s">
        <v>113</v>
      </c>
      <c r="J664" s="26">
        <v>44891</v>
      </c>
      <c r="K664" t="s">
        <v>162</v>
      </c>
      <c r="L664" s="26"/>
      <c r="M664" t="s">
        <v>163</v>
      </c>
      <c r="N664" t="s">
        <v>96</v>
      </c>
      <c r="O664" s="27">
        <v>1078000</v>
      </c>
      <c r="P664">
        <v>1</v>
      </c>
      <c r="Q664" t="s">
        <v>164</v>
      </c>
      <c r="R664">
        <v>34</v>
      </c>
      <c r="S664" t="s">
        <v>219</v>
      </c>
      <c r="T664">
        <f t="shared" si="70"/>
        <v>10738</v>
      </c>
      <c r="U664" t="str">
        <f t="shared" si="71"/>
        <v>ENG</v>
      </c>
      <c r="V664" t="str">
        <f t="shared" si="72"/>
        <v>L2</v>
      </c>
      <c r="W664" t="str">
        <f>PROPER(TRIM(VLOOKUP(S664,Employee_Lookups!$I$4:$M$19,2,FALSE())))</f>
        <v>Neha Kulkarni</v>
      </c>
      <c r="X664" t="str">
        <f>VLOOKUP(C664,Employee_Lookups!$A$4:$G$9,4,FALSE())</f>
        <v>CC-101</v>
      </c>
      <c r="Y664" t="str">
        <f>INDEX(Employee_Lookups!$C$13:$C$17,MATCH(F664,Employee_Lookups!$A$13:$A$17,0))</f>
        <v>Band B (Mid)</v>
      </c>
      <c r="Z664" s="27">
        <f>_xlfn.XLOOKUP(F664,Employee_Lookups!$A$13:$A$17,Employee_Lookups!$E$13:$E$17,0)</f>
        <v>1100000</v>
      </c>
      <c r="AA664" s="28">
        <f>ROUND(O664/INDEX(Employee_Lookups!$E$13:$E$17,MATCH(F664,Employee_Lookups!$A$13:$A$17,0)),3)</f>
        <v>0.98</v>
      </c>
      <c r="AB664">
        <f t="shared" si="73"/>
        <v>2022</v>
      </c>
      <c r="AC664" t="str">
        <f t="shared" si="74"/>
        <v/>
      </c>
      <c r="AD664" s="28">
        <f>ROUND((IF(ISBLANK(L664),Employee_Lookups!$O$14,L664)-J664)/365.25,2)</f>
        <v>3.1</v>
      </c>
      <c r="AE664" t="str">
        <f t="shared" si="75"/>
        <v>3 - 5 Yrs</v>
      </c>
      <c r="AF664" t="str">
        <f t="shared" si="76"/>
        <v>Moderate Risk</v>
      </c>
    </row>
    <row r="665" spans="1:32" x14ac:dyDescent="0.45">
      <c r="A665" t="s">
        <v>1346</v>
      </c>
      <c r="B665" t="s">
        <v>402</v>
      </c>
      <c r="C665" t="s">
        <v>53</v>
      </c>
      <c r="D665" t="s">
        <v>52</v>
      </c>
      <c r="E665" t="s">
        <v>322</v>
      </c>
      <c r="F665" t="s">
        <v>81</v>
      </c>
      <c r="G665" t="s">
        <v>323</v>
      </c>
      <c r="H665" t="s">
        <v>106</v>
      </c>
      <c r="I665" t="s">
        <v>107</v>
      </c>
      <c r="J665" s="26">
        <v>44891</v>
      </c>
      <c r="K665" t="s">
        <v>162</v>
      </c>
      <c r="L665" s="26"/>
      <c r="M665" t="s">
        <v>163</v>
      </c>
      <c r="N665" t="s">
        <v>98</v>
      </c>
      <c r="O665" s="27">
        <v>578000</v>
      </c>
      <c r="P665">
        <v>4</v>
      </c>
      <c r="Q665" t="s">
        <v>164</v>
      </c>
      <c r="R665">
        <v>31</v>
      </c>
      <c r="S665" t="s">
        <v>194</v>
      </c>
      <c r="T665">
        <f t="shared" si="70"/>
        <v>10351</v>
      </c>
      <c r="U665" t="str">
        <f t="shared" si="71"/>
        <v>SAL</v>
      </c>
      <c r="V665" t="str">
        <f t="shared" si="72"/>
        <v>L1</v>
      </c>
      <c r="W665" t="str">
        <f>PROPER(TRIM(VLOOKUP(S665,Employee_Lookups!$I$4:$M$19,2,FALSE())))</f>
        <v>Vikramaditya Joshi</v>
      </c>
      <c r="X665" t="str">
        <f>VLOOKUP(C665,Employee_Lookups!$A$4:$G$9,4,FALSE())</f>
        <v>CC-202</v>
      </c>
      <c r="Y665" t="str">
        <f>INDEX(Employee_Lookups!$C$13:$C$17,MATCH(F665,Employee_Lookups!$A$13:$A$17,0))</f>
        <v>Band A (Entry)</v>
      </c>
      <c r="Z665" s="27">
        <f>_xlfn.XLOOKUP(F665,Employee_Lookups!$A$13:$A$17,Employee_Lookups!$E$13:$E$17,0)</f>
        <v>700000</v>
      </c>
      <c r="AA665" s="28">
        <f>ROUND(O665/INDEX(Employee_Lookups!$E$13:$E$17,MATCH(F665,Employee_Lookups!$A$13:$A$17,0)),3)</f>
        <v>0.82599999999999996</v>
      </c>
      <c r="AB665">
        <f t="shared" si="73"/>
        <v>2022</v>
      </c>
      <c r="AC665" t="str">
        <f t="shared" si="74"/>
        <v/>
      </c>
      <c r="AD665" s="28">
        <f>ROUND((IF(ISBLANK(L665),Employee_Lookups!$O$14,L665)-J665)/365.25,2)</f>
        <v>3.1</v>
      </c>
      <c r="AE665" t="str">
        <f t="shared" si="75"/>
        <v>3 - 5 Yrs</v>
      </c>
      <c r="AF665" t="str">
        <f t="shared" si="76"/>
        <v>Low Risk</v>
      </c>
    </row>
    <row r="666" spans="1:32" x14ac:dyDescent="0.45">
      <c r="A666" t="s">
        <v>1347</v>
      </c>
      <c r="B666" t="s">
        <v>1348</v>
      </c>
      <c r="C666" t="s">
        <v>59</v>
      </c>
      <c r="D666" t="s">
        <v>58</v>
      </c>
      <c r="E666" t="s">
        <v>287</v>
      </c>
      <c r="F666" t="s">
        <v>83</v>
      </c>
      <c r="G666" t="s">
        <v>288</v>
      </c>
      <c r="H666" t="s">
        <v>111</v>
      </c>
      <c r="I666" t="s">
        <v>110</v>
      </c>
      <c r="J666" s="26">
        <v>44892</v>
      </c>
      <c r="K666" t="s">
        <v>170</v>
      </c>
      <c r="L666" s="26">
        <v>45473</v>
      </c>
      <c r="M666" t="s">
        <v>171</v>
      </c>
      <c r="N666" t="s">
        <v>99</v>
      </c>
      <c r="O666" s="27">
        <v>2049000</v>
      </c>
      <c r="P666">
        <v>2</v>
      </c>
      <c r="Q666" t="s">
        <v>164</v>
      </c>
      <c r="R666">
        <v>16</v>
      </c>
      <c r="S666" t="s">
        <v>208</v>
      </c>
      <c r="T666">
        <f t="shared" si="70"/>
        <v>10037</v>
      </c>
      <c r="U666" t="str">
        <f t="shared" si="71"/>
        <v>FIN</v>
      </c>
      <c r="V666" t="str">
        <f t="shared" si="72"/>
        <v>L3</v>
      </c>
      <c r="W666" t="str">
        <f>PROPER(TRIM(VLOOKUP(S666,Employee_Lookups!$I$4:$M$19,2,FALSE())))</f>
        <v>Rajeshwari Rao</v>
      </c>
      <c r="X666" t="str">
        <f>VLOOKUP(C666,Employee_Lookups!$A$4:$G$9,4,FALSE())</f>
        <v>CC-404</v>
      </c>
      <c r="Y666" t="str">
        <f>INDEX(Employee_Lookups!$C$13:$C$17,MATCH(F666,Employee_Lookups!$A$13:$A$17,0))</f>
        <v>Band C (Senior)</v>
      </c>
      <c r="Z666" s="27">
        <f>_xlfn.XLOOKUP(F666,Employee_Lookups!$A$13:$A$17,Employee_Lookups!$E$13:$E$17,0)</f>
        <v>1725000</v>
      </c>
      <c r="AA666" s="28">
        <f>ROUND(O666/INDEX(Employee_Lookups!$E$13:$E$17,MATCH(F666,Employee_Lookups!$A$13:$A$17,0)),3)</f>
        <v>1.1879999999999999</v>
      </c>
      <c r="AB666">
        <f t="shared" si="73"/>
        <v>2022</v>
      </c>
      <c r="AC666">
        <f t="shared" si="74"/>
        <v>2024</v>
      </c>
      <c r="AD666" s="28">
        <f>ROUND((IF(ISBLANK(L666),Employee_Lookups!$O$14,L666)-J666)/365.25,2)</f>
        <v>1.59</v>
      </c>
      <c r="AE666" t="str">
        <f t="shared" si="75"/>
        <v>1 - 3 Yrs</v>
      </c>
      <c r="AF666" t="str">
        <f t="shared" si="76"/>
        <v>Exited</v>
      </c>
    </row>
    <row r="667" spans="1:32" x14ac:dyDescent="0.45">
      <c r="A667" t="s">
        <v>1349</v>
      </c>
      <c r="B667" t="s">
        <v>402</v>
      </c>
      <c r="C667" t="s">
        <v>51</v>
      </c>
      <c r="D667" t="s">
        <v>50</v>
      </c>
      <c r="E667" t="s">
        <v>181</v>
      </c>
      <c r="F667" t="s">
        <v>81</v>
      </c>
      <c r="G667" t="s">
        <v>182</v>
      </c>
      <c r="H667" t="s">
        <v>108</v>
      </c>
      <c r="I667" t="s">
        <v>107</v>
      </c>
      <c r="J667" s="26">
        <v>44897</v>
      </c>
      <c r="K667" t="s">
        <v>187</v>
      </c>
      <c r="L667" s="26">
        <v>45363</v>
      </c>
      <c r="M667" t="s">
        <v>282</v>
      </c>
      <c r="N667" t="s">
        <v>96</v>
      </c>
      <c r="O667" s="27">
        <v>771000</v>
      </c>
      <c r="P667">
        <v>3</v>
      </c>
      <c r="Q667" t="s">
        <v>172</v>
      </c>
      <c r="R667">
        <v>39</v>
      </c>
      <c r="S667" t="s">
        <v>219</v>
      </c>
      <c r="T667">
        <f t="shared" si="70"/>
        <v>10619</v>
      </c>
      <c r="U667" t="str">
        <f t="shared" si="71"/>
        <v>ENG</v>
      </c>
      <c r="V667" t="str">
        <f t="shared" si="72"/>
        <v>L1</v>
      </c>
      <c r="W667" t="str">
        <f>PROPER(TRIM(VLOOKUP(S667,Employee_Lookups!$I$4:$M$19,2,FALSE())))</f>
        <v>Neha Kulkarni</v>
      </c>
      <c r="X667" t="str">
        <f>VLOOKUP(C667,Employee_Lookups!$A$4:$G$9,4,FALSE())</f>
        <v>CC-101</v>
      </c>
      <c r="Y667" t="str">
        <f>INDEX(Employee_Lookups!$C$13:$C$17,MATCH(F667,Employee_Lookups!$A$13:$A$17,0))</f>
        <v>Band A (Entry)</v>
      </c>
      <c r="Z667" s="27">
        <f>_xlfn.XLOOKUP(F667,Employee_Lookups!$A$13:$A$17,Employee_Lookups!$E$13:$E$17,0)</f>
        <v>700000</v>
      </c>
      <c r="AA667" s="28">
        <f>ROUND(O667/INDEX(Employee_Lookups!$E$13:$E$17,MATCH(F667,Employee_Lookups!$A$13:$A$17,0)),3)</f>
        <v>1.101</v>
      </c>
      <c r="AB667">
        <f t="shared" si="73"/>
        <v>2022</v>
      </c>
      <c r="AC667">
        <f t="shared" si="74"/>
        <v>2024</v>
      </c>
      <c r="AD667" s="28">
        <f>ROUND((IF(ISBLANK(L667),Employee_Lookups!$O$14,L667)-J667)/365.25,2)</f>
        <v>1.28</v>
      </c>
      <c r="AE667" t="str">
        <f t="shared" si="75"/>
        <v>1 - 3 Yrs</v>
      </c>
      <c r="AF667" t="str">
        <f t="shared" si="76"/>
        <v>Exited</v>
      </c>
    </row>
    <row r="668" spans="1:32" x14ac:dyDescent="0.45">
      <c r="A668" t="s">
        <v>1350</v>
      </c>
      <c r="B668" t="s">
        <v>239</v>
      </c>
      <c r="C668" t="s">
        <v>61</v>
      </c>
      <c r="D668" t="s">
        <v>60</v>
      </c>
      <c r="E668" t="s">
        <v>356</v>
      </c>
      <c r="F668" t="s">
        <v>81</v>
      </c>
      <c r="G668" t="s">
        <v>357</v>
      </c>
      <c r="H668" t="s">
        <v>108</v>
      </c>
      <c r="I668" t="s">
        <v>107</v>
      </c>
      <c r="J668" s="26">
        <v>44897</v>
      </c>
      <c r="K668" t="s">
        <v>187</v>
      </c>
      <c r="L668" s="26">
        <v>45534</v>
      </c>
      <c r="M668" t="s">
        <v>213</v>
      </c>
      <c r="N668" t="s">
        <v>95</v>
      </c>
      <c r="O668" s="27">
        <v>811000</v>
      </c>
      <c r="P668">
        <v>3</v>
      </c>
      <c r="Q668" t="s">
        <v>172</v>
      </c>
      <c r="R668">
        <v>49</v>
      </c>
      <c r="S668" t="s">
        <v>253</v>
      </c>
      <c r="T668">
        <f t="shared" si="70"/>
        <v>11068</v>
      </c>
      <c r="U668" t="str">
        <f t="shared" si="71"/>
        <v>-HR</v>
      </c>
      <c r="V668" t="str">
        <f t="shared" si="72"/>
        <v>L1</v>
      </c>
      <c r="W668" t="str">
        <f>PROPER(TRIM(VLOOKUP(S668,Employee_Lookups!$I$4:$M$19,2,FALSE())))</f>
        <v>Nikhil Chatterjee</v>
      </c>
      <c r="X668" t="str">
        <f>VLOOKUP(C668,Employee_Lookups!$A$4:$G$9,4,FALSE())</f>
        <v>CC-505</v>
      </c>
      <c r="Y668" t="str">
        <f>INDEX(Employee_Lookups!$C$13:$C$17,MATCH(F668,Employee_Lookups!$A$13:$A$17,0))</f>
        <v>Band A (Entry)</v>
      </c>
      <c r="Z668" s="27">
        <f>_xlfn.XLOOKUP(F668,Employee_Lookups!$A$13:$A$17,Employee_Lookups!$E$13:$E$17,0)</f>
        <v>700000</v>
      </c>
      <c r="AA668" s="28">
        <f>ROUND(O668/INDEX(Employee_Lookups!$E$13:$E$17,MATCH(F668,Employee_Lookups!$A$13:$A$17,0)),3)</f>
        <v>1.159</v>
      </c>
      <c r="AB668">
        <f t="shared" si="73"/>
        <v>2022</v>
      </c>
      <c r="AC668">
        <f t="shared" si="74"/>
        <v>2024</v>
      </c>
      <c r="AD668" s="28">
        <f>ROUND((IF(ISBLANK(L668),Employee_Lookups!$O$14,L668)-J668)/365.25,2)</f>
        <v>1.74</v>
      </c>
      <c r="AE668" t="str">
        <f t="shared" si="75"/>
        <v>1 - 3 Yrs</v>
      </c>
      <c r="AF668" t="str">
        <f t="shared" si="76"/>
        <v>Exited</v>
      </c>
    </row>
    <row r="669" spans="1:32" x14ac:dyDescent="0.45">
      <c r="A669" t="s">
        <v>1351</v>
      </c>
      <c r="B669" t="s">
        <v>337</v>
      </c>
      <c r="C669" t="s">
        <v>55</v>
      </c>
      <c r="D669" t="s">
        <v>54</v>
      </c>
      <c r="E669" t="s">
        <v>229</v>
      </c>
      <c r="F669" t="s">
        <v>82</v>
      </c>
      <c r="G669" t="s">
        <v>230</v>
      </c>
      <c r="H669" t="s">
        <v>108</v>
      </c>
      <c r="I669" t="s">
        <v>107</v>
      </c>
      <c r="J669" s="26">
        <v>44898</v>
      </c>
      <c r="K669" t="s">
        <v>162</v>
      </c>
      <c r="L669" s="26"/>
      <c r="M669" t="s">
        <v>163</v>
      </c>
      <c r="N669" t="s">
        <v>99</v>
      </c>
      <c r="O669" s="27">
        <v>899000</v>
      </c>
      <c r="P669">
        <v>5</v>
      </c>
      <c r="Q669" t="s">
        <v>172</v>
      </c>
      <c r="R669">
        <v>43</v>
      </c>
      <c r="S669" t="s">
        <v>262</v>
      </c>
      <c r="T669">
        <f t="shared" si="70"/>
        <v>10120</v>
      </c>
      <c r="U669" t="str">
        <f t="shared" si="71"/>
        <v>OPS</v>
      </c>
      <c r="V669" t="str">
        <f t="shared" si="72"/>
        <v>L2</v>
      </c>
      <c r="W669" t="str">
        <f>PROPER(TRIM(VLOOKUP(S669,Employee_Lookups!$I$4:$M$19,2,FALSE())))</f>
        <v>Ananya Iyer</v>
      </c>
      <c r="X669" t="str">
        <f>VLOOKUP(C669,Employee_Lookups!$A$4:$G$9,4,FALSE())</f>
        <v>CC-303</v>
      </c>
      <c r="Y669" t="str">
        <f>INDEX(Employee_Lookups!$C$13:$C$17,MATCH(F669,Employee_Lookups!$A$13:$A$17,0))</f>
        <v>Band B (Mid)</v>
      </c>
      <c r="Z669" s="27">
        <f>_xlfn.XLOOKUP(F669,Employee_Lookups!$A$13:$A$17,Employee_Lookups!$E$13:$E$17,0)</f>
        <v>1100000</v>
      </c>
      <c r="AA669" s="28">
        <f>ROUND(O669/INDEX(Employee_Lookups!$E$13:$E$17,MATCH(F669,Employee_Lookups!$A$13:$A$17,0)),3)</f>
        <v>0.81699999999999995</v>
      </c>
      <c r="AB669">
        <f t="shared" si="73"/>
        <v>2022</v>
      </c>
      <c r="AC669" t="str">
        <f t="shared" si="74"/>
        <v/>
      </c>
      <c r="AD669" s="28">
        <f>ROUND((IF(ISBLANK(L669),Employee_Lookups!$O$14,L669)-J669)/365.25,2)</f>
        <v>3.08</v>
      </c>
      <c r="AE669" t="str">
        <f t="shared" si="75"/>
        <v>3 - 5 Yrs</v>
      </c>
      <c r="AF669" t="str">
        <f t="shared" si="76"/>
        <v>High Risk</v>
      </c>
    </row>
    <row r="670" spans="1:32" x14ac:dyDescent="0.45">
      <c r="A670" t="s">
        <v>1352</v>
      </c>
      <c r="B670" t="s">
        <v>722</v>
      </c>
      <c r="C670" t="s">
        <v>55</v>
      </c>
      <c r="D670" t="s">
        <v>54</v>
      </c>
      <c r="E670" t="s">
        <v>277</v>
      </c>
      <c r="F670" t="s">
        <v>81</v>
      </c>
      <c r="G670" t="s">
        <v>278</v>
      </c>
      <c r="H670" t="s">
        <v>112</v>
      </c>
      <c r="I670" t="s">
        <v>113</v>
      </c>
      <c r="J670" s="26">
        <v>44898</v>
      </c>
      <c r="K670" t="s">
        <v>162</v>
      </c>
      <c r="L670" s="26"/>
      <c r="M670" t="s">
        <v>163</v>
      </c>
      <c r="N670" t="s">
        <v>97</v>
      </c>
      <c r="O670" s="27">
        <v>787000</v>
      </c>
      <c r="P670">
        <v>3</v>
      </c>
      <c r="Q670" t="s">
        <v>164</v>
      </c>
      <c r="R670">
        <v>37</v>
      </c>
      <c r="S670" t="s">
        <v>262</v>
      </c>
      <c r="T670">
        <f t="shared" si="70"/>
        <v>11041</v>
      </c>
      <c r="U670" t="str">
        <f t="shared" si="71"/>
        <v>OPS</v>
      </c>
      <c r="V670" t="str">
        <f t="shared" si="72"/>
        <v>L1</v>
      </c>
      <c r="W670" t="str">
        <f>PROPER(TRIM(VLOOKUP(S670,Employee_Lookups!$I$4:$M$19,2,FALSE())))</f>
        <v>Ananya Iyer</v>
      </c>
      <c r="X670" t="str">
        <f>VLOOKUP(C670,Employee_Lookups!$A$4:$G$9,4,FALSE())</f>
        <v>CC-303</v>
      </c>
      <c r="Y670" t="str">
        <f>INDEX(Employee_Lookups!$C$13:$C$17,MATCH(F670,Employee_Lookups!$A$13:$A$17,0))</f>
        <v>Band A (Entry)</v>
      </c>
      <c r="Z670" s="27">
        <f>_xlfn.XLOOKUP(F670,Employee_Lookups!$A$13:$A$17,Employee_Lookups!$E$13:$E$17,0)</f>
        <v>700000</v>
      </c>
      <c r="AA670" s="28">
        <f>ROUND(O670/INDEX(Employee_Lookups!$E$13:$E$17,MATCH(F670,Employee_Lookups!$A$13:$A$17,0)),3)</f>
        <v>1.1240000000000001</v>
      </c>
      <c r="AB670">
        <f t="shared" si="73"/>
        <v>2022</v>
      </c>
      <c r="AC670" t="str">
        <f t="shared" si="74"/>
        <v/>
      </c>
      <c r="AD670" s="28">
        <f>ROUND((IF(ISBLANK(L670),Employee_Lookups!$O$14,L670)-J670)/365.25,2)</f>
        <v>3.08</v>
      </c>
      <c r="AE670" t="str">
        <f t="shared" si="75"/>
        <v>3 - 5 Yrs</v>
      </c>
      <c r="AF670" t="str">
        <f t="shared" si="76"/>
        <v>Low Risk</v>
      </c>
    </row>
    <row r="671" spans="1:32" x14ac:dyDescent="0.45">
      <c r="A671" t="s">
        <v>1353</v>
      </c>
      <c r="B671" t="s">
        <v>973</v>
      </c>
      <c r="C671" t="s">
        <v>51</v>
      </c>
      <c r="D671" t="s">
        <v>50</v>
      </c>
      <c r="E671" t="s">
        <v>176</v>
      </c>
      <c r="F671" t="s">
        <v>82</v>
      </c>
      <c r="G671" t="s">
        <v>177</v>
      </c>
      <c r="H671" t="s">
        <v>108</v>
      </c>
      <c r="I671" t="s">
        <v>107</v>
      </c>
      <c r="J671" s="26">
        <v>44899</v>
      </c>
      <c r="K671" t="s">
        <v>170</v>
      </c>
      <c r="L671" s="26">
        <v>45044</v>
      </c>
      <c r="M671" t="s">
        <v>171</v>
      </c>
      <c r="N671" t="s">
        <v>99</v>
      </c>
      <c r="O671" s="27">
        <v>872000</v>
      </c>
      <c r="P671">
        <v>2</v>
      </c>
      <c r="Q671" t="s">
        <v>164</v>
      </c>
      <c r="R671">
        <v>34</v>
      </c>
      <c r="S671" t="s">
        <v>219</v>
      </c>
      <c r="T671">
        <f t="shared" si="70"/>
        <v>11157</v>
      </c>
      <c r="U671" t="str">
        <f t="shared" si="71"/>
        <v>ENG</v>
      </c>
      <c r="V671" t="str">
        <f t="shared" si="72"/>
        <v>L2</v>
      </c>
      <c r="W671" t="str">
        <f>PROPER(TRIM(VLOOKUP(S671,Employee_Lookups!$I$4:$M$19,2,FALSE())))</f>
        <v>Neha Kulkarni</v>
      </c>
      <c r="X671" t="str">
        <f>VLOOKUP(C671,Employee_Lookups!$A$4:$G$9,4,FALSE())</f>
        <v>CC-101</v>
      </c>
      <c r="Y671" t="str">
        <f>INDEX(Employee_Lookups!$C$13:$C$17,MATCH(F671,Employee_Lookups!$A$13:$A$17,0))</f>
        <v>Band B (Mid)</v>
      </c>
      <c r="Z671" s="27">
        <f>_xlfn.XLOOKUP(F671,Employee_Lookups!$A$13:$A$17,Employee_Lookups!$E$13:$E$17,0)</f>
        <v>1100000</v>
      </c>
      <c r="AA671" s="28">
        <f>ROUND(O671/INDEX(Employee_Lookups!$E$13:$E$17,MATCH(F671,Employee_Lookups!$A$13:$A$17,0)),3)</f>
        <v>0.79300000000000004</v>
      </c>
      <c r="AB671">
        <f t="shared" si="73"/>
        <v>2022</v>
      </c>
      <c r="AC671">
        <f t="shared" si="74"/>
        <v>2023</v>
      </c>
      <c r="AD671" s="28">
        <f>ROUND((IF(ISBLANK(L671),Employee_Lookups!$O$14,L671)-J671)/365.25,2)</f>
        <v>0.4</v>
      </c>
      <c r="AE671" t="str">
        <f t="shared" si="75"/>
        <v>&lt; 1 Yr (New)</v>
      </c>
      <c r="AF671" t="str">
        <f t="shared" si="76"/>
        <v>Exited</v>
      </c>
    </row>
    <row r="672" spans="1:32" x14ac:dyDescent="0.45">
      <c r="A672" t="s">
        <v>1354</v>
      </c>
      <c r="B672" t="s">
        <v>1355</v>
      </c>
      <c r="C672" t="s">
        <v>51</v>
      </c>
      <c r="D672" t="s">
        <v>50</v>
      </c>
      <c r="E672" t="s">
        <v>176</v>
      </c>
      <c r="F672" t="s">
        <v>82</v>
      </c>
      <c r="G672" t="s">
        <v>177</v>
      </c>
      <c r="H672" t="s">
        <v>111</v>
      </c>
      <c r="I672" t="s">
        <v>110</v>
      </c>
      <c r="J672" s="26">
        <v>44900</v>
      </c>
      <c r="K672" t="s">
        <v>187</v>
      </c>
      <c r="L672" s="26">
        <v>45482</v>
      </c>
      <c r="M672" t="s">
        <v>308</v>
      </c>
      <c r="N672" t="s">
        <v>96</v>
      </c>
      <c r="O672" s="27">
        <v>1177000</v>
      </c>
      <c r="P672">
        <v>4</v>
      </c>
      <c r="Q672" t="s">
        <v>164</v>
      </c>
      <c r="R672">
        <v>28</v>
      </c>
      <c r="S672" t="s">
        <v>178</v>
      </c>
      <c r="T672">
        <f t="shared" si="70"/>
        <v>10117</v>
      </c>
      <c r="U672" t="str">
        <f t="shared" si="71"/>
        <v>ENG</v>
      </c>
      <c r="V672" t="str">
        <f t="shared" si="72"/>
        <v>L2</v>
      </c>
      <c r="W672" t="str">
        <f>PROPER(TRIM(VLOOKUP(S672,Employee_Lookups!$I$4:$M$19,2,FALSE())))</f>
        <v>Aarav Deshmukh</v>
      </c>
      <c r="X672" t="str">
        <f>VLOOKUP(C672,Employee_Lookups!$A$4:$G$9,4,FALSE())</f>
        <v>CC-101</v>
      </c>
      <c r="Y672" t="str">
        <f>INDEX(Employee_Lookups!$C$13:$C$17,MATCH(F672,Employee_Lookups!$A$13:$A$17,0))</f>
        <v>Band B (Mid)</v>
      </c>
      <c r="Z672" s="27">
        <f>_xlfn.XLOOKUP(F672,Employee_Lookups!$A$13:$A$17,Employee_Lookups!$E$13:$E$17,0)</f>
        <v>1100000</v>
      </c>
      <c r="AA672" s="28">
        <f>ROUND(O672/INDEX(Employee_Lookups!$E$13:$E$17,MATCH(F672,Employee_Lookups!$A$13:$A$17,0)),3)</f>
        <v>1.07</v>
      </c>
      <c r="AB672">
        <f t="shared" si="73"/>
        <v>2022</v>
      </c>
      <c r="AC672">
        <f t="shared" si="74"/>
        <v>2024</v>
      </c>
      <c r="AD672" s="28">
        <f>ROUND((IF(ISBLANK(L672),Employee_Lookups!$O$14,L672)-J672)/365.25,2)</f>
        <v>1.59</v>
      </c>
      <c r="AE672" t="str">
        <f t="shared" si="75"/>
        <v>1 - 3 Yrs</v>
      </c>
      <c r="AF672" t="str">
        <f t="shared" si="76"/>
        <v>Exited</v>
      </c>
    </row>
    <row r="673" spans="1:32" x14ac:dyDescent="0.45">
      <c r="A673" t="s">
        <v>1356</v>
      </c>
      <c r="B673" t="s">
        <v>312</v>
      </c>
      <c r="C673" t="s">
        <v>55</v>
      </c>
      <c r="D673" t="s">
        <v>54</v>
      </c>
      <c r="E673" t="s">
        <v>168</v>
      </c>
      <c r="F673" t="s">
        <v>84</v>
      </c>
      <c r="G673" t="s">
        <v>169</v>
      </c>
      <c r="H673" t="s">
        <v>109</v>
      </c>
      <c r="I673" t="s">
        <v>110</v>
      </c>
      <c r="J673" s="26">
        <v>44904</v>
      </c>
      <c r="K673" t="s">
        <v>162</v>
      </c>
      <c r="L673" s="26"/>
      <c r="M673" t="s">
        <v>163</v>
      </c>
      <c r="N673" t="s">
        <v>97</v>
      </c>
      <c r="O673" s="27">
        <v>3230000</v>
      </c>
      <c r="P673">
        <v>3</v>
      </c>
      <c r="Q673" t="s">
        <v>172</v>
      </c>
      <c r="R673">
        <v>33</v>
      </c>
      <c r="S673" t="s">
        <v>262</v>
      </c>
      <c r="T673">
        <f t="shared" si="70"/>
        <v>10508</v>
      </c>
      <c r="U673" t="str">
        <f t="shared" si="71"/>
        <v>OPS</v>
      </c>
      <c r="V673" t="str">
        <f t="shared" si="72"/>
        <v>L4</v>
      </c>
      <c r="W673" t="str">
        <f>PROPER(TRIM(VLOOKUP(S673,Employee_Lookups!$I$4:$M$19,2,FALSE())))</f>
        <v>Ananya Iyer</v>
      </c>
      <c r="X673" t="str">
        <f>VLOOKUP(C673,Employee_Lookups!$A$4:$G$9,4,FALSE())</f>
        <v>CC-303</v>
      </c>
      <c r="Y673" t="str">
        <f>INDEX(Employee_Lookups!$C$13:$C$17,MATCH(F673,Employee_Lookups!$A$13:$A$17,0))</f>
        <v>Band D (Leadership)</v>
      </c>
      <c r="Z673" s="27">
        <f>_xlfn.XLOOKUP(F673,Employee_Lookups!$A$13:$A$17,Employee_Lookups!$E$13:$E$17,0)</f>
        <v>2750000</v>
      </c>
      <c r="AA673" s="28">
        <f>ROUND(O673/INDEX(Employee_Lookups!$E$13:$E$17,MATCH(F673,Employee_Lookups!$A$13:$A$17,0)),3)</f>
        <v>1.175</v>
      </c>
      <c r="AB673">
        <f t="shared" si="73"/>
        <v>2022</v>
      </c>
      <c r="AC673" t="str">
        <f t="shared" si="74"/>
        <v/>
      </c>
      <c r="AD673" s="28">
        <f>ROUND((IF(ISBLANK(L673),Employee_Lookups!$O$14,L673)-J673)/365.25,2)</f>
        <v>3.06</v>
      </c>
      <c r="AE673" t="str">
        <f t="shared" si="75"/>
        <v>3 - 5 Yrs</v>
      </c>
      <c r="AF673" t="str">
        <f t="shared" si="76"/>
        <v>Moderate Risk</v>
      </c>
    </row>
    <row r="674" spans="1:32" x14ac:dyDescent="0.45">
      <c r="A674" t="s">
        <v>1357</v>
      </c>
      <c r="B674" t="s">
        <v>1358</v>
      </c>
      <c r="C674" t="s">
        <v>57</v>
      </c>
      <c r="D674" t="s">
        <v>56</v>
      </c>
      <c r="E674" t="s">
        <v>455</v>
      </c>
      <c r="F674" t="s">
        <v>84</v>
      </c>
      <c r="G674" t="s">
        <v>456</v>
      </c>
      <c r="H674" t="s">
        <v>108</v>
      </c>
      <c r="I674" t="s">
        <v>107</v>
      </c>
      <c r="J674" s="26">
        <v>44904</v>
      </c>
      <c r="K674" t="s">
        <v>162</v>
      </c>
      <c r="L674" s="26"/>
      <c r="M674" t="s">
        <v>163</v>
      </c>
      <c r="N674" t="s">
        <v>96</v>
      </c>
      <c r="O674" s="27">
        <v>3337000</v>
      </c>
      <c r="P674">
        <v>3</v>
      </c>
      <c r="Q674" t="s">
        <v>164</v>
      </c>
      <c r="R674">
        <v>26</v>
      </c>
      <c r="S674" t="s">
        <v>224</v>
      </c>
      <c r="T674">
        <f t="shared" si="70"/>
        <v>11126</v>
      </c>
      <c r="U674" t="str">
        <f t="shared" si="71"/>
        <v>MKT</v>
      </c>
      <c r="V674" t="str">
        <f t="shared" si="72"/>
        <v>L4</v>
      </c>
      <c r="W674" t="str">
        <f>PROPER(TRIM(VLOOKUP(S674,Employee_Lookups!$I$4:$M$19,2,FALSE())))</f>
        <v>Tanvi Chitnis</v>
      </c>
      <c r="X674" t="str">
        <f>VLOOKUP(C674,Employee_Lookups!$A$4:$G$9,4,FALSE())</f>
        <v>CC-606</v>
      </c>
      <c r="Y674" t="str">
        <f>INDEX(Employee_Lookups!$C$13:$C$17,MATCH(F674,Employee_Lookups!$A$13:$A$17,0))</f>
        <v>Band D (Leadership)</v>
      </c>
      <c r="Z674" s="27">
        <f>_xlfn.XLOOKUP(F674,Employee_Lookups!$A$13:$A$17,Employee_Lookups!$E$13:$E$17,0)</f>
        <v>2750000</v>
      </c>
      <c r="AA674" s="28">
        <f>ROUND(O674/INDEX(Employee_Lookups!$E$13:$E$17,MATCH(F674,Employee_Lookups!$A$13:$A$17,0)),3)</f>
        <v>1.2130000000000001</v>
      </c>
      <c r="AB674">
        <f t="shared" si="73"/>
        <v>2022</v>
      </c>
      <c r="AC674" t="str">
        <f t="shared" si="74"/>
        <v/>
      </c>
      <c r="AD674" s="28">
        <f>ROUND((IF(ISBLANK(L674),Employee_Lookups!$O$14,L674)-J674)/365.25,2)</f>
        <v>3.06</v>
      </c>
      <c r="AE674" t="str">
        <f t="shared" si="75"/>
        <v>3 - 5 Yrs</v>
      </c>
      <c r="AF674" t="str">
        <f t="shared" si="76"/>
        <v>Low Risk</v>
      </c>
    </row>
    <row r="675" spans="1:32" x14ac:dyDescent="0.45">
      <c r="A675" t="s">
        <v>1359</v>
      </c>
      <c r="B675" t="s">
        <v>767</v>
      </c>
      <c r="C675" t="s">
        <v>55</v>
      </c>
      <c r="D675" t="s">
        <v>54</v>
      </c>
      <c r="E675" t="s">
        <v>229</v>
      </c>
      <c r="F675" t="s">
        <v>82</v>
      </c>
      <c r="G675" t="s">
        <v>230</v>
      </c>
      <c r="H675" t="s">
        <v>108</v>
      </c>
      <c r="I675" t="s">
        <v>107</v>
      </c>
      <c r="J675" s="26">
        <v>44905</v>
      </c>
      <c r="K675" t="s">
        <v>162</v>
      </c>
      <c r="L675" s="26"/>
      <c r="M675" t="s">
        <v>163</v>
      </c>
      <c r="N675" t="s">
        <v>98</v>
      </c>
      <c r="O675" s="27">
        <v>1212000</v>
      </c>
      <c r="P675">
        <v>4</v>
      </c>
      <c r="Q675" t="s">
        <v>172</v>
      </c>
      <c r="R675">
        <v>28</v>
      </c>
      <c r="S675" t="s">
        <v>173</v>
      </c>
      <c r="T675">
        <f t="shared" si="70"/>
        <v>10937</v>
      </c>
      <c r="U675" t="str">
        <f t="shared" si="71"/>
        <v>OPS</v>
      </c>
      <c r="V675" t="str">
        <f t="shared" si="72"/>
        <v>L2</v>
      </c>
      <c r="W675" t="str">
        <f>PROPER(TRIM(VLOOKUP(S675,Employee_Lookups!$I$4:$M$19,2,FALSE())))</f>
        <v>Deepak Patil</v>
      </c>
      <c r="X675" t="str">
        <f>VLOOKUP(C675,Employee_Lookups!$A$4:$G$9,4,FALSE())</f>
        <v>CC-303</v>
      </c>
      <c r="Y675" t="str">
        <f>INDEX(Employee_Lookups!$C$13:$C$17,MATCH(F675,Employee_Lookups!$A$13:$A$17,0))</f>
        <v>Band B (Mid)</v>
      </c>
      <c r="Z675" s="27">
        <f>_xlfn.XLOOKUP(F675,Employee_Lookups!$A$13:$A$17,Employee_Lookups!$E$13:$E$17,0)</f>
        <v>1100000</v>
      </c>
      <c r="AA675" s="28">
        <f>ROUND(O675/INDEX(Employee_Lookups!$E$13:$E$17,MATCH(F675,Employee_Lookups!$A$13:$A$17,0)),3)</f>
        <v>1.1020000000000001</v>
      </c>
      <c r="AB675">
        <f t="shared" si="73"/>
        <v>2022</v>
      </c>
      <c r="AC675" t="str">
        <f t="shared" si="74"/>
        <v/>
      </c>
      <c r="AD675" s="28">
        <f>ROUND((IF(ISBLANK(L675),Employee_Lookups!$O$14,L675)-J675)/365.25,2)</f>
        <v>3.06</v>
      </c>
      <c r="AE675" t="str">
        <f t="shared" si="75"/>
        <v>3 - 5 Yrs</v>
      </c>
      <c r="AF675" t="str">
        <f t="shared" si="76"/>
        <v>High Risk</v>
      </c>
    </row>
    <row r="676" spans="1:32" x14ac:dyDescent="0.45">
      <c r="A676" t="s">
        <v>1360</v>
      </c>
      <c r="B676" t="s">
        <v>1219</v>
      </c>
      <c r="C676" t="s">
        <v>57</v>
      </c>
      <c r="D676" t="s">
        <v>56</v>
      </c>
      <c r="E676" t="s">
        <v>222</v>
      </c>
      <c r="F676" t="s">
        <v>82</v>
      </c>
      <c r="G676" t="s">
        <v>223</v>
      </c>
      <c r="H676" t="s">
        <v>106</v>
      </c>
      <c r="I676" t="s">
        <v>107</v>
      </c>
      <c r="J676" s="26">
        <v>44905</v>
      </c>
      <c r="K676" t="s">
        <v>187</v>
      </c>
      <c r="L676" s="26">
        <v>45186</v>
      </c>
      <c r="M676" t="s">
        <v>213</v>
      </c>
      <c r="N676" t="s">
        <v>96</v>
      </c>
      <c r="O676" s="27">
        <v>851000</v>
      </c>
      <c r="P676">
        <v>4</v>
      </c>
      <c r="Q676" t="s">
        <v>164</v>
      </c>
      <c r="R676">
        <v>39</v>
      </c>
      <c r="S676" t="s">
        <v>224</v>
      </c>
      <c r="T676">
        <f t="shared" si="70"/>
        <v>10699</v>
      </c>
      <c r="U676" t="str">
        <f t="shared" si="71"/>
        <v>MKT</v>
      </c>
      <c r="V676" t="str">
        <f t="shared" si="72"/>
        <v>L2</v>
      </c>
      <c r="W676" t="str">
        <f>PROPER(TRIM(VLOOKUP(S676,Employee_Lookups!$I$4:$M$19,2,FALSE())))</f>
        <v>Tanvi Chitnis</v>
      </c>
      <c r="X676" t="str">
        <f>VLOOKUP(C676,Employee_Lookups!$A$4:$G$9,4,FALSE())</f>
        <v>CC-606</v>
      </c>
      <c r="Y676" t="str">
        <f>INDEX(Employee_Lookups!$C$13:$C$17,MATCH(F676,Employee_Lookups!$A$13:$A$17,0))</f>
        <v>Band B (Mid)</v>
      </c>
      <c r="Z676" s="27">
        <f>_xlfn.XLOOKUP(F676,Employee_Lookups!$A$13:$A$17,Employee_Lookups!$E$13:$E$17,0)</f>
        <v>1100000</v>
      </c>
      <c r="AA676" s="28">
        <f>ROUND(O676/INDEX(Employee_Lookups!$E$13:$E$17,MATCH(F676,Employee_Lookups!$A$13:$A$17,0)),3)</f>
        <v>0.77400000000000002</v>
      </c>
      <c r="AB676">
        <f t="shared" si="73"/>
        <v>2022</v>
      </c>
      <c r="AC676">
        <f t="shared" si="74"/>
        <v>2023</v>
      </c>
      <c r="AD676" s="28">
        <f>ROUND((IF(ISBLANK(L676),Employee_Lookups!$O$14,L676)-J676)/365.25,2)</f>
        <v>0.77</v>
      </c>
      <c r="AE676" t="str">
        <f t="shared" si="75"/>
        <v>&lt; 1 Yr (New)</v>
      </c>
      <c r="AF676" t="str">
        <f t="shared" si="76"/>
        <v>Exited</v>
      </c>
    </row>
    <row r="677" spans="1:32" x14ac:dyDescent="0.45">
      <c r="A677" t="s">
        <v>1361</v>
      </c>
      <c r="B677" t="s">
        <v>707</v>
      </c>
      <c r="C677" t="s">
        <v>51</v>
      </c>
      <c r="D677" t="s">
        <v>50</v>
      </c>
      <c r="E677" t="s">
        <v>176</v>
      </c>
      <c r="F677" t="s">
        <v>82</v>
      </c>
      <c r="G677" t="s">
        <v>177</v>
      </c>
      <c r="H677" t="s">
        <v>106</v>
      </c>
      <c r="I677" t="s">
        <v>107</v>
      </c>
      <c r="J677" s="26">
        <v>44906</v>
      </c>
      <c r="K677" t="s">
        <v>162</v>
      </c>
      <c r="L677" s="26"/>
      <c r="M677" t="s">
        <v>163</v>
      </c>
      <c r="N677" t="s">
        <v>96</v>
      </c>
      <c r="O677" s="27">
        <v>1343000</v>
      </c>
      <c r="P677">
        <v>2</v>
      </c>
      <c r="Q677" t="s">
        <v>164</v>
      </c>
      <c r="R677">
        <v>13</v>
      </c>
      <c r="S677" t="s">
        <v>244</v>
      </c>
      <c r="T677">
        <f t="shared" si="70"/>
        <v>11156</v>
      </c>
      <c r="U677" t="str">
        <f t="shared" si="71"/>
        <v>ENG</v>
      </c>
      <c r="V677" t="str">
        <f t="shared" si="72"/>
        <v>L2</v>
      </c>
      <c r="W677" t="str">
        <f>PROPER(TRIM(VLOOKUP(S677,Employee_Lookups!$I$4:$M$19,2,FALSE())))</f>
        <v>Siddharth Nair</v>
      </c>
      <c r="X677" t="str">
        <f>VLOOKUP(C677,Employee_Lookups!$A$4:$G$9,4,FALSE())</f>
        <v>CC-101</v>
      </c>
      <c r="Y677" t="str">
        <f>INDEX(Employee_Lookups!$C$13:$C$17,MATCH(F677,Employee_Lookups!$A$13:$A$17,0))</f>
        <v>Band B (Mid)</v>
      </c>
      <c r="Z677" s="27">
        <f>_xlfn.XLOOKUP(F677,Employee_Lookups!$A$13:$A$17,Employee_Lookups!$E$13:$E$17,0)</f>
        <v>1100000</v>
      </c>
      <c r="AA677" s="28">
        <f>ROUND(O677/INDEX(Employee_Lookups!$E$13:$E$17,MATCH(F677,Employee_Lookups!$A$13:$A$17,0)),3)</f>
        <v>1.2210000000000001</v>
      </c>
      <c r="AB677">
        <f t="shared" si="73"/>
        <v>2022</v>
      </c>
      <c r="AC677" t="str">
        <f t="shared" si="74"/>
        <v/>
      </c>
      <c r="AD677" s="28">
        <f>ROUND((IF(ISBLANK(L677),Employee_Lookups!$O$14,L677)-J677)/365.25,2)</f>
        <v>3.06</v>
      </c>
      <c r="AE677" t="str">
        <f t="shared" si="75"/>
        <v>3 - 5 Yrs</v>
      </c>
      <c r="AF677" t="str">
        <f t="shared" si="76"/>
        <v>Moderate Risk</v>
      </c>
    </row>
    <row r="678" spans="1:32" x14ac:dyDescent="0.45">
      <c r="A678" t="s">
        <v>1362</v>
      </c>
      <c r="B678" t="s">
        <v>1363</v>
      </c>
      <c r="C678" t="s">
        <v>53</v>
      </c>
      <c r="D678" t="s">
        <v>52</v>
      </c>
      <c r="E678" t="s">
        <v>185</v>
      </c>
      <c r="F678" t="s">
        <v>82</v>
      </c>
      <c r="G678" t="s">
        <v>186</v>
      </c>
      <c r="H678" t="s">
        <v>109</v>
      </c>
      <c r="I678" t="s">
        <v>110</v>
      </c>
      <c r="J678" s="26">
        <v>44906</v>
      </c>
      <c r="K678" t="s">
        <v>162</v>
      </c>
      <c r="L678" s="26"/>
      <c r="M678" t="s">
        <v>163</v>
      </c>
      <c r="N678" t="s">
        <v>97</v>
      </c>
      <c r="O678" s="27">
        <v>1134000</v>
      </c>
      <c r="P678">
        <v>4</v>
      </c>
      <c r="Q678" t="s">
        <v>164</v>
      </c>
      <c r="R678">
        <v>42</v>
      </c>
      <c r="S678" t="s">
        <v>194</v>
      </c>
      <c r="T678">
        <f t="shared" si="70"/>
        <v>10258</v>
      </c>
      <c r="U678" t="str">
        <f t="shared" si="71"/>
        <v>SAL</v>
      </c>
      <c r="V678" t="str">
        <f t="shared" si="72"/>
        <v>L2</v>
      </c>
      <c r="W678" t="str">
        <f>PROPER(TRIM(VLOOKUP(S678,Employee_Lookups!$I$4:$M$19,2,FALSE())))</f>
        <v>Vikramaditya Joshi</v>
      </c>
      <c r="X678" t="str">
        <f>VLOOKUP(C678,Employee_Lookups!$A$4:$G$9,4,FALSE())</f>
        <v>CC-202</v>
      </c>
      <c r="Y678" t="str">
        <f>INDEX(Employee_Lookups!$C$13:$C$17,MATCH(F678,Employee_Lookups!$A$13:$A$17,0))</f>
        <v>Band B (Mid)</v>
      </c>
      <c r="Z678" s="27">
        <f>_xlfn.XLOOKUP(F678,Employee_Lookups!$A$13:$A$17,Employee_Lookups!$E$13:$E$17,0)</f>
        <v>1100000</v>
      </c>
      <c r="AA678" s="28">
        <f>ROUND(O678/INDEX(Employee_Lookups!$E$13:$E$17,MATCH(F678,Employee_Lookups!$A$13:$A$17,0)),3)</f>
        <v>1.0309999999999999</v>
      </c>
      <c r="AB678">
        <f t="shared" si="73"/>
        <v>2022</v>
      </c>
      <c r="AC678" t="str">
        <f t="shared" si="74"/>
        <v/>
      </c>
      <c r="AD678" s="28">
        <f>ROUND((IF(ISBLANK(L678),Employee_Lookups!$O$14,L678)-J678)/365.25,2)</f>
        <v>3.06</v>
      </c>
      <c r="AE678" t="str">
        <f t="shared" si="75"/>
        <v>3 - 5 Yrs</v>
      </c>
      <c r="AF678" t="str">
        <f t="shared" si="76"/>
        <v>Low Risk</v>
      </c>
    </row>
    <row r="679" spans="1:32" x14ac:dyDescent="0.45">
      <c r="A679" t="s">
        <v>1364</v>
      </c>
      <c r="B679" t="s">
        <v>1205</v>
      </c>
      <c r="C679" t="s">
        <v>53</v>
      </c>
      <c r="D679" t="s">
        <v>52</v>
      </c>
      <c r="E679" t="s">
        <v>192</v>
      </c>
      <c r="F679" t="s">
        <v>83</v>
      </c>
      <c r="G679" t="s">
        <v>193</v>
      </c>
      <c r="H679" t="s">
        <v>111</v>
      </c>
      <c r="I679" t="s">
        <v>110</v>
      </c>
      <c r="J679" s="26">
        <v>44906</v>
      </c>
      <c r="K679" t="s">
        <v>187</v>
      </c>
      <c r="L679" s="26">
        <v>45053</v>
      </c>
      <c r="M679" t="s">
        <v>213</v>
      </c>
      <c r="N679" t="s">
        <v>96</v>
      </c>
      <c r="O679" s="27">
        <v>1408000</v>
      </c>
      <c r="P679">
        <v>4</v>
      </c>
      <c r="Q679" t="s">
        <v>172</v>
      </c>
      <c r="R679">
        <v>31</v>
      </c>
      <c r="S679" t="s">
        <v>189</v>
      </c>
      <c r="T679">
        <f t="shared" si="70"/>
        <v>10379</v>
      </c>
      <c r="U679" t="str">
        <f t="shared" si="71"/>
        <v>SAL</v>
      </c>
      <c r="V679" t="str">
        <f t="shared" si="72"/>
        <v>L3</v>
      </c>
      <c r="W679" t="str">
        <f>PROPER(TRIM(VLOOKUP(S679,Employee_Lookups!$I$4:$M$19,2,FALSE())))</f>
        <v>Priya Sharma</v>
      </c>
      <c r="X679" t="str">
        <f>VLOOKUP(C679,Employee_Lookups!$A$4:$G$9,4,FALSE())</f>
        <v>CC-202</v>
      </c>
      <c r="Y679" t="str">
        <f>INDEX(Employee_Lookups!$C$13:$C$17,MATCH(F679,Employee_Lookups!$A$13:$A$17,0))</f>
        <v>Band C (Senior)</v>
      </c>
      <c r="Z679" s="27">
        <f>_xlfn.XLOOKUP(F679,Employee_Lookups!$A$13:$A$17,Employee_Lookups!$E$13:$E$17,0)</f>
        <v>1725000</v>
      </c>
      <c r="AA679" s="28">
        <f>ROUND(O679/INDEX(Employee_Lookups!$E$13:$E$17,MATCH(F679,Employee_Lookups!$A$13:$A$17,0)),3)</f>
        <v>0.81599999999999995</v>
      </c>
      <c r="AB679">
        <f t="shared" si="73"/>
        <v>2022</v>
      </c>
      <c r="AC679">
        <f t="shared" si="74"/>
        <v>2023</v>
      </c>
      <c r="AD679" s="28">
        <f>ROUND((IF(ISBLANK(L679),Employee_Lookups!$O$14,L679)-J679)/365.25,2)</f>
        <v>0.4</v>
      </c>
      <c r="AE679" t="str">
        <f t="shared" si="75"/>
        <v>&lt; 1 Yr (New)</v>
      </c>
      <c r="AF679" t="str">
        <f t="shared" si="76"/>
        <v>Exited</v>
      </c>
    </row>
    <row r="680" spans="1:32" x14ac:dyDescent="0.45">
      <c r="A680" t="s">
        <v>1365</v>
      </c>
      <c r="B680" t="s">
        <v>1033</v>
      </c>
      <c r="C680" t="s">
        <v>61</v>
      </c>
      <c r="D680" t="s">
        <v>60</v>
      </c>
      <c r="E680" t="s">
        <v>251</v>
      </c>
      <c r="F680" t="s">
        <v>82</v>
      </c>
      <c r="G680" t="s">
        <v>252</v>
      </c>
      <c r="H680" t="s">
        <v>108</v>
      </c>
      <c r="I680" t="s">
        <v>107</v>
      </c>
      <c r="J680" s="26">
        <v>44906</v>
      </c>
      <c r="K680" t="s">
        <v>170</v>
      </c>
      <c r="L680" s="26">
        <v>44971</v>
      </c>
      <c r="M680" t="s">
        <v>171</v>
      </c>
      <c r="N680" t="s">
        <v>96</v>
      </c>
      <c r="O680" s="27">
        <v>1172000</v>
      </c>
      <c r="P680">
        <v>3</v>
      </c>
      <c r="Q680" t="s">
        <v>164</v>
      </c>
      <c r="R680">
        <v>39</v>
      </c>
      <c r="S680" t="s">
        <v>253</v>
      </c>
      <c r="T680">
        <f t="shared" si="70"/>
        <v>11240</v>
      </c>
      <c r="U680" t="str">
        <f t="shared" si="71"/>
        <v>-HR</v>
      </c>
      <c r="V680" t="str">
        <f t="shared" si="72"/>
        <v>L2</v>
      </c>
      <c r="W680" t="str">
        <f>PROPER(TRIM(VLOOKUP(S680,Employee_Lookups!$I$4:$M$19,2,FALSE())))</f>
        <v>Nikhil Chatterjee</v>
      </c>
      <c r="X680" t="str">
        <f>VLOOKUP(C680,Employee_Lookups!$A$4:$G$9,4,FALSE())</f>
        <v>CC-505</v>
      </c>
      <c r="Y680" t="str">
        <f>INDEX(Employee_Lookups!$C$13:$C$17,MATCH(F680,Employee_Lookups!$A$13:$A$17,0))</f>
        <v>Band B (Mid)</v>
      </c>
      <c r="Z680" s="27">
        <f>_xlfn.XLOOKUP(F680,Employee_Lookups!$A$13:$A$17,Employee_Lookups!$E$13:$E$17,0)</f>
        <v>1100000</v>
      </c>
      <c r="AA680" s="28">
        <f>ROUND(O680/INDEX(Employee_Lookups!$E$13:$E$17,MATCH(F680,Employee_Lookups!$A$13:$A$17,0)),3)</f>
        <v>1.0649999999999999</v>
      </c>
      <c r="AB680">
        <f t="shared" si="73"/>
        <v>2022</v>
      </c>
      <c r="AC680">
        <f t="shared" si="74"/>
        <v>2023</v>
      </c>
      <c r="AD680" s="28">
        <f>ROUND((IF(ISBLANK(L680),Employee_Lookups!$O$14,L680)-J680)/365.25,2)</f>
        <v>0.18</v>
      </c>
      <c r="AE680" t="str">
        <f t="shared" si="75"/>
        <v>&lt; 1 Yr (New)</v>
      </c>
      <c r="AF680" t="str">
        <f t="shared" si="76"/>
        <v>Exited</v>
      </c>
    </row>
    <row r="681" spans="1:32" x14ac:dyDescent="0.45">
      <c r="A681" t="s">
        <v>1366</v>
      </c>
      <c r="B681" t="s">
        <v>683</v>
      </c>
      <c r="C681" t="s">
        <v>51</v>
      </c>
      <c r="D681" t="s">
        <v>50</v>
      </c>
      <c r="E681" t="s">
        <v>181</v>
      </c>
      <c r="F681" t="s">
        <v>81</v>
      </c>
      <c r="G681" t="s">
        <v>182</v>
      </c>
      <c r="H681" t="s">
        <v>109</v>
      </c>
      <c r="I681" t="s">
        <v>110</v>
      </c>
      <c r="J681" s="26">
        <v>44907</v>
      </c>
      <c r="K681" t="s">
        <v>162</v>
      </c>
      <c r="L681" s="26"/>
      <c r="M681" t="s">
        <v>163</v>
      </c>
      <c r="N681" t="s">
        <v>98</v>
      </c>
      <c r="O681" s="27">
        <v>679000</v>
      </c>
      <c r="P681">
        <v>3</v>
      </c>
      <c r="Q681" t="s">
        <v>172</v>
      </c>
      <c r="R681">
        <v>14</v>
      </c>
      <c r="S681" t="s">
        <v>244</v>
      </c>
      <c r="T681">
        <f t="shared" si="70"/>
        <v>11039</v>
      </c>
      <c r="U681" t="str">
        <f t="shared" si="71"/>
        <v>ENG</v>
      </c>
      <c r="V681" t="str">
        <f t="shared" si="72"/>
        <v>L1</v>
      </c>
      <c r="W681" t="str">
        <f>PROPER(TRIM(VLOOKUP(S681,Employee_Lookups!$I$4:$M$19,2,FALSE())))</f>
        <v>Siddharth Nair</v>
      </c>
      <c r="X681" t="str">
        <f>VLOOKUP(C681,Employee_Lookups!$A$4:$G$9,4,FALSE())</f>
        <v>CC-101</v>
      </c>
      <c r="Y681" t="str">
        <f>INDEX(Employee_Lookups!$C$13:$C$17,MATCH(F681,Employee_Lookups!$A$13:$A$17,0))</f>
        <v>Band A (Entry)</v>
      </c>
      <c r="Z681" s="27">
        <f>_xlfn.XLOOKUP(F681,Employee_Lookups!$A$13:$A$17,Employee_Lookups!$E$13:$E$17,0)</f>
        <v>700000</v>
      </c>
      <c r="AA681" s="28">
        <f>ROUND(O681/INDEX(Employee_Lookups!$E$13:$E$17,MATCH(F681,Employee_Lookups!$A$13:$A$17,0)),3)</f>
        <v>0.97</v>
      </c>
      <c r="AB681">
        <f t="shared" si="73"/>
        <v>2022</v>
      </c>
      <c r="AC681" t="str">
        <f t="shared" si="74"/>
        <v/>
      </c>
      <c r="AD681" s="28">
        <f>ROUND((IF(ISBLANK(L681),Employee_Lookups!$O$14,L681)-J681)/365.25,2)</f>
        <v>3.05</v>
      </c>
      <c r="AE681" t="str">
        <f t="shared" si="75"/>
        <v>3 - 5 Yrs</v>
      </c>
      <c r="AF681" t="str">
        <f t="shared" si="76"/>
        <v>Moderate Risk</v>
      </c>
    </row>
    <row r="682" spans="1:32" x14ac:dyDescent="0.45">
      <c r="A682" t="s">
        <v>1367</v>
      </c>
      <c r="B682" t="s">
        <v>1114</v>
      </c>
      <c r="C682" t="s">
        <v>59</v>
      </c>
      <c r="D682" t="s">
        <v>58</v>
      </c>
      <c r="E682" t="s">
        <v>211</v>
      </c>
      <c r="F682" t="s">
        <v>82</v>
      </c>
      <c r="G682" t="s">
        <v>212</v>
      </c>
      <c r="H682" t="s">
        <v>108</v>
      </c>
      <c r="I682" t="s">
        <v>107</v>
      </c>
      <c r="J682" s="26">
        <v>44909</v>
      </c>
      <c r="K682" t="s">
        <v>162</v>
      </c>
      <c r="L682" s="26"/>
      <c r="M682" t="s">
        <v>163</v>
      </c>
      <c r="N682" t="s">
        <v>99</v>
      </c>
      <c r="O682" s="27">
        <v>1026000</v>
      </c>
      <c r="P682">
        <v>3</v>
      </c>
      <c r="Q682" t="s">
        <v>164</v>
      </c>
      <c r="R682">
        <v>44</v>
      </c>
      <c r="S682" t="s">
        <v>214</v>
      </c>
      <c r="T682">
        <f t="shared" si="70"/>
        <v>11426</v>
      </c>
      <c r="U682" t="str">
        <f t="shared" si="71"/>
        <v>FIN</v>
      </c>
      <c r="V682" t="str">
        <f t="shared" si="72"/>
        <v>L2</v>
      </c>
      <c r="W682" t="str">
        <f>PROPER(TRIM(VLOOKUP(S682,Employee_Lookups!$I$4:$M$19,2,FALSE())))</f>
        <v>Aditya Gokhale</v>
      </c>
      <c r="X682" t="str">
        <f>VLOOKUP(C682,Employee_Lookups!$A$4:$G$9,4,FALSE())</f>
        <v>CC-404</v>
      </c>
      <c r="Y682" t="str">
        <f>INDEX(Employee_Lookups!$C$13:$C$17,MATCH(F682,Employee_Lookups!$A$13:$A$17,0))</f>
        <v>Band B (Mid)</v>
      </c>
      <c r="Z682" s="27">
        <f>_xlfn.XLOOKUP(F682,Employee_Lookups!$A$13:$A$17,Employee_Lookups!$E$13:$E$17,0)</f>
        <v>1100000</v>
      </c>
      <c r="AA682" s="28">
        <f>ROUND(O682/INDEX(Employee_Lookups!$E$13:$E$17,MATCH(F682,Employee_Lookups!$A$13:$A$17,0)),3)</f>
        <v>0.93300000000000005</v>
      </c>
      <c r="AB682">
        <f t="shared" si="73"/>
        <v>2022</v>
      </c>
      <c r="AC682" t="str">
        <f t="shared" si="74"/>
        <v/>
      </c>
      <c r="AD682" s="28">
        <f>ROUND((IF(ISBLANK(L682),Employee_Lookups!$O$14,L682)-J682)/365.25,2)</f>
        <v>3.05</v>
      </c>
      <c r="AE682" t="str">
        <f t="shared" si="75"/>
        <v>3 - 5 Yrs</v>
      </c>
      <c r="AF682" t="str">
        <f t="shared" si="76"/>
        <v>Low Risk</v>
      </c>
    </row>
    <row r="683" spans="1:32" x14ac:dyDescent="0.45">
      <c r="A683" t="s">
        <v>1368</v>
      </c>
      <c r="B683" t="s">
        <v>698</v>
      </c>
      <c r="C683" t="s">
        <v>55</v>
      </c>
      <c r="D683" t="s">
        <v>54</v>
      </c>
      <c r="E683" t="s">
        <v>229</v>
      </c>
      <c r="F683" t="s">
        <v>82</v>
      </c>
      <c r="G683" t="s">
        <v>230</v>
      </c>
      <c r="H683" t="s">
        <v>108</v>
      </c>
      <c r="I683" t="s">
        <v>107</v>
      </c>
      <c r="J683" s="26">
        <v>44910</v>
      </c>
      <c r="K683" t="s">
        <v>162</v>
      </c>
      <c r="L683" s="26"/>
      <c r="M683" t="s">
        <v>163</v>
      </c>
      <c r="N683" t="s">
        <v>97</v>
      </c>
      <c r="O683" s="27">
        <v>1171000</v>
      </c>
      <c r="P683">
        <v>5</v>
      </c>
      <c r="Q683" t="s">
        <v>172</v>
      </c>
      <c r="R683">
        <v>30</v>
      </c>
      <c r="S683" t="s">
        <v>173</v>
      </c>
      <c r="T683">
        <f t="shared" si="70"/>
        <v>11316</v>
      </c>
      <c r="U683" t="str">
        <f t="shared" si="71"/>
        <v>OPS</v>
      </c>
      <c r="V683" t="str">
        <f t="shared" si="72"/>
        <v>L2</v>
      </c>
      <c r="W683" t="str">
        <f>PROPER(TRIM(VLOOKUP(S683,Employee_Lookups!$I$4:$M$19,2,FALSE())))</f>
        <v>Deepak Patil</v>
      </c>
      <c r="X683" t="str">
        <f>VLOOKUP(C683,Employee_Lookups!$A$4:$G$9,4,FALSE())</f>
        <v>CC-303</v>
      </c>
      <c r="Y683" t="str">
        <f>INDEX(Employee_Lookups!$C$13:$C$17,MATCH(F683,Employee_Lookups!$A$13:$A$17,0))</f>
        <v>Band B (Mid)</v>
      </c>
      <c r="Z683" s="27">
        <f>_xlfn.XLOOKUP(F683,Employee_Lookups!$A$13:$A$17,Employee_Lookups!$E$13:$E$17,0)</f>
        <v>1100000</v>
      </c>
      <c r="AA683" s="28">
        <f>ROUND(O683/INDEX(Employee_Lookups!$E$13:$E$17,MATCH(F683,Employee_Lookups!$A$13:$A$17,0)),3)</f>
        <v>1.0649999999999999</v>
      </c>
      <c r="AB683">
        <f t="shared" si="73"/>
        <v>2022</v>
      </c>
      <c r="AC683" t="str">
        <f t="shared" si="74"/>
        <v/>
      </c>
      <c r="AD683" s="28">
        <f>ROUND((IF(ISBLANK(L683),Employee_Lookups!$O$14,L683)-J683)/365.25,2)</f>
        <v>3.04</v>
      </c>
      <c r="AE683" t="str">
        <f t="shared" si="75"/>
        <v>3 - 5 Yrs</v>
      </c>
      <c r="AF683" t="str">
        <f t="shared" si="76"/>
        <v>High Risk</v>
      </c>
    </row>
    <row r="684" spans="1:32" x14ac:dyDescent="0.45">
      <c r="A684" t="s">
        <v>1369</v>
      </c>
      <c r="B684" t="s">
        <v>1370</v>
      </c>
      <c r="C684" t="s">
        <v>51</v>
      </c>
      <c r="D684" t="s">
        <v>50</v>
      </c>
      <c r="E684" t="s">
        <v>397</v>
      </c>
      <c r="F684" t="s">
        <v>84</v>
      </c>
      <c r="G684" t="s">
        <v>398</v>
      </c>
      <c r="H684" t="s">
        <v>112</v>
      </c>
      <c r="I684" t="s">
        <v>113</v>
      </c>
      <c r="J684" s="26">
        <v>44910</v>
      </c>
      <c r="K684" t="s">
        <v>162</v>
      </c>
      <c r="L684" s="26"/>
      <c r="M684" t="s">
        <v>163</v>
      </c>
      <c r="N684" t="s">
        <v>98</v>
      </c>
      <c r="O684" s="27">
        <v>3365000</v>
      </c>
      <c r="P684">
        <v>2</v>
      </c>
      <c r="Q684" t="s">
        <v>164</v>
      </c>
      <c r="R684">
        <v>14</v>
      </c>
      <c r="S684" t="s">
        <v>178</v>
      </c>
      <c r="T684">
        <f t="shared" si="70"/>
        <v>10005</v>
      </c>
      <c r="U684" t="str">
        <f t="shared" si="71"/>
        <v>ENG</v>
      </c>
      <c r="V684" t="str">
        <f t="shared" si="72"/>
        <v>L4</v>
      </c>
      <c r="W684" t="str">
        <f>PROPER(TRIM(VLOOKUP(S684,Employee_Lookups!$I$4:$M$19,2,FALSE())))</f>
        <v>Aarav Deshmukh</v>
      </c>
      <c r="X684" t="str">
        <f>VLOOKUP(C684,Employee_Lookups!$A$4:$G$9,4,FALSE())</f>
        <v>CC-101</v>
      </c>
      <c r="Y684" t="str">
        <f>INDEX(Employee_Lookups!$C$13:$C$17,MATCH(F684,Employee_Lookups!$A$13:$A$17,0))</f>
        <v>Band D (Leadership)</v>
      </c>
      <c r="Z684" s="27">
        <f>_xlfn.XLOOKUP(F684,Employee_Lookups!$A$13:$A$17,Employee_Lookups!$E$13:$E$17,0)</f>
        <v>2750000</v>
      </c>
      <c r="AA684" s="28">
        <f>ROUND(O684/INDEX(Employee_Lookups!$E$13:$E$17,MATCH(F684,Employee_Lookups!$A$13:$A$17,0)),3)</f>
        <v>1.224</v>
      </c>
      <c r="AB684">
        <f t="shared" si="73"/>
        <v>2022</v>
      </c>
      <c r="AC684" t="str">
        <f t="shared" si="74"/>
        <v/>
      </c>
      <c r="AD684" s="28">
        <f>ROUND((IF(ISBLANK(L684),Employee_Lookups!$O$14,L684)-J684)/365.25,2)</f>
        <v>3.04</v>
      </c>
      <c r="AE684" t="str">
        <f t="shared" si="75"/>
        <v>3 - 5 Yrs</v>
      </c>
      <c r="AF684" t="str">
        <f t="shared" si="76"/>
        <v>Moderate Risk</v>
      </c>
    </row>
    <row r="685" spans="1:32" x14ac:dyDescent="0.45">
      <c r="A685" t="s">
        <v>1371</v>
      </c>
      <c r="B685" t="s">
        <v>1224</v>
      </c>
      <c r="C685" t="s">
        <v>55</v>
      </c>
      <c r="D685" t="s">
        <v>54</v>
      </c>
      <c r="E685" t="s">
        <v>277</v>
      </c>
      <c r="F685" t="s">
        <v>81</v>
      </c>
      <c r="G685" t="s">
        <v>278</v>
      </c>
      <c r="H685" t="s">
        <v>106</v>
      </c>
      <c r="I685" t="s">
        <v>107</v>
      </c>
      <c r="J685" s="26">
        <v>44911</v>
      </c>
      <c r="K685" t="s">
        <v>187</v>
      </c>
      <c r="L685" s="26">
        <v>45249</v>
      </c>
      <c r="M685" t="s">
        <v>213</v>
      </c>
      <c r="N685" t="s">
        <v>99</v>
      </c>
      <c r="O685" s="27">
        <v>686000</v>
      </c>
      <c r="P685">
        <v>3</v>
      </c>
      <c r="Q685" t="s">
        <v>172</v>
      </c>
      <c r="R685">
        <v>43</v>
      </c>
      <c r="S685" t="s">
        <v>274</v>
      </c>
      <c r="T685">
        <f t="shared" si="70"/>
        <v>11264</v>
      </c>
      <c r="U685" t="str">
        <f t="shared" si="71"/>
        <v>OPS</v>
      </c>
      <c r="V685" t="str">
        <f t="shared" si="72"/>
        <v>L1</v>
      </c>
      <c r="W685" t="str">
        <f>PROPER(TRIM(VLOOKUP(S685,Employee_Lookups!$I$4:$M$19,2,FALSE())))</f>
        <v>Meera Krishnan</v>
      </c>
      <c r="X685" t="str">
        <f>VLOOKUP(C685,Employee_Lookups!$A$4:$G$9,4,FALSE())</f>
        <v>CC-303</v>
      </c>
      <c r="Y685" t="str">
        <f>INDEX(Employee_Lookups!$C$13:$C$17,MATCH(F685,Employee_Lookups!$A$13:$A$17,0))</f>
        <v>Band A (Entry)</v>
      </c>
      <c r="Z685" s="27">
        <f>_xlfn.XLOOKUP(F685,Employee_Lookups!$A$13:$A$17,Employee_Lookups!$E$13:$E$17,0)</f>
        <v>700000</v>
      </c>
      <c r="AA685" s="28">
        <f>ROUND(O685/INDEX(Employee_Lookups!$E$13:$E$17,MATCH(F685,Employee_Lookups!$A$13:$A$17,0)),3)</f>
        <v>0.98</v>
      </c>
      <c r="AB685">
        <f t="shared" si="73"/>
        <v>2022</v>
      </c>
      <c r="AC685">
        <f t="shared" si="74"/>
        <v>2023</v>
      </c>
      <c r="AD685" s="28">
        <f>ROUND((IF(ISBLANK(L685),Employee_Lookups!$O$14,L685)-J685)/365.25,2)</f>
        <v>0.93</v>
      </c>
      <c r="AE685" t="str">
        <f t="shared" si="75"/>
        <v>&lt; 1 Yr (New)</v>
      </c>
      <c r="AF685" t="str">
        <f t="shared" si="76"/>
        <v>Exited</v>
      </c>
    </row>
    <row r="686" spans="1:32" x14ac:dyDescent="0.45">
      <c r="A686" t="s">
        <v>1372</v>
      </c>
      <c r="B686" t="s">
        <v>1373</v>
      </c>
      <c r="C686" t="s">
        <v>51</v>
      </c>
      <c r="D686" t="s">
        <v>50</v>
      </c>
      <c r="E686" t="s">
        <v>397</v>
      </c>
      <c r="F686" t="s">
        <v>84</v>
      </c>
      <c r="G686" t="s">
        <v>398</v>
      </c>
      <c r="H686" t="s">
        <v>106</v>
      </c>
      <c r="I686" t="s">
        <v>107</v>
      </c>
      <c r="J686" s="26">
        <v>44911</v>
      </c>
      <c r="K686" t="s">
        <v>162</v>
      </c>
      <c r="L686" s="26"/>
      <c r="M686" t="s">
        <v>163</v>
      </c>
      <c r="N686" t="s">
        <v>97</v>
      </c>
      <c r="O686" s="27">
        <v>3155000</v>
      </c>
      <c r="P686">
        <v>3</v>
      </c>
      <c r="Q686" t="s">
        <v>164</v>
      </c>
      <c r="R686">
        <v>35</v>
      </c>
      <c r="S686" t="s">
        <v>244</v>
      </c>
      <c r="T686">
        <f t="shared" si="70"/>
        <v>10200</v>
      </c>
      <c r="U686" t="str">
        <f t="shared" si="71"/>
        <v>ENG</v>
      </c>
      <c r="V686" t="str">
        <f t="shared" si="72"/>
        <v>L4</v>
      </c>
      <c r="W686" t="str">
        <f>PROPER(TRIM(VLOOKUP(S686,Employee_Lookups!$I$4:$M$19,2,FALSE())))</f>
        <v>Siddharth Nair</v>
      </c>
      <c r="X686" t="str">
        <f>VLOOKUP(C686,Employee_Lookups!$A$4:$G$9,4,FALSE())</f>
        <v>CC-101</v>
      </c>
      <c r="Y686" t="str">
        <f>INDEX(Employee_Lookups!$C$13:$C$17,MATCH(F686,Employee_Lookups!$A$13:$A$17,0))</f>
        <v>Band D (Leadership)</v>
      </c>
      <c r="Z686" s="27">
        <f>_xlfn.XLOOKUP(F686,Employee_Lookups!$A$13:$A$17,Employee_Lookups!$E$13:$E$17,0)</f>
        <v>2750000</v>
      </c>
      <c r="AA686" s="28">
        <f>ROUND(O686/INDEX(Employee_Lookups!$E$13:$E$17,MATCH(F686,Employee_Lookups!$A$13:$A$17,0)),3)</f>
        <v>1.147</v>
      </c>
      <c r="AB686">
        <f t="shared" si="73"/>
        <v>2022</v>
      </c>
      <c r="AC686" t="str">
        <f t="shared" si="74"/>
        <v/>
      </c>
      <c r="AD686" s="28">
        <f>ROUND((IF(ISBLANK(L686),Employee_Lookups!$O$14,L686)-J686)/365.25,2)</f>
        <v>3.04</v>
      </c>
      <c r="AE686" t="str">
        <f t="shared" si="75"/>
        <v>3 - 5 Yrs</v>
      </c>
      <c r="AF686" t="str">
        <f t="shared" si="76"/>
        <v>Low Risk</v>
      </c>
    </row>
    <row r="687" spans="1:32" x14ac:dyDescent="0.45">
      <c r="A687" t="s">
        <v>1374</v>
      </c>
      <c r="B687" t="s">
        <v>1375</v>
      </c>
      <c r="C687" t="s">
        <v>51</v>
      </c>
      <c r="D687" t="s">
        <v>50</v>
      </c>
      <c r="E687" t="s">
        <v>328</v>
      </c>
      <c r="F687" t="s">
        <v>85</v>
      </c>
      <c r="G687" t="s">
        <v>329</v>
      </c>
      <c r="H687" t="s">
        <v>106</v>
      </c>
      <c r="I687" t="s">
        <v>107</v>
      </c>
      <c r="J687" s="26">
        <v>44915</v>
      </c>
      <c r="K687" t="s">
        <v>162</v>
      </c>
      <c r="L687" s="26"/>
      <c r="M687" t="s">
        <v>163</v>
      </c>
      <c r="N687" t="s">
        <v>97</v>
      </c>
      <c r="O687" s="27">
        <v>3406000</v>
      </c>
      <c r="P687">
        <v>2</v>
      </c>
      <c r="Q687" t="s">
        <v>164</v>
      </c>
      <c r="R687">
        <v>0</v>
      </c>
      <c r="S687" t="s">
        <v>197</v>
      </c>
      <c r="T687">
        <f t="shared" si="70"/>
        <v>11336</v>
      </c>
      <c r="U687" t="str">
        <f t="shared" si="71"/>
        <v>ENG</v>
      </c>
      <c r="V687" t="str">
        <f t="shared" si="72"/>
        <v>L5</v>
      </c>
      <c r="W687" t="str">
        <f>PROPER(TRIM(VLOOKUP(S687,Employee_Lookups!$I$4:$M$19,2,FALSE())))</f>
        <v>Rohan Verma</v>
      </c>
      <c r="X687" t="str">
        <f>VLOOKUP(C687,Employee_Lookups!$A$4:$G$9,4,FALSE())</f>
        <v>CC-101</v>
      </c>
      <c r="Y687" t="str">
        <f>INDEX(Employee_Lookups!$C$13:$C$17,MATCH(F687,Employee_Lookups!$A$13:$A$17,0))</f>
        <v>Band E (Executive)</v>
      </c>
      <c r="Z687" s="27">
        <f>_xlfn.XLOOKUP(F687,Employee_Lookups!$A$13:$A$17,Employee_Lookups!$E$13:$E$17,0)</f>
        <v>4300000</v>
      </c>
      <c r="AA687" s="28">
        <f>ROUND(O687/INDEX(Employee_Lookups!$E$13:$E$17,MATCH(F687,Employee_Lookups!$A$13:$A$17,0)),3)</f>
        <v>0.79200000000000004</v>
      </c>
      <c r="AB687">
        <f t="shared" si="73"/>
        <v>2022</v>
      </c>
      <c r="AC687" t="str">
        <f t="shared" si="74"/>
        <v/>
      </c>
      <c r="AD687" s="28">
        <f>ROUND((IF(ISBLANK(L687),Employee_Lookups!$O$14,L687)-J687)/365.25,2)</f>
        <v>3.03</v>
      </c>
      <c r="AE687" t="str">
        <f t="shared" si="75"/>
        <v>3 - 5 Yrs</v>
      </c>
      <c r="AF687" t="str">
        <f t="shared" si="76"/>
        <v>Moderate Risk</v>
      </c>
    </row>
    <row r="688" spans="1:32" x14ac:dyDescent="0.45">
      <c r="A688" t="s">
        <v>1376</v>
      </c>
      <c r="B688" t="s">
        <v>903</v>
      </c>
      <c r="C688" t="s">
        <v>53</v>
      </c>
      <c r="D688" t="s">
        <v>52</v>
      </c>
      <c r="E688" t="s">
        <v>322</v>
      </c>
      <c r="F688" t="s">
        <v>81</v>
      </c>
      <c r="G688" t="s">
        <v>323</v>
      </c>
      <c r="H688" t="s">
        <v>108</v>
      </c>
      <c r="I688" t="s">
        <v>107</v>
      </c>
      <c r="J688" s="26">
        <v>44916</v>
      </c>
      <c r="K688" t="s">
        <v>170</v>
      </c>
      <c r="L688" s="26">
        <v>45152</v>
      </c>
      <c r="M688" t="s">
        <v>171</v>
      </c>
      <c r="N688" t="s">
        <v>96</v>
      </c>
      <c r="O688" s="27">
        <v>723000</v>
      </c>
      <c r="P688">
        <v>1</v>
      </c>
      <c r="Q688" t="s">
        <v>172</v>
      </c>
      <c r="R688">
        <v>20</v>
      </c>
      <c r="S688" t="s">
        <v>237</v>
      </c>
      <c r="T688">
        <f t="shared" si="70"/>
        <v>10319</v>
      </c>
      <c r="U688" t="str">
        <f t="shared" si="71"/>
        <v>SAL</v>
      </c>
      <c r="V688" t="str">
        <f t="shared" si="72"/>
        <v>L1</v>
      </c>
      <c r="W688" t="str">
        <f>PROPER(TRIM(VLOOKUP(S688,Employee_Lookups!$I$4:$M$19,2,FALSE())))</f>
        <v>Karan Malhotra</v>
      </c>
      <c r="X688" t="str">
        <f>VLOOKUP(C688,Employee_Lookups!$A$4:$G$9,4,FALSE())</f>
        <v>CC-202</v>
      </c>
      <c r="Y688" t="str">
        <f>INDEX(Employee_Lookups!$C$13:$C$17,MATCH(F688,Employee_Lookups!$A$13:$A$17,0))</f>
        <v>Band A (Entry)</v>
      </c>
      <c r="Z688" s="27">
        <f>_xlfn.XLOOKUP(F688,Employee_Lookups!$A$13:$A$17,Employee_Lookups!$E$13:$E$17,0)</f>
        <v>700000</v>
      </c>
      <c r="AA688" s="28">
        <f>ROUND(O688/INDEX(Employee_Lookups!$E$13:$E$17,MATCH(F688,Employee_Lookups!$A$13:$A$17,0)),3)</f>
        <v>1.0329999999999999</v>
      </c>
      <c r="AB688">
        <f t="shared" si="73"/>
        <v>2022</v>
      </c>
      <c r="AC688">
        <f t="shared" si="74"/>
        <v>2023</v>
      </c>
      <c r="AD688" s="28">
        <f>ROUND((IF(ISBLANK(L688),Employee_Lookups!$O$14,L688)-J688)/365.25,2)</f>
        <v>0.65</v>
      </c>
      <c r="AE688" t="str">
        <f t="shared" si="75"/>
        <v>&lt; 1 Yr (New)</v>
      </c>
      <c r="AF688" t="str">
        <f t="shared" si="76"/>
        <v>Exited</v>
      </c>
    </row>
    <row r="689" spans="1:32" x14ac:dyDescent="0.45">
      <c r="A689" t="s">
        <v>1377</v>
      </c>
      <c r="B689" t="s">
        <v>694</v>
      </c>
      <c r="C689" t="s">
        <v>53</v>
      </c>
      <c r="D689" t="s">
        <v>52</v>
      </c>
      <c r="E689" t="s">
        <v>185</v>
      </c>
      <c r="F689" t="s">
        <v>82</v>
      </c>
      <c r="G689" t="s">
        <v>186</v>
      </c>
      <c r="H689" t="s">
        <v>108</v>
      </c>
      <c r="I689" t="s">
        <v>107</v>
      </c>
      <c r="J689" s="26">
        <v>44916</v>
      </c>
      <c r="K689" t="s">
        <v>170</v>
      </c>
      <c r="L689" s="26">
        <v>45049</v>
      </c>
      <c r="M689" t="s">
        <v>171</v>
      </c>
      <c r="N689" t="s">
        <v>99</v>
      </c>
      <c r="O689" s="27">
        <v>1276000</v>
      </c>
      <c r="P689">
        <v>2</v>
      </c>
      <c r="Q689" t="s">
        <v>172</v>
      </c>
      <c r="R689">
        <v>20</v>
      </c>
      <c r="S689" t="s">
        <v>189</v>
      </c>
      <c r="T689">
        <f t="shared" si="70"/>
        <v>10674</v>
      </c>
      <c r="U689" t="str">
        <f t="shared" si="71"/>
        <v>SAL</v>
      </c>
      <c r="V689" t="str">
        <f t="shared" si="72"/>
        <v>L2</v>
      </c>
      <c r="W689" t="str">
        <f>PROPER(TRIM(VLOOKUP(S689,Employee_Lookups!$I$4:$M$19,2,FALSE())))</f>
        <v>Priya Sharma</v>
      </c>
      <c r="X689" t="str">
        <f>VLOOKUP(C689,Employee_Lookups!$A$4:$G$9,4,FALSE())</f>
        <v>CC-202</v>
      </c>
      <c r="Y689" t="str">
        <f>INDEX(Employee_Lookups!$C$13:$C$17,MATCH(F689,Employee_Lookups!$A$13:$A$17,0))</f>
        <v>Band B (Mid)</v>
      </c>
      <c r="Z689" s="27">
        <f>_xlfn.XLOOKUP(F689,Employee_Lookups!$A$13:$A$17,Employee_Lookups!$E$13:$E$17,0)</f>
        <v>1100000</v>
      </c>
      <c r="AA689" s="28">
        <f>ROUND(O689/INDEX(Employee_Lookups!$E$13:$E$17,MATCH(F689,Employee_Lookups!$A$13:$A$17,0)),3)</f>
        <v>1.1599999999999999</v>
      </c>
      <c r="AB689">
        <f t="shared" si="73"/>
        <v>2022</v>
      </c>
      <c r="AC689">
        <f t="shared" si="74"/>
        <v>2023</v>
      </c>
      <c r="AD689" s="28">
        <f>ROUND((IF(ISBLANK(L689),Employee_Lookups!$O$14,L689)-J689)/365.25,2)</f>
        <v>0.36</v>
      </c>
      <c r="AE689" t="str">
        <f t="shared" si="75"/>
        <v>&lt; 1 Yr (New)</v>
      </c>
      <c r="AF689" t="str">
        <f t="shared" si="76"/>
        <v>Exited</v>
      </c>
    </row>
    <row r="690" spans="1:32" x14ac:dyDescent="0.45">
      <c r="A690" t="s">
        <v>1378</v>
      </c>
      <c r="B690" t="s">
        <v>747</v>
      </c>
      <c r="C690" t="s">
        <v>57</v>
      </c>
      <c r="D690" t="s">
        <v>56</v>
      </c>
      <c r="E690" t="s">
        <v>222</v>
      </c>
      <c r="F690" t="s">
        <v>82</v>
      </c>
      <c r="G690" t="s">
        <v>223</v>
      </c>
      <c r="H690" t="s">
        <v>108</v>
      </c>
      <c r="I690" t="s">
        <v>107</v>
      </c>
      <c r="J690" s="26">
        <v>44916</v>
      </c>
      <c r="K690" t="s">
        <v>162</v>
      </c>
      <c r="L690" s="26"/>
      <c r="M690" t="s">
        <v>163</v>
      </c>
      <c r="N690" t="s">
        <v>97</v>
      </c>
      <c r="O690" s="27">
        <v>969000</v>
      </c>
      <c r="P690">
        <v>3</v>
      </c>
      <c r="Q690" t="s">
        <v>164</v>
      </c>
      <c r="R690">
        <v>33</v>
      </c>
      <c r="S690" t="s">
        <v>224</v>
      </c>
      <c r="T690">
        <f t="shared" si="70"/>
        <v>10506</v>
      </c>
      <c r="U690" t="str">
        <f t="shared" si="71"/>
        <v>MKT</v>
      </c>
      <c r="V690" t="str">
        <f t="shared" si="72"/>
        <v>L2</v>
      </c>
      <c r="W690" t="str">
        <f>PROPER(TRIM(VLOOKUP(S690,Employee_Lookups!$I$4:$M$19,2,FALSE())))</f>
        <v>Tanvi Chitnis</v>
      </c>
      <c r="X690" t="str">
        <f>VLOOKUP(C690,Employee_Lookups!$A$4:$G$9,4,FALSE())</f>
        <v>CC-606</v>
      </c>
      <c r="Y690" t="str">
        <f>INDEX(Employee_Lookups!$C$13:$C$17,MATCH(F690,Employee_Lookups!$A$13:$A$17,0))</f>
        <v>Band B (Mid)</v>
      </c>
      <c r="Z690" s="27">
        <f>_xlfn.XLOOKUP(F690,Employee_Lookups!$A$13:$A$17,Employee_Lookups!$E$13:$E$17,0)</f>
        <v>1100000</v>
      </c>
      <c r="AA690" s="28">
        <f>ROUND(O690/INDEX(Employee_Lookups!$E$13:$E$17,MATCH(F690,Employee_Lookups!$A$13:$A$17,0)),3)</f>
        <v>0.88100000000000001</v>
      </c>
      <c r="AB690">
        <f t="shared" si="73"/>
        <v>2022</v>
      </c>
      <c r="AC690" t="str">
        <f t="shared" si="74"/>
        <v/>
      </c>
      <c r="AD690" s="28">
        <f>ROUND((IF(ISBLANK(L690),Employee_Lookups!$O$14,L690)-J690)/365.25,2)</f>
        <v>3.03</v>
      </c>
      <c r="AE690" t="str">
        <f t="shared" si="75"/>
        <v>3 - 5 Yrs</v>
      </c>
      <c r="AF690" t="str">
        <f t="shared" si="76"/>
        <v>Low Risk</v>
      </c>
    </row>
    <row r="691" spans="1:32" x14ac:dyDescent="0.45">
      <c r="A691" t="s">
        <v>1379</v>
      </c>
      <c r="B691" t="s">
        <v>882</v>
      </c>
      <c r="C691" t="s">
        <v>51</v>
      </c>
      <c r="D691" t="s">
        <v>50</v>
      </c>
      <c r="E691" t="s">
        <v>181</v>
      </c>
      <c r="F691" t="s">
        <v>81</v>
      </c>
      <c r="G691" t="s">
        <v>182</v>
      </c>
      <c r="H691" t="s">
        <v>108</v>
      </c>
      <c r="I691" t="s">
        <v>107</v>
      </c>
      <c r="J691" s="26">
        <v>44917</v>
      </c>
      <c r="K691" t="s">
        <v>162</v>
      </c>
      <c r="L691" s="26"/>
      <c r="M691" t="s">
        <v>163</v>
      </c>
      <c r="N691" t="s">
        <v>99</v>
      </c>
      <c r="O691" s="27">
        <v>803000</v>
      </c>
      <c r="P691">
        <v>2</v>
      </c>
      <c r="Q691" t="s">
        <v>164</v>
      </c>
      <c r="R691">
        <v>29</v>
      </c>
      <c r="S691" t="s">
        <v>219</v>
      </c>
      <c r="T691">
        <f t="shared" si="70"/>
        <v>10881</v>
      </c>
      <c r="U691" t="str">
        <f t="shared" si="71"/>
        <v>ENG</v>
      </c>
      <c r="V691" t="str">
        <f t="shared" si="72"/>
        <v>L1</v>
      </c>
      <c r="W691" t="str">
        <f>PROPER(TRIM(VLOOKUP(S691,Employee_Lookups!$I$4:$M$19,2,FALSE())))</f>
        <v>Neha Kulkarni</v>
      </c>
      <c r="X691" t="str">
        <f>VLOOKUP(C691,Employee_Lookups!$A$4:$G$9,4,FALSE())</f>
        <v>CC-101</v>
      </c>
      <c r="Y691" t="str">
        <f>INDEX(Employee_Lookups!$C$13:$C$17,MATCH(F691,Employee_Lookups!$A$13:$A$17,0))</f>
        <v>Band A (Entry)</v>
      </c>
      <c r="Z691" s="27">
        <f>_xlfn.XLOOKUP(F691,Employee_Lookups!$A$13:$A$17,Employee_Lookups!$E$13:$E$17,0)</f>
        <v>700000</v>
      </c>
      <c r="AA691" s="28">
        <f>ROUND(O691/INDEX(Employee_Lookups!$E$13:$E$17,MATCH(F691,Employee_Lookups!$A$13:$A$17,0)),3)</f>
        <v>1.147</v>
      </c>
      <c r="AB691">
        <f t="shared" si="73"/>
        <v>2022</v>
      </c>
      <c r="AC691" t="str">
        <f t="shared" si="74"/>
        <v/>
      </c>
      <c r="AD691" s="28">
        <f>ROUND((IF(ISBLANK(L691),Employee_Lookups!$O$14,L691)-J691)/365.25,2)</f>
        <v>3.03</v>
      </c>
      <c r="AE691" t="str">
        <f t="shared" si="75"/>
        <v>3 - 5 Yrs</v>
      </c>
      <c r="AF691" t="str">
        <f t="shared" si="76"/>
        <v>Moderate Risk</v>
      </c>
    </row>
    <row r="692" spans="1:32" x14ac:dyDescent="0.45">
      <c r="A692" t="s">
        <v>1380</v>
      </c>
      <c r="B692" t="s">
        <v>1111</v>
      </c>
      <c r="C692" t="s">
        <v>53</v>
      </c>
      <c r="D692" t="s">
        <v>52</v>
      </c>
      <c r="E692" t="s">
        <v>192</v>
      </c>
      <c r="F692" t="s">
        <v>83</v>
      </c>
      <c r="G692" t="s">
        <v>193</v>
      </c>
      <c r="H692" t="s">
        <v>109</v>
      </c>
      <c r="I692" t="s">
        <v>110</v>
      </c>
      <c r="J692" s="26">
        <v>44918</v>
      </c>
      <c r="K692" t="s">
        <v>162</v>
      </c>
      <c r="L692" s="26"/>
      <c r="M692" t="s">
        <v>163</v>
      </c>
      <c r="N692" t="s">
        <v>95</v>
      </c>
      <c r="O692" s="27">
        <v>1916000</v>
      </c>
      <c r="P692">
        <v>3</v>
      </c>
      <c r="Q692" t="s">
        <v>164</v>
      </c>
      <c r="R692">
        <v>32</v>
      </c>
      <c r="S692" t="s">
        <v>237</v>
      </c>
      <c r="T692">
        <f t="shared" si="70"/>
        <v>10509</v>
      </c>
      <c r="U692" t="str">
        <f t="shared" si="71"/>
        <v>SAL</v>
      </c>
      <c r="V692" t="str">
        <f t="shared" si="72"/>
        <v>L3</v>
      </c>
      <c r="W692" t="str">
        <f>PROPER(TRIM(VLOOKUP(S692,Employee_Lookups!$I$4:$M$19,2,FALSE())))</f>
        <v>Karan Malhotra</v>
      </c>
      <c r="X692" t="str">
        <f>VLOOKUP(C692,Employee_Lookups!$A$4:$G$9,4,FALSE())</f>
        <v>CC-202</v>
      </c>
      <c r="Y692" t="str">
        <f>INDEX(Employee_Lookups!$C$13:$C$17,MATCH(F692,Employee_Lookups!$A$13:$A$17,0))</f>
        <v>Band C (Senior)</v>
      </c>
      <c r="Z692" s="27">
        <f>_xlfn.XLOOKUP(F692,Employee_Lookups!$A$13:$A$17,Employee_Lookups!$E$13:$E$17,0)</f>
        <v>1725000</v>
      </c>
      <c r="AA692" s="28">
        <f>ROUND(O692/INDEX(Employee_Lookups!$E$13:$E$17,MATCH(F692,Employee_Lookups!$A$13:$A$17,0)),3)</f>
        <v>1.111</v>
      </c>
      <c r="AB692">
        <f t="shared" si="73"/>
        <v>2022</v>
      </c>
      <c r="AC692" t="str">
        <f t="shared" si="74"/>
        <v/>
      </c>
      <c r="AD692" s="28">
        <f>ROUND((IF(ISBLANK(L692),Employee_Lookups!$O$14,L692)-J692)/365.25,2)</f>
        <v>3.02</v>
      </c>
      <c r="AE692" t="str">
        <f t="shared" si="75"/>
        <v>3 - 5 Yrs</v>
      </c>
      <c r="AF692" t="str">
        <f t="shared" si="76"/>
        <v>Low Risk</v>
      </c>
    </row>
    <row r="693" spans="1:32" x14ac:dyDescent="0.45">
      <c r="A693" t="s">
        <v>1381</v>
      </c>
      <c r="B693" t="s">
        <v>1382</v>
      </c>
      <c r="C693" t="s">
        <v>61</v>
      </c>
      <c r="D693" t="s">
        <v>60</v>
      </c>
      <c r="E693" t="s">
        <v>356</v>
      </c>
      <c r="F693" t="s">
        <v>81</v>
      </c>
      <c r="G693" t="s">
        <v>357</v>
      </c>
      <c r="H693" t="s">
        <v>106</v>
      </c>
      <c r="I693" t="s">
        <v>107</v>
      </c>
      <c r="J693" s="26">
        <v>44918</v>
      </c>
      <c r="K693" t="s">
        <v>187</v>
      </c>
      <c r="L693" s="26">
        <v>45115</v>
      </c>
      <c r="M693" t="s">
        <v>282</v>
      </c>
      <c r="N693" t="s">
        <v>99</v>
      </c>
      <c r="O693" s="27">
        <v>788000</v>
      </c>
      <c r="P693">
        <v>3</v>
      </c>
      <c r="Q693" t="s">
        <v>164</v>
      </c>
      <c r="R693">
        <v>47</v>
      </c>
      <c r="S693" t="s">
        <v>319</v>
      </c>
      <c r="T693">
        <f t="shared" si="70"/>
        <v>10816</v>
      </c>
      <c r="U693" t="str">
        <f t="shared" si="71"/>
        <v>-HR</v>
      </c>
      <c r="V693" t="str">
        <f t="shared" si="72"/>
        <v>L1</v>
      </c>
      <c r="W693" t="str">
        <f>PROPER(TRIM(VLOOKUP(S693,Employee_Lookups!$I$4:$M$19,2,FALSE())))</f>
        <v>Kavita Menon</v>
      </c>
      <c r="X693" t="str">
        <f>VLOOKUP(C693,Employee_Lookups!$A$4:$G$9,4,FALSE())</f>
        <v>CC-505</v>
      </c>
      <c r="Y693" t="str">
        <f>INDEX(Employee_Lookups!$C$13:$C$17,MATCH(F693,Employee_Lookups!$A$13:$A$17,0))</f>
        <v>Band A (Entry)</v>
      </c>
      <c r="Z693" s="27">
        <f>_xlfn.XLOOKUP(F693,Employee_Lookups!$A$13:$A$17,Employee_Lookups!$E$13:$E$17,0)</f>
        <v>700000</v>
      </c>
      <c r="AA693" s="28">
        <f>ROUND(O693/INDEX(Employee_Lookups!$E$13:$E$17,MATCH(F693,Employee_Lookups!$A$13:$A$17,0)),3)</f>
        <v>1.1259999999999999</v>
      </c>
      <c r="AB693">
        <f t="shared" si="73"/>
        <v>2022</v>
      </c>
      <c r="AC693">
        <f t="shared" si="74"/>
        <v>2023</v>
      </c>
      <c r="AD693" s="28">
        <f>ROUND((IF(ISBLANK(L693),Employee_Lookups!$O$14,L693)-J693)/365.25,2)</f>
        <v>0.54</v>
      </c>
      <c r="AE693" t="str">
        <f t="shared" si="75"/>
        <v>&lt; 1 Yr (New)</v>
      </c>
      <c r="AF693" t="str">
        <f t="shared" si="76"/>
        <v>Exited</v>
      </c>
    </row>
    <row r="694" spans="1:32" x14ac:dyDescent="0.45">
      <c r="A694" t="s">
        <v>1383</v>
      </c>
      <c r="B694" t="s">
        <v>1384</v>
      </c>
      <c r="C694" t="s">
        <v>59</v>
      </c>
      <c r="D694" t="s">
        <v>58</v>
      </c>
      <c r="E694" t="s">
        <v>206</v>
      </c>
      <c r="F694" t="s">
        <v>81</v>
      </c>
      <c r="G694" t="s">
        <v>207</v>
      </c>
      <c r="H694" t="s">
        <v>106</v>
      </c>
      <c r="I694" t="s">
        <v>107</v>
      </c>
      <c r="J694" s="26">
        <v>44919</v>
      </c>
      <c r="K694" t="s">
        <v>162</v>
      </c>
      <c r="L694" s="26"/>
      <c r="M694" t="s">
        <v>163</v>
      </c>
      <c r="N694" t="s">
        <v>99</v>
      </c>
      <c r="O694" s="27">
        <v>673000</v>
      </c>
      <c r="P694">
        <v>2</v>
      </c>
      <c r="Q694" t="s">
        <v>164</v>
      </c>
      <c r="R694">
        <v>23</v>
      </c>
      <c r="S694" t="s">
        <v>214</v>
      </c>
      <c r="T694">
        <f t="shared" si="70"/>
        <v>10217</v>
      </c>
      <c r="U694" t="str">
        <f t="shared" si="71"/>
        <v>FIN</v>
      </c>
      <c r="V694" t="str">
        <f t="shared" si="72"/>
        <v>L1</v>
      </c>
      <c r="W694" t="str">
        <f>PROPER(TRIM(VLOOKUP(S694,Employee_Lookups!$I$4:$M$19,2,FALSE())))</f>
        <v>Aditya Gokhale</v>
      </c>
      <c r="X694" t="str">
        <f>VLOOKUP(C694,Employee_Lookups!$A$4:$G$9,4,FALSE())</f>
        <v>CC-404</v>
      </c>
      <c r="Y694" t="str">
        <f>INDEX(Employee_Lookups!$C$13:$C$17,MATCH(F694,Employee_Lookups!$A$13:$A$17,0))</f>
        <v>Band A (Entry)</v>
      </c>
      <c r="Z694" s="27">
        <f>_xlfn.XLOOKUP(F694,Employee_Lookups!$A$13:$A$17,Employee_Lookups!$E$13:$E$17,0)</f>
        <v>700000</v>
      </c>
      <c r="AA694" s="28">
        <f>ROUND(O694/INDEX(Employee_Lookups!$E$13:$E$17,MATCH(F694,Employee_Lookups!$A$13:$A$17,0)),3)</f>
        <v>0.96099999999999997</v>
      </c>
      <c r="AB694">
        <f t="shared" si="73"/>
        <v>2022</v>
      </c>
      <c r="AC694" t="str">
        <f t="shared" si="74"/>
        <v/>
      </c>
      <c r="AD694" s="28">
        <f>ROUND((IF(ISBLANK(L694),Employee_Lookups!$O$14,L694)-J694)/365.25,2)</f>
        <v>3.02</v>
      </c>
      <c r="AE694" t="str">
        <f t="shared" si="75"/>
        <v>3 - 5 Yrs</v>
      </c>
      <c r="AF694" t="str">
        <f t="shared" si="76"/>
        <v>Moderate Risk</v>
      </c>
    </row>
    <row r="695" spans="1:32" x14ac:dyDescent="0.45">
      <c r="A695" t="s">
        <v>1385</v>
      </c>
      <c r="B695" t="s">
        <v>1267</v>
      </c>
      <c r="C695" t="s">
        <v>55</v>
      </c>
      <c r="D695" t="s">
        <v>54</v>
      </c>
      <c r="E695" t="s">
        <v>168</v>
      </c>
      <c r="F695" t="s">
        <v>84</v>
      </c>
      <c r="G695" t="s">
        <v>169</v>
      </c>
      <c r="H695" t="s">
        <v>106</v>
      </c>
      <c r="I695" t="s">
        <v>107</v>
      </c>
      <c r="J695" s="26">
        <v>44921</v>
      </c>
      <c r="K695" t="s">
        <v>162</v>
      </c>
      <c r="L695" s="26"/>
      <c r="M695" t="s">
        <v>163</v>
      </c>
      <c r="N695" t="s">
        <v>99</v>
      </c>
      <c r="O695" s="27">
        <v>2110000</v>
      </c>
      <c r="P695">
        <v>3</v>
      </c>
      <c r="Q695" t="s">
        <v>164</v>
      </c>
      <c r="R695">
        <v>38</v>
      </c>
      <c r="S695" t="s">
        <v>274</v>
      </c>
      <c r="T695">
        <f t="shared" si="70"/>
        <v>11283</v>
      </c>
      <c r="U695" t="str">
        <f t="shared" si="71"/>
        <v>OPS</v>
      </c>
      <c r="V695" t="str">
        <f t="shared" si="72"/>
        <v>L4</v>
      </c>
      <c r="W695" t="str">
        <f>PROPER(TRIM(VLOOKUP(S695,Employee_Lookups!$I$4:$M$19,2,FALSE())))</f>
        <v>Meera Krishnan</v>
      </c>
      <c r="X695" t="str">
        <f>VLOOKUP(C695,Employee_Lookups!$A$4:$G$9,4,FALSE())</f>
        <v>CC-303</v>
      </c>
      <c r="Y695" t="str">
        <f>INDEX(Employee_Lookups!$C$13:$C$17,MATCH(F695,Employee_Lookups!$A$13:$A$17,0))</f>
        <v>Band D (Leadership)</v>
      </c>
      <c r="Z695" s="27">
        <f>_xlfn.XLOOKUP(F695,Employee_Lookups!$A$13:$A$17,Employee_Lookups!$E$13:$E$17,0)</f>
        <v>2750000</v>
      </c>
      <c r="AA695" s="28">
        <f>ROUND(O695/INDEX(Employee_Lookups!$E$13:$E$17,MATCH(F695,Employee_Lookups!$A$13:$A$17,0)),3)</f>
        <v>0.76700000000000002</v>
      </c>
      <c r="AB695">
        <f t="shared" si="73"/>
        <v>2022</v>
      </c>
      <c r="AC695" t="str">
        <f t="shared" si="74"/>
        <v/>
      </c>
      <c r="AD695" s="28">
        <f>ROUND((IF(ISBLANK(L695),Employee_Lookups!$O$14,L695)-J695)/365.25,2)</f>
        <v>3.01</v>
      </c>
      <c r="AE695" t="str">
        <f t="shared" si="75"/>
        <v>3 - 5 Yrs</v>
      </c>
      <c r="AF695" t="str">
        <f t="shared" si="76"/>
        <v>Low Risk</v>
      </c>
    </row>
    <row r="696" spans="1:32" x14ac:dyDescent="0.45">
      <c r="A696" t="s">
        <v>1386</v>
      </c>
      <c r="B696" t="s">
        <v>1387</v>
      </c>
      <c r="C696" t="s">
        <v>55</v>
      </c>
      <c r="D696" t="s">
        <v>54</v>
      </c>
      <c r="E696" t="s">
        <v>229</v>
      </c>
      <c r="F696" t="s">
        <v>82</v>
      </c>
      <c r="G696" t="s">
        <v>230</v>
      </c>
      <c r="H696" t="s">
        <v>106</v>
      </c>
      <c r="I696" t="s">
        <v>107</v>
      </c>
      <c r="J696" s="26">
        <v>44922</v>
      </c>
      <c r="K696" t="s">
        <v>170</v>
      </c>
      <c r="L696" s="26">
        <v>45117</v>
      </c>
      <c r="M696" t="s">
        <v>171</v>
      </c>
      <c r="N696" t="s">
        <v>96</v>
      </c>
      <c r="O696" s="27">
        <v>1168000</v>
      </c>
      <c r="P696">
        <v>1</v>
      </c>
      <c r="Q696" t="s">
        <v>172</v>
      </c>
      <c r="R696">
        <v>19</v>
      </c>
      <c r="S696" t="s">
        <v>274</v>
      </c>
      <c r="T696">
        <f t="shared" si="70"/>
        <v>11171</v>
      </c>
      <c r="U696" t="str">
        <f t="shared" si="71"/>
        <v>OPS</v>
      </c>
      <c r="V696" t="str">
        <f t="shared" si="72"/>
        <v>L2</v>
      </c>
      <c r="W696" t="str">
        <f>PROPER(TRIM(VLOOKUP(S696,Employee_Lookups!$I$4:$M$19,2,FALSE())))</f>
        <v>Meera Krishnan</v>
      </c>
      <c r="X696" t="str">
        <f>VLOOKUP(C696,Employee_Lookups!$A$4:$G$9,4,FALSE())</f>
        <v>CC-303</v>
      </c>
      <c r="Y696" t="str">
        <f>INDEX(Employee_Lookups!$C$13:$C$17,MATCH(F696,Employee_Lookups!$A$13:$A$17,0))</f>
        <v>Band B (Mid)</v>
      </c>
      <c r="Z696" s="27">
        <f>_xlfn.XLOOKUP(F696,Employee_Lookups!$A$13:$A$17,Employee_Lookups!$E$13:$E$17,0)</f>
        <v>1100000</v>
      </c>
      <c r="AA696" s="28">
        <f>ROUND(O696/INDEX(Employee_Lookups!$E$13:$E$17,MATCH(F696,Employee_Lookups!$A$13:$A$17,0)),3)</f>
        <v>1.0620000000000001</v>
      </c>
      <c r="AB696">
        <f t="shared" si="73"/>
        <v>2022</v>
      </c>
      <c r="AC696">
        <f t="shared" si="74"/>
        <v>2023</v>
      </c>
      <c r="AD696" s="28">
        <f>ROUND((IF(ISBLANK(L696),Employee_Lookups!$O$14,L696)-J696)/365.25,2)</f>
        <v>0.53</v>
      </c>
      <c r="AE696" t="str">
        <f t="shared" si="75"/>
        <v>&lt; 1 Yr (New)</v>
      </c>
      <c r="AF696" t="str">
        <f t="shared" si="76"/>
        <v>Exited</v>
      </c>
    </row>
    <row r="697" spans="1:32" x14ac:dyDescent="0.45">
      <c r="A697" t="s">
        <v>1388</v>
      </c>
      <c r="B697" t="s">
        <v>1151</v>
      </c>
      <c r="C697" t="s">
        <v>51</v>
      </c>
      <c r="D697" t="s">
        <v>50</v>
      </c>
      <c r="E697" t="s">
        <v>217</v>
      </c>
      <c r="F697" t="s">
        <v>83</v>
      </c>
      <c r="G697" t="s">
        <v>218</v>
      </c>
      <c r="H697" t="s">
        <v>109</v>
      </c>
      <c r="I697" t="s">
        <v>110</v>
      </c>
      <c r="J697" s="26">
        <v>44922</v>
      </c>
      <c r="K697" t="s">
        <v>162</v>
      </c>
      <c r="L697" s="26"/>
      <c r="M697" t="s">
        <v>163</v>
      </c>
      <c r="N697" t="s">
        <v>95</v>
      </c>
      <c r="O697" s="27">
        <v>1984000</v>
      </c>
      <c r="P697">
        <v>3</v>
      </c>
      <c r="Q697" t="s">
        <v>164</v>
      </c>
      <c r="R697">
        <v>36</v>
      </c>
      <c r="S697" t="s">
        <v>197</v>
      </c>
      <c r="T697">
        <f t="shared" si="70"/>
        <v>11049</v>
      </c>
      <c r="U697" t="str">
        <f t="shared" si="71"/>
        <v>ENG</v>
      </c>
      <c r="V697" t="str">
        <f t="shared" si="72"/>
        <v>L3</v>
      </c>
      <c r="W697" t="str">
        <f>PROPER(TRIM(VLOOKUP(S697,Employee_Lookups!$I$4:$M$19,2,FALSE())))</f>
        <v>Rohan Verma</v>
      </c>
      <c r="X697" t="str">
        <f>VLOOKUP(C697,Employee_Lookups!$A$4:$G$9,4,FALSE())</f>
        <v>CC-101</v>
      </c>
      <c r="Y697" t="str">
        <f>INDEX(Employee_Lookups!$C$13:$C$17,MATCH(F697,Employee_Lookups!$A$13:$A$17,0))</f>
        <v>Band C (Senior)</v>
      </c>
      <c r="Z697" s="27">
        <f>_xlfn.XLOOKUP(F697,Employee_Lookups!$A$13:$A$17,Employee_Lookups!$E$13:$E$17,0)</f>
        <v>1725000</v>
      </c>
      <c r="AA697" s="28">
        <f>ROUND(O697/INDEX(Employee_Lookups!$E$13:$E$17,MATCH(F697,Employee_Lookups!$A$13:$A$17,0)),3)</f>
        <v>1.1499999999999999</v>
      </c>
      <c r="AB697">
        <f t="shared" si="73"/>
        <v>2022</v>
      </c>
      <c r="AC697" t="str">
        <f t="shared" si="74"/>
        <v/>
      </c>
      <c r="AD697" s="28">
        <f>ROUND((IF(ISBLANK(L697),Employee_Lookups!$O$14,L697)-J697)/365.25,2)</f>
        <v>3.01</v>
      </c>
      <c r="AE697" t="str">
        <f t="shared" si="75"/>
        <v>3 - 5 Yrs</v>
      </c>
      <c r="AF697" t="str">
        <f t="shared" si="76"/>
        <v>Low Risk</v>
      </c>
    </row>
    <row r="698" spans="1:32" x14ac:dyDescent="0.45">
      <c r="A698" t="s">
        <v>1389</v>
      </c>
      <c r="B698" t="s">
        <v>921</v>
      </c>
      <c r="C698" t="s">
        <v>55</v>
      </c>
      <c r="D698" t="s">
        <v>54</v>
      </c>
      <c r="E698" t="s">
        <v>229</v>
      </c>
      <c r="F698" t="s">
        <v>82</v>
      </c>
      <c r="G698" t="s">
        <v>230</v>
      </c>
      <c r="H698" t="s">
        <v>106</v>
      </c>
      <c r="I698" t="s">
        <v>107</v>
      </c>
      <c r="J698" s="26">
        <v>44923</v>
      </c>
      <c r="K698" t="s">
        <v>162</v>
      </c>
      <c r="L698" s="26"/>
      <c r="M698" t="s">
        <v>163</v>
      </c>
      <c r="N698" t="s">
        <v>97</v>
      </c>
      <c r="O698" s="27">
        <v>1189000</v>
      </c>
      <c r="P698">
        <v>3</v>
      </c>
      <c r="Q698" t="s">
        <v>164</v>
      </c>
      <c r="R698">
        <v>44</v>
      </c>
      <c r="S698" t="s">
        <v>173</v>
      </c>
      <c r="T698">
        <f t="shared" si="70"/>
        <v>11142</v>
      </c>
      <c r="U698" t="str">
        <f t="shared" si="71"/>
        <v>OPS</v>
      </c>
      <c r="V698" t="str">
        <f t="shared" si="72"/>
        <v>L2</v>
      </c>
      <c r="W698" t="str">
        <f>PROPER(TRIM(VLOOKUP(S698,Employee_Lookups!$I$4:$M$19,2,FALSE())))</f>
        <v>Deepak Patil</v>
      </c>
      <c r="X698" t="str">
        <f>VLOOKUP(C698,Employee_Lookups!$A$4:$G$9,4,FALSE())</f>
        <v>CC-303</v>
      </c>
      <c r="Y698" t="str">
        <f>INDEX(Employee_Lookups!$C$13:$C$17,MATCH(F698,Employee_Lookups!$A$13:$A$17,0))</f>
        <v>Band B (Mid)</v>
      </c>
      <c r="Z698" s="27">
        <f>_xlfn.XLOOKUP(F698,Employee_Lookups!$A$13:$A$17,Employee_Lookups!$E$13:$E$17,0)</f>
        <v>1100000</v>
      </c>
      <c r="AA698" s="28">
        <f>ROUND(O698/INDEX(Employee_Lookups!$E$13:$E$17,MATCH(F698,Employee_Lookups!$A$13:$A$17,0)),3)</f>
        <v>1.081</v>
      </c>
      <c r="AB698">
        <f t="shared" si="73"/>
        <v>2022</v>
      </c>
      <c r="AC698" t="str">
        <f t="shared" si="74"/>
        <v/>
      </c>
      <c r="AD698" s="28">
        <f>ROUND((IF(ISBLANK(L698),Employee_Lookups!$O$14,L698)-J698)/365.25,2)</f>
        <v>3.01</v>
      </c>
      <c r="AE698" t="str">
        <f t="shared" si="75"/>
        <v>3 - 5 Yrs</v>
      </c>
      <c r="AF698" t="str">
        <f t="shared" si="76"/>
        <v>Low Risk</v>
      </c>
    </row>
    <row r="699" spans="1:32" x14ac:dyDescent="0.45">
      <c r="A699" t="s">
        <v>1390</v>
      </c>
      <c r="B699" t="s">
        <v>1298</v>
      </c>
      <c r="C699" t="s">
        <v>57</v>
      </c>
      <c r="D699" t="s">
        <v>56</v>
      </c>
      <c r="E699" t="s">
        <v>160</v>
      </c>
      <c r="F699" t="s">
        <v>81</v>
      </c>
      <c r="G699" t="s">
        <v>161</v>
      </c>
      <c r="H699" t="s">
        <v>108</v>
      </c>
      <c r="I699" t="s">
        <v>107</v>
      </c>
      <c r="J699" s="26">
        <v>44923</v>
      </c>
      <c r="K699" t="s">
        <v>187</v>
      </c>
      <c r="L699" s="26">
        <v>45580</v>
      </c>
      <c r="M699" t="s">
        <v>213</v>
      </c>
      <c r="N699" t="s">
        <v>97</v>
      </c>
      <c r="O699" s="27">
        <v>828000</v>
      </c>
      <c r="P699">
        <v>4</v>
      </c>
      <c r="Q699" t="s">
        <v>172</v>
      </c>
      <c r="R699">
        <v>28</v>
      </c>
      <c r="S699" t="s">
        <v>224</v>
      </c>
      <c r="T699">
        <f t="shared" si="70"/>
        <v>10525</v>
      </c>
      <c r="U699" t="str">
        <f t="shared" si="71"/>
        <v>MKT</v>
      </c>
      <c r="V699" t="str">
        <f t="shared" si="72"/>
        <v>L1</v>
      </c>
      <c r="W699" t="str">
        <f>PROPER(TRIM(VLOOKUP(S699,Employee_Lookups!$I$4:$M$19,2,FALSE())))</f>
        <v>Tanvi Chitnis</v>
      </c>
      <c r="X699" t="str">
        <f>VLOOKUP(C699,Employee_Lookups!$A$4:$G$9,4,FALSE())</f>
        <v>CC-606</v>
      </c>
      <c r="Y699" t="str">
        <f>INDEX(Employee_Lookups!$C$13:$C$17,MATCH(F699,Employee_Lookups!$A$13:$A$17,0))</f>
        <v>Band A (Entry)</v>
      </c>
      <c r="Z699" s="27">
        <f>_xlfn.XLOOKUP(F699,Employee_Lookups!$A$13:$A$17,Employee_Lookups!$E$13:$E$17,0)</f>
        <v>700000</v>
      </c>
      <c r="AA699" s="28">
        <f>ROUND(O699/INDEX(Employee_Lookups!$E$13:$E$17,MATCH(F699,Employee_Lookups!$A$13:$A$17,0)),3)</f>
        <v>1.1830000000000001</v>
      </c>
      <c r="AB699">
        <f t="shared" si="73"/>
        <v>2022</v>
      </c>
      <c r="AC699">
        <f t="shared" si="74"/>
        <v>2024</v>
      </c>
      <c r="AD699" s="28">
        <f>ROUND((IF(ISBLANK(L699),Employee_Lookups!$O$14,L699)-J699)/365.25,2)</f>
        <v>1.8</v>
      </c>
      <c r="AE699" t="str">
        <f t="shared" si="75"/>
        <v>1 - 3 Yrs</v>
      </c>
      <c r="AF699" t="str">
        <f t="shared" si="76"/>
        <v>Exited</v>
      </c>
    </row>
    <row r="700" spans="1:32" x14ac:dyDescent="0.45">
      <c r="A700" t="s">
        <v>1391</v>
      </c>
      <c r="B700" t="s">
        <v>1331</v>
      </c>
      <c r="C700" t="s">
        <v>61</v>
      </c>
      <c r="D700" t="s">
        <v>60</v>
      </c>
      <c r="E700" t="s">
        <v>251</v>
      </c>
      <c r="F700" t="s">
        <v>82</v>
      </c>
      <c r="G700" t="s">
        <v>252</v>
      </c>
      <c r="H700" t="s">
        <v>106</v>
      </c>
      <c r="I700" t="s">
        <v>107</v>
      </c>
      <c r="J700" s="26">
        <v>44923</v>
      </c>
      <c r="K700" t="s">
        <v>162</v>
      </c>
      <c r="L700" s="26"/>
      <c r="M700" t="s">
        <v>163</v>
      </c>
      <c r="N700" t="s">
        <v>98</v>
      </c>
      <c r="O700" s="27">
        <v>989000</v>
      </c>
      <c r="P700">
        <v>2</v>
      </c>
      <c r="Q700" t="s">
        <v>164</v>
      </c>
      <c r="R700">
        <v>32</v>
      </c>
      <c r="S700" t="s">
        <v>253</v>
      </c>
      <c r="T700">
        <f t="shared" si="70"/>
        <v>11373</v>
      </c>
      <c r="U700" t="str">
        <f t="shared" si="71"/>
        <v>-HR</v>
      </c>
      <c r="V700" t="str">
        <f t="shared" si="72"/>
        <v>L2</v>
      </c>
      <c r="W700" t="str">
        <f>PROPER(TRIM(VLOOKUP(S700,Employee_Lookups!$I$4:$M$19,2,FALSE())))</f>
        <v>Nikhil Chatterjee</v>
      </c>
      <c r="X700" t="str">
        <f>VLOOKUP(C700,Employee_Lookups!$A$4:$G$9,4,FALSE())</f>
        <v>CC-505</v>
      </c>
      <c r="Y700" t="str">
        <f>INDEX(Employee_Lookups!$C$13:$C$17,MATCH(F700,Employee_Lookups!$A$13:$A$17,0))</f>
        <v>Band B (Mid)</v>
      </c>
      <c r="Z700" s="27">
        <f>_xlfn.XLOOKUP(F700,Employee_Lookups!$A$13:$A$17,Employee_Lookups!$E$13:$E$17,0)</f>
        <v>1100000</v>
      </c>
      <c r="AA700" s="28">
        <f>ROUND(O700/INDEX(Employee_Lookups!$E$13:$E$17,MATCH(F700,Employee_Lookups!$A$13:$A$17,0)),3)</f>
        <v>0.89900000000000002</v>
      </c>
      <c r="AB700">
        <f t="shared" si="73"/>
        <v>2022</v>
      </c>
      <c r="AC700" t="str">
        <f t="shared" si="74"/>
        <v/>
      </c>
      <c r="AD700" s="28">
        <f>ROUND((IF(ISBLANK(L700),Employee_Lookups!$O$14,L700)-J700)/365.25,2)</f>
        <v>3.01</v>
      </c>
      <c r="AE700" t="str">
        <f t="shared" si="75"/>
        <v>3 - 5 Yrs</v>
      </c>
      <c r="AF700" t="str">
        <f t="shared" si="76"/>
        <v>Moderate Risk</v>
      </c>
    </row>
    <row r="701" spans="1:32" x14ac:dyDescent="0.45">
      <c r="A701" t="s">
        <v>1392</v>
      </c>
      <c r="B701" t="s">
        <v>1393</v>
      </c>
      <c r="C701" t="s">
        <v>55</v>
      </c>
      <c r="D701" t="s">
        <v>54</v>
      </c>
      <c r="E701" t="s">
        <v>277</v>
      </c>
      <c r="F701" t="s">
        <v>81</v>
      </c>
      <c r="G701" t="s">
        <v>278</v>
      </c>
      <c r="H701" t="s">
        <v>108</v>
      </c>
      <c r="I701" t="s">
        <v>107</v>
      </c>
      <c r="J701" s="26">
        <v>44927</v>
      </c>
      <c r="K701" t="s">
        <v>162</v>
      </c>
      <c r="L701" s="26"/>
      <c r="M701" t="s">
        <v>163</v>
      </c>
      <c r="N701" t="s">
        <v>99</v>
      </c>
      <c r="O701" s="27">
        <v>822000</v>
      </c>
      <c r="P701">
        <v>2</v>
      </c>
      <c r="Q701" t="s">
        <v>164</v>
      </c>
      <c r="R701">
        <v>41</v>
      </c>
      <c r="S701" t="s">
        <v>262</v>
      </c>
      <c r="T701">
        <f t="shared" si="70"/>
        <v>10474</v>
      </c>
      <c r="U701" t="str">
        <f t="shared" si="71"/>
        <v>OPS</v>
      </c>
      <c r="V701" t="str">
        <f t="shared" si="72"/>
        <v>L1</v>
      </c>
      <c r="W701" t="str">
        <f>PROPER(TRIM(VLOOKUP(S701,Employee_Lookups!$I$4:$M$19,2,FALSE())))</f>
        <v>Ananya Iyer</v>
      </c>
      <c r="X701" t="str">
        <f>VLOOKUP(C701,Employee_Lookups!$A$4:$G$9,4,FALSE())</f>
        <v>CC-303</v>
      </c>
      <c r="Y701" t="str">
        <f>INDEX(Employee_Lookups!$C$13:$C$17,MATCH(F701,Employee_Lookups!$A$13:$A$17,0))</f>
        <v>Band A (Entry)</v>
      </c>
      <c r="Z701" s="27">
        <f>_xlfn.XLOOKUP(F701,Employee_Lookups!$A$13:$A$17,Employee_Lookups!$E$13:$E$17,0)</f>
        <v>700000</v>
      </c>
      <c r="AA701" s="28">
        <f>ROUND(O701/INDEX(Employee_Lookups!$E$13:$E$17,MATCH(F701,Employee_Lookups!$A$13:$A$17,0)),3)</f>
        <v>1.1739999999999999</v>
      </c>
      <c r="AB701">
        <f t="shared" si="73"/>
        <v>2023</v>
      </c>
      <c r="AC701" t="str">
        <f t="shared" si="74"/>
        <v/>
      </c>
      <c r="AD701" s="28">
        <f>ROUND((IF(ISBLANK(L701),Employee_Lookups!$O$14,L701)-J701)/365.25,2)</f>
        <v>3</v>
      </c>
      <c r="AE701" t="str">
        <f t="shared" si="75"/>
        <v>3 - 5 Yrs</v>
      </c>
      <c r="AF701" t="str">
        <f t="shared" si="76"/>
        <v>Moderate Risk</v>
      </c>
    </row>
    <row r="702" spans="1:32" x14ac:dyDescent="0.45">
      <c r="A702" t="s">
        <v>1394</v>
      </c>
      <c r="B702" t="s">
        <v>1395</v>
      </c>
      <c r="C702" t="s">
        <v>51</v>
      </c>
      <c r="D702" t="s">
        <v>50</v>
      </c>
      <c r="E702" t="s">
        <v>181</v>
      </c>
      <c r="F702" t="s">
        <v>81</v>
      </c>
      <c r="G702" t="s">
        <v>182</v>
      </c>
      <c r="H702" t="s">
        <v>106</v>
      </c>
      <c r="I702" t="s">
        <v>107</v>
      </c>
      <c r="J702" s="26">
        <v>44927</v>
      </c>
      <c r="K702" t="s">
        <v>162</v>
      </c>
      <c r="L702" s="26"/>
      <c r="M702" t="s">
        <v>163</v>
      </c>
      <c r="N702" t="s">
        <v>99</v>
      </c>
      <c r="O702" s="27">
        <v>668000</v>
      </c>
      <c r="P702">
        <v>2</v>
      </c>
      <c r="Q702" t="s">
        <v>164</v>
      </c>
      <c r="R702">
        <v>20</v>
      </c>
      <c r="S702" t="s">
        <v>178</v>
      </c>
      <c r="T702">
        <f t="shared" si="70"/>
        <v>10529</v>
      </c>
      <c r="U702" t="str">
        <f t="shared" si="71"/>
        <v>ENG</v>
      </c>
      <c r="V702" t="str">
        <f t="shared" si="72"/>
        <v>L1</v>
      </c>
      <c r="W702" t="str">
        <f>PROPER(TRIM(VLOOKUP(S702,Employee_Lookups!$I$4:$M$19,2,FALSE())))</f>
        <v>Aarav Deshmukh</v>
      </c>
      <c r="X702" t="str">
        <f>VLOOKUP(C702,Employee_Lookups!$A$4:$G$9,4,FALSE())</f>
        <v>CC-101</v>
      </c>
      <c r="Y702" t="str">
        <f>INDEX(Employee_Lookups!$C$13:$C$17,MATCH(F702,Employee_Lookups!$A$13:$A$17,0))</f>
        <v>Band A (Entry)</v>
      </c>
      <c r="Z702" s="27">
        <f>_xlfn.XLOOKUP(F702,Employee_Lookups!$A$13:$A$17,Employee_Lookups!$E$13:$E$17,0)</f>
        <v>700000</v>
      </c>
      <c r="AA702" s="28">
        <f>ROUND(O702/INDEX(Employee_Lookups!$E$13:$E$17,MATCH(F702,Employee_Lookups!$A$13:$A$17,0)),3)</f>
        <v>0.95399999999999996</v>
      </c>
      <c r="AB702">
        <f t="shared" si="73"/>
        <v>2023</v>
      </c>
      <c r="AC702" t="str">
        <f t="shared" si="74"/>
        <v/>
      </c>
      <c r="AD702" s="28">
        <f>ROUND((IF(ISBLANK(L702),Employee_Lookups!$O$14,L702)-J702)/365.25,2)</f>
        <v>3</v>
      </c>
      <c r="AE702" t="str">
        <f t="shared" si="75"/>
        <v>3 - 5 Yrs</v>
      </c>
      <c r="AF702" t="str">
        <f t="shared" si="76"/>
        <v>Moderate Risk</v>
      </c>
    </row>
    <row r="703" spans="1:32" x14ac:dyDescent="0.45">
      <c r="A703" t="s">
        <v>1396</v>
      </c>
      <c r="B703" t="s">
        <v>1397</v>
      </c>
      <c r="C703" t="s">
        <v>57</v>
      </c>
      <c r="D703" t="s">
        <v>56</v>
      </c>
      <c r="E703" t="s">
        <v>222</v>
      </c>
      <c r="F703" t="s">
        <v>82</v>
      </c>
      <c r="G703" t="s">
        <v>223</v>
      </c>
      <c r="H703" t="s">
        <v>109</v>
      </c>
      <c r="I703" t="s">
        <v>110</v>
      </c>
      <c r="J703" s="26">
        <v>44927</v>
      </c>
      <c r="K703" t="s">
        <v>162</v>
      </c>
      <c r="L703" s="26"/>
      <c r="M703" t="s">
        <v>163</v>
      </c>
      <c r="N703" t="s">
        <v>99</v>
      </c>
      <c r="O703" s="27">
        <v>1331000</v>
      </c>
      <c r="P703">
        <v>3</v>
      </c>
      <c r="Q703" t="s">
        <v>164</v>
      </c>
      <c r="R703">
        <v>29</v>
      </c>
      <c r="S703" t="s">
        <v>165</v>
      </c>
      <c r="T703">
        <f t="shared" si="70"/>
        <v>10998</v>
      </c>
      <c r="U703" t="str">
        <f t="shared" si="71"/>
        <v>MKT</v>
      </c>
      <c r="V703" t="str">
        <f t="shared" si="72"/>
        <v>L2</v>
      </c>
      <c r="W703" t="str">
        <f>PROPER(TRIM(VLOOKUP(S703,Employee_Lookups!$I$4:$M$19,2,FALSE())))</f>
        <v>Arjun Sengupta</v>
      </c>
      <c r="X703" t="str">
        <f>VLOOKUP(C703,Employee_Lookups!$A$4:$G$9,4,FALSE())</f>
        <v>CC-606</v>
      </c>
      <c r="Y703" t="str">
        <f>INDEX(Employee_Lookups!$C$13:$C$17,MATCH(F703,Employee_Lookups!$A$13:$A$17,0))</f>
        <v>Band B (Mid)</v>
      </c>
      <c r="Z703" s="27">
        <f>_xlfn.XLOOKUP(F703,Employee_Lookups!$A$13:$A$17,Employee_Lookups!$E$13:$E$17,0)</f>
        <v>1100000</v>
      </c>
      <c r="AA703" s="28">
        <f>ROUND(O703/INDEX(Employee_Lookups!$E$13:$E$17,MATCH(F703,Employee_Lookups!$A$13:$A$17,0)),3)</f>
        <v>1.21</v>
      </c>
      <c r="AB703">
        <f t="shared" si="73"/>
        <v>2023</v>
      </c>
      <c r="AC703" t="str">
        <f t="shared" si="74"/>
        <v/>
      </c>
      <c r="AD703" s="28">
        <f>ROUND((IF(ISBLANK(L703),Employee_Lookups!$O$14,L703)-J703)/365.25,2)</f>
        <v>3</v>
      </c>
      <c r="AE703" t="str">
        <f t="shared" si="75"/>
        <v>3 - 5 Yrs</v>
      </c>
      <c r="AF703" t="str">
        <f t="shared" si="76"/>
        <v>Low Risk</v>
      </c>
    </row>
    <row r="704" spans="1:32" x14ac:dyDescent="0.45">
      <c r="A704" t="s">
        <v>1398</v>
      </c>
      <c r="B704" t="s">
        <v>1399</v>
      </c>
      <c r="C704" t="s">
        <v>55</v>
      </c>
      <c r="D704" t="s">
        <v>54</v>
      </c>
      <c r="E704" t="s">
        <v>240</v>
      </c>
      <c r="F704" t="s">
        <v>83</v>
      </c>
      <c r="G704" t="s">
        <v>241</v>
      </c>
      <c r="H704" t="s">
        <v>108</v>
      </c>
      <c r="I704" t="s">
        <v>107</v>
      </c>
      <c r="J704" s="26">
        <v>44930</v>
      </c>
      <c r="K704" t="s">
        <v>162</v>
      </c>
      <c r="L704" s="26"/>
      <c r="M704" t="s">
        <v>163</v>
      </c>
      <c r="N704" t="s">
        <v>97</v>
      </c>
      <c r="O704" s="27">
        <v>1592000</v>
      </c>
      <c r="P704">
        <v>3</v>
      </c>
      <c r="Q704" t="s">
        <v>172</v>
      </c>
      <c r="R704">
        <v>38</v>
      </c>
      <c r="S704" t="s">
        <v>173</v>
      </c>
      <c r="T704">
        <f t="shared" si="70"/>
        <v>11307</v>
      </c>
      <c r="U704" t="str">
        <f t="shared" si="71"/>
        <v>OPS</v>
      </c>
      <c r="V704" t="str">
        <f t="shared" si="72"/>
        <v>L3</v>
      </c>
      <c r="W704" t="str">
        <f>PROPER(TRIM(VLOOKUP(S704,Employee_Lookups!$I$4:$M$19,2,FALSE())))</f>
        <v>Deepak Patil</v>
      </c>
      <c r="X704" t="str">
        <f>VLOOKUP(C704,Employee_Lookups!$A$4:$G$9,4,FALSE())</f>
        <v>CC-303</v>
      </c>
      <c r="Y704" t="str">
        <f>INDEX(Employee_Lookups!$C$13:$C$17,MATCH(F704,Employee_Lookups!$A$13:$A$17,0))</f>
        <v>Band C (Senior)</v>
      </c>
      <c r="Z704" s="27">
        <f>_xlfn.XLOOKUP(F704,Employee_Lookups!$A$13:$A$17,Employee_Lookups!$E$13:$E$17,0)</f>
        <v>1725000</v>
      </c>
      <c r="AA704" s="28">
        <f>ROUND(O704/INDEX(Employee_Lookups!$E$13:$E$17,MATCH(F704,Employee_Lookups!$A$13:$A$17,0)),3)</f>
        <v>0.92300000000000004</v>
      </c>
      <c r="AB704">
        <f t="shared" si="73"/>
        <v>2023</v>
      </c>
      <c r="AC704" t="str">
        <f t="shared" si="74"/>
        <v/>
      </c>
      <c r="AD704" s="28">
        <f>ROUND((IF(ISBLANK(L704),Employee_Lookups!$O$14,L704)-J704)/365.25,2)</f>
        <v>2.99</v>
      </c>
      <c r="AE704" t="str">
        <f t="shared" si="75"/>
        <v>1 - 3 Yrs</v>
      </c>
      <c r="AF704" t="str">
        <f t="shared" si="76"/>
        <v>High Risk</v>
      </c>
    </row>
    <row r="705" spans="1:32" x14ac:dyDescent="0.45">
      <c r="A705" t="s">
        <v>1400</v>
      </c>
      <c r="B705" t="s">
        <v>1401</v>
      </c>
      <c r="C705" t="s">
        <v>51</v>
      </c>
      <c r="D705" t="s">
        <v>50</v>
      </c>
      <c r="E705" t="s">
        <v>328</v>
      </c>
      <c r="F705" t="s">
        <v>85</v>
      </c>
      <c r="G705" t="s">
        <v>329</v>
      </c>
      <c r="H705" t="s">
        <v>109</v>
      </c>
      <c r="I705" t="s">
        <v>110</v>
      </c>
      <c r="J705" s="26">
        <v>44931</v>
      </c>
      <c r="K705" t="s">
        <v>162</v>
      </c>
      <c r="L705" s="26"/>
      <c r="M705" t="s">
        <v>163</v>
      </c>
      <c r="N705" t="s">
        <v>96</v>
      </c>
      <c r="O705" s="27">
        <v>3542000</v>
      </c>
      <c r="P705">
        <v>4</v>
      </c>
      <c r="Q705" t="s">
        <v>164</v>
      </c>
      <c r="R705">
        <v>43</v>
      </c>
      <c r="S705" t="s">
        <v>219</v>
      </c>
      <c r="T705">
        <f t="shared" si="70"/>
        <v>11238</v>
      </c>
      <c r="U705" t="str">
        <f t="shared" si="71"/>
        <v>ENG</v>
      </c>
      <c r="V705" t="str">
        <f t="shared" si="72"/>
        <v>L5</v>
      </c>
      <c r="W705" t="str">
        <f>PROPER(TRIM(VLOOKUP(S705,Employee_Lookups!$I$4:$M$19,2,FALSE())))</f>
        <v>Neha Kulkarni</v>
      </c>
      <c r="X705" t="str">
        <f>VLOOKUP(C705,Employee_Lookups!$A$4:$G$9,4,FALSE())</f>
        <v>CC-101</v>
      </c>
      <c r="Y705" t="str">
        <f>INDEX(Employee_Lookups!$C$13:$C$17,MATCH(F705,Employee_Lookups!$A$13:$A$17,0))</f>
        <v>Band E (Executive)</v>
      </c>
      <c r="Z705" s="27">
        <f>_xlfn.XLOOKUP(F705,Employee_Lookups!$A$13:$A$17,Employee_Lookups!$E$13:$E$17,0)</f>
        <v>4300000</v>
      </c>
      <c r="AA705" s="28">
        <f>ROUND(O705/INDEX(Employee_Lookups!$E$13:$E$17,MATCH(F705,Employee_Lookups!$A$13:$A$17,0)),3)</f>
        <v>0.82399999999999995</v>
      </c>
      <c r="AB705">
        <f t="shared" si="73"/>
        <v>2023</v>
      </c>
      <c r="AC705" t="str">
        <f t="shared" si="74"/>
        <v/>
      </c>
      <c r="AD705" s="28">
        <f>ROUND((IF(ISBLANK(L705),Employee_Lookups!$O$14,L705)-J705)/365.25,2)</f>
        <v>2.99</v>
      </c>
      <c r="AE705" t="str">
        <f t="shared" si="75"/>
        <v>1 - 3 Yrs</v>
      </c>
      <c r="AF705" t="str">
        <f t="shared" si="76"/>
        <v>Low Risk</v>
      </c>
    </row>
    <row r="706" spans="1:32" x14ac:dyDescent="0.45">
      <c r="A706" t="s">
        <v>1402</v>
      </c>
      <c r="B706" t="s">
        <v>1403</v>
      </c>
      <c r="C706" t="s">
        <v>51</v>
      </c>
      <c r="D706" t="s">
        <v>50</v>
      </c>
      <c r="E706" t="s">
        <v>181</v>
      </c>
      <c r="F706" t="s">
        <v>81</v>
      </c>
      <c r="G706" t="s">
        <v>182</v>
      </c>
      <c r="H706" t="s">
        <v>108</v>
      </c>
      <c r="I706" t="s">
        <v>107</v>
      </c>
      <c r="J706" s="26">
        <v>44932</v>
      </c>
      <c r="K706" t="s">
        <v>162</v>
      </c>
      <c r="L706" s="26"/>
      <c r="M706" t="s">
        <v>163</v>
      </c>
      <c r="N706" t="s">
        <v>97</v>
      </c>
      <c r="O706" s="27">
        <v>604000</v>
      </c>
      <c r="P706">
        <v>4</v>
      </c>
      <c r="Q706" t="s">
        <v>172</v>
      </c>
      <c r="R706">
        <v>49</v>
      </c>
      <c r="S706" t="s">
        <v>219</v>
      </c>
      <c r="T706">
        <f t="shared" ref="T706:T769" si="77">VALUE(MID(A706,5,5))</f>
        <v>10552</v>
      </c>
      <c r="U706" t="str">
        <f t="shared" ref="U706:U769" si="78">LEFT(E706,3)</f>
        <v>ENG</v>
      </c>
      <c r="V706" t="str">
        <f t="shared" ref="V706:V769" si="79">RIGHT(E706,2)</f>
        <v>L1</v>
      </c>
      <c r="W706" t="str">
        <f>PROPER(TRIM(VLOOKUP(S706,Employee_Lookups!$I$4:$M$19,2,FALSE())))</f>
        <v>Neha Kulkarni</v>
      </c>
      <c r="X706" t="str">
        <f>VLOOKUP(C706,Employee_Lookups!$A$4:$G$9,4,FALSE())</f>
        <v>CC-101</v>
      </c>
      <c r="Y706" t="str">
        <f>INDEX(Employee_Lookups!$C$13:$C$17,MATCH(F706,Employee_Lookups!$A$13:$A$17,0))</f>
        <v>Band A (Entry)</v>
      </c>
      <c r="Z706" s="27">
        <f>_xlfn.XLOOKUP(F706,Employee_Lookups!$A$13:$A$17,Employee_Lookups!$E$13:$E$17,0)</f>
        <v>700000</v>
      </c>
      <c r="AA706" s="28">
        <f>ROUND(O706/INDEX(Employee_Lookups!$E$13:$E$17,MATCH(F706,Employee_Lookups!$A$13:$A$17,0)),3)</f>
        <v>0.86299999999999999</v>
      </c>
      <c r="AB706">
        <f t="shared" ref="AB706:AB769" si="80">YEAR(J706)</f>
        <v>2023</v>
      </c>
      <c r="AC706" t="str">
        <f t="shared" ref="AC706:AC769" si="81">IF(ISBLANK(L706),"",YEAR(L706))</f>
        <v/>
      </c>
      <c r="AD706" s="28">
        <f>ROUND((IF(ISBLANK(L706),Employee_Lookups!$O$14,L706)-J706)/365.25,2)</f>
        <v>2.98</v>
      </c>
      <c r="AE706" t="str">
        <f t="shared" ref="AE706:AE769" si="82">IF(AD706&lt;1,"&lt; 1 Yr (New)",IF(AD706&lt;3,"1 - 3 Yrs",IF(AD706&lt;5,"3 - 5 Yrs","5+ Yrs")))</f>
        <v>1 - 3 Yrs</v>
      </c>
      <c r="AF706" t="str">
        <f t="shared" ref="AF706:AF769" si="83">IF(K706&lt;&gt;"Active","Exited",IF(AND(Q706="Yes",OR(P706&gt;=4,AA706&lt;0.95)),"High Risk",IF(OR(Q706="Yes",AND(NOT(ISBLANK(P706)),P706&lt;=2)),"Moderate Risk","Low Risk")))</f>
        <v>High Risk</v>
      </c>
    </row>
    <row r="707" spans="1:32" x14ac:dyDescent="0.45">
      <c r="A707" t="s">
        <v>1404</v>
      </c>
      <c r="B707" t="s">
        <v>550</v>
      </c>
      <c r="C707" t="s">
        <v>53</v>
      </c>
      <c r="D707" t="s">
        <v>52</v>
      </c>
      <c r="E707" t="s">
        <v>185</v>
      </c>
      <c r="F707" t="s">
        <v>82</v>
      </c>
      <c r="G707" t="s">
        <v>186</v>
      </c>
      <c r="H707" t="s">
        <v>106</v>
      </c>
      <c r="I707" t="s">
        <v>107</v>
      </c>
      <c r="J707" s="26">
        <v>44932</v>
      </c>
      <c r="K707" t="s">
        <v>162</v>
      </c>
      <c r="L707" s="26"/>
      <c r="M707" t="s">
        <v>163</v>
      </c>
      <c r="N707" t="s">
        <v>98</v>
      </c>
      <c r="O707" s="27">
        <v>1142000</v>
      </c>
      <c r="P707">
        <v>3</v>
      </c>
      <c r="Q707" t="s">
        <v>164</v>
      </c>
      <c r="R707">
        <v>30</v>
      </c>
      <c r="S707" t="s">
        <v>189</v>
      </c>
      <c r="T707">
        <f t="shared" si="77"/>
        <v>10622</v>
      </c>
      <c r="U707" t="str">
        <f t="shared" si="78"/>
        <v>SAL</v>
      </c>
      <c r="V707" t="str">
        <f t="shared" si="79"/>
        <v>L2</v>
      </c>
      <c r="W707" t="str">
        <f>PROPER(TRIM(VLOOKUP(S707,Employee_Lookups!$I$4:$M$19,2,FALSE())))</f>
        <v>Priya Sharma</v>
      </c>
      <c r="X707" t="str">
        <f>VLOOKUP(C707,Employee_Lookups!$A$4:$G$9,4,FALSE())</f>
        <v>CC-202</v>
      </c>
      <c r="Y707" t="str">
        <f>INDEX(Employee_Lookups!$C$13:$C$17,MATCH(F707,Employee_Lookups!$A$13:$A$17,0))</f>
        <v>Band B (Mid)</v>
      </c>
      <c r="Z707" s="27">
        <f>_xlfn.XLOOKUP(F707,Employee_Lookups!$A$13:$A$17,Employee_Lookups!$E$13:$E$17,0)</f>
        <v>1100000</v>
      </c>
      <c r="AA707" s="28">
        <f>ROUND(O707/INDEX(Employee_Lookups!$E$13:$E$17,MATCH(F707,Employee_Lookups!$A$13:$A$17,0)),3)</f>
        <v>1.038</v>
      </c>
      <c r="AB707">
        <f t="shared" si="80"/>
        <v>2023</v>
      </c>
      <c r="AC707" t="str">
        <f t="shared" si="81"/>
        <v/>
      </c>
      <c r="AD707" s="28">
        <f>ROUND((IF(ISBLANK(L707),Employee_Lookups!$O$14,L707)-J707)/365.25,2)</f>
        <v>2.98</v>
      </c>
      <c r="AE707" t="str">
        <f t="shared" si="82"/>
        <v>1 - 3 Yrs</v>
      </c>
      <c r="AF707" t="str">
        <f t="shared" si="83"/>
        <v>Low Risk</v>
      </c>
    </row>
    <row r="708" spans="1:32" x14ac:dyDescent="0.45">
      <c r="A708" t="s">
        <v>1405</v>
      </c>
      <c r="B708" t="s">
        <v>1020</v>
      </c>
      <c r="C708" t="s">
        <v>57</v>
      </c>
      <c r="D708" t="s">
        <v>56</v>
      </c>
      <c r="E708" t="s">
        <v>222</v>
      </c>
      <c r="F708" t="s">
        <v>82</v>
      </c>
      <c r="G708" t="s">
        <v>223</v>
      </c>
      <c r="H708" t="s">
        <v>106</v>
      </c>
      <c r="I708" t="s">
        <v>107</v>
      </c>
      <c r="J708" s="26">
        <v>44933</v>
      </c>
      <c r="K708" t="s">
        <v>187</v>
      </c>
      <c r="L708" s="26">
        <v>45207</v>
      </c>
      <c r="M708" t="s">
        <v>269</v>
      </c>
      <c r="N708" t="s">
        <v>98</v>
      </c>
      <c r="O708" s="27">
        <v>965000</v>
      </c>
      <c r="P708">
        <v>3</v>
      </c>
      <c r="Q708" t="s">
        <v>172</v>
      </c>
      <c r="R708">
        <v>33</v>
      </c>
      <c r="S708" t="s">
        <v>165</v>
      </c>
      <c r="T708">
        <f t="shared" si="77"/>
        <v>10918</v>
      </c>
      <c r="U708" t="str">
        <f t="shared" si="78"/>
        <v>MKT</v>
      </c>
      <c r="V708" t="str">
        <f t="shared" si="79"/>
        <v>L2</v>
      </c>
      <c r="W708" t="str">
        <f>PROPER(TRIM(VLOOKUP(S708,Employee_Lookups!$I$4:$M$19,2,FALSE())))</f>
        <v>Arjun Sengupta</v>
      </c>
      <c r="X708" t="str">
        <f>VLOOKUP(C708,Employee_Lookups!$A$4:$G$9,4,FALSE())</f>
        <v>CC-606</v>
      </c>
      <c r="Y708" t="str">
        <f>INDEX(Employee_Lookups!$C$13:$C$17,MATCH(F708,Employee_Lookups!$A$13:$A$17,0))</f>
        <v>Band B (Mid)</v>
      </c>
      <c r="Z708" s="27">
        <f>_xlfn.XLOOKUP(F708,Employee_Lookups!$A$13:$A$17,Employee_Lookups!$E$13:$E$17,0)</f>
        <v>1100000</v>
      </c>
      <c r="AA708" s="28">
        <f>ROUND(O708/INDEX(Employee_Lookups!$E$13:$E$17,MATCH(F708,Employee_Lookups!$A$13:$A$17,0)),3)</f>
        <v>0.877</v>
      </c>
      <c r="AB708">
        <f t="shared" si="80"/>
        <v>2023</v>
      </c>
      <c r="AC708">
        <f t="shared" si="81"/>
        <v>2023</v>
      </c>
      <c r="AD708" s="28">
        <f>ROUND((IF(ISBLANK(L708),Employee_Lookups!$O$14,L708)-J708)/365.25,2)</f>
        <v>0.75</v>
      </c>
      <c r="AE708" t="str">
        <f t="shared" si="82"/>
        <v>&lt; 1 Yr (New)</v>
      </c>
      <c r="AF708" t="str">
        <f t="shared" si="83"/>
        <v>Exited</v>
      </c>
    </row>
    <row r="709" spans="1:32" x14ac:dyDescent="0.45">
      <c r="A709" t="s">
        <v>1406</v>
      </c>
      <c r="B709" t="s">
        <v>1407</v>
      </c>
      <c r="C709" t="s">
        <v>53</v>
      </c>
      <c r="D709" t="s">
        <v>52</v>
      </c>
      <c r="E709" t="s">
        <v>322</v>
      </c>
      <c r="F709" t="s">
        <v>81</v>
      </c>
      <c r="G709" t="s">
        <v>323</v>
      </c>
      <c r="H709" t="s">
        <v>108</v>
      </c>
      <c r="I709" t="s">
        <v>107</v>
      </c>
      <c r="J709" s="26">
        <v>44934</v>
      </c>
      <c r="K709" t="s">
        <v>162</v>
      </c>
      <c r="L709" s="26"/>
      <c r="M709" t="s">
        <v>163</v>
      </c>
      <c r="N709" t="s">
        <v>99</v>
      </c>
      <c r="O709" s="27">
        <v>843000</v>
      </c>
      <c r="P709">
        <v>3</v>
      </c>
      <c r="Q709" t="s">
        <v>172</v>
      </c>
      <c r="R709">
        <v>37</v>
      </c>
      <c r="S709" t="s">
        <v>237</v>
      </c>
      <c r="T709">
        <f t="shared" si="77"/>
        <v>11247</v>
      </c>
      <c r="U709" t="str">
        <f t="shared" si="78"/>
        <v>SAL</v>
      </c>
      <c r="V709" t="str">
        <f t="shared" si="79"/>
        <v>L1</v>
      </c>
      <c r="W709" t="str">
        <f>PROPER(TRIM(VLOOKUP(S709,Employee_Lookups!$I$4:$M$19,2,FALSE())))</f>
        <v>Karan Malhotra</v>
      </c>
      <c r="X709" t="str">
        <f>VLOOKUP(C709,Employee_Lookups!$A$4:$G$9,4,FALSE())</f>
        <v>CC-202</v>
      </c>
      <c r="Y709" t="str">
        <f>INDEX(Employee_Lookups!$C$13:$C$17,MATCH(F709,Employee_Lookups!$A$13:$A$17,0))</f>
        <v>Band A (Entry)</v>
      </c>
      <c r="Z709" s="27">
        <f>_xlfn.XLOOKUP(F709,Employee_Lookups!$A$13:$A$17,Employee_Lookups!$E$13:$E$17,0)</f>
        <v>700000</v>
      </c>
      <c r="AA709" s="28">
        <f>ROUND(O709/INDEX(Employee_Lookups!$E$13:$E$17,MATCH(F709,Employee_Lookups!$A$13:$A$17,0)),3)</f>
        <v>1.204</v>
      </c>
      <c r="AB709">
        <f t="shared" si="80"/>
        <v>2023</v>
      </c>
      <c r="AC709" t="str">
        <f t="shared" si="81"/>
        <v/>
      </c>
      <c r="AD709" s="28">
        <f>ROUND((IF(ISBLANK(L709),Employee_Lookups!$O$14,L709)-J709)/365.25,2)</f>
        <v>2.98</v>
      </c>
      <c r="AE709" t="str">
        <f t="shared" si="82"/>
        <v>1 - 3 Yrs</v>
      </c>
      <c r="AF709" t="str">
        <f t="shared" si="83"/>
        <v>Moderate Risk</v>
      </c>
    </row>
    <row r="710" spans="1:32" x14ac:dyDescent="0.45">
      <c r="A710" t="s">
        <v>1408</v>
      </c>
      <c r="B710" t="s">
        <v>1409</v>
      </c>
      <c r="C710" t="s">
        <v>57</v>
      </c>
      <c r="D710" t="s">
        <v>56</v>
      </c>
      <c r="E710" t="s">
        <v>222</v>
      </c>
      <c r="F710" t="s">
        <v>82</v>
      </c>
      <c r="G710" t="s">
        <v>223</v>
      </c>
      <c r="H710" t="s">
        <v>112</v>
      </c>
      <c r="I710" t="s">
        <v>113</v>
      </c>
      <c r="J710" s="26">
        <v>44938</v>
      </c>
      <c r="K710" t="s">
        <v>162</v>
      </c>
      <c r="L710" s="26"/>
      <c r="M710" t="s">
        <v>163</v>
      </c>
      <c r="N710" t="s">
        <v>95</v>
      </c>
      <c r="O710" s="27">
        <v>1186000</v>
      </c>
      <c r="P710">
        <v>2</v>
      </c>
      <c r="Q710" t="s">
        <v>164</v>
      </c>
      <c r="R710">
        <v>38</v>
      </c>
      <c r="S710" t="s">
        <v>165</v>
      </c>
      <c r="T710">
        <f t="shared" si="77"/>
        <v>10280</v>
      </c>
      <c r="U710" t="str">
        <f t="shared" si="78"/>
        <v>MKT</v>
      </c>
      <c r="V710" t="str">
        <f t="shared" si="79"/>
        <v>L2</v>
      </c>
      <c r="W710" t="str">
        <f>PROPER(TRIM(VLOOKUP(S710,Employee_Lookups!$I$4:$M$19,2,FALSE())))</f>
        <v>Arjun Sengupta</v>
      </c>
      <c r="X710" t="str">
        <f>VLOOKUP(C710,Employee_Lookups!$A$4:$G$9,4,FALSE())</f>
        <v>CC-606</v>
      </c>
      <c r="Y710" t="str">
        <f>INDEX(Employee_Lookups!$C$13:$C$17,MATCH(F710,Employee_Lookups!$A$13:$A$17,0))</f>
        <v>Band B (Mid)</v>
      </c>
      <c r="Z710" s="27">
        <f>_xlfn.XLOOKUP(F710,Employee_Lookups!$A$13:$A$17,Employee_Lookups!$E$13:$E$17,0)</f>
        <v>1100000</v>
      </c>
      <c r="AA710" s="28">
        <f>ROUND(O710/INDEX(Employee_Lookups!$E$13:$E$17,MATCH(F710,Employee_Lookups!$A$13:$A$17,0)),3)</f>
        <v>1.0780000000000001</v>
      </c>
      <c r="AB710">
        <f t="shared" si="80"/>
        <v>2023</v>
      </c>
      <c r="AC710" t="str">
        <f t="shared" si="81"/>
        <v/>
      </c>
      <c r="AD710" s="28">
        <f>ROUND((IF(ISBLANK(L710),Employee_Lookups!$O$14,L710)-J710)/365.25,2)</f>
        <v>2.97</v>
      </c>
      <c r="AE710" t="str">
        <f t="shared" si="82"/>
        <v>1 - 3 Yrs</v>
      </c>
      <c r="AF710" t="str">
        <f t="shared" si="83"/>
        <v>Moderate Risk</v>
      </c>
    </row>
    <row r="711" spans="1:32" x14ac:dyDescent="0.45">
      <c r="A711" t="s">
        <v>1410</v>
      </c>
      <c r="B711" t="s">
        <v>1411</v>
      </c>
      <c r="C711" t="s">
        <v>57</v>
      </c>
      <c r="D711" t="s">
        <v>56</v>
      </c>
      <c r="E711" t="s">
        <v>222</v>
      </c>
      <c r="F711" t="s">
        <v>82</v>
      </c>
      <c r="G711" t="s">
        <v>223</v>
      </c>
      <c r="H711" t="s">
        <v>106</v>
      </c>
      <c r="I711" t="s">
        <v>107</v>
      </c>
      <c r="J711" s="26">
        <v>44939</v>
      </c>
      <c r="K711" t="s">
        <v>162</v>
      </c>
      <c r="L711" s="26"/>
      <c r="M711" t="s">
        <v>163</v>
      </c>
      <c r="N711" t="s">
        <v>99</v>
      </c>
      <c r="O711" s="27">
        <v>936000</v>
      </c>
      <c r="P711">
        <v>4</v>
      </c>
      <c r="Q711" t="s">
        <v>172</v>
      </c>
      <c r="R711">
        <v>18</v>
      </c>
      <c r="S711" t="s">
        <v>224</v>
      </c>
      <c r="T711">
        <f t="shared" si="77"/>
        <v>10939</v>
      </c>
      <c r="U711" t="str">
        <f t="shared" si="78"/>
        <v>MKT</v>
      </c>
      <c r="V711" t="str">
        <f t="shared" si="79"/>
        <v>L2</v>
      </c>
      <c r="W711" t="str">
        <f>PROPER(TRIM(VLOOKUP(S711,Employee_Lookups!$I$4:$M$19,2,FALSE())))</f>
        <v>Tanvi Chitnis</v>
      </c>
      <c r="X711" t="str">
        <f>VLOOKUP(C711,Employee_Lookups!$A$4:$G$9,4,FALSE())</f>
        <v>CC-606</v>
      </c>
      <c r="Y711" t="str">
        <f>INDEX(Employee_Lookups!$C$13:$C$17,MATCH(F711,Employee_Lookups!$A$13:$A$17,0))</f>
        <v>Band B (Mid)</v>
      </c>
      <c r="Z711" s="27">
        <f>_xlfn.XLOOKUP(F711,Employee_Lookups!$A$13:$A$17,Employee_Lookups!$E$13:$E$17,0)</f>
        <v>1100000</v>
      </c>
      <c r="AA711" s="28">
        <f>ROUND(O711/INDEX(Employee_Lookups!$E$13:$E$17,MATCH(F711,Employee_Lookups!$A$13:$A$17,0)),3)</f>
        <v>0.85099999999999998</v>
      </c>
      <c r="AB711">
        <f t="shared" si="80"/>
        <v>2023</v>
      </c>
      <c r="AC711" t="str">
        <f t="shared" si="81"/>
        <v/>
      </c>
      <c r="AD711" s="28">
        <f>ROUND((IF(ISBLANK(L711),Employee_Lookups!$O$14,L711)-J711)/365.25,2)</f>
        <v>2.97</v>
      </c>
      <c r="AE711" t="str">
        <f t="shared" si="82"/>
        <v>1 - 3 Yrs</v>
      </c>
      <c r="AF711" t="str">
        <f t="shared" si="83"/>
        <v>High Risk</v>
      </c>
    </row>
    <row r="712" spans="1:32" x14ac:dyDescent="0.45">
      <c r="A712" t="s">
        <v>1412</v>
      </c>
      <c r="B712" t="s">
        <v>1413</v>
      </c>
      <c r="C712" t="s">
        <v>61</v>
      </c>
      <c r="D712" t="s">
        <v>60</v>
      </c>
      <c r="E712" t="s">
        <v>923</v>
      </c>
      <c r="F712" t="s">
        <v>85</v>
      </c>
      <c r="G712" t="s">
        <v>924</v>
      </c>
      <c r="H712" t="s">
        <v>106</v>
      </c>
      <c r="I712" t="s">
        <v>107</v>
      </c>
      <c r="J712" s="26">
        <v>44939</v>
      </c>
      <c r="K712" t="s">
        <v>162</v>
      </c>
      <c r="L712" s="26"/>
      <c r="M712" t="s">
        <v>163</v>
      </c>
      <c r="N712" t="s">
        <v>99</v>
      </c>
      <c r="O712" s="27">
        <v>4872000</v>
      </c>
      <c r="P712">
        <v>5</v>
      </c>
      <c r="Q712" t="s">
        <v>164</v>
      </c>
      <c r="R712">
        <v>36</v>
      </c>
      <c r="S712" t="s">
        <v>319</v>
      </c>
      <c r="T712">
        <f t="shared" si="77"/>
        <v>10767</v>
      </c>
      <c r="U712" t="str">
        <f t="shared" si="78"/>
        <v>-HR</v>
      </c>
      <c r="V712" t="str">
        <f t="shared" si="79"/>
        <v>L5</v>
      </c>
      <c r="W712" t="str">
        <f>PROPER(TRIM(VLOOKUP(S712,Employee_Lookups!$I$4:$M$19,2,FALSE())))</f>
        <v>Kavita Menon</v>
      </c>
      <c r="X712" t="str">
        <f>VLOOKUP(C712,Employee_Lookups!$A$4:$G$9,4,FALSE())</f>
        <v>CC-505</v>
      </c>
      <c r="Y712" t="str">
        <f>INDEX(Employee_Lookups!$C$13:$C$17,MATCH(F712,Employee_Lookups!$A$13:$A$17,0))</f>
        <v>Band E (Executive)</v>
      </c>
      <c r="Z712" s="27">
        <f>_xlfn.XLOOKUP(F712,Employee_Lookups!$A$13:$A$17,Employee_Lookups!$E$13:$E$17,0)</f>
        <v>4300000</v>
      </c>
      <c r="AA712" s="28">
        <f>ROUND(O712/INDEX(Employee_Lookups!$E$13:$E$17,MATCH(F712,Employee_Lookups!$A$13:$A$17,0)),3)</f>
        <v>1.133</v>
      </c>
      <c r="AB712">
        <f t="shared" si="80"/>
        <v>2023</v>
      </c>
      <c r="AC712" t="str">
        <f t="shared" si="81"/>
        <v/>
      </c>
      <c r="AD712" s="28">
        <f>ROUND((IF(ISBLANK(L712),Employee_Lookups!$O$14,L712)-J712)/365.25,2)</f>
        <v>2.97</v>
      </c>
      <c r="AE712" t="str">
        <f t="shared" si="82"/>
        <v>1 - 3 Yrs</v>
      </c>
      <c r="AF712" t="str">
        <f t="shared" si="83"/>
        <v>Low Risk</v>
      </c>
    </row>
    <row r="713" spans="1:32" x14ac:dyDescent="0.45">
      <c r="A713" t="s">
        <v>1414</v>
      </c>
      <c r="B713" t="s">
        <v>642</v>
      </c>
      <c r="C713" t="s">
        <v>55</v>
      </c>
      <c r="D713" t="s">
        <v>54</v>
      </c>
      <c r="E713" t="s">
        <v>229</v>
      </c>
      <c r="F713" t="s">
        <v>82</v>
      </c>
      <c r="G713" t="s">
        <v>230</v>
      </c>
      <c r="H713" t="s">
        <v>108</v>
      </c>
      <c r="I713" t="s">
        <v>107</v>
      </c>
      <c r="J713" s="26">
        <v>44940</v>
      </c>
      <c r="K713" t="s">
        <v>187</v>
      </c>
      <c r="L713" s="26">
        <v>45865</v>
      </c>
      <c r="M713" t="s">
        <v>213</v>
      </c>
      <c r="N713" t="s">
        <v>97</v>
      </c>
      <c r="O713" s="27">
        <v>1322000</v>
      </c>
      <c r="P713">
        <v>4</v>
      </c>
      <c r="Q713" t="s">
        <v>164</v>
      </c>
      <c r="R713">
        <v>9</v>
      </c>
      <c r="S713" t="s">
        <v>173</v>
      </c>
      <c r="T713">
        <f t="shared" si="77"/>
        <v>11013</v>
      </c>
      <c r="U713" t="str">
        <f t="shared" si="78"/>
        <v>OPS</v>
      </c>
      <c r="V713" t="str">
        <f t="shared" si="79"/>
        <v>L2</v>
      </c>
      <c r="W713" t="str">
        <f>PROPER(TRIM(VLOOKUP(S713,Employee_Lookups!$I$4:$M$19,2,FALSE())))</f>
        <v>Deepak Patil</v>
      </c>
      <c r="X713" t="str">
        <f>VLOOKUP(C713,Employee_Lookups!$A$4:$G$9,4,FALSE())</f>
        <v>CC-303</v>
      </c>
      <c r="Y713" t="str">
        <f>INDEX(Employee_Lookups!$C$13:$C$17,MATCH(F713,Employee_Lookups!$A$13:$A$17,0))</f>
        <v>Band B (Mid)</v>
      </c>
      <c r="Z713" s="27">
        <f>_xlfn.XLOOKUP(F713,Employee_Lookups!$A$13:$A$17,Employee_Lookups!$E$13:$E$17,0)</f>
        <v>1100000</v>
      </c>
      <c r="AA713" s="28">
        <f>ROUND(O713/INDEX(Employee_Lookups!$E$13:$E$17,MATCH(F713,Employee_Lookups!$A$13:$A$17,0)),3)</f>
        <v>1.202</v>
      </c>
      <c r="AB713">
        <f t="shared" si="80"/>
        <v>2023</v>
      </c>
      <c r="AC713">
        <f t="shared" si="81"/>
        <v>2025</v>
      </c>
      <c r="AD713" s="28">
        <f>ROUND((IF(ISBLANK(L713),Employee_Lookups!$O$14,L713)-J713)/365.25,2)</f>
        <v>2.5299999999999998</v>
      </c>
      <c r="AE713" t="str">
        <f t="shared" si="82"/>
        <v>1 - 3 Yrs</v>
      </c>
      <c r="AF713" t="str">
        <f t="shared" si="83"/>
        <v>Exited</v>
      </c>
    </row>
    <row r="714" spans="1:32" x14ac:dyDescent="0.45">
      <c r="A714" t="s">
        <v>1415</v>
      </c>
      <c r="B714" t="s">
        <v>1416</v>
      </c>
      <c r="C714" t="s">
        <v>53</v>
      </c>
      <c r="D714" t="s">
        <v>52</v>
      </c>
      <c r="E714" t="s">
        <v>322</v>
      </c>
      <c r="F714" t="s">
        <v>81</v>
      </c>
      <c r="G714" t="s">
        <v>323</v>
      </c>
      <c r="H714" t="s">
        <v>106</v>
      </c>
      <c r="I714" t="s">
        <v>107</v>
      </c>
      <c r="J714" s="26">
        <v>44941</v>
      </c>
      <c r="K714" t="s">
        <v>187</v>
      </c>
      <c r="L714" s="26">
        <v>44998</v>
      </c>
      <c r="M714" t="s">
        <v>188</v>
      </c>
      <c r="N714" t="s">
        <v>95</v>
      </c>
      <c r="O714" s="27">
        <v>809000</v>
      </c>
      <c r="P714">
        <v>3</v>
      </c>
      <c r="Q714" t="s">
        <v>172</v>
      </c>
      <c r="R714">
        <v>27</v>
      </c>
      <c r="S714" t="s">
        <v>237</v>
      </c>
      <c r="T714">
        <f t="shared" si="77"/>
        <v>10712</v>
      </c>
      <c r="U714" t="str">
        <f t="shared" si="78"/>
        <v>SAL</v>
      </c>
      <c r="V714" t="str">
        <f t="shared" si="79"/>
        <v>L1</v>
      </c>
      <c r="W714" t="str">
        <f>PROPER(TRIM(VLOOKUP(S714,Employee_Lookups!$I$4:$M$19,2,FALSE())))</f>
        <v>Karan Malhotra</v>
      </c>
      <c r="X714" t="str">
        <f>VLOOKUP(C714,Employee_Lookups!$A$4:$G$9,4,FALSE())</f>
        <v>CC-202</v>
      </c>
      <c r="Y714" t="str">
        <f>INDEX(Employee_Lookups!$C$13:$C$17,MATCH(F714,Employee_Lookups!$A$13:$A$17,0))</f>
        <v>Band A (Entry)</v>
      </c>
      <c r="Z714" s="27">
        <f>_xlfn.XLOOKUP(F714,Employee_Lookups!$A$13:$A$17,Employee_Lookups!$E$13:$E$17,0)</f>
        <v>700000</v>
      </c>
      <c r="AA714" s="28">
        <f>ROUND(O714/INDEX(Employee_Lookups!$E$13:$E$17,MATCH(F714,Employee_Lookups!$A$13:$A$17,0)),3)</f>
        <v>1.1559999999999999</v>
      </c>
      <c r="AB714">
        <f t="shared" si="80"/>
        <v>2023</v>
      </c>
      <c r="AC714">
        <f t="shared" si="81"/>
        <v>2023</v>
      </c>
      <c r="AD714" s="28">
        <f>ROUND((IF(ISBLANK(L714),Employee_Lookups!$O$14,L714)-J714)/365.25,2)</f>
        <v>0.16</v>
      </c>
      <c r="AE714" t="str">
        <f t="shared" si="82"/>
        <v>&lt; 1 Yr (New)</v>
      </c>
      <c r="AF714" t="str">
        <f t="shared" si="83"/>
        <v>Exited</v>
      </c>
    </row>
    <row r="715" spans="1:32" x14ac:dyDescent="0.45">
      <c r="A715" t="s">
        <v>1417</v>
      </c>
      <c r="B715" t="s">
        <v>1418</v>
      </c>
      <c r="C715" t="s">
        <v>53</v>
      </c>
      <c r="D715" t="s">
        <v>52</v>
      </c>
      <c r="E715" t="s">
        <v>322</v>
      </c>
      <c r="F715" t="s">
        <v>81</v>
      </c>
      <c r="G715" t="s">
        <v>323</v>
      </c>
      <c r="H715" t="s">
        <v>108</v>
      </c>
      <c r="I715" t="s">
        <v>107</v>
      </c>
      <c r="J715" s="26">
        <v>44943</v>
      </c>
      <c r="K715" t="s">
        <v>162</v>
      </c>
      <c r="L715" s="26"/>
      <c r="M715" t="s">
        <v>163</v>
      </c>
      <c r="N715" t="s">
        <v>97</v>
      </c>
      <c r="O715" s="27">
        <v>739000</v>
      </c>
      <c r="P715">
        <v>3</v>
      </c>
      <c r="Q715" t="s">
        <v>172</v>
      </c>
      <c r="R715">
        <v>64</v>
      </c>
      <c r="S715" t="s">
        <v>237</v>
      </c>
      <c r="T715">
        <f t="shared" si="77"/>
        <v>10957</v>
      </c>
      <c r="U715" t="str">
        <f t="shared" si="78"/>
        <v>SAL</v>
      </c>
      <c r="V715" t="str">
        <f t="shared" si="79"/>
        <v>L1</v>
      </c>
      <c r="W715" t="str">
        <f>PROPER(TRIM(VLOOKUP(S715,Employee_Lookups!$I$4:$M$19,2,FALSE())))</f>
        <v>Karan Malhotra</v>
      </c>
      <c r="X715" t="str">
        <f>VLOOKUP(C715,Employee_Lookups!$A$4:$G$9,4,FALSE())</f>
        <v>CC-202</v>
      </c>
      <c r="Y715" t="str">
        <f>INDEX(Employee_Lookups!$C$13:$C$17,MATCH(F715,Employee_Lookups!$A$13:$A$17,0))</f>
        <v>Band A (Entry)</v>
      </c>
      <c r="Z715" s="27">
        <f>_xlfn.XLOOKUP(F715,Employee_Lookups!$A$13:$A$17,Employee_Lookups!$E$13:$E$17,0)</f>
        <v>700000</v>
      </c>
      <c r="AA715" s="28">
        <f>ROUND(O715/INDEX(Employee_Lookups!$E$13:$E$17,MATCH(F715,Employee_Lookups!$A$13:$A$17,0)),3)</f>
        <v>1.056</v>
      </c>
      <c r="AB715">
        <f t="shared" si="80"/>
        <v>2023</v>
      </c>
      <c r="AC715" t="str">
        <f t="shared" si="81"/>
        <v/>
      </c>
      <c r="AD715" s="28">
        <f>ROUND((IF(ISBLANK(L715),Employee_Lookups!$O$14,L715)-J715)/365.25,2)</f>
        <v>2.95</v>
      </c>
      <c r="AE715" t="str">
        <f t="shared" si="82"/>
        <v>1 - 3 Yrs</v>
      </c>
      <c r="AF715" t="str">
        <f t="shared" si="83"/>
        <v>Moderate Risk</v>
      </c>
    </row>
    <row r="716" spans="1:32" x14ac:dyDescent="0.45">
      <c r="A716" t="s">
        <v>1419</v>
      </c>
      <c r="B716" t="s">
        <v>1420</v>
      </c>
      <c r="C716" t="s">
        <v>53</v>
      </c>
      <c r="D716" t="s">
        <v>52</v>
      </c>
      <c r="E716" t="s">
        <v>322</v>
      </c>
      <c r="F716" t="s">
        <v>81</v>
      </c>
      <c r="G716" t="s">
        <v>323</v>
      </c>
      <c r="H716" t="s">
        <v>112</v>
      </c>
      <c r="I716" t="s">
        <v>113</v>
      </c>
      <c r="J716" s="26">
        <v>44944</v>
      </c>
      <c r="K716" t="s">
        <v>162</v>
      </c>
      <c r="L716" s="26"/>
      <c r="M716" t="s">
        <v>163</v>
      </c>
      <c r="N716" t="s">
        <v>97</v>
      </c>
      <c r="O716" s="27">
        <v>768000</v>
      </c>
      <c r="P716">
        <v>3</v>
      </c>
      <c r="Q716" t="s">
        <v>172</v>
      </c>
      <c r="R716">
        <v>39</v>
      </c>
      <c r="S716" t="s">
        <v>194</v>
      </c>
      <c r="T716">
        <f t="shared" si="77"/>
        <v>10968</v>
      </c>
      <c r="U716" t="str">
        <f t="shared" si="78"/>
        <v>SAL</v>
      </c>
      <c r="V716" t="str">
        <f t="shared" si="79"/>
        <v>L1</v>
      </c>
      <c r="W716" t="str">
        <f>PROPER(TRIM(VLOOKUP(S716,Employee_Lookups!$I$4:$M$19,2,FALSE())))</f>
        <v>Vikramaditya Joshi</v>
      </c>
      <c r="X716" t="str">
        <f>VLOOKUP(C716,Employee_Lookups!$A$4:$G$9,4,FALSE())</f>
        <v>CC-202</v>
      </c>
      <c r="Y716" t="str">
        <f>INDEX(Employee_Lookups!$C$13:$C$17,MATCH(F716,Employee_Lookups!$A$13:$A$17,0))</f>
        <v>Band A (Entry)</v>
      </c>
      <c r="Z716" s="27">
        <f>_xlfn.XLOOKUP(F716,Employee_Lookups!$A$13:$A$17,Employee_Lookups!$E$13:$E$17,0)</f>
        <v>700000</v>
      </c>
      <c r="AA716" s="28">
        <f>ROUND(O716/INDEX(Employee_Lookups!$E$13:$E$17,MATCH(F716,Employee_Lookups!$A$13:$A$17,0)),3)</f>
        <v>1.097</v>
      </c>
      <c r="AB716">
        <f t="shared" si="80"/>
        <v>2023</v>
      </c>
      <c r="AC716" t="str">
        <f t="shared" si="81"/>
        <v/>
      </c>
      <c r="AD716" s="28">
        <f>ROUND((IF(ISBLANK(L716),Employee_Lookups!$O$14,L716)-J716)/365.25,2)</f>
        <v>2.95</v>
      </c>
      <c r="AE716" t="str">
        <f t="shared" si="82"/>
        <v>1 - 3 Yrs</v>
      </c>
      <c r="AF716" t="str">
        <f t="shared" si="83"/>
        <v>Moderate Risk</v>
      </c>
    </row>
    <row r="717" spans="1:32" x14ac:dyDescent="0.45">
      <c r="A717" t="s">
        <v>1421</v>
      </c>
      <c r="B717" t="s">
        <v>921</v>
      </c>
      <c r="C717" t="s">
        <v>51</v>
      </c>
      <c r="D717" t="s">
        <v>50</v>
      </c>
      <c r="E717" t="s">
        <v>217</v>
      </c>
      <c r="F717" t="s">
        <v>83</v>
      </c>
      <c r="G717" t="s">
        <v>218</v>
      </c>
      <c r="H717" t="s">
        <v>109</v>
      </c>
      <c r="I717" t="s">
        <v>110</v>
      </c>
      <c r="J717" s="26">
        <v>44947</v>
      </c>
      <c r="K717" t="s">
        <v>162</v>
      </c>
      <c r="L717" s="26"/>
      <c r="M717" t="s">
        <v>163</v>
      </c>
      <c r="N717" t="s">
        <v>97</v>
      </c>
      <c r="O717" s="27">
        <v>1384000</v>
      </c>
      <c r="P717">
        <v>3</v>
      </c>
      <c r="Q717" t="s">
        <v>164</v>
      </c>
      <c r="R717">
        <v>15</v>
      </c>
      <c r="S717" t="s">
        <v>197</v>
      </c>
      <c r="T717">
        <f t="shared" si="77"/>
        <v>11120</v>
      </c>
      <c r="U717" t="str">
        <f t="shared" si="78"/>
        <v>ENG</v>
      </c>
      <c r="V717" t="str">
        <f t="shared" si="79"/>
        <v>L3</v>
      </c>
      <c r="W717" t="str">
        <f>PROPER(TRIM(VLOOKUP(S717,Employee_Lookups!$I$4:$M$19,2,FALSE())))</f>
        <v>Rohan Verma</v>
      </c>
      <c r="X717" t="str">
        <f>VLOOKUP(C717,Employee_Lookups!$A$4:$G$9,4,FALSE())</f>
        <v>CC-101</v>
      </c>
      <c r="Y717" t="str">
        <f>INDEX(Employee_Lookups!$C$13:$C$17,MATCH(F717,Employee_Lookups!$A$13:$A$17,0))</f>
        <v>Band C (Senior)</v>
      </c>
      <c r="Z717" s="27">
        <f>_xlfn.XLOOKUP(F717,Employee_Lookups!$A$13:$A$17,Employee_Lookups!$E$13:$E$17,0)</f>
        <v>1725000</v>
      </c>
      <c r="AA717" s="28">
        <f>ROUND(O717/INDEX(Employee_Lookups!$E$13:$E$17,MATCH(F717,Employee_Lookups!$A$13:$A$17,0)),3)</f>
        <v>0.80200000000000005</v>
      </c>
      <c r="AB717">
        <f t="shared" si="80"/>
        <v>2023</v>
      </c>
      <c r="AC717" t="str">
        <f t="shared" si="81"/>
        <v/>
      </c>
      <c r="AD717" s="28">
        <f>ROUND((IF(ISBLANK(L717),Employee_Lookups!$O$14,L717)-J717)/365.25,2)</f>
        <v>2.94</v>
      </c>
      <c r="AE717" t="str">
        <f t="shared" si="82"/>
        <v>1 - 3 Yrs</v>
      </c>
      <c r="AF717" t="str">
        <f t="shared" si="83"/>
        <v>Low Risk</v>
      </c>
    </row>
    <row r="718" spans="1:32" x14ac:dyDescent="0.45">
      <c r="A718" t="s">
        <v>1422</v>
      </c>
      <c r="B718" t="s">
        <v>1251</v>
      </c>
      <c r="C718" t="s">
        <v>57</v>
      </c>
      <c r="D718" t="s">
        <v>56</v>
      </c>
      <c r="E718" t="s">
        <v>160</v>
      </c>
      <c r="F718" t="s">
        <v>81</v>
      </c>
      <c r="G718" t="s">
        <v>161</v>
      </c>
      <c r="H718" t="s">
        <v>108</v>
      </c>
      <c r="I718" t="s">
        <v>107</v>
      </c>
      <c r="J718" s="26">
        <v>44948</v>
      </c>
      <c r="K718" t="s">
        <v>187</v>
      </c>
      <c r="L718" s="26">
        <v>45002</v>
      </c>
      <c r="M718" t="s">
        <v>269</v>
      </c>
      <c r="N718" t="s">
        <v>97</v>
      </c>
      <c r="O718" s="27">
        <v>846000</v>
      </c>
      <c r="P718">
        <v>3</v>
      </c>
      <c r="Q718" t="s">
        <v>164</v>
      </c>
      <c r="R718">
        <v>25</v>
      </c>
      <c r="S718" t="s">
        <v>165</v>
      </c>
      <c r="T718">
        <f t="shared" si="77"/>
        <v>11115</v>
      </c>
      <c r="U718" t="str">
        <f t="shared" si="78"/>
        <v>MKT</v>
      </c>
      <c r="V718" t="str">
        <f t="shared" si="79"/>
        <v>L1</v>
      </c>
      <c r="W718" t="str">
        <f>PROPER(TRIM(VLOOKUP(S718,Employee_Lookups!$I$4:$M$19,2,FALSE())))</f>
        <v>Arjun Sengupta</v>
      </c>
      <c r="X718" t="str">
        <f>VLOOKUP(C718,Employee_Lookups!$A$4:$G$9,4,FALSE())</f>
        <v>CC-606</v>
      </c>
      <c r="Y718" t="str">
        <f>INDEX(Employee_Lookups!$C$13:$C$17,MATCH(F718,Employee_Lookups!$A$13:$A$17,0))</f>
        <v>Band A (Entry)</v>
      </c>
      <c r="Z718" s="27">
        <f>_xlfn.XLOOKUP(F718,Employee_Lookups!$A$13:$A$17,Employee_Lookups!$E$13:$E$17,0)</f>
        <v>700000</v>
      </c>
      <c r="AA718" s="28">
        <f>ROUND(O718/INDEX(Employee_Lookups!$E$13:$E$17,MATCH(F718,Employee_Lookups!$A$13:$A$17,0)),3)</f>
        <v>1.2090000000000001</v>
      </c>
      <c r="AB718">
        <f t="shared" si="80"/>
        <v>2023</v>
      </c>
      <c r="AC718">
        <f t="shared" si="81"/>
        <v>2023</v>
      </c>
      <c r="AD718" s="28">
        <f>ROUND((IF(ISBLANK(L718),Employee_Lookups!$O$14,L718)-J718)/365.25,2)</f>
        <v>0.15</v>
      </c>
      <c r="AE718" t="str">
        <f t="shared" si="82"/>
        <v>&lt; 1 Yr (New)</v>
      </c>
      <c r="AF718" t="str">
        <f t="shared" si="83"/>
        <v>Exited</v>
      </c>
    </row>
    <row r="719" spans="1:32" x14ac:dyDescent="0.45">
      <c r="A719" t="s">
        <v>1423</v>
      </c>
      <c r="B719" t="s">
        <v>1424</v>
      </c>
      <c r="C719" t="s">
        <v>51</v>
      </c>
      <c r="D719" t="s">
        <v>50</v>
      </c>
      <c r="E719" t="s">
        <v>176</v>
      </c>
      <c r="F719" t="s">
        <v>82</v>
      </c>
      <c r="G719" t="s">
        <v>177</v>
      </c>
      <c r="H719" t="s">
        <v>108</v>
      </c>
      <c r="I719" t="s">
        <v>107</v>
      </c>
      <c r="J719" s="26">
        <v>44954</v>
      </c>
      <c r="K719" t="s">
        <v>187</v>
      </c>
      <c r="L719" s="26">
        <v>45081</v>
      </c>
      <c r="M719" t="s">
        <v>269</v>
      </c>
      <c r="N719" t="s">
        <v>97</v>
      </c>
      <c r="O719" s="27">
        <v>1256000</v>
      </c>
      <c r="P719">
        <v>4</v>
      </c>
      <c r="Q719" t="s">
        <v>164</v>
      </c>
      <c r="R719">
        <v>58</v>
      </c>
      <c r="S719" t="s">
        <v>178</v>
      </c>
      <c r="T719">
        <f t="shared" si="77"/>
        <v>11396</v>
      </c>
      <c r="U719" t="str">
        <f t="shared" si="78"/>
        <v>ENG</v>
      </c>
      <c r="V719" t="str">
        <f t="shared" si="79"/>
        <v>L2</v>
      </c>
      <c r="W719" t="str">
        <f>PROPER(TRIM(VLOOKUP(S719,Employee_Lookups!$I$4:$M$19,2,FALSE())))</f>
        <v>Aarav Deshmukh</v>
      </c>
      <c r="X719" t="str">
        <f>VLOOKUP(C719,Employee_Lookups!$A$4:$G$9,4,FALSE())</f>
        <v>CC-101</v>
      </c>
      <c r="Y719" t="str">
        <f>INDEX(Employee_Lookups!$C$13:$C$17,MATCH(F719,Employee_Lookups!$A$13:$A$17,0))</f>
        <v>Band B (Mid)</v>
      </c>
      <c r="Z719" s="27">
        <f>_xlfn.XLOOKUP(F719,Employee_Lookups!$A$13:$A$17,Employee_Lookups!$E$13:$E$17,0)</f>
        <v>1100000</v>
      </c>
      <c r="AA719" s="28">
        <f>ROUND(O719/INDEX(Employee_Lookups!$E$13:$E$17,MATCH(F719,Employee_Lookups!$A$13:$A$17,0)),3)</f>
        <v>1.1419999999999999</v>
      </c>
      <c r="AB719">
        <f t="shared" si="80"/>
        <v>2023</v>
      </c>
      <c r="AC719">
        <f t="shared" si="81"/>
        <v>2023</v>
      </c>
      <c r="AD719" s="28">
        <f>ROUND((IF(ISBLANK(L719),Employee_Lookups!$O$14,L719)-J719)/365.25,2)</f>
        <v>0.35</v>
      </c>
      <c r="AE719" t="str">
        <f t="shared" si="82"/>
        <v>&lt; 1 Yr (New)</v>
      </c>
      <c r="AF719" t="str">
        <f t="shared" si="83"/>
        <v>Exited</v>
      </c>
    </row>
    <row r="720" spans="1:32" x14ac:dyDescent="0.45">
      <c r="A720" t="s">
        <v>1425</v>
      </c>
      <c r="B720" t="s">
        <v>709</v>
      </c>
      <c r="C720" t="s">
        <v>55</v>
      </c>
      <c r="D720" t="s">
        <v>54</v>
      </c>
      <c r="E720" t="s">
        <v>277</v>
      </c>
      <c r="F720" t="s">
        <v>81</v>
      </c>
      <c r="G720" t="s">
        <v>278</v>
      </c>
      <c r="H720" t="s">
        <v>106</v>
      </c>
      <c r="I720" t="s">
        <v>107</v>
      </c>
      <c r="J720" s="26">
        <v>44958</v>
      </c>
      <c r="K720" t="s">
        <v>187</v>
      </c>
      <c r="L720" s="26">
        <v>45469</v>
      </c>
      <c r="M720" t="s">
        <v>282</v>
      </c>
      <c r="N720" t="s">
        <v>96</v>
      </c>
      <c r="O720" s="27">
        <v>679000</v>
      </c>
      <c r="P720">
        <v>4</v>
      </c>
      <c r="Q720" t="s">
        <v>172</v>
      </c>
      <c r="R720">
        <v>43</v>
      </c>
      <c r="S720" t="s">
        <v>173</v>
      </c>
      <c r="T720">
        <f t="shared" si="77"/>
        <v>10164</v>
      </c>
      <c r="U720" t="str">
        <f t="shared" si="78"/>
        <v>OPS</v>
      </c>
      <c r="V720" t="str">
        <f t="shared" si="79"/>
        <v>L1</v>
      </c>
      <c r="W720" t="str">
        <f>PROPER(TRIM(VLOOKUP(S720,Employee_Lookups!$I$4:$M$19,2,FALSE())))</f>
        <v>Deepak Patil</v>
      </c>
      <c r="X720" t="str">
        <f>VLOOKUP(C720,Employee_Lookups!$A$4:$G$9,4,FALSE())</f>
        <v>CC-303</v>
      </c>
      <c r="Y720" t="str">
        <f>INDEX(Employee_Lookups!$C$13:$C$17,MATCH(F720,Employee_Lookups!$A$13:$A$17,0))</f>
        <v>Band A (Entry)</v>
      </c>
      <c r="Z720" s="27">
        <f>_xlfn.XLOOKUP(F720,Employee_Lookups!$A$13:$A$17,Employee_Lookups!$E$13:$E$17,0)</f>
        <v>700000</v>
      </c>
      <c r="AA720" s="28">
        <f>ROUND(O720/INDEX(Employee_Lookups!$E$13:$E$17,MATCH(F720,Employee_Lookups!$A$13:$A$17,0)),3)</f>
        <v>0.97</v>
      </c>
      <c r="AB720">
        <f t="shared" si="80"/>
        <v>2023</v>
      </c>
      <c r="AC720">
        <f t="shared" si="81"/>
        <v>2024</v>
      </c>
      <c r="AD720" s="28">
        <f>ROUND((IF(ISBLANK(L720),Employee_Lookups!$O$14,L720)-J720)/365.25,2)</f>
        <v>1.4</v>
      </c>
      <c r="AE720" t="str">
        <f t="shared" si="82"/>
        <v>1 - 3 Yrs</v>
      </c>
      <c r="AF720" t="str">
        <f t="shared" si="83"/>
        <v>Exited</v>
      </c>
    </row>
    <row r="721" spans="1:32" x14ac:dyDescent="0.45">
      <c r="A721" t="s">
        <v>1426</v>
      </c>
      <c r="B721" t="s">
        <v>1029</v>
      </c>
      <c r="C721" t="s">
        <v>55</v>
      </c>
      <c r="D721" t="s">
        <v>54</v>
      </c>
      <c r="E721" t="s">
        <v>277</v>
      </c>
      <c r="F721" t="s">
        <v>81</v>
      </c>
      <c r="G721" t="s">
        <v>278</v>
      </c>
      <c r="H721" t="s">
        <v>108</v>
      </c>
      <c r="I721" t="s">
        <v>107</v>
      </c>
      <c r="J721" s="26">
        <v>44958</v>
      </c>
      <c r="K721" t="s">
        <v>162</v>
      </c>
      <c r="L721" s="26"/>
      <c r="M721" t="s">
        <v>163</v>
      </c>
      <c r="N721" t="s">
        <v>96</v>
      </c>
      <c r="O721" s="27">
        <v>683000</v>
      </c>
      <c r="P721">
        <v>4</v>
      </c>
      <c r="Q721" t="s">
        <v>164</v>
      </c>
      <c r="R721">
        <v>52</v>
      </c>
      <c r="S721" t="s">
        <v>262</v>
      </c>
      <c r="T721">
        <f t="shared" si="77"/>
        <v>10310</v>
      </c>
      <c r="U721" t="str">
        <f t="shared" si="78"/>
        <v>OPS</v>
      </c>
      <c r="V721" t="str">
        <f t="shared" si="79"/>
        <v>L1</v>
      </c>
      <c r="W721" t="str">
        <f>PROPER(TRIM(VLOOKUP(S721,Employee_Lookups!$I$4:$M$19,2,FALSE())))</f>
        <v>Ananya Iyer</v>
      </c>
      <c r="X721" t="str">
        <f>VLOOKUP(C721,Employee_Lookups!$A$4:$G$9,4,FALSE())</f>
        <v>CC-303</v>
      </c>
      <c r="Y721" t="str">
        <f>INDEX(Employee_Lookups!$C$13:$C$17,MATCH(F721,Employee_Lookups!$A$13:$A$17,0))</f>
        <v>Band A (Entry)</v>
      </c>
      <c r="Z721" s="27">
        <f>_xlfn.XLOOKUP(F721,Employee_Lookups!$A$13:$A$17,Employee_Lookups!$E$13:$E$17,0)</f>
        <v>700000</v>
      </c>
      <c r="AA721" s="28">
        <f>ROUND(O721/INDEX(Employee_Lookups!$E$13:$E$17,MATCH(F721,Employee_Lookups!$A$13:$A$17,0)),3)</f>
        <v>0.97599999999999998</v>
      </c>
      <c r="AB721">
        <f t="shared" si="80"/>
        <v>2023</v>
      </c>
      <c r="AC721" t="str">
        <f t="shared" si="81"/>
        <v/>
      </c>
      <c r="AD721" s="28">
        <f>ROUND((IF(ISBLANK(L721),Employee_Lookups!$O$14,L721)-J721)/365.25,2)</f>
        <v>2.91</v>
      </c>
      <c r="AE721" t="str">
        <f t="shared" si="82"/>
        <v>1 - 3 Yrs</v>
      </c>
      <c r="AF721" t="str">
        <f t="shared" si="83"/>
        <v>Low Risk</v>
      </c>
    </row>
    <row r="722" spans="1:32" x14ac:dyDescent="0.45">
      <c r="A722" t="s">
        <v>1427</v>
      </c>
      <c r="B722" t="s">
        <v>914</v>
      </c>
      <c r="C722" t="s">
        <v>51</v>
      </c>
      <c r="D722" t="s">
        <v>50</v>
      </c>
      <c r="E722" t="s">
        <v>181</v>
      </c>
      <c r="F722" t="s">
        <v>81</v>
      </c>
      <c r="G722" t="s">
        <v>182</v>
      </c>
      <c r="H722" t="s">
        <v>106</v>
      </c>
      <c r="I722" t="s">
        <v>107</v>
      </c>
      <c r="J722" s="26">
        <v>44958</v>
      </c>
      <c r="K722" t="s">
        <v>162</v>
      </c>
      <c r="L722" s="26"/>
      <c r="M722" t="s">
        <v>163</v>
      </c>
      <c r="N722" t="s">
        <v>99</v>
      </c>
      <c r="O722" s="27">
        <v>617000</v>
      </c>
      <c r="P722">
        <v>3</v>
      </c>
      <c r="Q722" t="s">
        <v>172</v>
      </c>
      <c r="R722">
        <v>49</v>
      </c>
      <c r="S722" t="s">
        <v>244</v>
      </c>
      <c r="T722">
        <f t="shared" si="77"/>
        <v>10326</v>
      </c>
      <c r="U722" t="str">
        <f t="shared" si="78"/>
        <v>ENG</v>
      </c>
      <c r="V722" t="str">
        <f t="shared" si="79"/>
        <v>L1</v>
      </c>
      <c r="W722" t="str">
        <f>PROPER(TRIM(VLOOKUP(S722,Employee_Lookups!$I$4:$M$19,2,FALSE())))</f>
        <v>Siddharth Nair</v>
      </c>
      <c r="X722" t="str">
        <f>VLOOKUP(C722,Employee_Lookups!$A$4:$G$9,4,FALSE())</f>
        <v>CC-101</v>
      </c>
      <c r="Y722" t="str">
        <f>INDEX(Employee_Lookups!$C$13:$C$17,MATCH(F722,Employee_Lookups!$A$13:$A$17,0))</f>
        <v>Band A (Entry)</v>
      </c>
      <c r="Z722" s="27">
        <f>_xlfn.XLOOKUP(F722,Employee_Lookups!$A$13:$A$17,Employee_Lookups!$E$13:$E$17,0)</f>
        <v>700000</v>
      </c>
      <c r="AA722" s="28">
        <f>ROUND(O722/INDEX(Employee_Lookups!$E$13:$E$17,MATCH(F722,Employee_Lookups!$A$13:$A$17,0)),3)</f>
        <v>0.88100000000000001</v>
      </c>
      <c r="AB722">
        <f t="shared" si="80"/>
        <v>2023</v>
      </c>
      <c r="AC722" t="str">
        <f t="shared" si="81"/>
        <v/>
      </c>
      <c r="AD722" s="28">
        <f>ROUND((IF(ISBLANK(L722),Employee_Lookups!$O$14,L722)-J722)/365.25,2)</f>
        <v>2.91</v>
      </c>
      <c r="AE722" t="str">
        <f t="shared" si="82"/>
        <v>1 - 3 Yrs</v>
      </c>
      <c r="AF722" t="str">
        <f t="shared" si="83"/>
        <v>High Risk</v>
      </c>
    </row>
    <row r="723" spans="1:32" x14ac:dyDescent="0.45">
      <c r="A723" t="s">
        <v>1428</v>
      </c>
      <c r="B723" t="s">
        <v>1429</v>
      </c>
      <c r="C723" t="s">
        <v>57</v>
      </c>
      <c r="D723" t="s">
        <v>56</v>
      </c>
      <c r="E723" t="s">
        <v>222</v>
      </c>
      <c r="F723" t="s">
        <v>82</v>
      </c>
      <c r="G723" t="s">
        <v>223</v>
      </c>
      <c r="H723" t="s">
        <v>111</v>
      </c>
      <c r="I723" t="s">
        <v>110</v>
      </c>
      <c r="J723" s="26">
        <v>44958</v>
      </c>
      <c r="K723" t="s">
        <v>162</v>
      </c>
      <c r="L723" s="26"/>
      <c r="M723" t="s">
        <v>163</v>
      </c>
      <c r="N723" t="s">
        <v>98</v>
      </c>
      <c r="O723" s="27">
        <v>1267000</v>
      </c>
      <c r="P723">
        <v>4</v>
      </c>
      <c r="Q723" t="s">
        <v>172</v>
      </c>
      <c r="R723">
        <v>33</v>
      </c>
      <c r="S723" t="s">
        <v>224</v>
      </c>
      <c r="T723">
        <f t="shared" si="77"/>
        <v>10193</v>
      </c>
      <c r="U723" t="str">
        <f t="shared" si="78"/>
        <v>MKT</v>
      </c>
      <c r="V723" t="str">
        <f t="shared" si="79"/>
        <v>L2</v>
      </c>
      <c r="W723" t="str">
        <f>PROPER(TRIM(VLOOKUP(S723,Employee_Lookups!$I$4:$M$19,2,FALSE())))</f>
        <v>Tanvi Chitnis</v>
      </c>
      <c r="X723" t="str">
        <f>VLOOKUP(C723,Employee_Lookups!$A$4:$G$9,4,FALSE())</f>
        <v>CC-606</v>
      </c>
      <c r="Y723" t="str">
        <f>INDEX(Employee_Lookups!$C$13:$C$17,MATCH(F723,Employee_Lookups!$A$13:$A$17,0))</f>
        <v>Band B (Mid)</v>
      </c>
      <c r="Z723" s="27">
        <f>_xlfn.XLOOKUP(F723,Employee_Lookups!$A$13:$A$17,Employee_Lookups!$E$13:$E$17,0)</f>
        <v>1100000</v>
      </c>
      <c r="AA723" s="28">
        <f>ROUND(O723/INDEX(Employee_Lookups!$E$13:$E$17,MATCH(F723,Employee_Lookups!$A$13:$A$17,0)),3)</f>
        <v>1.1519999999999999</v>
      </c>
      <c r="AB723">
        <f t="shared" si="80"/>
        <v>2023</v>
      </c>
      <c r="AC723" t="str">
        <f t="shared" si="81"/>
        <v/>
      </c>
      <c r="AD723" s="28">
        <f>ROUND((IF(ISBLANK(L723),Employee_Lookups!$O$14,L723)-J723)/365.25,2)</f>
        <v>2.91</v>
      </c>
      <c r="AE723" t="str">
        <f t="shared" si="82"/>
        <v>1 - 3 Yrs</v>
      </c>
      <c r="AF723" t="str">
        <f t="shared" si="83"/>
        <v>High Risk</v>
      </c>
    </row>
    <row r="724" spans="1:32" x14ac:dyDescent="0.45">
      <c r="A724" t="s">
        <v>1430</v>
      </c>
      <c r="B724" t="s">
        <v>1256</v>
      </c>
      <c r="C724" t="s">
        <v>55</v>
      </c>
      <c r="D724" t="s">
        <v>54</v>
      </c>
      <c r="E724" t="s">
        <v>229</v>
      </c>
      <c r="F724" t="s">
        <v>82</v>
      </c>
      <c r="G724" t="s">
        <v>230</v>
      </c>
      <c r="H724" t="s">
        <v>106</v>
      </c>
      <c r="I724" t="s">
        <v>107</v>
      </c>
      <c r="J724" s="26">
        <v>44959</v>
      </c>
      <c r="K724" t="s">
        <v>162</v>
      </c>
      <c r="L724" s="26"/>
      <c r="M724" t="s">
        <v>163</v>
      </c>
      <c r="N724" t="s">
        <v>98</v>
      </c>
      <c r="O724" s="27">
        <v>907000</v>
      </c>
      <c r="P724">
        <v>3</v>
      </c>
      <c r="Q724" t="s">
        <v>164</v>
      </c>
      <c r="R724">
        <v>47</v>
      </c>
      <c r="S724" t="s">
        <v>173</v>
      </c>
      <c r="T724">
        <f t="shared" si="77"/>
        <v>11378</v>
      </c>
      <c r="U724" t="str">
        <f t="shared" si="78"/>
        <v>OPS</v>
      </c>
      <c r="V724" t="str">
        <f t="shared" si="79"/>
        <v>L2</v>
      </c>
      <c r="W724" t="str">
        <f>PROPER(TRIM(VLOOKUP(S724,Employee_Lookups!$I$4:$M$19,2,FALSE())))</f>
        <v>Deepak Patil</v>
      </c>
      <c r="X724" t="str">
        <f>VLOOKUP(C724,Employee_Lookups!$A$4:$G$9,4,FALSE())</f>
        <v>CC-303</v>
      </c>
      <c r="Y724" t="str">
        <f>INDEX(Employee_Lookups!$C$13:$C$17,MATCH(F724,Employee_Lookups!$A$13:$A$17,0))</f>
        <v>Band B (Mid)</v>
      </c>
      <c r="Z724" s="27">
        <f>_xlfn.XLOOKUP(F724,Employee_Lookups!$A$13:$A$17,Employee_Lookups!$E$13:$E$17,0)</f>
        <v>1100000</v>
      </c>
      <c r="AA724" s="28">
        <f>ROUND(O724/INDEX(Employee_Lookups!$E$13:$E$17,MATCH(F724,Employee_Lookups!$A$13:$A$17,0)),3)</f>
        <v>0.82499999999999996</v>
      </c>
      <c r="AB724">
        <f t="shared" si="80"/>
        <v>2023</v>
      </c>
      <c r="AC724" t="str">
        <f t="shared" si="81"/>
        <v/>
      </c>
      <c r="AD724" s="28">
        <f>ROUND((IF(ISBLANK(L724),Employee_Lookups!$O$14,L724)-J724)/365.25,2)</f>
        <v>2.91</v>
      </c>
      <c r="AE724" t="str">
        <f t="shared" si="82"/>
        <v>1 - 3 Yrs</v>
      </c>
      <c r="AF724" t="str">
        <f t="shared" si="83"/>
        <v>Low Risk</v>
      </c>
    </row>
    <row r="725" spans="1:32" x14ac:dyDescent="0.45">
      <c r="A725" t="s">
        <v>1431</v>
      </c>
      <c r="B725" t="s">
        <v>1432</v>
      </c>
      <c r="C725" t="s">
        <v>51</v>
      </c>
      <c r="D725" t="s">
        <v>50</v>
      </c>
      <c r="E725" t="s">
        <v>181</v>
      </c>
      <c r="F725" t="s">
        <v>81</v>
      </c>
      <c r="G725" t="s">
        <v>182</v>
      </c>
      <c r="H725" t="s">
        <v>106</v>
      </c>
      <c r="I725" t="s">
        <v>107</v>
      </c>
      <c r="J725" s="26">
        <v>44959</v>
      </c>
      <c r="K725" t="s">
        <v>162</v>
      </c>
      <c r="L725" s="26"/>
      <c r="M725" t="s">
        <v>163</v>
      </c>
      <c r="N725" t="s">
        <v>96</v>
      </c>
      <c r="O725" s="27">
        <v>781000</v>
      </c>
      <c r="P725">
        <v>5</v>
      </c>
      <c r="Q725" t="s">
        <v>164</v>
      </c>
      <c r="R725">
        <v>14</v>
      </c>
      <c r="S725" t="s">
        <v>178</v>
      </c>
      <c r="T725">
        <f t="shared" si="77"/>
        <v>10223</v>
      </c>
      <c r="U725" t="str">
        <f t="shared" si="78"/>
        <v>ENG</v>
      </c>
      <c r="V725" t="str">
        <f t="shared" si="79"/>
        <v>L1</v>
      </c>
      <c r="W725" t="str">
        <f>PROPER(TRIM(VLOOKUP(S725,Employee_Lookups!$I$4:$M$19,2,FALSE())))</f>
        <v>Aarav Deshmukh</v>
      </c>
      <c r="X725" t="str">
        <f>VLOOKUP(C725,Employee_Lookups!$A$4:$G$9,4,FALSE())</f>
        <v>CC-101</v>
      </c>
      <c r="Y725" t="str">
        <f>INDEX(Employee_Lookups!$C$13:$C$17,MATCH(F725,Employee_Lookups!$A$13:$A$17,0))</f>
        <v>Band A (Entry)</v>
      </c>
      <c r="Z725" s="27">
        <f>_xlfn.XLOOKUP(F725,Employee_Lookups!$A$13:$A$17,Employee_Lookups!$E$13:$E$17,0)</f>
        <v>700000</v>
      </c>
      <c r="AA725" s="28">
        <f>ROUND(O725/INDEX(Employee_Lookups!$E$13:$E$17,MATCH(F725,Employee_Lookups!$A$13:$A$17,0)),3)</f>
        <v>1.1160000000000001</v>
      </c>
      <c r="AB725">
        <f t="shared" si="80"/>
        <v>2023</v>
      </c>
      <c r="AC725" t="str">
        <f t="shared" si="81"/>
        <v/>
      </c>
      <c r="AD725" s="28">
        <f>ROUND((IF(ISBLANK(L725),Employee_Lookups!$O$14,L725)-J725)/365.25,2)</f>
        <v>2.91</v>
      </c>
      <c r="AE725" t="str">
        <f t="shared" si="82"/>
        <v>1 - 3 Yrs</v>
      </c>
      <c r="AF725" t="str">
        <f t="shared" si="83"/>
        <v>Low Risk</v>
      </c>
    </row>
    <row r="726" spans="1:32" x14ac:dyDescent="0.45">
      <c r="A726" t="s">
        <v>1433</v>
      </c>
      <c r="B726" t="s">
        <v>1434</v>
      </c>
      <c r="C726" t="s">
        <v>51</v>
      </c>
      <c r="D726" t="s">
        <v>50</v>
      </c>
      <c r="E726" t="s">
        <v>181</v>
      </c>
      <c r="F726" t="s">
        <v>81</v>
      </c>
      <c r="G726" t="s">
        <v>182</v>
      </c>
      <c r="H726" t="s">
        <v>106</v>
      </c>
      <c r="I726" t="s">
        <v>107</v>
      </c>
      <c r="J726" s="26">
        <v>44959</v>
      </c>
      <c r="K726" t="s">
        <v>162</v>
      </c>
      <c r="L726" s="26"/>
      <c r="M726" t="s">
        <v>163</v>
      </c>
      <c r="N726" t="s">
        <v>95</v>
      </c>
      <c r="O726" s="27">
        <v>597000</v>
      </c>
      <c r="P726">
        <v>4</v>
      </c>
      <c r="Q726" t="s">
        <v>164</v>
      </c>
      <c r="R726">
        <v>0</v>
      </c>
      <c r="S726" t="s">
        <v>219</v>
      </c>
      <c r="T726">
        <f t="shared" si="77"/>
        <v>10644</v>
      </c>
      <c r="U726" t="str">
        <f t="shared" si="78"/>
        <v>ENG</v>
      </c>
      <c r="V726" t="str">
        <f t="shared" si="79"/>
        <v>L1</v>
      </c>
      <c r="W726" t="str">
        <f>PROPER(TRIM(VLOOKUP(S726,Employee_Lookups!$I$4:$M$19,2,FALSE())))</f>
        <v>Neha Kulkarni</v>
      </c>
      <c r="X726" t="str">
        <f>VLOOKUP(C726,Employee_Lookups!$A$4:$G$9,4,FALSE())</f>
        <v>CC-101</v>
      </c>
      <c r="Y726" t="str">
        <f>INDEX(Employee_Lookups!$C$13:$C$17,MATCH(F726,Employee_Lookups!$A$13:$A$17,0))</f>
        <v>Band A (Entry)</v>
      </c>
      <c r="Z726" s="27">
        <f>_xlfn.XLOOKUP(F726,Employee_Lookups!$A$13:$A$17,Employee_Lookups!$E$13:$E$17,0)</f>
        <v>700000</v>
      </c>
      <c r="AA726" s="28">
        <f>ROUND(O726/INDEX(Employee_Lookups!$E$13:$E$17,MATCH(F726,Employee_Lookups!$A$13:$A$17,0)),3)</f>
        <v>0.85299999999999998</v>
      </c>
      <c r="AB726">
        <f t="shared" si="80"/>
        <v>2023</v>
      </c>
      <c r="AC726" t="str">
        <f t="shared" si="81"/>
        <v/>
      </c>
      <c r="AD726" s="28">
        <f>ROUND((IF(ISBLANK(L726),Employee_Lookups!$O$14,L726)-J726)/365.25,2)</f>
        <v>2.91</v>
      </c>
      <c r="AE726" t="str">
        <f t="shared" si="82"/>
        <v>1 - 3 Yrs</v>
      </c>
      <c r="AF726" t="str">
        <f t="shared" si="83"/>
        <v>Low Risk</v>
      </c>
    </row>
    <row r="727" spans="1:32" x14ac:dyDescent="0.45">
      <c r="A727" t="s">
        <v>1435</v>
      </c>
      <c r="B727" t="s">
        <v>681</v>
      </c>
      <c r="C727" t="s">
        <v>61</v>
      </c>
      <c r="D727" t="s">
        <v>60</v>
      </c>
      <c r="E727" t="s">
        <v>317</v>
      </c>
      <c r="F727" t="s">
        <v>84</v>
      </c>
      <c r="G727" t="s">
        <v>318</v>
      </c>
      <c r="H727" t="s">
        <v>108</v>
      </c>
      <c r="I727" t="s">
        <v>107</v>
      </c>
      <c r="J727" s="26">
        <v>44960</v>
      </c>
      <c r="K727" t="s">
        <v>162</v>
      </c>
      <c r="L727" s="26"/>
      <c r="M727" t="s">
        <v>163</v>
      </c>
      <c r="N727" t="s">
        <v>96</v>
      </c>
      <c r="O727" s="27">
        <v>2643000</v>
      </c>
      <c r="P727">
        <v>3</v>
      </c>
      <c r="Q727" t="s">
        <v>164</v>
      </c>
      <c r="R727">
        <v>62</v>
      </c>
      <c r="S727" t="s">
        <v>319</v>
      </c>
      <c r="T727">
        <f t="shared" si="77"/>
        <v>11110</v>
      </c>
      <c r="U727" t="str">
        <f t="shared" si="78"/>
        <v>-HR</v>
      </c>
      <c r="V727" t="str">
        <f t="shared" si="79"/>
        <v>L4</v>
      </c>
      <c r="W727" t="str">
        <f>PROPER(TRIM(VLOOKUP(S727,Employee_Lookups!$I$4:$M$19,2,FALSE())))</f>
        <v>Kavita Menon</v>
      </c>
      <c r="X727" t="str">
        <f>VLOOKUP(C727,Employee_Lookups!$A$4:$G$9,4,FALSE())</f>
        <v>CC-505</v>
      </c>
      <c r="Y727" t="str">
        <f>INDEX(Employee_Lookups!$C$13:$C$17,MATCH(F727,Employee_Lookups!$A$13:$A$17,0))</f>
        <v>Band D (Leadership)</v>
      </c>
      <c r="Z727" s="27">
        <f>_xlfn.XLOOKUP(F727,Employee_Lookups!$A$13:$A$17,Employee_Lookups!$E$13:$E$17,0)</f>
        <v>2750000</v>
      </c>
      <c r="AA727" s="28">
        <f>ROUND(O727/INDEX(Employee_Lookups!$E$13:$E$17,MATCH(F727,Employee_Lookups!$A$13:$A$17,0)),3)</f>
        <v>0.96099999999999997</v>
      </c>
      <c r="AB727">
        <f t="shared" si="80"/>
        <v>2023</v>
      </c>
      <c r="AC727" t="str">
        <f t="shared" si="81"/>
        <v/>
      </c>
      <c r="AD727" s="28">
        <f>ROUND((IF(ISBLANK(L727),Employee_Lookups!$O$14,L727)-J727)/365.25,2)</f>
        <v>2.91</v>
      </c>
      <c r="AE727" t="str">
        <f t="shared" si="82"/>
        <v>1 - 3 Yrs</v>
      </c>
      <c r="AF727" t="str">
        <f t="shared" si="83"/>
        <v>Low Risk</v>
      </c>
    </row>
    <row r="728" spans="1:32" x14ac:dyDescent="0.45">
      <c r="A728" t="s">
        <v>1436</v>
      </c>
      <c r="B728" t="s">
        <v>1437</v>
      </c>
      <c r="C728" t="s">
        <v>59</v>
      </c>
      <c r="D728" t="s">
        <v>58</v>
      </c>
      <c r="E728" t="s">
        <v>211</v>
      </c>
      <c r="F728" t="s">
        <v>82</v>
      </c>
      <c r="G728" t="s">
        <v>212</v>
      </c>
      <c r="H728" t="s">
        <v>106</v>
      </c>
      <c r="I728" t="s">
        <v>107</v>
      </c>
      <c r="J728" s="26">
        <v>44962</v>
      </c>
      <c r="K728" t="s">
        <v>162</v>
      </c>
      <c r="L728" s="26"/>
      <c r="M728" t="s">
        <v>163</v>
      </c>
      <c r="N728" t="s">
        <v>98</v>
      </c>
      <c r="O728" s="27">
        <v>1145000</v>
      </c>
      <c r="P728">
        <v>3</v>
      </c>
      <c r="Q728" t="s">
        <v>164</v>
      </c>
      <c r="R728">
        <v>21</v>
      </c>
      <c r="S728" t="s">
        <v>208</v>
      </c>
      <c r="T728">
        <f t="shared" si="77"/>
        <v>10363</v>
      </c>
      <c r="U728" t="str">
        <f t="shared" si="78"/>
        <v>FIN</v>
      </c>
      <c r="V728" t="str">
        <f t="shared" si="79"/>
        <v>L2</v>
      </c>
      <c r="W728" t="str">
        <f>PROPER(TRIM(VLOOKUP(S728,Employee_Lookups!$I$4:$M$19,2,FALSE())))</f>
        <v>Rajeshwari Rao</v>
      </c>
      <c r="X728" t="str">
        <f>VLOOKUP(C728,Employee_Lookups!$A$4:$G$9,4,FALSE())</f>
        <v>CC-404</v>
      </c>
      <c r="Y728" t="str">
        <f>INDEX(Employee_Lookups!$C$13:$C$17,MATCH(F728,Employee_Lookups!$A$13:$A$17,0))</f>
        <v>Band B (Mid)</v>
      </c>
      <c r="Z728" s="27">
        <f>_xlfn.XLOOKUP(F728,Employee_Lookups!$A$13:$A$17,Employee_Lookups!$E$13:$E$17,0)</f>
        <v>1100000</v>
      </c>
      <c r="AA728" s="28">
        <f>ROUND(O728/INDEX(Employee_Lookups!$E$13:$E$17,MATCH(F728,Employee_Lookups!$A$13:$A$17,0)),3)</f>
        <v>1.0409999999999999</v>
      </c>
      <c r="AB728">
        <f t="shared" si="80"/>
        <v>2023</v>
      </c>
      <c r="AC728" t="str">
        <f t="shared" si="81"/>
        <v/>
      </c>
      <c r="AD728" s="28">
        <f>ROUND((IF(ISBLANK(L728),Employee_Lookups!$O$14,L728)-J728)/365.25,2)</f>
        <v>2.9</v>
      </c>
      <c r="AE728" t="str">
        <f t="shared" si="82"/>
        <v>1 - 3 Yrs</v>
      </c>
      <c r="AF728" t="str">
        <f t="shared" si="83"/>
        <v>Low Risk</v>
      </c>
    </row>
    <row r="729" spans="1:32" x14ac:dyDescent="0.45">
      <c r="A729" t="s">
        <v>1438</v>
      </c>
      <c r="B729" t="s">
        <v>1439</v>
      </c>
      <c r="C729" t="s">
        <v>51</v>
      </c>
      <c r="D729" t="s">
        <v>50</v>
      </c>
      <c r="E729" t="s">
        <v>181</v>
      </c>
      <c r="F729" t="s">
        <v>81</v>
      </c>
      <c r="G729" t="s">
        <v>182</v>
      </c>
      <c r="H729" t="s">
        <v>106</v>
      </c>
      <c r="I729" t="s">
        <v>107</v>
      </c>
      <c r="J729" s="26">
        <v>44963</v>
      </c>
      <c r="K729" t="s">
        <v>162</v>
      </c>
      <c r="L729" s="26"/>
      <c r="M729" t="s">
        <v>163</v>
      </c>
      <c r="N729" t="s">
        <v>95</v>
      </c>
      <c r="O729" s="27">
        <v>575000</v>
      </c>
      <c r="P729">
        <v>3</v>
      </c>
      <c r="Q729" t="s">
        <v>164</v>
      </c>
      <c r="R729">
        <v>59</v>
      </c>
      <c r="S729" t="s">
        <v>219</v>
      </c>
      <c r="T729">
        <f t="shared" si="77"/>
        <v>11172</v>
      </c>
      <c r="U729" t="str">
        <f t="shared" si="78"/>
        <v>ENG</v>
      </c>
      <c r="V729" t="str">
        <f t="shared" si="79"/>
        <v>L1</v>
      </c>
      <c r="W729" t="str">
        <f>PROPER(TRIM(VLOOKUP(S729,Employee_Lookups!$I$4:$M$19,2,FALSE())))</f>
        <v>Neha Kulkarni</v>
      </c>
      <c r="X729" t="str">
        <f>VLOOKUP(C729,Employee_Lookups!$A$4:$G$9,4,FALSE())</f>
        <v>CC-101</v>
      </c>
      <c r="Y729" t="str">
        <f>INDEX(Employee_Lookups!$C$13:$C$17,MATCH(F729,Employee_Lookups!$A$13:$A$17,0))</f>
        <v>Band A (Entry)</v>
      </c>
      <c r="Z729" s="27">
        <f>_xlfn.XLOOKUP(F729,Employee_Lookups!$A$13:$A$17,Employee_Lookups!$E$13:$E$17,0)</f>
        <v>700000</v>
      </c>
      <c r="AA729" s="28">
        <f>ROUND(O729/INDEX(Employee_Lookups!$E$13:$E$17,MATCH(F729,Employee_Lookups!$A$13:$A$17,0)),3)</f>
        <v>0.82099999999999995</v>
      </c>
      <c r="AB729">
        <f t="shared" si="80"/>
        <v>2023</v>
      </c>
      <c r="AC729" t="str">
        <f t="shared" si="81"/>
        <v/>
      </c>
      <c r="AD729" s="28">
        <f>ROUND((IF(ISBLANK(L729),Employee_Lookups!$O$14,L729)-J729)/365.25,2)</f>
        <v>2.9</v>
      </c>
      <c r="AE729" t="str">
        <f t="shared" si="82"/>
        <v>1 - 3 Yrs</v>
      </c>
      <c r="AF729" t="str">
        <f t="shared" si="83"/>
        <v>Low Risk</v>
      </c>
    </row>
    <row r="730" spans="1:32" x14ac:dyDescent="0.45">
      <c r="A730" t="s">
        <v>1440</v>
      </c>
      <c r="B730" t="s">
        <v>1441</v>
      </c>
      <c r="C730" t="s">
        <v>51</v>
      </c>
      <c r="D730" t="s">
        <v>50</v>
      </c>
      <c r="E730" t="s">
        <v>181</v>
      </c>
      <c r="F730" t="s">
        <v>81</v>
      </c>
      <c r="G730" t="s">
        <v>182</v>
      </c>
      <c r="H730" t="s">
        <v>109</v>
      </c>
      <c r="I730" t="s">
        <v>110</v>
      </c>
      <c r="J730" s="26">
        <v>44965</v>
      </c>
      <c r="K730" t="s">
        <v>162</v>
      </c>
      <c r="L730" s="26"/>
      <c r="M730" t="s">
        <v>163</v>
      </c>
      <c r="N730" t="s">
        <v>99</v>
      </c>
      <c r="O730" s="27">
        <v>753000</v>
      </c>
      <c r="P730">
        <v>3</v>
      </c>
      <c r="Q730" t="s">
        <v>164</v>
      </c>
      <c r="R730">
        <v>41</v>
      </c>
      <c r="S730" t="s">
        <v>244</v>
      </c>
      <c r="T730">
        <f t="shared" si="77"/>
        <v>10922</v>
      </c>
      <c r="U730" t="str">
        <f t="shared" si="78"/>
        <v>ENG</v>
      </c>
      <c r="V730" t="str">
        <f t="shared" si="79"/>
        <v>L1</v>
      </c>
      <c r="W730" t="str">
        <f>PROPER(TRIM(VLOOKUP(S730,Employee_Lookups!$I$4:$M$19,2,FALSE())))</f>
        <v>Siddharth Nair</v>
      </c>
      <c r="X730" t="str">
        <f>VLOOKUP(C730,Employee_Lookups!$A$4:$G$9,4,FALSE())</f>
        <v>CC-101</v>
      </c>
      <c r="Y730" t="str">
        <f>INDEX(Employee_Lookups!$C$13:$C$17,MATCH(F730,Employee_Lookups!$A$13:$A$17,0))</f>
        <v>Band A (Entry)</v>
      </c>
      <c r="Z730" s="27">
        <f>_xlfn.XLOOKUP(F730,Employee_Lookups!$A$13:$A$17,Employee_Lookups!$E$13:$E$17,0)</f>
        <v>700000</v>
      </c>
      <c r="AA730" s="28">
        <f>ROUND(O730/INDEX(Employee_Lookups!$E$13:$E$17,MATCH(F730,Employee_Lookups!$A$13:$A$17,0)),3)</f>
        <v>1.0760000000000001</v>
      </c>
      <c r="AB730">
        <f t="shared" si="80"/>
        <v>2023</v>
      </c>
      <c r="AC730" t="str">
        <f t="shared" si="81"/>
        <v/>
      </c>
      <c r="AD730" s="28">
        <f>ROUND((IF(ISBLANK(L730),Employee_Lookups!$O$14,L730)-J730)/365.25,2)</f>
        <v>2.89</v>
      </c>
      <c r="AE730" t="str">
        <f t="shared" si="82"/>
        <v>1 - 3 Yrs</v>
      </c>
      <c r="AF730" t="str">
        <f t="shared" si="83"/>
        <v>Low Risk</v>
      </c>
    </row>
    <row r="731" spans="1:32" x14ac:dyDescent="0.45">
      <c r="A731" t="s">
        <v>1442</v>
      </c>
      <c r="B731" t="s">
        <v>1443</v>
      </c>
      <c r="C731" t="s">
        <v>51</v>
      </c>
      <c r="D731" t="s">
        <v>50</v>
      </c>
      <c r="E731" t="s">
        <v>181</v>
      </c>
      <c r="F731" t="s">
        <v>81</v>
      </c>
      <c r="G731" t="s">
        <v>182</v>
      </c>
      <c r="H731" t="s">
        <v>108</v>
      </c>
      <c r="I731" t="s">
        <v>107</v>
      </c>
      <c r="J731" s="26">
        <v>44965</v>
      </c>
      <c r="K731" t="s">
        <v>162</v>
      </c>
      <c r="L731" s="26"/>
      <c r="M731" t="s">
        <v>163</v>
      </c>
      <c r="N731" t="s">
        <v>99</v>
      </c>
      <c r="O731" s="27">
        <v>641000</v>
      </c>
      <c r="P731">
        <v>3</v>
      </c>
      <c r="Q731" t="s">
        <v>164</v>
      </c>
      <c r="R731">
        <v>56</v>
      </c>
      <c r="S731" t="s">
        <v>178</v>
      </c>
      <c r="T731">
        <f t="shared" si="77"/>
        <v>11145</v>
      </c>
      <c r="U731" t="str">
        <f t="shared" si="78"/>
        <v>ENG</v>
      </c>
      <c r="V731" t="str">
        <f t="shared" si="79"/>
        <v>L1</v>
      </c>
      <c r="W731" t="str">
        <f>PROPER(TRIM(VLOOKUP(S731,Employee_Lookups!$I$4:$M$19,2,FALSE())))</f>
        <v>Aarav Deshmukh</v>
      </c>
      <c r="X731" t="str">
        <f>VLOOKUP(C731,Employee_Lookups!$A$4:$G$9,4,FALSE())</f>
        <v>CC-101</v>
      </c>
      <c r="Y731" t="str">
        <f>INDEX(Employee_Lookups!$C$13:$C$17,MATCH(F731,Employee_Lookups!$A$13:$A$17,0))</f>
        <v>Band A (Entry)</v>
      </c>
      <c r="Z731" s="27">
        <f>_xlfn.XLOOKUP(F731,Employee_Lookups!$A$13:$A$17,Employee_Lookups!$E$13:$E$17,0)</f>
        <v>700000</v>
      </c>
      <c r="AA731" s="28">
        <f>ROUND(O731/INDEX(Employee_Lookups!$E$13:$E$17,MATCH(F731,Employee_Lookups!$A$13:$A$17,0)),3)</f>
        <v>0.91600000000000004</v>
      </c>
      <c r="AB731">
        <f t="shared" si="80"/>
        <v>2023</v>
      </c>
      <c r="AC731" t="str">
        <f t="shared" si="81"/>
        <v/>
      </c>
      <c r="AD731" s="28">
        <f>ROUND((IF(ISBLANK(L731),Employee_Lookups!$O$14,L731)-J731)/365.25,2)</f>
        <v>2.89</v>
      </c>
      <c r="AE731" t="str">
        <f t="shared" si="82"/>
        <v>1 - 3 Yrs</v>
      </c>
      <c r="AF731" t="str">
        <f t="shared" si="83"/>
        <v>Low Risk</v>
      </c>
    </row>
    <row r="732" spans="1:32" x14ac:dyDescent="0.45">
      <c r="A732" t="s">
        <v>1444</v>
      </c>
      <c r="B732" t="s">
        <v>1445</v>
      </c>
      <c r="C732" t="s">
        <v>51</v>
      </c>
      <c r="D732" t="s">
        <v>50</v>
      </c>
      <c r="E732" t="s">
        <v>217</v>
      </c>
      <c r="F732" t="s">
        <v>83</v>
      </c>
      <c r="G732" t="s">
        <v>218</v>
      </c>
      <c r="H732" t="s">
        <v>106</v>
      </c>
      <c r="I732" t="s">
        <v>107</v>
      </c>
      <c r="J732" s="26">
        <v>44966</v>
      </c>
      <c r="K732" t="s">
        <v>162</v>
      </c>
      <c r="L732" s="26"/>
      <c r="M732" t="s">
        <v>163</v>
      </c>
      <c r="N732" t="s">
        <v>95</v>
      </c>
      <c r="O732" s="27">
        <v>1432000</v>
      </c>
      <c r="P732">
        <v>3</v>
      </c>
      <c r="Q732" t="s">
        <v>172</v>
      </c>
      <c r="R732">
        <v>49</v>
      </c>
      <c r="S732" t="s">
        <v>219</v>
      </c>
      <c r="T732">
        <f t="shared" si="77"/>
        <v>11162</v>
      </c>
      <c r="U732" t="str">
        <f t="shared" si="78"/>
        <v>ENG</v>
      </c>
      <c r="V732" t="str">
        <f t="shared" si="79"/>
        <v>L3</v>
      </c>
      <c r="W732" t="str">
        <f>PROPER(TRIM(VLOOKUP(S732,Employee_Lookups!$I$4:$M$19,2,FALSE())))</f>
        <v>Neha Kulkarni</v>
      </c>
      <c r="X732" t="str">
        <f>VLOOKUP(C732,Employee_Lookups!$A$4:$G$9,4,FALSE())</f>
        <v>CC-101</v>
      </c>
      <c r="Y732" t="str">
        <f>INDEX(Employee_Lookups!$C$13:$C$17,MATCH(F732,Employee_Lookups!$A$13:$A$17,0))</f>
        <v>Band C (Senior)</v>
      </c>
      <c r="Z732" s="27">
        <f>_xlfn.XLOOKUP(F732,Employee_Lookups!$A$13:$A$17,Employee_Lookups!$E$13:$E$17,0)</f>
        <v>1725000</v>
      </c>
      <c r="AA732" s="28">
        <f>ROUND(O732/INDEX(Employee_Lookups!$E$13:$E$17,MATCH(F732,Employee_Lookups!$A$13:$A$17,0)),3)</f>
        <v>0.83</v>
      </c>
      <c r="AB732">
        <f t="shared" si="80"/>
        <v>2023</v>
      </c>
      <c r="AC732" t="str">
        <f t="shared" si="81"/>
        <v/>
      </c>
      <c r="AD732" s="28">
        <f>ROUND((IF(ISBLANK(L732),Employee_Lookups!$O$14,L732)-J732)/365.25,2)</f>
        <v>2.89</v>
      </c>
      <c r="AE732" t="str">
        <f t="shared" si="82"/>
        <v>1 - 3 Yrs</v>
      </c>
      <c r="AF732" t="str">
        <f t="shared" si="83"/>
        <v>High Risk</v>
      </c>
    </row>
    <row r="733" spans="1:32" x14ac:dyDescent="0.45">
      <c r="A733" t="s">
        <v>1446</v>
      </c>
      <c r="B733" t="s">
        <v>246</v>
      </c>
      <c r="C733" t="s">
        <v>51</v>
      </c>
      <c r="D733" t="s">
        <v>50</v>
      </c>
      <c r="E733" t="s">
        <v>176</v>
      </c>
      <c r="F733" t="s">
        <v>82</v>
      </c>
      <c r="G733" t="s">
        <v>177</v>
      </c>
      <c r="H733" t="s">
        <v>112</v>
      </c>
      <c r="I733" t="s">
        <v>113</v>
      </c>
      <c r="J733" s="26">
        <v>44969</v>
      </c>
      <c r="K733" t="s">
        <v>162</v>
      </c>
      <c r="L733" s="26"/>
      <c r="M733" t="s">
        <v>163</v>
      </c>
      <c r="N733" t="s">
        <v>97</v>
      </c>
      <c r="O733" s="27">
        <v>870000</v>
      </c>
      <c r="P733">
        <v>3</v>
      </c>
      <c r="Q733" t="s">
        <v>164</v>
      </c>
      <c r="R733">
        <v>53</v>
      </c>
      <c r="S733" t="s">
        <v>178</v>
      </c>
      <c r="T733">
        <f t="shared" si="77"/>
        <v>10980</v>
      </c>
      <c r="U733" t="str">
        <f t="shared" si="78"/>
        <v>ENG</v>
      </c>
      <c r="V733" t="str">
        <f t="shared" si="79"/>
        <v>L2</v>
      </c>
      <c r="W733" t="str">
        <f>PROPER(TRIM(VLOOKUP(S733,Employee_Lookups!$I$4:$M$19,2,FALSE())))</f>
        <v>Aarav Deshmukh</v>
      </c>
      <c r="X733" t="str">
        <f>VLOOKUP(C733,Employee_Lookups!$A$4:$G$9,4,FALSE())</f>
        <v>CC-101</v>
      </c>
      <c r="Y733" t="str">
        <f>INDEX(Employee_Lookups!$C$13:$C$17,MATCH(F733,Employee_Lookups!$A$13:$A$17,0))</f>
        <v>Band B (Mid)</v>
      </c>
      <c r="Z733" s="27">
        <f>_xlfn.XLOOKUP(F733,Employee_Lookups!$A$13:$A$17,Employee_Lookups!$E$13:$E$17,0)</f>
        <v>1100000</v>
      </c>
      <c r="AA733" s="28">
        <f>ROUND(O733/INDEX(Employee_Lookups!$E$13:$E$17,MATCH(F733,Employee_Lookups!$A$13:$A$17,0)),3)</f>
        <v>0.79100000000000004</v>
      </c>
      <c r="AB733">
        <f t="shared" si="80"/>
        <v>2023</v>
      </c>
      <c r="AC733" t="str">
        <f t="shared" si="81"/>
        <v/>
      </c>
      <c r="AD733" s="28">
        <f>ROUND((IF(ISBLANK(L733),Employee_Lookups!$O$14,L733)-J733)/365.25,2)</f>
        <v>2.88</v>
      </c>
      <c r="AE733" t="str">
        <f t="shared" si="82"/>
        <v>1 - 3 Yrs</v>
      </c>
      <c r="AF733" t="str">
        <f t="shared" si="83"/>
        <v>Low Risk</v>
      </c>
    </row>
    <row r="734" spans="1:32" x14ac:dyDescent="0.45">
      <c r="A734" t="s">
        <v>1447</v>
      </c>
      <c r="B734" t="s">
        <v>1201</v>
      </c>
      <c r="C734" t="s">
        <v>51</v>
      </c>
      <c r="D734" t="s">
        <v>50</v>
      </c>
      <c r="E734" t="s">
        <v>181</v>
      </c>
      <c r="F734" t="s">
        <v>81</v>
      </c>
      <c r="G734" t="s">
        <v>182</v>
      </c>
      <c r="H734" t="s">
        <v>106</v>
      </c>
      <c r="I734" t="s">
        <v>107</v>
      </c>
      <c r="J734" s="26">
        <v>44971</v>
      </c>
      <c r="K734" t="s">
        <v>162</v>
      </c>
      <c r="L734" s="26"/>
      <c r="M734" t="s">
        <v>163</v>
      </c>
      <c r="N734" t="s">
        <v>99</v>
      </c>
      <c r="O734" s="27">
        <v>569000</v>
      </c>
      <c r="P734">
        <v>5</v>
      </c>
      <c r="Q734" t="s">
        <v>164</v>
      </c>
      <c r="R734">
        <v>40</v>
      </c>
      <c r="S734" t="s">
        <v>244</v>
      </c>
      <c r="T734">
        <f t="shared" si="77"/>
        <v>10482</v>
      </c>
      <c r="U734" t="str">
        <f t="shared" si="78"/>
        <v>ENG</v>
      </c>
      <c r="V734" t="str">
        <f t="shared" si="79"/>
        <v>L1</v>
      </c>
      <c r="W734" t="str">
        <f>PROPER(TRIM(VLOOKUP(S734,Employee_Lookups!$I$4:$M$19,2,FALSE())))</f>
        <v>Siddharth Nair</v>
      </c>
      <c r="X734" t="str">
        <f>VLOOKUP(C734,Employee_Lookups!$A$4:$G$9,4,FALSE())</f>
        <v>CC-101</v>
      </c>
      <c r="Y734" t="str">
        <f>INDEX(Employee_Lookups!$C$13:$C$17,MATCH(F734,Employee_Lookups!$A$13:$A$17,0))</f>
        <v>Band A (Entry)</v>
      </c>
      <c r="Z734" s="27">
        <f>_xlfn.XLOOKUP(F734,Employee_Lookups!$A$13:$A$17,Employee_Lookups!$E$13:$E$17,0)</f>
        <v>700000</v>
      </c>
      <c r="AA734" s="28">
        <f>ROUND(O734/INDEX(Employee_Lookups!$E$13:$E$17,MATCH(F734,Employee_Lookups!$A$13:$A$17,0)),3)</f>
        <v>0.81299999999999994</v>
      </c>
      <c r="AB734">
        <f t="shared" si="80"/>
        <v>2023</v>
      </c>
      <c r="AC734" t="str">
        <f t="shared" si="81"/>
        <v/>
      </c>
      <c r="AD734" s="28">
        <f>ROUND((IF(ISBLANK(L734),Employee_Lookups!$O$14,L734)-J734)/365.25,2)</f>
        <v>2.88</v>
      </c>
      <c r="AE734" t="str">
        <f t="shared" si="82"/>
        <v>1 - 3 Yrs</v>
      </c>
      <c r="AF734" t="str">
        <f t="shared" si="83"/>
        <v>Low Risk</v>
      </c>
    </row>
    <row r="735" spans="1:32" x14ac:dyDescent="0.45">
      <c r="A735" t="s">
        <v>1448</v>
      </c>
      <c r="B735" t="s">
        <v>1449</v>
      </c>
      <c r="C735" t="s">
        <v>57</v>
      </c>
      <c r="D735" t="s">
        <v>56</v>
      </c>
      <c r="E735" t="s">
        <v>391</v>
      </c>
      <c r="F735" t="s">
        <v>83</v>
      </c>
      <c r="G735" t="s">
        <v>392</v>
      </c>
      <c r="H735" t="s">
        <v>108</v>
      </c>
      <c r="I735" t="s">
        <v>107</v>
      </c>
      <c r="J735" s="26">
        <v>44972</v>
      </c>
      <c r="K735" t="s">
        <v>170</v>
      </c>
      <c r="L735" s="26">
        <v>45718</v>
      </c>
      <c r="M735" t="s">
        <v>171</v>
      </c>
      <c r="N735" t="s">
        <v>95</v>
      </c>
      <c r="O735" s="27">
        <v>2091000</v>
      </c>
      <c r="P735">
        <v>2</v>
      </c>
      <c r="Q735" t="s">
        <v>164</v>
      </c>
      <c r="R735">
        <v>20</v>
      </c>
      <c r="S735" t="s">
        <v>224</v>
      </c>
      <c r="T735">
        <f t="shared" si="77"/>
        <v>10125</v>
      </c>
      <c r="U735" t="str">
        <f t="shared" si="78"/>
        <v>MKT</v>
      </c>
      <c r="V735" t="str">
        <f t="shared" si="79"/>
        <v>L3</v>
      </c>
      <c r="W735" t="str">
        <f>PROPER(TRIM(VLOOKUP(S735,Employee_Lookups!$I$4:$M$19,2,FALSE())))</f>
        <v>Tanvi Chitnis</v>
      </c>
      <c r="X735" t="str">
        <f>VLOOKUP(C735,Employee_Lookups!$A$4:$G$9,4,FALSE())</f>
        <v>CC-606</v>
      </c>
      <c r="Y735" t="str">
        <f>INDEX(Employee_Lookups!$C$13:$C$17,MATCH(F735,Employee_Lookups!$A$13:$A$17,0))</f>
        <v>Band C (Senior)</v>
      </c>
      <c r="Z735" s="27">
        <f>_xlfn.XLOOKUP(F735,Employee_Lookups!$A$13:$A$17,Employee_Lookups!$E$13:$E$17,0)</f>
        <v>1725000</v>
      </c>
      <c r="AA735" s="28">
        <f>ROUND(O735/INDEX(Employee_Lookups!$E$13:$E$17,MATCH(F735,Employee_Lookups!$A$13:$A$17,0)),3)</f>
        <v>1.212</v>
      </c>
      <c r="AB735">
        <f t="shared" si="80"/>
        <v>2023</v>
      </c>
      <c r="AC735">
        <f t="shared" si="81"/>
        <v>2025</v>
      </c>
      <c r="AD735" s="28">
        <f>ROUND((IF(ISBLANK(L735),Employee_Lookups!$O$14,L735)-J735)/365.25,2)</f>
        <v>2.04</v>
      </c>
      <c r="AE735" t="str">
        <f t="shared" si="82"/>
        <v>1 - 3 Yrs</v>
      </c>
      <c r="AF735" t="str">
        <f t="shared" si="83"/>
        <v>Exited</v>
      </c>
    </row>
    <row r="736" spans="1:32" x14ac:dyDescent="0.45">
      <c r="A736" t="s">
        <v>1450</v>
      </c>
      <c r="B736" t="s">
        <v>546</v>
      </c>
      <c r="C736" t="s">
        <v>53</v>
      </c>
      <c r="D736" t="s">
        <v>52</v>
      </c>
      <c r="E736" t="s">
        <v>185</v>
      </c>
      <c r="F736" t="s">
        <v>82</v>
      </c>
      <c r="G736" t="s">
        <v>186</v>
      </c>
      <c r="H736" t="s">
        <v>112</v>
      </c>
      <c r="I736" t="s">
        <v>113</v>
      </c>
      <c r="J736" s="26">
        <v>44973</v>
      </c>
      <c r="K736" t="s">
        <v>162</v>
      </c>
      <c r="L736" s="26"/>
      <c r="M736" t="s">
        <v>163</v>
      </c>
      <c r="N736" t="s">
        <v>99</v>
      </c>
      <c r="O736" s="27">
        <v>888000</v>
      </c>
      <c r="P736">
        <v>3</v>
      </c>
      <c r="Q736" t="s">
        <v>164</v>
      </c>
      <c r="R736">
        <v>31</v>
      </c>
      <c r="S736" t="s">
        <v>189</v>
      </c>
      <c r="T736">
        <f t="shared" si="77"/>
        <v>11296</v>
      </c>
      <c r="U736" t="str">
        <f t="shared" si="78"/>
        <v>SAL</v>
      </c>
      <c r="V736" t="str">
        <f t="shared" si="79"/>
        <v>L2</v>
      </c>
      <c r="W736" t="str">
        <f>PROPER(TRIM(VLOOKUP(S736,Employee_Lookups!$I$4:$M$19,2,FALSE())))</f>
        <v>Priya Sharma</v>
      </c>
      <c r="X736" t="str">
        <f>VLOOKUP(C736,Employee_Lookups!$A$4:$G$9,4,FALSE())</f>
        <v>CC-202</v>
      </c>
      <c r="Y736" t="str">
        <f>INDEX(Employee_Lookups!$C$13:$C$17,MATCH(F736,Employee_Lookups!$A$13:$A$17,0))</f>
        <v>Band B (Mid)</v>
      </c>
      <c r="Z736" s="27">
        <f>_xlfn.XLOOKUP(F736,Employee_Lookups!$A$13:$A$17,Employee_Lookups!$E$13:$E$17,0)</f>
        <v>1100000</v>
      </c>
      <c r="AA736" s="28">
        <f>ROUND(O736/INDEX(Employee_Lookups!$E$13:$E$17,MATCH(F736,Employee_Lookups!$A$13:$A$17,0)),3)</f>
        <v>0.80700000000000005</v>
      </c>
      <c r="AB736">
        <f t="shared" si="80"/>
        <v>2023</v>
      </c>
      <c r="AC736" t="str">
        <f t="shared" si="81"/>
        <v/>
      </c>
      <c r="AD736" s="28">
        <f>ROUND((IF(ISBLANK(L736),Employee_Lookups!$O$14,L736)-J736)/365.25,2)</f>
        <v>2.87</v>
      </c>
      <c r="AE736" t="str">
        <f t="shared" si="82"/>
        <v>1 - 3 Yrs</v>
      </c>
      <c r="AF736" t="str">
        <f t="shared" si="83"/>
        <v>Low Risk</v>
      </c>
    </row>
    <row r="737" spans="1:32" x14ac:dyDescent="0.45">
      <c r="A737" t="s">
        <v>1451</v>
      </c>
      <c r="B737" t="s">
        <v>1452</v>
      </c>
      <c r="C737" t="s">
        <v>59</v>
      </c>
      <c r="D737" t="s">
        <v>58</v>
      </c>
      <c r="E737" t="s">
        <v>206</v>
      </c>
      <c r="F737" t="s">
        <v>81</v>
      </c>
      <c r="G737" t="s">
        <v>207</v>
      </c>
      <c r="H737" t="s">
        <v>108</v>
      </c>
      <c r="I737" t="s">
        <v>107</v>
      </c>
      <c r="J737" s="26">
        <v>44973</v>
      </c>
      <c r="K737" t="s">
        <v>162</v>
      </c>
      <c r="L737" s="26"/>
      <c r="M737" t="s">
        <v>163</v>
      </c>
      <c r="N737" t="s">
        <v>95</v>
      </c>
      <c r="O737" s="27">
        <v>740000</v>
      </c>
      <c r="P737">
        <v>3</v>
      </c>
      <c r="Q737" t="s">
        <v>172</v>
      </c>
      <c r="R737">
        <v>31</v>
      </c>
      <c r="S737" t="s">
        <v>214</v>
      </c>
      <c r="T737">
        <f t="shared" si="77"/>
        <v>10995</v>
      </c>
      <c r="U737" t="str">
        <f t="shared" si="78"/>
        <v>FIN</v>
      </c>
      <c r="V737" t="str">
        <f t="shared" si="79"/>
        <v>L1</v>
      </c>
      <c r="W737" t="str">
        <f>PROPER(TRIM(VLOOKUP(S737,Employee_Lookups!$I$4:$M$19,2,FALSE())))</f>
        <v>Aditya Gokhale</v>
      </c>
      <c r="X737" t="str">
        <f>VLOOKUP(C737,Employee_Lookups!$A$4:$G$9,4,FALSE())</f>
        <v>CC-404</v>
      </c>
      <c r="Y737" t="str">
        <f>INDEX(Employee_Lookups!$C$13:$C$17,MATCH(F737,Employee_Lookups!$A$13:$A$17,0))</f>
        <v>Band A (Entry)</v>
      </c>
      <c r="Z737" s="27">
        <f>_xlfn.XLOOKUP(F737,Employee_Lookups!$A$13:$A$17,Employee_Lookups!$E$13:$E$17,0)</f>
        <v>700000</v>
      </c>
      <c r="AA737" s="28">
        <f>ROUND(O737/INDEX(Employee_Lookups!$E$13:$E$17,MATCH(F737,Employee_Lookups!$A$13:$A$17,0)),3)</f>
        <v>1.0569999999999999</v>
      </c>
      <c r="AB737">
        <f t="shared" si="80"/>
        <v>2023</v>
      </c>
      <c r="AC737" t="str">
        <f t="shared" si="81"/>
        <v/>
      </c>
      <c r="AD737" s="28">
        <f>ROUND((IF(ISBLANK(L737),Employee_Lookups!$O$14,L737)-J737)/365.25,2)</f>
        <v>2.87</v>
      </c>
      <c r="AE737" t="str">
        <f t="shared" si="82"/>
        <v>1 - 3 Yrs</v>
      </c>
      <c r="AF737" t="str">
        <f t="shared" si="83"/>
        <v>Moderate Risk</v>
      </c>
    </row>
    <row r="738" spans="1:32" x14ac:dyDescent="0.45">
      <c r="A738" t="s">
        <v>1453</v>
      </c>
      <c r="B738" t="s">
        <v>1454</v>
      </c>
      <c r="C738" t="s">
        <v>51</v>
      </c>
      <c r="D738" t="s">
        <v>50</v>
      </c>
      <c r="E738" t="s">
        <v>397</v>
      </c>
      <c r="F738" t="s">
        <v>84</v>
      </c>
      <c r="G738" t="s">
        <v>398</v>
      </c>
      <c r="H738" t="s">
        <v>109</v>
      </c>
      <c r="I738" t="s">
        <v>110</v>
      </c>
      <c r="J738" s="26">
        <v>44974</v>
      </c>
      <c r="K738" t="s">
        <v>162</v>
      </c>
      <c r="L738" s="26"/>
      <c r="M738" t="s">
        <v>163</v>
      </c>
      <c r="N738" t="s">
        <v>99</v>
      </c>
      <c r="O738" s="27">
        <v>3091000</v>
      </c>
      <c r="P738">
        <v>4</v>
      </c>
      <c r="Q738" t="s">
        <v>172</v>
      </c>
      <c r="R738">
        <v>54</v>
      </c>
      <c r="S738" t="s">
        <v>244</v>
      </c>
      <c r="T738">
        <f t="shared" si="77"/>
        <v>10851</v>
      </c>
      <c r="U738" t="str">
        <f t="shared" si="78"/>
        <v>ENG</v>
      </c>
      <c r="V738" t="str">
        <f t="shared" si="79"/>
        <v>L4</v>
      </c>
      <c r="W738" t="str">
        <f>PROPER(TRIM(VLOOKUP(S738,Employee_Lookups!$I$4:$M$19,2,FALSE())))</f>
        <v>Siddharth Nair</v>
      </c>
      <c r="X738" t="str">
        <f>VLOOKUP(C738,Employee_Lookups!$A$4:$G$9,4,FALSE())</f>
        <v>CC-101</v>
      </c>
      <c r="Y738" t="str">
        <f>INDEX(Employee_Lookups!$C$13:$C$17,MATCH(F738,Employee_Lookups!$A$13:$A$17,0))</f>
        <v>Band D (Leadership)</v>
      </c>
      <c r="Z738" s="27">
        <f>_xlfn.XLOOKUP(F738,Employee_Lookups!$A$13:$A$17,Employee_Lookups!$E$13:$E$17,0)</f>
        <v>2750000</v>
      </c>
      <c r="AA738" s="28">
        <f>ROUND(O738/INDEX(Employee_Lookups!$E$13:$E$17,MATCH(F738,Employee_Lookups!$A$13:$A$17,0)),3)</f>
        <v>1.1240000000000001</v>
      </c>
      <c r="AB738">
        <f t="shared" si="80"/>
        <v>2023</v>
      </c>
      <c r="AC738" t="str">
        <f t="shared" si="81"/>
        <v/>
      </c>
      <c r="AD738" s="28">
        <f>ROUND((IF(ISBLANK(L738),Employee_Lookups!$O$14,L738)-J738)/365.25,2)</f>
        <v>2.87</v>
      </c>
      <c r="AE738" t="str">
        <f t="shared" si="82"/>
        <v>1 - 3 Yrs</v>
      </c>
      <c r="AF738" t="str">
        <f t="shared" si="83"/>
        <v>High Risk</v>
      </c>
    </row>
    <row r="739" spans="1:32" x14ac:dyDescent="0.45">
      <c r="A739" t="s">
        <v>1455</v>
      </c>
      <c r="B739" t="s">
        <v>1276</v>
      </c>
      <c r="C739" t="s">
        <v>61</v>
      </c>
      <c r="D739" t="s">
        <v>60</v>
      </c>
      <c r="E739" t="s">
        <v>251</v>
      </c>
      <c r="F739" t="s">
        <v>82</v>
      </c>
      <c r="G739" t="s">
        <v>252</v>
      </c>
      <c r="H739" t="s">
        <v>106</v>
      </c>
      <c r="I739" t="s">
        <v>107</v>
      </c>
      <c r="J739" s="26">
        <v>44976</v>
      </c>
      <c r="K739" t="s">
        <v>187</v>
      </c>
      <c r="L739" s="26">
        <v>45082</v>
      </c>
      <c r="M739" t="s">
        <v>282</v>
      </c>
      <c r="N739" t="s">
        <v>99</v>
      </c>
      <c r="O739" s="27">
        <v>1330000</v>
      </c>
      <c r="P739">
        <v>3</v>
      </c>
      <c r="Q739" t="s">
        <v>172</v>
      </c>
      <c r="R739">
        <v>0</v>
      </c>
      <c r="S739" t="s">
        <v>319</v>
      </c>
      <c r="T739">
        <f t="shared" si="77"/>
        <v>11381</v>
      </c>
      <c r="U739" t="str">
        <f t="shared" si="78"/>
        <v>-HR</v>
      </c>
      <c r="V739" t="str">
        <f t="shared" si="79"/>
        <v>L2</v>
      </c>
      <c r="W739" t="str">
        <f>PROPER(TRIM(VLOOKUP(S739,Employee_Lookups!$I$4:$M$19,2,FALSE())))</f>
        <v>Kavita Menon</v>
      </c>
      <c r="X739" t="str">
        <f>VLOOKUP(C739,Employee_Lookups!$A$4:$G$9,4,FALSE())</f>
        <v>CC-505</v>
      </c>
      <c r="Y739" t="str">
        <f>INDEX(Employee_Lookups!$C$13:$C$17,MATCH(F739,Employee_Lookups!$A$13:$A$17,0))</f>
        <v>Band B (Mid)</v>
      </c>
      <c r="Z739" s="27">
        <f>_xlfn.XLOOKUP(F739,Employee_Lookups!$A$13:$A$17,Employee_Lookups!$E$13:$E$17,0)</f>
        <v>1100000</v>
      </c>
      <c r="AA739" s="28">
        <f>ROUND(O739/INDEX(Employee_Lookups!$E$13:$E$17,MATCH(F739,Employee_Lookups!$A$13:$A$17,0)),3)</f>
        <v>1.2090000000000001</v>
      </c>
      <c r="AB739">
        <f t="shared" si="80"/>
        <v>2023</v>
      </c>
      <c r="AC739">
        <f t="shared" si="81"/>
        <v>2023</v>
      </c>
      <c r="AD739" s="28">
        <f>ROUND((IF(ISBLANK(L739),Employee_Lookups!$O$14,L739)-J739)/365.25,2)</f>
        <v>0.28999999999999998</v>
      </c>
      <c r="AE739" t="str">
        <f t="shared" si="82"/>
        <v>&lt; 1 Yr (New)</v>
      </c>
      <c r="AF739" t="str">
        <f t="shared" si="83"/>
        <v>Exited</v>
      </c>
    </row>
    <row r="740" spans="1:32" x14ac:dyDescent="0.45">
      <c r="A740" t="s">
        <v>1456</v>
      </c>
      <c r="B740" t="s">
        <v>444</v>
      </c>
      <c r="C740" t="s">
        <v>51</v>
      </c>
      <c r="D740" t="s">
        <v>50</v>
      </c>
      <c r="E740" t="s">
        <v>176</v>
      </c>
      <c r="F740" t="s">
        <v>82</v>
      </c>
      <c r="G740" t="s">
        <v>177</v>
      </c>
      <c r="H740" t="s">
        <v>106</v>
      </c>
      <c r="I740" t="s">
        <v>107</v>
      </c>
      <c r="J740" s="26">
        <v>44979</v>
      </c>
      <c r="K740" t="s">
        <v>162</v>
      </c>
      <c r="L740" s="26"/>
      <c r="M740" t="s">
        <v>163</v>
      </c>
      <c r="N740" t="s">
        <v>99</v>
      </c>
      <c r="O740" s="27">
        <v>1126000</v>
      </c>
      <c r="P740">
        <v>5</v>
      </c>
      <c r="Q740" t="s">
        <v>172</v>
      </c>
      <c r="R740">
        <v>52</v>
      </c>
      <c r="S740" t="s">
        <v>178</v>
      </c>
      <c r="T740">
        <f t="shared" si="77"/>
        <v>11197</v>
      </c>
      <c r="U740" t="str">
        <f t="shared" si="78"/>
        <v>ENG</v>
      </c>
      <c r="V740" t="str">
        <f t="shared" si="79"/>
        <v>L2</v>
      </c>
      <c r="W740" t="str">
        <f>PROPER(TRIM(VLOOKUP(S740,Employee_Lookups!$I$4:$M$19,2,FALSE())))</f>
        <v>Aarav Deshmukh</v>
      </c>
      <c r="X740" t="str">
        <f>VLOOKUP(C740,Employee_Lookups!$A$4:$G$9,4,FALSE())</f>
        <v>CC-101</v>
      </c>
      <c r="Y740" t="str">
        <f>INDEX(Employee_Lookups!$C$13:$C$17,MATCH(F740,Employee_Lookups!$A$13:$A$17,0))</f>
        <v>Band B (Mid)</v>
      </c>
      <c r="Z740" s="27">
        <f>_xlfn.XLOOKUP(F740,Employee_Lookups!$A$13:$A$17,Employee_Lookups!$E$13:$E$17,0)</f>
        <v>1100000</v>
      </c>
      <c r="AA740" s="28">
        <f>ROUND(O740/INDEX(Employee_Lookups!$E$13:$E$17,MATCH(F740,Employee_Lookups!$A$13:$A$17,0)),3)</f>
        <v>1.024</v>
      </c>
      <c r="AB740">
        <f t="shared" si="80"/>
        <v>2023</v>
      </c>
      <c r="AC740" t="str">
        <f t="shared" si="81"/>
        <v/>
      </c>
      <c r="AD740" s="28">
        <f>ROUND((IF(ISBLANK(L740),Employee_Lookups!$O$14,L740)-J740)/365.25,2)</f>
        <v>2.86</v>
      </c>
      <c r="AE740" t="str">
        <f t="shared" si="82"/>
        <v>1 - 3 Yrs</v>
      </c>
      <c r="AF740" t="str">
        <f t="shared" si="83"/>
        <v>High Risk</v>
      </c>
    </row>
    <row r="741" spans="1:32" x14ac:dyDescent="0.45">
      <c r="A741" t="s">
        <v>1457</v>
      </c>
      <c r="B741" t="s">
        <v>276</v>
      </c>
      <c r="C741" t="s">
        <v>51</v>
      </c>
      <c r="D741" t="s">
        <v>50</v>
      </c>
      <c r="E741" t="s">
        <v>181</v>
      </c>
      <c r="F741" t="s">
        <v>81</v>
      </c>
      <c r="G741" t="s">
        <v>182</v>
      </c>
      <c r="H741" t="s">
        <v>106</v>
      </c>
      <c r="I741" t="s">
        <v>107</v>
      </c>
      <c r="J741" s="26">
        <v>44980</v>
      </c>
      <c r="K741" t="s">
        <v>187</v>
      </c>
      <c r="L741" s="26">
        <v>45040</v>
      </c>
      <c r="M741" t="s">
        <v>213</v>
      </c>
      <c r="N741" t="s">
        <v>99</v>
      </c>
      <c r="O741" s="27">
        <v>789000</v>
      </c>
      <c r="P741">
        <v>3</v>
      </c>
      <c r="Q741" t="s">
        <v>164</v>
      </c>
      <c r="R741">
        <v>45</v>
      </c>
      <c r="S741" t="s">
        <v>197</v>
      </c>
      <c r="T741">
        <f t="shared" si="77"/>
        <v>11150</v>
      </c>
      <c r="U741" t="str">
        <f t="shared" si="78"/>
        <v>ENG</v>
      </c>
      <c r="V741" t="str">
        <f t="shared" si="79"/>
        <v>L1</v>
      </c>
      <c r="W741" t="str">
        <f>PROPER(TRIM(VLOOKUP(S741,Employee_Lookups!$I$4:$M$19,2,FALSE())))</f>
        <v>Rohan Verma</v>
      </c>
      <c r="X741" t="str">
        <f>VLOOKUP(C741,Employee_Lookups!$A$4:$G$9,4,FALSE())</f>
        <v>CC-101</v>
      </c>
      <c r="Y741" t="str">
        <f>INDEX(Employee_Lookups!$C$13:$C$17,MATCH(F741,Employee_Lookups!$A$13:$A$17,0))</f>
        <v>Band A (Entry)</v>
      </c>
      <c r="Z741" s="27">
        <f>_xlfn.XLOOKUP(F741,Employee_Lookups!$A$13:$A$17,Employee_Lookups!$E$13:$E$17,0)</f>
        <v>700000</v>
      </c>
      <c r="AA741" s="28">
        <f>ROUND(O741/INDEX(Employee_Lookups!$E$13:$E$17,MATCH(F741,Employee_Lookups!$A$13:$A$17,0)),3)</f>
        <v>1.127</v>
      </c>
      <c r="AB741">
        <f t="shared" si="80"/>
        <v>2023</v>
      </c>
      <c r="AC741">
        <f t="shared" si="81"/>
        <v>2023</v>
      </c>
      <c r="AD741" s="28">
        <f>ROUND((IF(ISBLANK(L741),Employee_Lookups!$O$14,L741)-J741)/365.25,2)</f>
        <v>0.16</v>
      </c>
      <c r="AE741" t="str">
        <f t="shared" si="82"/>
        <v>&lt; 1 Yr (New)</v>
      </c>
      <c r="AF741" t="str">
        <f t="shared" si="83"/>
        <v>Exited</v>
      </c>
    </row>
    <row r="742" spans="1:32" x14ac:dyDescent="0.45">
      <c r="A742" t="s">
        <v>1458</v>
      </c>
      <c r="B742" t="s">
        <v>662</v>
      </c>
      <c r="C742" t="s">
        <v>59</v>
      </c>
      <c r="D742" t="s">
        <v>58</v>
      </c>
      <c r="E742" t="s">
        <v>287</v>
      </c>
      <c r="F742" t="s">
        <v>83</v>
      </c>
      <c r="G742" t="s">
        <v>288</v>
      </c>
      <c r="H742" t="s">
        <v>106</v>
      </c>
      <c r="I742" t="s">
        <v>107</v>
      </c>
      <c r="J742" s="26">
        <v>44980</v>
      </c>
      <c r="K742" t="s">
        <v>170</v>
      </c>
      <c r="L742" s="26">
        <v>45102</v>
      </c>
      <c r="M742" t="s">
        <v>171</v>
      </c>
      <c r="N742" t="s">
        <v>99</v>
      </c>
      <c r="O742" s="27">
        <v>2097000</v>
      </c>
      <c r="P742">
        <v>2</v>
      </c>
      <c r="Q742" t="s">
        <v>172</v>
      </c>
      <c r="R742">
        <v>26</v>
      </c>
      <c r="S742" t="s">
        <v>208</v>
      </c>
      <c r="T742">
        <f t="shared" si="77"/>
        <v>11352</v>
      </c>
      <c r="U742" t="str">
        <f t="shared" si="78"/>
        <v>FIN</v>
      </c>
      <c r="V742" t="str">
        <f t="shared" si="79"/>
        <v>L3</v>
      </c>
      <c r="W742" t="str">
        <f>PROPER(TRIM(VLOOKUP(S742,Employee_Lookups!$I$4:$M$19,2,FALSE())))</f>
        <v>Rajeshwari Rao</v>
      </c>
      <c r="X742" t="str">
        <f>VLOOKUP(C742,Employee_Lookups!$A$4:$G$9,4,FALSE())</f>
        <v>CC-404</v>
      </c>
      <c r="Y742" t="str">
        <f>INDEX(Employee_Lookups!$C$13:$C$17,MATCH(F742,Employee_Lookups!$A$13:$A$17,0))</f>
        <v>Band C (Senior)</v>
      </c>
      <c r="Z742" s="27">
        <f>_xlfn.XLOOKUP(F742,Employee_Lookups!$A$13:$A$17,Employee_Lookups!$E$13:$E$17,0)</f>
        <v>1725000</v>
      </c>
      <c r="AA742" s="28">
        <f>ROUND(O742/INDEX(Employee_Lookups!$E$13:$E$17,MATCH(F742,Employee_Lookups!$A$13:$A$17,0)),3)</f>
        <v>1.216</v>
      </c>
      <c r="AB742">
        <f t="shared" si="80"/>
        <v>2023</v>
      </c>
      <c r="AC742">
        <f t="shared" si="81"/>
        <v>2023</v>
      </c>
      <c r="AD742" s="28">
        <f>ROUND((IF(ISBLANK(L742),Employee_Lookups!$O$14,L742)-J742)/365.25,2)</f>
        <v>0.33</v>
      </c>
      <c r="AE742" t="str">
        <f t="shared" si="82"/>
        <v>&lt; 1 Yr (New)</v>
      </c>
      <c r="AF742" t="str">
        <f t="shared" si="83"/>
        <v>Exited</v>
      </c>
    </row>
    <row r="743" spans="1:32" x14ac:dyDescent="0.45">
      <c r="A743" t="s">
        <v>1459</v>
      </c>
      <c r="B743" t="s">
        <v>1460</v>
      </c>
      <c r="C743" t="s">
        <v>61</v>
      </c>
      <c r="D743" t="s">
        <v>60</v>
      </c>
      <c r="E743" t="s">
        <v>317</v>
      </c>
      <c r="F743" t="s">
        <v>84</v>
      </c>
      <c r="G743" t="s">
        <v>318</v>
      </c>
      <c r="H743" t="s">
        <v>109</v>
      </c>
      <c r="I743" t="s">
        <v>110</v>
      </c>
      <c r="J743" s="26">
        <v>44984</v>
      </c>
      <c r="K743" t="s">
        <v>187</v>
      </c>
      <c r="L743" s="26">
        <v>45770</v>
      </c>
      <c r="M743" t="s">
        <v>213</v>
      </c>
      <c r="N743" t="s">
        <v>96</v>
      </c>
      <c r="O743" s="27">
        <v>2439000</v>
      </c>
      <c r="P743">
        <v>4</v>
      </c>
      <c r="Q743" t="s">
        <v>172</v>
      </c>
      <c r="R743">
        <v>25</v>
      </c>
      <c r="S743" t="s">
        <v>253</v>
      </c>
      <c r="T743">
        <f t="shared" si="77"/>
        <v>10898</v>
      </c>
      <c r="U743" t="str">
        <f t="shared" si="78"/>
        <v>-HR</v>
      </c>
      <c r="V743" t="str">
        <f t="shared" si="79"/>
        <v>L4</v>
      </c>
      <c r="W743" t="str">
        <f>PROPER(TRIM(VLOOKUP(S743,Employee_Lookups!$I$4:$M$19,2,FALSE())))</f>
        <v>Nikhil Chatterjee</v>
      </c>
      <c r="X743" t="str">
        <f>VLOOKUP(C743,Employee_Lookups!$A$4:$G$9,4,FALSE())</f>
        <v>CC-505</v>
      </c>
      <c r="Y743" t="str">
        <f>INDEX(Employee_Lookups!$C$13:$C$17,MATCH(F743,Employee_Lookups!$A$13:$A$17,0))</f>
        <v>Band D (Leadership)</v>
      </c>
      <c r="Z743" s="27">
        <f>_xlfn.XLOOKUP(F743,Employee_Lookups!$A$13:$A$17,Employee_Lookups!$E$13:$E$17,0)</f>
        <v>2750000</v>
      </c>
      <c r="AA743" s="28">
        <f>ROUND(O743/INDEX(Employee_Lookups!$E$13:$E$17,MATCH(F743,Employee_Lookups!$A$13:$A$17,0)),3)</f>
        <v>0.88700000000000001</v>
      </c>
      <c r="AB743">
        <f t="shared" si="80"/>
        <v>2023</v>
      </c>
      <c r="AC743">
        <f t="shared" si="81"/>
        <v>2025</v>
      </c>
      <c r="AD743" s="28">
        <f>ROUND((IF(ISBLANK(L743),Employee_Lookups!$O$14,L743)-J743)/365.25,2)</f>
        <v>2.15</v>
      </c>
      <c r="AE743" t="str">
        <f t="shared" si="82"/>
        <v>1 - 3 Yrs</v>
      </c>
      <c r="AF743" t="str">
        <f t="shared" si="83"/>
        <v>Exited</v>
      </c>
    </row>
    <row r="744" spans="1:32" x14ac:dyDescent="0.45">
      <c r="A744" t="s">
        <v>1461</v>
      </c>
      <c r="B744" t="s">
        <v>1462</v>
      </c>
      <c r="C744" t="s">
        <v>55</v>
      </c>
      <c r="D744" t="s">
        <v>54</v>
      </c>
      <c r="E744" t="s">
        <v>229</v>
      </c>
      <c r="F744" t="s">
        <v>82</v>
      </c>
      <c r="G744" t="s">
        <v>230</v>
      </c>
      <c r="H744" t="s">
        <v>109</v>
      </c>
      <c r="I744" t="s">
        <v>110</v>
      </c>
      <c r="J744" s="26">
        <v>44986</v>
      </c>
      <c r="K744" t="s">
        <v>187</v>
      </c>
      <c r="L744" s="26">
        <v>45212</v>
      </c>
      <c r="M744" t="s">
        <v>213</v>
      </c>
      <c r="N744" t="s">
        <v>97</v>
      </c>
      <c r="O744" s="27">
        <v>1244000</v>
      </c>
      <c r="P744">
        <v>3</v>
      </c>
      <c r="Q744" t="s">
        <v>172</v>
      </c>
      <c r="R744">
        <v>25</v>
      </c>
      <c r="S744" t="s">
        <v>173</v>
      </c>
      <c r="T744">
        <f t="shared" si="77"/>
        <v>11419</v>
      </c>
      <c r="U744" t="str">
        <f t="shared" si="78"/>
        <v>OPS</v>
      </c>
      <c r="V744" t="str">
        <f t="shared" si="79"/>
        <v>L2</v>
      </c>
      <c r="W744" t="str">
        <f>PROPER(TRIM(VLOOKUP(S744,Employee_Lookups!$I$4:$M$19,2,FALSE())))</f>
        <v>Deepak Patil</v>
      </c>
      <c r="X744" t="str">
        <f>VLOOKUP(C744,Employee_Lookups!$A$4:$G$9,4,FALSE())</f>
        <v>CC-303</v>
      </c>
      <c r="Y744" t="str">
        <f>INDEX(Employee_Lookups!$C$13:$C$17,MATCH(F744,Employee_Lookups!$A$13:$A$17,0))</f>
        <v>Band B (Mid)</v>
      </c>
      <c r="Z744" s="27">
        <f>_xlfn.XLOOKUP(F744,Employee_Lookups!$A$13:$A$17,Employee_Lookups!$E$13:$E$17,0)</f>
        <v>1100000</v>
      </c>
      <c r="AA744" s="28">
        <f>ROUND(O744/INDEX(Employee_Lookups!$E$13:$E$17,MATCH(F744,Employee_Lookups!$A$13:$A$17,0)),3)</f>
        <v>1.131</v>
      </c>
      <c r="AB744">
        <f t="shared" si="80"/>
        <v>2023</v>
      </c>
      <c r="AC744">
        <f t="shared" si="81"/>
        <v>2023</v>
      </c>
      <c r="AD744" s="28">
        <f>ROUND((IF(ISBLANK(L744),Employee_Lookups!$O$14,L744)-J744)/365.25,2)</f>
        <v>0.62</v>
      </c>
      <c r="AE744" t="str">
        <f t="shared" si="82"/>
        <v>&lt; 1 Yr (New)</v>
      </c>
      <c r="AF744" t="str">
        <f t="shared" si="83"/>
        <v>Exited</v>
      </c>
    </row>
    <row r="745" spans="1:32" x14ac:dyDescent="0.45">
      <c r="A745" t="s">
        <v>1463</v>
      </c>
      <c r="B745" t="s">
        <v>1464</v>
      </c>
      <c r="C745" t="s">
        <v>51</v>
      </c>
      <c r="D745" t="s">
        <v>50</v>
      </c>
      <c r="E745" t="s">
        <v>181</v>
      </c>
      <c r="F745" t="s">
        <v>81</v>
      </c>
      <c r="G745" t="s">
        <v>182</v>
      </c>
      <c r="H745" t="s">
        <v>106</v>
      </c>
      <c r="I745" t="s">
        <v>107</v>
      </c>
      <c r="J745" s="26">
        <v>44987</v>
      </c>
      <c r="K745" t="s">
        <v>187</v>
      </c>
      <c r="L745" s="26">
        <v>45766</v>
      </c>
      <c r="M745" t="s">
        <v>282</v>
      </c>
      <c r="N745" t="s">
        <v>99</v>
      </c>
      <c r="O745" s="27">
        <v>612000</v>
      </c>
      <c r="P745">
        <v>3</v>
      </c>
      <c r="Q745" t="s">
        <v>172</v>
      </c>
      <c r="R745">
        <v>47</v>
      </c>
      <c r="S745" t="s">
        <v>244</v>
      </c>
      <c r="T745">
        <f t="shared" si="77"/>
        <v>10420</v>
      </c>
      <c r="U745" t="str">
        <f t="shared" si="78"/>
        <v>ENG</v>
      </c>
      <c r="V745" t="str">
        <f t="shared" si="79"/>
        <v>L1</v>
      </c>
      <c r="W745" t="str">
        <f>PROPER(TRIM(VLOOKUP(S745,Employee_Lookups!$I$4:$M$19,2,FALSE())))</f>
        <v>Siddharth Nair</v>
      </c>
      <c r="X745" t="str">
        <f>VLOOKUP(C745,Employee_Lookups!$A$4:$G$9,4,FALSE())</f>
        <v>CC-101</v>
      </c>
      <c r="Y745" t="str">
        <f>INDEX(Employee_Lookups!$C$13:$C$17,MATCH(F745,Employee_Lookups!$A$13:$A$17,0))</f>
        <v>Band A (Entry)</v>
      </c>
      <c r="Z745" s="27">
        <f>_xlfn.XLOOKUP(F745,Employee_Lookups!$A$13:$A$17,Employee_Lookups!$E$13:$E$17,0)</f>
        <v>700000</v>
      </c>
      <c r="AA745" s="28">
        <f>ROUND(O745/INDEX(Employee_Lookups!$E$13:$E$17,MATCH(F745,Employee_Lookups!$A$13:$A$17,0)),3)</f>
        <v>0.874</v>
      </c>
      <c r="AB745">
        <f t="shared" si="80"/>
        <v>2023</v>
      </c>
      <c r="AC745">
        <f t="shared" si="81"/>
        <v>2025</v>
      </c>
      <c r="AD745" s="28">
        <f>ROUND((IF(ISBLANK(L745),Employee_Lookups!$O$14,L745)-J745)/365.25,2)</f>
        <v>2.13</v>
      </c>
      <c r="AE745" t="str">
        <f t="shared" si="82"/>
        <v>1 - 3 Yrs</v>
      </c>
      <c r="AF745" t="str">
        <f t="shared" si="83"/>
        <v>Exited</v>
      </c>
    </row>
    <row r="746" spans="1:32" x14ac:dyDescent="0.45">
      <c r="A746" t="s">
        <v>1465</v>
      </c>
      <c r="B746" t="s">
        <v>1466</v>
      </c>
      <c r="C746" t="s">
        <v>57</v>
      </c>
      <c r="D746" t="s">
        <v>56</v>
      </c>
      <c r="E746" t="s">
        <v>160</v>
      </c>
      <c r="F746" t="s">
        <v>81</v>
      </c>
      <c r="G746" t="s">
        <v>161</v>
      </c>
      <c r="H746" t="s">
        <v>106</v>
      </c>
      <c r="I746" t="s">
        <v>107</v>
      </c>
      <c r="J746" s="26">
        <v>44987</v>
      </c>
      <c r="K746" t="s">
        <v>187</v>
      </c>
      <c r="L746" s="26">
        <v>45496</v>
      </c>
      <c r="M746" t="s">
        <v>213</v>
      </c>
      <c r="N746" t="s">
        <v>97</v>
      </c>
      <c r="O746" s="27">
        <v>568000</v>
      </c>
      <c r="P746">
        <v>5</v>
      </c>
      <c r="Q746" t="s">
        <v>164</v>
      </c>
      <c r="R746">
        <v>48</v>
      </c>
      <c r="S746" t="s">
        <v>165</v>
      </c>
      <c r="T746">
        <f t="shared" si="77"/>
        <v>10793</v>
      </c>
      <c r="U746" t="str">
        <f t="shared" si="78"/>
        <v>MKT</v>
      </c>
      <c r="V746" t="str">
        <f t="shared" si="79"/>
        <v>L1</v>
      </c>
      <c r="W746" t="str">
        <f>PROPER(TRIM(VLOOKUP(S746,Employee_Lookups!$I$4:$M$19,2,FALSE())))</f>
        <v>Arjun Sengupta</v>
      </c>
      <c r="X746" t="str">
        <f>VLOOKUP(C746,Employee_Lookups!$A$4:$G$9,4,FALSE())</f>
        <v>CC-606</v>
      </c>
      <c r="Y746" t="str">
        <f>INDEX(Employee_Lookups!$C$13:$C$17,MATCH(F746,Employee_Lookups!$A$13:$A$17,0))</f>
        <v>Band A (Entry)</v>
      </c>
      <c r="Z746" s="27">
        <f>_xlfn.XLOOKUP(F746,Employee_Lookups!$A$13:$A$17,Employee_Lookups!$E$13:$E$17,0)</f>
        <v>700000</v>
      </c>
      <c r="AA746" s="28">
        <f>ROUND(O746/INDEX(Employee_Lookups!$E$13:$E$17,MATCH(F746,Employee_Lookups!$A$13:$A$17,0)),3)</f>
        <v>0.81100000000000005</v>
      </c>
      <c r="AB746">
        <f t="shared" si="80"/>
        <v>2023</v>
      </c>
      <c r="AC746">
        <f t="shared" si="81"/>
        <v>2024</v>
      </c>
      <c r="AD746" s="28">
        <f>ROUND((IF(ISBLANK(L746),Employee_Lookups!$O$14,L746)-J746)/365.25,2)</f>
        <v>1.39</v>
      </c>
      <c r="AE746" t="str">
        <f t="shared" si="82"/>
        <v>1 - 3 Yrs</v>
      </c>
      <c r="AF746" t="str">
        <f t="shared" si="83"/>
        <v>Exited</v>
      </c>
    </row>
    <row r="747" spans="1:32" x14ac:dyDescent="0.45">
      <c r="A747" t="s">
        <v>1467</v>
      </c>
      <c r="B747" t="s">
        <v>226</v>
      </c>
      <c r="C747" t="s">
        <v>53</v>
      </c>
      <c r="D747" t="s">
        <v>52</v>
      </c>
      <c r="E747" t="s">
        <v>322</v>
      </c>
      <c r="F747" t="s">
        <v>81</v>
      </c>
      <c r="G747" t="s">
        <v>323</v>
      </c>
      <c r="H747" t="s">
        <v>106</v>
      </c>
      <c r="I747" t="s">
        <v>107</v>
      </c>
      <c r="J747" s="26">
        <v>44988</v>
      </c>
      <c r="K747" t="s">
        <v>162</v>
      </c>
      <c r="L747" s="26"/>
      <c r="M747" t="s">
        <v>163</v>
      </c>
      <c r="N747" t="s">
        <v>95</v>
      </c>
      <c r="O747" s="27">
        <v>715000</v>
      </c>
      <c r="P747">
        <v>4</v>
      </c>
      <c r="Q747" t="s">
        <v>172</v>
      </c>
      <c r="R747">
        <v>4</v>
      </c>
      <c r="S747" t="s">
        <v>194</v>
      </c>
      <c r="T747">
        <f t="shared" si="77"/>
        <v>11093</v>
      </c>
      <c r="U747" t="str">
        <f t="shared" si="78"/>
        <v>SAL</v>
      </c>
      <c r="V747" t="str">
        <f t="shared" si="79"/>
        <v>L1</v>
      </c>
      <c r="W747" t="str">
        <f>PROPER(TRIM(VLOOKUP(S747,Employee_Lookups!$I$4:$M$19,2,FALSE())))</f>
        <v>Vikramaditya Joshi</v>
      </c>
      <c r="X747" t="str">
        <f>VLOOKUP(C747,Employee_Lookups!$A$4:$G$9,4,FALSE())</f>
        <v>CC-202</v>
      </c>
      <c r="Y747" t="str">
        <f>INDEX(Employee_Lookups!$C$13:$C$17,MATCH(F747,Employee_Lookups!$A$13:$A$17,0))</f>
        <v>Band A (Entry)</v>
      </c>
      <c r="Z747" s="27">
        <f>_xlfn.XLOOKUP(F747,Employee_Lookups!$A$13:$A$17,Employee_Lookups!$E$13:$E$17,0)</f>
        <v>700000</v>
      </c>
      <c r="AA747" s="28">
        <f>ROUND(O747/INDEX(Employee_Lookups!$E$13:$E$17,MATCH(F747,Employee_Lookups!$A$13:$A$17,0)),3)</f>
        <v>1.0209999999999999</v>
      </c>
      <c r="AB747">
        <f t="shared" si="80"/>
        <v>2023</v>
      </c>
      <c r="AC747" t="str">
        <f t="shared" si="81"/>
        <v/>
      </c>
      <c r="AD747" s="28">
        <f>ROUND((IF(ISBLANK(L747),Employee_Lookups!$O$14,L747)-J747)/365.25,2)</f>
        <v>2.83</v>
      </c>
      <c r="AE747" t="str">
        <f t="shared" si="82"/>
        <v>1 - 3 Yrs</v>
      </c>
      <c r="AF747" t="str">
        <f t="shared" si="83"/>
        <v>High Risk</v>
      </c>
    </row>
    <row r="748" spans="1:32" x14ac:dyDescent="0.45">
      <c r="A748" t="s">
        <v>1468</v>
      </c>
      <c r="B748" t="s">
        <v>1469</v>
      </c>
      <c r="C748" t="s">
        <v>53</v>
      </c>
      <c r="D748" t="s">
        <v>52</v>
      </c>
      <c r="E748" t="s">
        <v>322</v>
      </c>
      <c r="F748" t="s">
        <v>81</v>
      </c>
      <c r="G748" t="s">
        <v>323</v>
      </c>
      <c r="H748" t="s">
        <v>106</v>
      </c>
      <c r="I748" t="s">
        <v>107</v>
      </c>
      <c r="J748" s="26">
        <v>44992</v>
      </c>
      <c r="K748" t="s">
        <v>162</v>
      </c>
      <c r="L748" s="26"/>
      <c r="M748" t="s">
        <v>163</v>
      </c>
      <c r="N748" t="s">
        <v>98</v>
      </c>
      <c r="O748" s="27">
        <v>605000</v>
      </c>
      <c r="P748">
        <v>4</v>
      </c>
      <c r="Q748" t="s">
        <v>172</v>
      </c>
      <c r="R748">
        <v>35</v>
      </c>
      <c r="S748" t="s">
        <v>194</v>
      </c>
      <c r="T748">
        <f t="shared" si="77"/>
        <v>11112</v>
      </c>
      <c r="U748" t="str">
        <f t="shared" si="78"/>
        <v>SAL</v>
      </c>
      <c r="V748" t="str">
        <f t="shared" si="79"/>
        <v>L1</v>
      </c>
      <c r="W748" t="str">
        <f>PROPER(TRIM(VLOOKUP(S748,Employee_Lookups!$I$4:$M$19,2,FALSE())))</f>
        <v>Vikramaditya Joshi</v>
      </c>
      <c r="X748" t="str">
        <f>VLOOKUP(C748,Employee_Lookups!$A$4:$G$9,4,FALSE())</f>
        <v>CC-202</v>
      </c>
      <c r="Y748" t="str">
        <f>INDEX(Employee_Lookups!$C$13:$C$17,MATCH(F748,Employee_Lookups!$A$13:$A$17,0))</f>
        <v>Band A (Entry)</v>
      </c>
      <c r="Z748" s="27">
        <f>_xlfn.XLOOKUP(F748,Employee_Lookups!$A$13:$A$17,Employee_Lookups!$E$13:$E$17,0)</f>
        <v>700000</v>
      </c>
      <c r="AA748" s="28">
        <f>ROUND(O748/INDEX(Employee_Lookups!$E$13:$E$17,MATCH(F748,Employee_Lookups!$A$13:$A$17,0)),3)</f>
        <v>0.86399999999999999</v>
      </c>
      <c r="AB748">
        <f t="shared" si="80"/>
        <v>2023</v>
      </c>
      <c r="AC748" t="str">
        <f t="shared" si="81"/>
        <v/>
      </c>
      <c r="AD748" s="28">
        <f>ROUND((IF(ISBLANK(L748),Employee_Lookups!$O$14,L748)-J748)/365.25,2)</f>
        <v>2.82</v>
      </c>
      <c r="AE748" t="str">
        <f t="shared" si="82"/>
        <v>1 - 3 Yrs</v>
      </c>
      <c r="AF748" t="str">
        <f t="shared" si="83"/>
        <v>High Risk</v>
      </c>
    </row>
    <row r="749" spans="1:32" x14ac:dyDescent="0.45">
      <c r="A749" t="s">
        <v>1470</v>
      </c>
      <c r="B749" t="s">
        <v>1131</v>
      </c>
      <c r="C749" t="s">
        <v>57</v>
      </c>
      <c r="D749" t="s">
        <v>56</v>
      </c>
      <c r="E749" t="s">
        <v>222</v>
      </c>
      <c r="F749" t="s">
        <v>82</v>
      </c>
      <c r="G749" t="s">
        <v>223</v>
      </c>
      <c r="H749" t="s">
        <v>106</v>
      </c>
      <c r="I749" t="s">
        <v>107</v>
      </c>
      <c r="J749" s="26">
        <v>44995</v>
      </c>
      <c r="K749" t="s">
        <v>162</v>
      </c>
      <c r="L749" s="26"/>
      <c r="M749" t="s">
        <v>163</v>
      </c>
      <c r="N749" t="s">
        <v>97</v>
      </c>
      <c r="O749" s="27">
        <v>1227000</v>
      </c>
      <c r="P749">
        <v>3</v>
      </c>
      <c r="Q749" t="s">
        <v>164</v>
      </c>
      <c r="R749">
        <v>42</v>
      </c>
      <c r="S749" t="s">
        <v>165</v>
      </c>
      <c r="T749">
        <f t="shared" si="77"/>
        <v>10281</v>
      </c>
      <c r="U749" t="str">
        <f t="shared" si="78"/>
        <v>MKT</v>
      </c>
      <c r="V749" t="str">
        <f t="shared" si="79"/>
        <v>L2</v>
      </c>
      <c r="W749" t="str">
        <f>PROPER(TRIM(VLOOKUP(S749,Employee_Lookups!$I$4:$M$19,2,FALSE())))</f>
        <v>Arjun Sengupta</v>
      </c>
      <c r="X749" t="str">
        <f>VLOOKUP(C749,Employee_Lookups!$A$4:$G$9,4,FALSE())</f>
        <v>CC-606</v>
      </c>
      <c r="Y749" t="str">
        <f>INDEX(Employee_Lookups!$C$13:$C$17,MATCH(F749,Employee_Lookups!$A$13:$A$17,0))</f>
        <v>Band B (Mid)</v>
      </c>
      <c r="Z749" s="27">
        <f>_xlfn.XLOOKUP(F749,Employee_Lookups!$A$13:$A$17,Employee_Lookups!$E$13:$E$17,0)</f>
        <v>1100000</v>
      </c>
      <c r="AA749" s="28">
        <f>ROUND(O749/INDEX(Employee_Lookups!$E$13:$E$17,MATCH(F749,Employee_Lookups!$A$13:$A$17,0)),3)</f>
        <v>1.115</v>
      </c>
      <c r="AB749">
        <f t="shared" si="80"/>
        <v>2023</v>
      </c>
      <c r="AC749" t="str">
        <f t="shared" si="81"/>
        <v/>
      </c>
      <c r="AD749" s="28">
        <f>ROUND((IF(ISBLANK(L749),Employee_Lookups!$O$14,L749)-J749)/365.25,2)</f>
        <v>2.81</v>
      </c>
      <c r="AE749" t="str">
        <f t="shared" si="82"/>
        <v>1 - 3 Yrs</v>
      </c>
      <c r="AF749" t="str">
        <f t="shared" si="83"/>
        <v>Low Risk</v>
      </c>
    </row>
    <row r="750" spans="1:32" x14ac:dyDescent="0.45">
      <c r="A750" t="s">
        <v>1471</v>
      </c>
      <c r="B750" t="s">
        <v>1472</v>
      </c>
      <c r="C750" t="s">
        <v>55</v>
      </c>
      <c r="D750" t="s">
        <v>54</v>
      </c>
      <c r="E750" t="s">
        <v>229</v>
      </c>
      <c r="F750" t="s">
        <v>82</v>
      </c>
      <c r="G750" t="s">
        <v>230</v>
      </c>
      <c r="H750" t="s">
        <v>108</v>
      </c>
      <c r="I750" t="s">
        <v>107</v>
      </c>
      <c r="J750" s="26">
        <v>44996</v>
      </c>
      <c r="K750" t="s">
        <v>162</v>
      </c>
      <c r="L750" s="26"/>
      <c r="M750" t="s">
        <v>163</v>
      </c>
      <c r="N750" t="s">
        <v>97</v>
      </c>
      <c r="O750" s="27">
        <v>987000</v>
      </c>
      <c r="P750">
        <v>3</v>
      </c>
      <c r="Q750" t="s">
        <v>172</v>
      </c>
      <c r="R750">
        <v>35</v>
      </c>
      <c r="S750" t="s">
        <v>274</v>
      </c>
      <c r="T750">
        <f t="shared" si="77"/>
        <v>10779</v>
      </c>
      <c r="U750" t="str">
        <f t="shared" si="78"/>
        <v>OPS</v>
      </c>
      <c r="V750" t="str">
        <f t="shared" si="79"/>
        <v>L2</v>
      </c>
      <c r="W750" t="str">
        <f>PROPER(TRIM(VLOOKUP(S750,Employee_Lookups!$I$4:$M$19,2,FALSE())))</f>
        <v>Meera Krishnan</v>
      </c>
      <c r="X750" t="str">
        <f>VLOOKUP(C750,Employee_Lookups!$A$4:$G$9,4,FALSE())</f>
        <v>CC-303</v>
      </c>
      <c r="Y750" t="str">
        <f>INDEX(Employee_Lookups!$C$13:$C$17,MATCH(F750,Employee_Lookups!$A$13:$A$17,0))</f>
        <v>Band B (Mid)</v>
      </c>
      <c r="Z750" s="27">
        <f>_xlfn.XLOOKUP(F750,Employee_Lookups!$A$13:$A$17,Employee_Lookups!$E$13:$E$17,0)</f>
        <v>1100000</v>
      </c>
      <c r="AA750" s="28">
        <f>ROUND(O750/INDEX(Employee_Lookups!$E$13:$E$17,MATCH(F750,Employee_Lookups!$A$13:$A$17,0)),3)</f>
        <v>0.89700000000000002</v>
      </c>
      <c r="AB750">
        <f t="shared" si="80"/>
        <v>2023</v>
      </c>
      <c r="AC750" t="str">
        <f t="shared" si="81"/>
        <v/>
      </c>
      <c r="AD750" s="28">
        <f>ROUND((IF(ISBLANK(L750),Employee_Lookups!$O$14,L750)-J750)/365.25,2)</f>
        <v>2.81</v>
      </c>
      <c r="AE750" t="str">
        <f t="shared" si="82"/>
        <v>1 - 3 Yrs</v>
      </c>
      <c r="AF750" t="str">
        <f t="shared" si="83"/>
        <v>High Risk</v>
      </c>
    </row>
    <row r="751" spans="1:32" x14ac:dyDescent="0.45">
      <c r="A751" t="s">
        <v>1473</v>
      </c>
      <c r="B751" t="s">
        <v>442</v>
      </c>
      <c r="C751" t="s">
        <v>53</v>
      </c>
      <c r="D751" t="s">
        <v>52</v>
      </c>
      <c r="E751" t="s">
        <v>185</v>
      </c>
      <c r="F751" t="s">
        <v>82</v>
      </c>
      <c r="G751" t="s">
        <v>186</v>
      </c>
      <c r="H751" t="s">
        <v>106</v>
      </c>
      <c r="I751" t="s">
        <v>107</v>
      </c>
      <c r="J751" s="26">
        <v>44996</v>
      </c>
      <c r="K751" t="s">
        <v>162</v>
      </c>
      <c r="L751" s="26"/>
      <c r="M751" t="s">
        <v>163</v>
      </c>
      <c r="N751" t="s">
        <v>99</v>
      </c>
      <c r="O751" s="27">
        <v>1073000</v>
      </c>
      <c r="P751">
        <v>1</v>
      </c>
      <c r="Q751" t="s">
        <v>172</v>
      </c>
      <c r="R751">
        <v>4</v>
      </c>
      <c r="S751" t="s">
        <v>237</v>
      </c>
      <c r="T751">
        <f t="shared" si="77"/>
        <v>11228</v>
      </c>
      <c r="U751" t="str">
        <f t="shared" si="78"/>
        <v>SAL</v>
      </c>
      <c r="V751" t="str">
        <f t="shared" si="79"/>
        <v>L2</v>
      </c>
      <c r="W751" t="str">
        <f>PROPER(TRIM(VLOOKUP(S751,Employee_Lookups!$I$4:$M$19,2,FALSE())))</f>
        <v>Karan Malhotra</v>
      </c>
      <c r="X751" t="str">
        <f>VLOOKUP(C751,Employee_Lookups!$A$4:$G$9,4,FALSE())</f>
        <v>CC-202</v>
      </c>
      <c r="Y751" t="str">
        <f>INDEX(Employee_Lookups!$C$13:$C$17,MATCH(F751,Employee_Lookups!$A$13:$A$17,0))</f>
        <v>Band B (Mid)</v>
      </c>
      <c r="Z751" s="27">
        <f>_xlfn.XLOOKUP(F751,Employee_Lookups!$A$13:$A$17,Employee_Lookups!$E$13:$E$17,0)</f>
        <v>1100000</v>
      </c>
      <c r="AA751" s="28">
        <f>ROUND(O751/INDEX(Employee_Lookups!$E$13:$E$17,MATCH(F751,Employee_Lookups!$A$13:$A$17,0)),3)</f>
        <v>0.97499999999999998</v>
      </c>
      <c r="AB751">
        <f t="shared" si="80"/>
        <v>2023</v>
      </c>
      <c r="AC751" t="str">
        <f t="shared" si="81"/>
        <v/>
      </c>
      <c r="AD751" s="28">
        <f>ROUND((IF(ISBLANK(L751),Employee_Lookups!$O$14,L751)-J751)/365.25,2)</f>
        <v>2.81</v>
      </c>
      <c r="AE751" t="str">
        <f t="shared" si="82"/>
        <v>1 - 3 Yrs</v>
      </c>
      <c r="AF751" t="str">
        <f t="shared" si="83"/>
        <v>Moderate Risk</v>
      </c>
    </row>
    <row r="752" spans="1:32" x14ac:dyDescent="0.45">
      <c r="A752" t="s">
        <v>1474</v>
      </c>
      <c r="B752" t="s">
        <v>940</v>
      </c>
      <c r="C752" t="s">
        <v>53</v>
      </c>
      <c r="D752" t="s">
        <v>52</v>
      </c>
      <c r="E752" t="s">
        <v>322</v>
      </c>
      <c r="F752" t="s">
        <v>81</v>
      </c>
      <c r="G752" t="s">
        <v>323</v>
      </c>
      <c r="H752" t="s">
        <v>106</v>
      </c>
      <c r="I752" t="s">
        <v>107</v>
      </c>
      <c r="J752" s="26">
        <v>44997</v>
      </c>
      <c r="K752" t="s">
        <v>187</v>
      </c>
      <c r="L752" s="26">
        <v>45149</v>
      </c>
      <c r="M752" t="s">
        <v>282</v>
      </c>
      <c r="N752" t="s">
        <v>99</v>
      </c>
      <c r="O752" s="27">
        <v>590000</v>
      </c>
      <c r="P752">
        <v>3</v>
      </c>
      <c r="Q752" t="s">
        <v>172</v>
      </c>
      <c r="R752">
        <v>40</v>
      </c>
      <c r="S752" t="s">
        <v>194</v>
      </c>
      <c r="T752">
        <f t="shared" si="77"/>
        <v>11111</v>
      </c>
      <c r="U752" t="str">
        <f t="shared" si="78"/>
        <v>SAL</v>
      </c>
      <c r="V752" t="str">
        <f t="shared" si="79"/>
        <v>L1</v>
      </c>
      <c r="W752" t="str">
        <f>PROPER(TRIM(VLOOKUP(S752,Employee_Lookups!$I$4:$M$19,2,FALSE())))</f>
        <v>Vikramaditya Joshi</v>
      </c>
      <c r="X752" t="str">
        <f>VLOOKUP(C752,Employee_Lookups!$A$4:$G$9,4,FALSE())</f>
        <v>CC-202</v>
      </c>
      <c r="Y752" t="str">
        <f>INDEX(Employee_Lookups!$C$13:$C$17,MATCH(F752,Employee_Lookups!$A$13:$A$17,0))</f>
        <v>Band A (Entry)</v>
      </c>
      <c r="Z752" s="27">
        <f>_xlfn.XLOOKUP(F752,Employee_Lookups!$A$13:$A$17,Employee_Lookups!$E$13:$E$17,0)</f>
        <v>700000</v>
      </c>
      <c r="AA752" s="28">
        <f>ROUND(O752/INDEX(Employee_Lookups!$E$13:$E$17,MATCH(F752,Employee_Lookups!$A$13:$A$17,0)),3)</f>
        <v>0.84299999999999997</v>
      </c>
      <c r="AB752">
        <f t="shared" si="80"/>
        <v>2023</v>
      </c>
      <c r="AC752">
        <f t="shared" si="81"/>
        <v>2023</v>
      </c>
      <c r="AD752" s="28">
        <f>ROUND((IF(ISBLANK(L752),Employee_Lookups!$O$14,L752)-J752)/365.25,2)</f>
        <v>0.42</v>
      </c>
      <c r="AE752" t="str">
        <f t="shared" si="82"/>
        <v>&lt; 1 Yr (New)</v>
      </c>
      <c r="AF752" t="str">
        <f t="shared" si="83"/>
        <v>Exited</v>
      </c>
    </row>
    <row r="753" spans="1:32" x14ac:dyDescent="0.45">
      <c r="A753" t="s">
        <v>1475</v>
      </c>
      <c r="B753" t="s">
        <v>558</v>
      </c>
      <c r="C753" t="s">
        <v>53</v>
      </c>
      <c r="D753" t="s">
        <v>52</v>
      </c>
      <c r="E753" t="s">
        <v>185</v>
      </c>
      <c r="F753" t="s">
        <v>82</v>
      </c>
      <c r="G753" t="s">
        <v>186</v>
      </c>
      <c r="H753" t="s">
        <v>108</v>
      </c>
      <c r="I753" t="s">
        <v>107</v>
      </c>
      <c r="J753" s="26">
        <v>44998</v>
      </c>
      <c r="K753" t="s">
        <v>162</v>
      </c>
      <c r="L753" s="26"/>
      <c r="M753" t="s">
        <v>163</v>
      </c>
      <c r="N753" t="s">
        <v>97</v>
      </c>
      <c r="O753" s="27">
        <v>901000</v>
      </c>
      <c r="P753">
        <v>4</v>
      </c>
      <c r="Q753" t="s">
        <v>172</v>
      </c>
      <c r="R753">
        <v>39</v>
      </c>
      <c r="S753" t="s">
        <v>237</v>
      </c>
      <c r="T753">
        <f t="shared" si="77"/>
        <v>11181</v>
      </c>
      <c r="U753" t="str">
        <f t="shared" si="78"/>
        <v>SAL</v>
      </c>
      <c r="V753" t="str">
        <f t="shared" si="79"/>
        <v>L2</v>
      </c>
      <c r="W753" t="str">
        <f>PROPER(TRIM(VLOOKUP(S753,Employee_Lookups!$I$4:$M$19,2,FALSE())))</f>
        <v>Karan Malhotra</v>
      </c>
      <c r="X753" t="str">
        <f>VLOOKUP(C753,Employee_Lookups!$A$4:$G$9,4,FALSE())</f>
        <v>CC-202</v>
      </c>
      <c r="Y753" t="str">
        <f>INDEX(Employee_Lookups!$C$13:$C$17,MATCH(F753,Employee_Lookups!$A$13:$A$17,0))</f>
        <v>Band B (Mid)</v>
      </c>
      <c r="Z753" s="27">
        <f>_xlfn.XLOOKUP(F753,Employee_Lookups!$A$13:$A$17,Employee_Lookups!$E$13:$E$17,0)</f>
        <v>1100000</v>
      </c>
      <c r="AA753" s="28">
        <f>ROUND(O753/INDEX(Employee_Lookups!$E$13:$E$17,MATCH(F753,Employee_Lookups!$A$13:$A$17,0)),3)</f>
        <v>0.81899999999999995</v>
      </c>
      <c r="AB753">
        <f t="shared" si="80"/>
        <v>2023</v>
      </c>
      <c r="AC753" t="str">
        <f t="shared" si="81"/>
        <v/>
      </c>
      <c r="AD753" s="28">
        <f>ROUND((IF(ISBLANK(L753),Employee_Lookups!$O$14,L753)-J753)/365.25,2)</f>
        <v>2.8</v>
      </c>
      <c r="AE753" t="str">
        <f t="shared" si="82"/>
        <v>1 - 3 Yrs</v>
      </c>
      <c r="AF753" t="str">
        <f t="shared" si="83"/>
        <v>High Risk</v>
      </c>
    </row>
    <row r="754" spans="1:32" x14ac:dyDescent="0.45">
      <c r="A754" t="s">
        <v>1476</v>
      </c>
      <c r="B754" t="s">
        <v>582</v>
      </c>
      <c r="C754" t="s">
        <v>55</v>
      </c>
      <c r="D754" t="s">
        <v>54</v>
      </c>
      <c r="E754" t="s">
        <v>277</v>
      </c>
      <c r="F754" t="s">
        <v>81</v>
      </c>
      <c r="G754" t="s">
        <v>278</v>
      </c>
      <c r="H754" t="s">
        <v>109</v>
      </c>
      <c r="I754" t="s">
        <v>110</v>
      </c>
      <c r="J754" s="26">
        <v>44999</v>
      </c>
      <c r="K754" t="s">
        <v>162</v>
      </c>
      <c r="L754" s="26"/>
      <c r="M754" t="s">
        <v>163</v>
      </c>
      <c r="N754" t="s">
        <v>96</v>
      </c>
      <c r="O754" s="27">
        <v>626000</v>
      </c>
      <c r="P754">
        <v>5</v>
      </c>
      <c r="Q754" t="s">
        <v>164</v>
      </c>
      <c r="R754">
        <v>35</v>
      </c>
      <c r="S754" t="s">
        <v>262</v>
      </c>
      <c r="T754">
        <f t="shared" si="77"/>
        <v>10563</v>
      </c>
      <c r="U754" t="str">
        <f t="shared" si="78"/>
        <v>OPS</v>
      </c>
      <c r="V754" t="str">
        <f t="shared" si="79"/>
        <v>L1</v>
      </c>
      <c r="W754" t="str">
        <f>PROPER(TRIM(VLOOKUP(S754,Employee_Lookups!$I$4:$M$19,2,FALSE())))</f>
        <v>Ananya Iyer</v>
      </c>
      <c r="X754" t="str">
        <f>VLOOKUP(C754,Employee_Lookups!$A$4:$G$9,4,FALSE())</f>
        <v>CC-303</v>
      </c>
      <c r="Y754" t="str">
        <f>INDEX(Employee_Lookups!$C$13:$C$17,MATCH(F754,Employee_Lookups!$A$13:$A$17,0))</f>
        <v>Band A (Entry)</v>
      </c>
      <c r="Z754" s="27">
        <f>_xlfn.XLOOKUP(F754,Employee_Lookups!$A$13:$A$17,Employee_Lookups!$E$13:$E$17,0)</f>
        <v>700000</v>
      </c>
      <c r="AA754" s="28">
        <f>ROUND(O754/INDEX(Employee_Lookups!$E$13:$E$17,MATCH(F754,Employee_Lookups!$A$13:$A$17,0)),3)</f>
        <v>0.89400000000000002</v>
      </c>
      <c r="AB754">
        <f t="shared" si="80"/>
        <v>2023</v>
      </c>
      <c r="AC754" t="str">
        <f t="shared" si="81"/>
        <v/>
      </c>
      <c r="AD754" s="28">
        <f>ROUND((IF(ISBLANK(L754),Employee_Lookups!$O$14,L754)-J754)/365.25,2)</f>
        <v>2.8</v>
      </c>
      <c r="AE754" t="str">
        <f t="shared" si="82"/>
        <v>1 - 3 Yrs</v>
      </c>
      <c r="AF754" t="str">
        <f t="shared" si="83"/>
        <v>Low Risk</v>
      </c>
    </row>
    <row r="755" spans="1:32" x14ac:dyDescent="0.45">
      <c r="A755" t="s">
        <v>1477</v>
      </c>
      <c r="B755" t="s">
        <v>889</v>
      </c>
      <c r="C755" t="s">
        <v>59</v>
      </c>
      <c r="D755" t="s">
        <v>58</v>
      </c>
      <c r="E755" t="s">
        <v>206</v>
      </c>
      <c r="F755" t="s">
        <v>81</v>
      </c>
      <c r="G755" t="s">
        <v>207</v>
      </c>
      <c r="H755" t="s">
        <v>111</v>
      </c>
      <c r="I755" t="s">
        <v>110</v>
      </c>
      <c r="J755" s="26">
        <v>44999</v>
      </c>
      <c r="K755" t="s">
        <v>162</v>
      </c>
      <c r="L755" s="26"/>
      <c r="M755" t="s">
        <v>163</v>
      </c>
      <c r="N755" t="s">
        <v>97</v>
      </c>
      <c r="O755" s="27">
        <v>716000</v>
      </c>
      <c r="P755">
        <v>2</v>
      </c>
      <c r="Q755" t="s">
        <v>164</v>
      </c>
      <c r="R755">
        <v>0</v>
      </c>
      <c r="S755" t="s">
        <v>208</v>
      </c>
      <c r="T755">
        <f t="shared" si="77"/>
        <v>10311</v>
      </c>
      <c r="U755" t="str">
        <f t="shared" si="78"/>
        <v>FIN</v>
      </c>
      <c r="V755" t="str">
        <f t="shared" si="79"/>
        <v>L1</v>
      </c>
      <c r="W755" t="str">
        <f>PROPER(TRIM(VLOOKUP(S755,Employee_Lookups!$I$4:$M$19,2,FALSE())))</f>
        <v>Rajeshwari Rao</v>
      </c>
      <c r="X755" t="str">
        <f>VLOOKUP(C755,Employee_Lookups!$A$4:$G$9,4,FALSE())</f>
        <v>CC-404</v>
      </c>
      <c r="Y755" t="str">
        <f>INDEX(Employee_Lookups!$C$13:$C$17,MATCH(F755,Employee_Lookups!$A$13:$A$17,0))</f>
        <v>Band A (Entry)</v>
      </c>
      <c r="Z755" s="27">
        <f>_xlfn.XLOOKUP(F755,Employee_Lookups!$A$13:$A$17,Employee_Lookups!$E$13:$E$17,0)</f>
        <v>700000</v>
      </c>
      <c r="AA755" s="28">
        <f>ROUND(O755/INDEX(Employee_Lookups!$E$13:$E$17,MATCH(F755,Employee_Lookups!$A$13:$A$17,0)),3)</f>
        <v>1.0229999999999999</v>
      </c>
      <c r="AB755">
        <f t="shared" si="80"/>
        <v>2023</v>
      </c>
      <c r="AC755" t="str">
        <f t="shared" si="81"/>
        <v/>
      </c>
      <c r="AD755" s="28">
        <f>ROUND((IF(ISBLANK(L755),Employee_Lookups!$O$14,L755)-J755)/365.25,2)</f>
        <v>2.8</v>
      </c>
      <c r="AE755" t="str">
        <f t="shared" si="82"/>
        <v>1 - 3 Yrs</v>
      </c>
      <c r="AF755" t="str">
        <f t="shared" si="83"/>
        <v>Moderate Risk</v>
      </c>
    </row>
    <row r="756" spans="1:32" x14ac:dyDescent="0.45">
      <c r="A756" t="s">
        <v>1478</v>
      </c>
      <c r="B756" t="s">
        <v>865</v>
      </c>
      <c r="C756" t="s">
        <v>51</v>
      </c>
      <c r="D756" t="s">
        <v>50</v>
      </c>
      <c r="E756" t="s">
        <v>181</v>
      </c>
      <c r="F756" t="s">
        <v>81</v>
      </c>
      <c r="G756" t="s">
        <v>182</v>
      </c>
      <c r="H756" t="s">
        <v>109</v>
      </c>
      <c r="I756" t="s">
        <v>110</v>
      </c>
      <c r="J756" s="26">
        <v>45000</v>
      </c>
      <c r="K756" t="s">
        <v>170</v>
      </c>
      <c r="L756" s="26">
        <v>45617</v>
      </c>
      <c r="M756" t="s">
        <v>171</v>
      </c>
      <c r="N756" t="s">
        <v>98</v>
      </c>
      <c r="O756" s="27">
        <v>682000</v>
      </c>
      <c r="P756">
        <v>2</v>
      </c>
      <c r="Q756" t="s">
        <v>172</v>
      </c>
      <c r="R756">
        <v>13</v>
      </c>
      <c r="S756" t="s">
        <v>197</v>
      </c>
      <c r="T756">
        <f t="shared" si="77"/>
        <v>10425</v>
      </c>
      <c r="U756" t="str">
        <f t="shared" si="78"/>
        <v>ENG</v>
      </c>
      <c r="V756" t="str">
        <f t="shared" si="79"/>
        <v>L1</v>
      </c>
      <c r="W756" t="str">
        <f>PROPER(TRIM(VLOOKUP(S756,Employee_Lookups!$I$4:$M$19,2,FALSE())))</f>
        <v>Rohan Verma</v>
      </c>
      <c r="X756" t="str">
        <f>VLOOKUP(C756,Employee_Lookups!$A$4:$G$9,4,FALSE())</f>
        <v>CC-101</v>
      </c>
      <c r="Y756" t="str">
        <f>INDEX(Employee_Lookups!$C$13:$C$17,MATCH(F756,Employee_Lookups!$A$13:$A$17,0))</f>
        <v>Band A (Entry)</v>
      </c>
      <c r="Z756" s="27">
        <f>_xlfn.XLOOKUP(F756,Employee_Lookups!$A$13:$A$17,Employee_Lookups!$E$13:$E$17,0)</f>
        <v>700000</v>
      </c>
      <c r="AA756" s="28">
        <f>ROUND(O756/INDEX(Employee_Lookups!$E$13:$E$17,MATCH(F756,Employee_Lookups!$A$13:$A$17,0)),3)</f>
        <v>0.97399999999999998</v>
      </c>
      <c r="AB756">
        <f t="shared" si="80"/>
        <v>2023</v>
      </c>
      <c r="AC756">
        <f t="shared" si="81"/>
        <v>2024</v>
      </c>
      <c r="AD756" s="28">
        <f>ROUND((IF(ISBLANK(L756),Employee_Lookups!$O$14,L756)-J756)/365.25,2)</f>
        <v>1.69</v>
      </c>
      <c r="AE756" t="str">
        <f t="shared" si="82"/>
        <v>1 - 3 Yrs</v>
      </c>
      <c r="AF756" t="str">
        <f t="shared" si="83"/>
        <v>Exited</v>
      </c>
    </row>
    <row r="757" spans="1:32" x14ac:dyDescent="0.45">
      <c r="A757" t="s">
        <v>1479</v>
      </c>
      <c r="B757" t="s">
        <v>316</v>
      </c>
      <c r="C757" t="s">
        <v>51</v>
      </c>
      <c r="D757" t="s">
        <v>50</v>
      </c>
      <c r="E757" t="s">
        <v>181</v>
      </c>
      <c r="F757" t="s">
        <v>81</v>
      </c>
      <c r="G757" t="s">
        <v>182</v>
      </c>
      <c r="H757" t="s">
        <v>111</v>
      </c>
      <c r="I757" t="s">
        <v>110</v>
      </c>
      <c r="J757" s="26">
        <v>45000</v>
      </c>
      <c r="K757" t="s">
        <v>162</v>
      </c>
      <c r="L757" s="26"/>
      <c r="M757" t="s">
        <v>163</v>
      </c>
      <c r="N757" t="s">
        <v>99</v>
      </c>
      <c r="O757" s="27">
        <v>665000</v>
      </c>
      <c r="P757">
        <v>4</v>
      </c>
      <c r="Q757" t="s">
        <v>164</v>
      </c>
      <c r="R757">
        <v>58</v>
      </c>
      <c r="S757" t="s">
        <v>178</v>
      </c>
      <c r="T757">
        <f t="shared" si="77"/>
        <v>11204</v>
      </c>
      <c r="U757" t="str">
        <f t="shared" si="78"/>
        <v>ENG</v>
      </c>
      <c r="V757" t="str">
        <f t="shared" si="79"/>
        <v>L1</v>
      </c>
      <c r="W757" t="str">
        <f>PROPER(TRIM(VLOOKUP(S757,Employee_Lookups!$I$4:$M$19,2,FALSE())))</f>
        <v>Aarav Deshmukh</v>
      </c>
      <c r="X757" t="str">
        <f>VLOOKUP(C757,Employee_Lookups!$A$4:$G$9,4,FALSE())</f>
        <v>CC-101</v>
      </c>
      <c r="Y757" t="str">
        <f>INDEX(Employee_Lookups!$C$13:$C$17,MATCH(F757,Employee_Lookups!$A$13:$A$17,0))</f>
        <v>Band A (Entry)</v>
      </c>
      <c r="Z757" s="27">
        <f>_xlfn.XLOOKUP(F757,Employee_Lookups!$A$13:$A$17,Employee_Lookups!$E$13:$E$17,0)</f>
        <v>700000</v>
      </c>
      <c r="AA757" s="28">
        <f>ROUND(O757/INDEX(Employee_Lookups!$E$13:$E$17,MATCH(F757,Employee_Lookups!$A$13:$A$17,0)),3)</f>
        <v>0.95</v>
      </c>
      <c r="AB757">
        <f t="shared" si="80"/>
        <v>2023</v>
      </c>
      <c r="AC757" t="str">
        <f t="shared" si="81"/>
        <v/>
      </c>
      <c r="AD757" s="28">
        <f>ROUND((IF(ISBLANK(L757),Employee_Lookups!$O$14,L757)-J757)/365.25,2)</f>
        <v>2.8</v>
      </c>
      <c r="AE757" t="str">
        <f t="shared" si="82"/>
        <v>1 - 3 Yrs</v>
      </c>
      <c r="AF757" t="str">
        <f t="shared" si="83"/>
        <v>Low Risk</v>
      </c>
    </row>
    <row r="758" spans="1:32" x14ac:dyDescent="0.45">
      <c r="A758" t="s">
        <v>1480</v>
      </c>
      <c r="B758" t="s">
        <v>1481</v>
      </c>
      <c r="C758" t="s">
        <v>51</v>
      </c>
      <c r="D758" t="s">
        <v>50</v>
      </c>
      <c r="E758" t="s">
        <v>176</v>
      </c>
      <c r="F758" t="s">
        <v>82</v>
      </c>
      <c r="G758" t="s">
        <v>177</v>
      </c>
      <c r="H758" t="s">
        <v>111</v>
      </c>
      <c r="I758" t="s">
        <v>110</v>
      </c>
      <c r="J758" s="26">
        <v>45001</v>
      </c>
      <c r="K758" t="s">
        <v>162</v>
      </c>
      <c r="L758" s="26"/>
      <c r="M758" t="s">
        <v>163</v>
      </c>
      <c r="N758" t="s">
        <v>98</v>
      </c>
      <c r="O758" s="27">
        <v>1150000</v>
      </c>
      <c r="P758">
        <v>4</v>
      </c>
      <c r="Q758" t="s">
        <v>164</v>
      </c>
      <c r="R758">
        <v>52</v>
      </c>
      <c r="S758" t="s">
        <v>178</v>
      </c>
      <c r="T758">
        <f t="shared" si="77"/>
        <v>10557</v>
      </c>
      <c r="U758" t="str">
        <f t="shared" si="78"/>
        <v>ENG</v>
      </c>
      <c r="V758" t="str">
        <f t="shared" si="79"/>
        <v>L2</v>
      </c>
      <c r="W758" t="str">
        <f>PROPER(TRIM(VLOOKUP(S758,Employee_Lookups!$I$4:$M$19,2,FALSE())))</f>
        <v>Aarav Deshmukh</v>
      </c>
      <c r="X758" t="str">
        <f>VLOOKUP(C758,Employee_Lookups!$A$4:$G$9,4,FALSE())</f>
        <v>CC-101</v>
      </c>
      <c r="Y758" t="str">
        <f>INDEX(Employee_Lookups!$C$13:$C$17,MATCH(F758,Employee_Lookups!$A$13:$A$17,0))</f>
        <v>Band B (Mid)</v>
      </c>
      <c r="Z758" s="27">
        <f>_xlfn.XLOOKUP(F758,Employee_Lookups!$A$13:$A$17,Employee_Lookups!$E$13:$E$17,0)</f>
        <v>1100000</v>
      </c>
      <c r="AA758" s="28">
        <f>ROUND(O758/INDEX(Employee_Lookups!$E$13:$E$17,MATCH(F758,Employee_Lookups!$A$13:$A$17,0)),3)</f>
        <v>1.0449999999999999</v>
      </c>
      <c r="AB758">
        <f t="shared" si="80"/>
        <v>2023</v>
      </c>
      <c r="AC758" t="str">
        <f t="shared" si="81"/>
        <v/>
      </c>
      <c r="AD758" s="28">
        <f>ROUND((IF(ISBLANK(L758),Employee_Lookups!$O$14,L758)-J758)/365.25,2)</f>
        <v>2.8</v>
      </c>
      <c r="AE758" t="str">
        <f t="shared" si="82"/>
        <v>1 - 3 Yrs</v>
      </c>
      <c r="AF758" t="str">
        <f t="shared" si="83"/>
        <v>Low Risk</v>
      </c>
    </row>
    <row r="759" spans="1:32" x14ac:dyDescent="0.45">
      <c r="A759" t="s">
        <v>1482</v>
      </c>
      <c r="B759" t="s">
        <v>307</v>
      </c>
      <c r="C759" t="s">
        <v>51</v>
      </c>
      <c r="D759" t="s">
        <v>50</v>
      </c>
      <c r="E759" t="s">
        <v>181</v>
      </c>
      <c r="F759" t="s">
        <v>81</v>
      </c>
      <c r="G759" t="s">
        <v>182</v>
      </c>
      <c r="H759" t="s">
        <v>109</v>
      </c>
      <c r="I759" t="s">
        <v>110</v>
      </c>
      <c r="J759" s="26">
        <v>45002</v>
      </c>
      <c r="K759" t="s">
        <v>170</v>
      </c>
      <c r="L759" s="26">
        <v>45144</v>
      </c>
      <c r="M759" t="s">
        <v>171</v>
      </c>
      <c r="N759" t="s">
        <v>97</v>
      </c>
      <c r="O759" s="27">
        <v>650000</v>
      </c>
      <c r="P759">
        <v>3</v>
      </c>
      <c r="Q759" t="s">
        <v>164</v>
      </c>
      <c r="R759">
        <v>0</v>
      </c>
      <c r="S759" t="s">
        <v>178</v>
      </c>
      <c r="T759">
        <f t="shared" si="77"/>
        <v>10116</v>
      </c>
      <c r="U759" t="str">
        <f t="shared" si="78"/>
        <v>ENG</v>
      </c>
      <c r="V759" t="str">
        <f t="shared" si="79"/>
        <v>L1</v>
      </c>
      <c r="W759" t="str">
        <f>PROPER(TRIM(VLOOKUP(S759,Employee_Lookups!$I$4:$M$19,2,FALSE())))</f>
        <v>Aarav Deshmukh</v>
      </c>
      <c r="X759" t="str">
        <f>VLOOKUP(C759,Employee_Lookups!$A$4:$G$9,4,FALSE())</f>
        <v>CC-101</v>
      </c>
      <c r="Y759" t="str">
        <f>INDEX(Employee_Lookups!$C$13:$C$17,MATCH(F759,Employee_Lookups!$A$13:$A$17,0))</f>
        <v>Band A (Entry)</v>
      </c>
      <c r="Z759" s="27">
        <f>_xlfn.XLOOKUP(F759,Employee_Lookups!$A$13:$A$17,Employee_Lookups!$E$13:$E$17,0)</f>
        <v>700000</v>
      </c>
      <c r="AA759" s="28">
        <f>ROUND(O759/INDEX(Employee_Lookups!$E$13:$E$17,MATCH(F759,Employee_Lookups!$A$13:$A$17,0)),3)</f>
        <v>0.92900000000000005</v>
      </c>
      <c r="AB759">
        <f t="shared" si="80"/>
        <v>2023</v>
      </c>
      <c r="AC759">
        <f t="shared" si="81"/>
        <v>2023</v>
      </c>
      <c r="AD759" s="28">
        <f>ROUND((IF(ISBLANK(L759),Employee_Lookups!$O$14,L759)-J759)/365.25,2)</f>
        <v>0.39</v>
      </c>
      <c r="AE759" t="str">
        <f t="shared" si="82"/>
        <v>&lt; 1 Yr (New)</v>
      </c>
      <c r="AF759" t="str">
        <f t="shared" si="83"/>
        <v>Exited</v>
      </c>
    </row>
    <row r="760" spans="1:32" x14ac:dyDescent="0.45">
      <c r="A760" t="s">
        <v>1483</v>
      </c>
      <c r="B760" t="s">
        <v>1484</v>
      </c>
      <c r="C760" t="s">
        <v>51</v>
      </c>
      <c r="D760" t="s">
        <v>50</v>
      </c>
      <c r="E760" t="s">
        <v>176</v>
      </c>
      <c r="F760" t="s">
        <v>82</v>
      </c>
      <c r="G760" t="s">
        <v>177</v>
      </c>
      <c r="H760" t="s">
        <v>108</v>
      </c>
      <c r="I760" t="s">
        <v>107</v>
      </c>
      <c r="J760" s="26">
        <v>45002</v>
      </c>
      <c r="K760" t="s">
        <v>162</v>
      </c>
      <c r="L760" s="26"/>
      <c r="M760" t="s">
        <v>163</v>
      </c>
      <c r="N760" t="s">
        <v>96</v>
      </c>
      <c r="O760" s="27">
        <v>1132000</v>
      </c>
      <c r="P760">
        <v>3</v>
      </c>
      <c r="Q760" t="s">
        <v>164</v>
      </c>
      <c r="R760">
        <v>20</v>
      </c>
      <c r="S760" t="s">
        <v>244</v>
      </c>
      <c r="T760">
        <f t="shared" si="77"/>
        <v>10268</v>
      </c>
      <c r="U760" t="str">
        <f t="shared" si="78"/>
        <v>ENG</v>
      </c>
      <c r="V760" t="str">
        <f t="shared" si="79"/>
        <v>L2</v>
      </c>
      <c r="W760" t="str">
        <f>PROPER(TRIM(VLOOKUP(S760,Employee_Lookups!$I$4:$M$19,2,FALSE())))</f>
        <v>Siddharth Nair</v>
      </c>
      <c r="X760" t="str">
        <f>VLOOKUP(C760,Employee_Lookups!$A$4:$G$9,4,FALSE())</f>
        <v>CC-101</v>
      </c>
      <c r="Y760" t="str">
        <f>INDEX(Employee_Lookups!$C$13:$C$17,MATCH(F760,Employee_Lookups!$A$13:$A$17,0))</f>
        <v>Band B (Mid)</v>
      </c>
      <c r="Z760" s="27">
        <f>_xlfn.XLOOKUP(F760,Employee_Lookups!$A$13:$A$17,Employee_Lookups!$E$13:$E$17,0)</f>
        <v>1100000</v>
      </c>
      <c r="AA760" s="28">
        <f>ROUND(O760/INDEX(Employee_Lookups!$E$13:$E$17,MATCH(F760,Employee_Lookups!$A$13:$A$17,0)),3)</f>
        <v>1.0289999999999999</v>
      </c>
      <c r="AB760">
        <f t="shared" si="80"/>
        <v>2023</v>
      </c>
      <c r="AC760" t="str">
        <f t="shared" si="81"/>
        <v/>
      </c>
      <c r="AD760" s="28">
        <f>ROUND((IF(ISBLANK(L760),Employee_Lookups!$O$14,L760)-J760)/365.25,2)</f>
        <v>2.79</v>
      </c>
      <c r="AE760" t="str">
        <f t="shared" si="82"/>
        <v>1 - 3 Yrs</v>
      </c>
      <c r="AF760" t="str">
        <f t="shared" si="83"/>
        <v>Low Risk</v>
      </c>
    </row>
    <row r="761" spans="1:32" x14ac:dyDescent="0.45">
      <c r="A761" t="s">
        <v>1485</v>
      </c>
      <c r="B761" t="s">
        <v>1001</v>
      </c>
      <c r="C761" t="s">
        <v>53</v>
      </c>
      <c r="D761" t="s">
        <v>52</v>
      </c>
      <c r="E761" t="s">
        <v>185</v>
      </c>
      <c r="F761" t="s">
        <v>82</v>
      </c>
      <c r="G761" t="s">
        <v>186</v>
      </c>
      <c r="H761" t="s">
        <v>108</v>
      </c>
      <c r="I761" t="s">
        <v>107</v>
      </c>
      <c r="J761" s="26">
        <v>45002</v>
      </c>
      <c r="K761" t="s">
        <v>162</v>
      </c>
      <c r="L761" s="26"/>
      <c r="M761" t="s">
        <v>163</v>
      </c>
      <c r="N761" t="s">
        <v>97</v>
      </c>
      <c r="O761" s="27">
        <v>1162000</v>
      </c>
      <c r="P761">
        <v>3</v>
      </c>
      <c r="Q761" t="s">
        <v>164</v>
      </c>
      <c r="R761">
        <v>31</v>
      </c>
      <c r="S761" t="s">
        <v>237</v>
      </c>
      <c r="T761">
        <f t="shared" si="77"/>
        <v>11349</v>
      </c>
      <c r="U761" t="str">
        <f t="shared" si="78"/>
        <v>SAL</v>
      </c>
      <c r="V761" t="str">
        <f t="shared" si="79"/>
        <v>L2</v>
      </c>
      <c r="W761" t="str">
        <f>PROPER(TRIM(VLOOKUP(S761,Employee_Lookups!$I$4:$M$19,2,FALSE())))</f>
        <v>Karan Malhotra</v>
      </c>
      <c r="X761" t="str">
        <f>VLOOKUP(C761,Employee_Lookups!$A$4:$G$9,4,FALSE())</f>
        <v>CC-202</v>
      </c>
      <c r="Y761" t="str">
        <f>INDEX(Employee_Lookups!$C$13:$C$17,MATCH(F761,Employee_Lookups!$A$13:$A$17,0))</f>
        <v>Band B (Mid)</v>
      </c>
      <c r="Z761" s="27">
        <f>_xlfn.XLOOKUP(F761,Employee_Lookups!$A$13:$A$17,Employee_Lookups!$E$13:$E$17,0)</f>
        <v>1100000</v>
      </c>
      <c r="AA761" s="28">
        <f>ROUND(O761/INDEX(Employee_Lookups!$E$13:$E$17,MATCH(F761,Employee_Lookups!$A$13:$A$17,0)),3)</f>
        <v>1.056</v>
      </c>
      <c r="AB761">
        <f t="shared" si="80"/>
        <v>2023</v>
      </c>
      <c r="AC761" t="str">
        <f t="shared" si="81"/>
        <v/>
      </c>
      <c r="AD761" s="28">
        <f>ROUND((IF(ISBLANK(L761),Employee_Lookups!$O$14,L761)-J761)/365.25,2)</f>
        <v>2.79</v>
      </c>
      <c r="AE761" t="str">
        <f t="shared" si="82"/>
        <v>1 - 3 Yrs</v>
      </c>
      <c r="AF761" t="str">
        <f t="shared" si="83"/>
        <v>Low Risk</v>
      </c>
    </row>
    <row r="762" spans="1:32" x14ac:dyDescent="0.45">
      <c r="A762" t="s">
        <v>1486</v>
      </c>
      <c r="B762" t="s">
        <v>824</v>
      </c>
      <c r="C762" t="s">
        <v>55</v>
      </c>
      <c r="D762" t="s">
        <v>54</v>
      </c>
      <c r="E762" t="s">
        <v>277</v>
      </c>
      <c r="F762" t="s">
        <v>81</v>
      </c>
      <c r="G762" t="s">
        <v>278</v>
      </c>
      <c r="H762" t="s">
        <v>108</v>
      </c>
      <c r="I762" t="s">
        <v>107</v>
      </c>
      <c r="J762" s="26">
        <v>45003</v>
      </c>
      <c r="K762" t="s">
        <v>187</v>
      </c>
      <c r="L762" s="26">
        <v>45235</v>
      </c>
      <c r="M762" t="s">
        <v>213</v>
      </c>
      <c r="N762" t="s">
        <v>97</v>
      </c>
      <c r="O762" s="27">
        <v>614000</v>
      </c>
      <c r="P762">
        <v>4</v>
      </c>
      <c r="Q762" t="s">
        <v>172</v>
      </c>
      <c r="R762">
        <v>21</v>
      </c>
      <c r="S762" t="s">
        <v>173</v>
      </c>
      <c r="T762">
        <f t="shared" si="77"/>
        <v>11246</v>
      </c>
      <c r="U762" t="str">
        <f t="shared" si="78"/>
        <v>OPS</v>
      </c>
      <c r="V762" t="str">
        <f t="shared" si="79"/>
        <v>L1</v>
      </c>
      <c r="W762" t="str">
        <f>PROPER(TRIM(VLOOKUP(S762,Employee_Lookups!$I$4:$M$19,2,FALSE())))</f>
        <v>Deepak Patil</v>
      </c>
      <c r="X762" t="str">
        <f>VLOOKUP(C762,Employee_Lookups!$A$4:$G$9,4,FALSE())</f>
        <v>CC-303</v>
      </c>
      <c r="Y762" t="str">
        <f>INDEX(Employee_Lookups!$C$13:$C$17,MATCH(F762,Employee_Lookups!$A$13:$A$17,0))</f>
        <v>Band A (Entry)</v>
      </c>
      <c r="Z762" s="27">
        <f>_xlfn.XLOOKUP(F762,Employee_Lookups!$A$13:$A$17,Employee_Lookups!$E$13:$E$17,0)</f>
        <v>700000</v>
      </c>
      <c r="AA762" s="28">
        <f>ROUND(O762/INDEX(Employee_Lookups!$E$13:$E$17,MATCH(F762,Employee_Lookups!$A$13:$A$17,0)),3)</f>
        <v>0.877</v>
      </c>
      <c r="AB762">
        <f t="shared" si="80"/>
        <v>2023</v>
      </c>
      <c r="AC762">
        <f t="shared" si="81"/>
        <v>2023</v>
      </c>
      <c r="AD762" s="28">
        <f>ROUND((IF(ISBLANK(L762),Employee_Lookups!$O$14,L762)-J762)/365.25,2)</f>
        <v>0.64</v>
      </c>
      <c r="AE762" t="str">
        <f t="shared" si="82"/>
        <v>&lt; 1 Yr (New)</v>
      </c>
      <c r="AF762" t="str">
        <f t="shared" si="83"/>
        <v>Exited</v>
      </c>
    </row>
    <row r="763" spans="1:32" x14ac:dyDescent="0.45">
      <c r="A763" t="s">
        <v>1487</v>
      </c>
      <c r="B763" t="s">
        <v>1488</v>
      </c>
      <c r="C763" t="s">
        <v>55</v>
      </c>
      <c r="D763" t="s">
        <v>54</v>
      </c>
      <c r="E763" t="s">
        <v>229</v>
      </c>
      <c r="F763" t="s">
        <v>82</v>
      </c>
      <c r="G763" t="s">
        <v>230</v>
      </c>
      <c r="H763" t="s">
        <v>108</v>
      </c>
      <c r="I763" t="s">
        <v>107</v>
      </c>
      <c r="J763" s="26">
        <v>45004</v>
      </c>
      <c r="K763" t="s">
        <v>170</v>
      </c>
      <c r="L763" s="26">
        <v>45177</v>
      </c>
      <c r="M763" t="s">
        <v>171</v>
      </c>
      <c r="N763" t="s">
        <v>99</v>
      </c>
      <c r="O763" s="27">
        <v>1138000</v>
      </c>
      <c r="P763">
        <v>3</v>
      </c>
      <c r="Q763" t="s">
        <v>172</v>
      </c>
      <c r="R763">
        <v>21</v>
      </c>
      <c r="S763" t="s">
        <v>173</v>
      </c>
      <c r="T763">
        <f t="shared" si="77"/>
        <v>10590</v>
      </c>
      <c r="U763" t="str">
        <f t="shared" si="78"/>
        <v>OPS</v>
      </c>
      <c r="V763" t="str">
        <f t="shared" si="79"/>
        <v>L2</v>
      </c>
      <c r="W763" t="str">
        <f>PROPER(TRIM(VLOOKUP(S763,Employee_Lookups!$I$4:$M$19,2,FALSE())))</f>
        <v>Deepak Patil</v>
      </c>
      <c r="X763" t="str">
        <f>VLOOKUP(C763,Employee_Lookups!$A$4:$G$9,4,FALSE())</f>
        <v>CC-303</v>
      </c>
      <c r="Y763" t="str">
        <f>INDEX(Employee_Lookups!$C$13:$C$17,MATCH(F763,Employee_Lookups!$A$13:$A$17,0))</f>
        <v>Band B (Mid)</v>
      </c>
      <c r="Z763" s="27">
        <f>_xlfn.XLOOKUP(F763,Employee_Lookups!$A$13:$A$17,Employee_Lookups!$E$13:$E$17,0)</f>
        <v>1100000</v>
      </c>
      <c r="AA763" s="28">
        <f>ROUND(O763/INDEX(Employee_Lookups!$E$13:$E$17,MATCH(F763,Employee_Lookups!$A$13:$A$17,0)),3)</f>
        <v>1.0349999999999999</v>
      </c>
      <c r="AB763">
        <f t="shared" si="80"/>
        <v>2023</v>
      </c>
      <c r="AC763">
        <f t="shared" si="81"/>
        <v>2023</v>
      </c>
      <c r="AD763" s="28">
        <f>ROUND((IF(ISBLANK(L763),Employee_Lookups!$O$14,L763)-J763)/365.25,2)</f>
        <v>0.47</v>
      </c>
      <c r="AE763" t="str">
        <f t="shared" si="82"/>
        <v>&lt; 1 Yr (New)</v>
      </c>
      <c r="AF763" t="str">
        <f t="shared" si="83"/>
        <v>Exited</v>
      </c>
    </row>
    <row r="764" spans="1:32" x14ac:dyDescent="0.45">
      <c r="A764" t="s">
        <v>1489</v>
      </c>
      <c r="B764" t="s">
        <v>296</v>
      </c>
      <c r="C764" t="s">
        <v>59</v>
      </c>
      <c r="D764" t="s">
        <v>58</v>
      </c>
      <c r="E764" t="s">
        <v>287</v>
      </c>
      <c r="F764" t="s">
        <v>83</v>
      </c>
      <c r="G764" t="s">
        <v>288</v>
      </c>
      <c r="H764" t="s">
        <v>109</v>
      </c>
      <c r="I764" t="s">
        <v>110</v>
      </c>
      <c r="J764" s="26">
        <v>45004</v>
      </c>
      <c r="K764" t="s">
        <v>187</v>
      </c>
      <c r="L764" s="26">
        <v>45115</v>
      </c>
      <c r="M764" t="s">
        <v>282</v>
      </c>
      <c r="N764" t="s">
        <v>97</v>
      </c>
      <c r="O764" s="27">
        <v>1827000</v>
      </c>
      <c r="P764">
        <v>4</v>
      </c>
      <c r="Q764" t="s">
        <v>164</v>
      </c>
      <c r="R764">
        <v>39</v>
      </c>
      <c r="S764" t="s">
        <v>208</v>
      </c>
      <c r="T764">
        <f t="shared" si="77"/>
        <v>10730</v>
      </c>
      <c r="U764" t="str">
        <f t="shared" si="78"/>
        <v>FIN</v>
      </c>
      <c r="V764" t="str">
        <f t="shared" si="79"/>
        <v>L3</v>
      </c>
      <c r="W764" t="str">
        <f>PROPER(TRIM(VLOOKUP(S764,Employee_Lookups!$I$4:$M$19,2,FALSE())))</f>
        <v>Rajeshwari Rao</v>
      </c>
      <c r="X764" t="str">
        <f>VLOOKUP(C764,Employee_Lookups!$A$4:$G$9,4,FALSE())</f>
        <v>CC-404</v>
      </c>
      <c r="Y764" t="str">
        <f>INDEX(Employee_Lookups!$C$13:$C$17,MATCH(F764,Employee_Lookups!$A$13:$A$17,0))</f>
        <v>Band C (Senior)</v>
      </c>
      <c r="Z764" s="27">
        <f>_xlfn.XLOOKUP(F764,Employee_Lookups!$A$13:$A$17,Employee_Lookups!$E$13:$E$17,0)</f>
        <v>1725000</v>
      </c>
      <c r="AA764" s="28">
        <f>ROUND(O764/INDEX(Employee_Lookups!$E$13:$E$17,MATCH(F764,Employee_Lookups!$A$13:$A$17,0)),3)</f>
        <v>1.0589999999999999</v>
      </c>
      <c r="AB764">
        <f t="shared" si="80"/>
        <v>2023</v>
      </c>
      <c r="AC764">
        <f t="shared" si="81"/>
        <v>2023</v>
      </c>
      <c r="AD764" s="28">
        <f>ROUND((IF(ISBLANK(L764),Employee_Lookups!$O$14,L764)-J764)/365.25,2)</f>
        <v>0.3</v>
      </c>
      <c r="AE764" t="str">
        <f t="shared" si="82"/>
        <v>&lt; 1 Yr (New)</v>
      </c>
      <c r="AF764" t="str">
        <f t="shared" si="83"/>
        <v>Exited</v>
      </c>
    </row>
    <row r="765" spans="1:32" x14ac:dyDescent="0.45">
      <c r="A765" t="s">
        <v>1490</v>
      </c>
      <c r="B765" t="s">
        <v>582</v>
      </c>
      <c r="C765" t="s">
        <v>51</v>
      </c>
      <c r="D765" t="s">
        <v>50</v>
      </c>
      <c r="E765" t="s">
        <v>397</v>
      </c>
      <c r="F765" t="s">
        <v>84</v>
      </c>
      <c r="G765" t="s">
        <v>398</v>
      </c>
      <c r="H765" t="s">
        <v>108</v>
      </c>
      <c r="I765" t="s">
        <v>107</v>
      </c>
      <c r="J765" s="26">
        <v>45005</v>
      </c>
      <c r="K765" t="s">
        <v>187</v>
      </c>
      <c r="L765" s="26">
        <v>45222</v>
      </c>
      <c r="M765" t="s">
        <v>282</v>
      </c>
      <c r="N765" t="s">
        <v>99</v>
      </c>
      <c r="O765" s="27">
        <v>2998000</v>
      </c>
      <c r="P765">
        <v>3</v>
      </c>
      <c r="Q765" t="s">
        <v>172</v>
      </c>
      <c r="R765">
        <v>28</v>
      </c>
      <c r="S765" t="s">
        <v>244</v>
      </c>
      <c r="T765">
        <f t="shared" si="77"/>
        <v>10951</v>
      </c>
      <c r="U765" t="str">
        <f t="shared" si="78"/>
        <v>ENG</v>
      </c>
      <c r="V765" t="str">
        <f t="shared" si="79"/>
        <v>L4</v>
      </c>
      <c r="W765" t="str">
        <f>PROPER(TRIM(VLOOKUP(S765,Employee_Lookups!$I$4:$M$19,2,FALSE())))</f>
        <v>Siddharth Nair</v>
      </c>
      <c r="X765" t="str">
        <f>VLOOKUP(C765,Employee_Lookups!$A$4:$G$9,4,FALSE())</f>
        <v>CC-101</v>
      </c>
      <c r="Y765" t="str">
        <f>INDEX(Employee_Lookups!$C$13:$C$17,MATCH(F765,Employee_Lookups!$A$13:$A$17,0))</f>
        <v>Band D (Leadership)</v>
      </c>
      <c r="Z765" s="27">
        <f>_xlfn.XLOOKUP(F765,Employee_Lookups!$A$13:$A$17,Employee_Lookups!$E$13:$E$17,0)</f>
        <v>2750000</v>
      </c>
      <c r="AA765" s="28">
        <f>ROUND(O765/INDEX(Employee_Lookups!$E$13:$E$17,MATCH(F765,Employee_Lookups!$A$13:$A$17,0)),3)</f>
        <v>1.0900000000000001</v>
      </c>
      <c r="AB765">
        <f t="shared" si="80"/>
        <v>2023</v>
      </c>
      <c r="AC765">
        <f t="shared" si="81"/>
        <v>2023</v>
      </c>
      <c r="AD765" s="28">
        <f>ROUND((IF(ISBLANK(L765),Employee_Lookups!$O$14,L765)-J765)/365.25,2)</f>
        <v>0.59</v>
      </c>
      <c r="AE765" t="str">
        <f t="shared" si="82"/>
        <v>&lt; 1 Yr (New)</v>
      </c>
      <c r="AF765" t="str">
        <f t="shared" si="83"/>
        <v>Exited</v>
      </c>
    </row>
    <row r="766" spans="1:32" x14ac:dyDescent="0.45">
      <c r="A766" t="s">
        <v>1491</v>
      </c>
      <c r="B766" t="s">
        <v>681</v>
      </c>
      <c r="C766" t="s">
        <v>61</v>
      </c>
      <c r="D766" t="s">
        <v>60</v>
      </c>
      <c r="E766" t="s">
        <v>923</v>
      </c>
      <c r="F766" t="s">
        <v>85</v>
      </c>
      <c r="G766" t="s">
        <v>924</v>
      </c>
      <c r="H766" t="s">
        <v>106</v>
      </c>
      <c r="I766" t="s">
        <v>107</v>
      </c>
      <c r="J766" s="26">
        <v>45005</v>
      </c>
      <c r="K766" t="s">
        <v>162</v>
      </c>
      <c r="L766" s="26"/>
      <c r="M766" t="s">
        <v>163</v>
      </c>
      <c r="N766" t="s">
        <v>96</v>
      </c>
      <c r="O766" s="27">
        <v>4173000</v>
      </c>
      <c r="P766">
        <v>5</v>
      </c>
      <c r="Q766" t="s">
        <v>164</v>
      </c>
      <c r="R766">
        <v>47</v>
      </c>
      <c r="S766" t="s">
        <v>319</v>
      </c>
      <c r="T766">
        <f t="shared" si="77"/>
        <v>10462</v>
      </c>
      <c r="U766" t="str">
        <f t="shared" si="78"/>
        <v>-HR</v>
      </c>
      <c r="V766" t="str">
        <f t="shared" si="79"/>
        <v>L5</v>
      </c>
      <c r="W766" t="str">
        <f>PROPER(TRIM(VLOOKUP(S766,Employee_Lookups!$I$4:$M$19,2,FALSE())))</f>
        <v>Kavita Menon</v>
      </c>
      <c r="X766" t="str">
        <f>VLOOKUP(C766,Employee_Lookups!$A$4:$G$9,4,FALSE())</f>
        <v>CC-505</v>
      </c>
      <c r="Y766" t="str">
        <f>INDEX(Employee_Lookups!$C$13:$C$17,MATCH(F766,Employee_Lookups!$A$13:$A$17,0))</f>
        <v>Band E (Executive)</v>
      </c>
      <c r="Z766" s="27">
        <f>_xlfn.XLOOKUP(F766,Employee_Lookups!$A$13:$A$17,Employee_Lookups!$E$13:$E$17,0)</f>
        <v>4300000</v>
      </c>
      <c r="AA766" s="28">
        <f>ROUND(O766/INDEX(Employee_Lookups!$E$13:$E$17,MATCH(F766,Employee_Lookups!$A$13:$A$17,0)),3)</f>
        <v>0.97</v>
      </c>
      <c r="AB766">
        <f t="shared" si="80"/>
        <v>2023</v>
      </c>
      <c r="AC766" t="str">
        <f t="shared" si="81"/>
        <v/>
      </c>
      <c r="AD766" s="28">
        <f>ROUND((IF(ISBLANK(L766),Employee_Lookups!$O$14,L766)-J766)/365.25,2)</f>
        <v>2.78</v>
      </c>
      <c r="AE766" t="str">
        <f t="shared" si="82"/>
        <v>1 - 3 Yrs</v>
      </c>
      <c r="AF766" t="str">
        <f t="shared" si="83"/>
        <v>Low Risk</v>
      </c>
    </row>
    <row r="767" spans="1:32" x14ac:dyDescent="0.45">
      <c r="A767" t="s">
        <v>1492</v>
      </c>
      <c r="B767" t="s">
        <v>1493</v>
      </c>
      <c r="C767" t="s">
        <v>51</v>
      </c>
      <c r="D767" t="s">
        <v>50</v>
      </c>
      <c r="E767" t="s">
        <v>176</v>
      </c>
      <c r="F767" t="s">
        <v>82</v>
      </c>
      <c r="G767" t="s">
        <v>177</v>
      </c>
      <c r="H767" t="s">
        <v>112</v>
      </c>
      <c r="I767" t="s">
        <v>113</v>
      </c>
      <c r="J767" s="26">
        <v>45006</v>
      </c>
      <c r="K767" t="s">
        <v>162</v>
      </c>
      <c r="L767" s="26"/>
      <c r="M767" t="s">
        <v>163</v>
      </c>
      <c r="N767" t="s">
        <v>97</v>
      </c>
      <c r="O767" s="27">
        <v>1283000</v>
      </c>
      <c r="P767">
        <v>2</v>
      </c>
      <c r="Q767" t="s">
        <v>164</v>
      </c>
      <c r="R767">
        <v>29</v>
      </c>
      <c r="S767" t="s">
        <v>244</v>
      </c>
      <c r="T767">
        <f t="shared" si="77"/>
        <v>10704</v>
      </c>
      <c r="U767" t="str">
        <f t="shared" si="78"/>
        <v>ENG</v>
      </c>
      <c r="V767" t="str">
        <f t="shared" si="79"/>
        <v>L2</v>
      </c>
      <c r="W767" t="str">
        <f>PROPER(TRIM(VLOOKUP(S767,Employee_Lookups!$I$4:$M$19,2,FALSE())))</f>
        <v>Siddharth Nair</v>
      </c>
      <c r="X767" t="str">
        <f>VLOOKUP(C767,Employee_Lookups!$A$4:$G$9,4,FALSE())</f>
        <v>CC-101</v>
      </c>
      <c r="Y767" t="str">
        <f>INDEX(Employee_Lookups!$C$13:$C$17,MATCH(F767,Employee_Lookups!$A$13:$A$17,0))</f>
        <v>Band B (Mid)</v>
      </c>
      <c r="Z767" s="27">
        <f>_xlfn.XLOOKUP(F767,Employee_Lookups!$A$13:$A$17,Employee_Lookups!$E$13:$E$17,0)</f>
        <v>1100000</v>
      </c>
      <c r="AA767" s="28">
        <f>ROUND(O767/INDEX(Employee_Lookups!$E$13:$E$17,MATCH(F767,Employee_Lookups!$A$13:$A$17,0)),3)</f>
        <v>1.1659999999999999</v>
      </c>
      <c r="AB767">
        <f t="shared" si="80"/>
        <v>2023</v>
      </c>
      <c r="AC767" t="str">
        <f t="shared" si="81"/>
        <v/>
      </c>
      <c r="AD767" s="28">
        <f>ROUND((IF(ISBLANK(L767),Employee_Lookups!$O$14,L767)-J767)/365.25,2)</f>
        <v>2.78</v>
      </c>
      <c r="AE767" t="str">
        <f t="shared" si="82"/>
        <v>1 - 3 Yrs</v>
      </c>
      <c r="AF767" t="str">
        <f t="shared" si="83"/>
        <v>Moderate Risk</v>
      </c>
    </row>
    <row r="768" spans="1:32" x14ac:dyDescent="0.45">
      <c r="A768" t="s">
        <v>1494</v>
      </c>
      <c r="B768" t="s">
        <v>1495</v>
      </c>
      <c r="C768" t="s">
        <v>51</v>
      </c>
      <c r="D768" t="s">
        <v>50</v>
      </c>
      <c r="E768" t="s">
        <v>181</v>
      </c>
      <c r="F768" t="s">
        <v>81</v>
      </c>
      <c r="G768" t="s">
        <v>182</v>
      </c>
      <c r="H768" t="s">
        <v>109</v>
      </c>
      <c r="I768" t="s">
        <v>110</v>
      </c>
      <c r="J768" s="26">
        <v>45006</v>
      </c>
      <c r="K768" t="s">
        <v>162</v>
      </c>
      <c r="L768" s="26"/>
      <c r="M768" t="s">
        <v>163</v>
      </c>
      <c r="N768" t="s">
        <v>97</v>
      </c>
      <c r="O768" s="27">
        <v>756000</v>
      </c>
      <c r="P768">
        <v>3</v>
      </c>
      <c r="Q768" t="s">
        <v>164</v>
      </c>
      <c r="R768">
        <v>70</v>
      </c>
      <c r="S768" t="s">
        <v>197</v>
      </c>
      <c r="T768">
        <f t="shared" si="77"/>
        <v>11085</v>
      </c>
      <c r="U768" t="str">
        <f t="shared" si="78"/>
        <v>ENG</v>
      </c>
      <c r="V768" t="str">
        <f t="shared" si="79"/>
        <v>L1</v>
      </c>
      <c r="W768" t="str">
        <f>PROPER(TRIM(VLOOKUP(S768,Employee_Lookups!$I$4:$M$19,2,FALSE())))</f>
        <v>Rohan Verma</v>
      </c>
      <c r="X768" t="str">
        <f>VLOOKUP(C768,Employee_Lookups!$A$4:$G$9,4,FALSE())</f>
        <v>CC-101</v>
      </c>
      <c r="Y768" t="str">
        <f>INDEX(Employee_Lookups!$C$13:$C$17,MATCH(F768,Employee_Lookups!$A$13:$A$17,0))</f>
        <v>Band A (Entry)</v>
      </c>
      <c r="Z768" s="27">
        <f>_xlfn.XLOOKUP(F768,Employee_Lookups!$A$13:$A$17,Employee_Lookups!$E$13:$E$17,0)</f>
        <v>700000</v>
      </c>
      <c r="AA768" s="28">
        <f>ROUND(O768/INDEX(Employee_Lookups!$E$13:$E$17,MATCH(F768,Employee_Lookups!$A$13:$A$17,0)),3)</f>
        <v>1.08</v>
      </c>
      <c r="AB768">
        <f t="shared" si="80"/>
        <v>2023</v>
      </c>
      <c r="AC768" t="str">
        <f t="shared" si="81"/>
        <v/>
      </c>
      <c r="AD768" s="28">
        <f>ROUND((IF(ISBLANK(L768),Employee_Lookups!$O$14,L768)-J768)/365.25,2)</f>
        <v>2.78</v>
      </c>
      <c r="AE768" t="str">
        <f t="shared" si="82"/>
        <v>1 - 3 Yrs</v>
      </c>
      <c r="AF768" t="str">
        <f t="shared" si="83"/>
        <v>Low Risk</v>
      </c>
    </row>
    <row r="769" spans="1:32" x14ac:dyDescent="0.45">
      <c r="A769" t="s">
        <v>1496</v>
      </c>
      <c r="B769" t="s">
        <v>1497</v>
      </c>
      <c r="C769" t="s">
        <v>51</v>
      </c>
      <c r="D769" t="s">
        <v>50</v>
      </c>
      <c r="E769" t="s">
        <v>328</v>
      </c>
      <c r="F769" t="s">
        <v>85</v>
      </c>
      <c r="G769" t="s">
        <v>329</v>
      </c>
      <c r="H769" t="s">
        <v>112</v>
      </c>
      <c r="I769" t="s">
        <v>113</v>
      </c>
      <c r="J769" s="26">
        <v>45007</v>
      </c>
      <c r="K769" t="s">
        <v>162</v>
      </c>
      <c r="L769" s="26"/>
      <c r="M769" t="s">
        <v>163</v>
      </c>
      <c r="N769" t="s">
        <v>98</v>
      </c>
      <c r="O769" s="27">
        <v>3580000</v>
      </c>
      <c r="P769">
        <v>3</v>
      </c>
      <c r="Q769" t="s">
        <v>164</v>
      </c>
      <c r="R769">
        <v>31</v>
      </c>
      <c r="S769" t="s">
        <v>197</v>
      </c>
      <c r="T769">
        <f t="shared" si="77"/>
        <v>10533</v>
      </c>
      <c r="U769" t="str">
        <f t="shared" si="78"/>
        <v>ENG</v>
      </c>
      <c r="V769" t="str">
        <f t="shared" si="79"/>
        <v>L5</v>
      </c>
      <c r="W769" t="str">
        <f>PROPER(TRIM(VLOOKUP(S769,Employee_Lookups!$I$4:$M$19,2,FALSE())))</f>
        <v>Rohan Verma</v>
      </c>
      <c r="X769" t="str">
        <f>VLOOKUP(C769,Employee_Lookups!$A$4:$G$9,4,FALSE())</f>
        <v>CC-101</v>
      </c>
      <c r="Y769" t="str">
        <f>INDEX(Employee_Lookups!$C$13:$C$17,MATCH(F769,Employee_Lookups!$A$13:$A$17,0))</f>
        <v>Band E (Executive)</v>
      </c>
      <c r="Z769" s="27">
        <f>_xlfn.XLOOKUP(F769,Employee_Lookups!$A$13:$A$17,Employee_Lookups!$E$13:$E$17,0)</f>
        <v>4300000</v>
      </c>
      <c r="AA769" s="28">
        <f>ROUND(O769/INDEX(Employee_Lookups!$E$13:$E$17,MATCH(F769,Employee_Lookups!$A$13:$A$17,0)),3)</f>
        <v>0.83299999999999996</v>
      </c>
      <c r="AB769">
        <f t="shared" si="80"/>
        <v>2023</v>
      </c>
      <c r="AC769" t="str">
        <f t="shared" si="81"/>
        <v/>
      </c>
      <c r="AD769" s="28">
        <f>ROUND((IF(ISBLANK(L769),Employee_Lookups!$O$14,L769)-J769)/365.25,2)</f>
        <v>2.78</v>
      </c>
      <c r="AE769" t="str">
        <f t="shared" si="82"/>
        <v>1 - 3 Yrs</v>
      </c>
      <c r="AF769" t="str">
        <f t="shared" si="83"/>
        <v>Low Risk</v>
      </c>
    </row>
    <row r="770" spans="1:32" x14ac:dyDescent="0.45">
      <c r="A770" t="s">
        <v>1498</v>
      </c>
      <c r="B770" t="s">
        <v>535</v>
      </c>
      <c r="C770" t="s">
        <v>51</v>
      </c>
      <c r="D770" t="s">
        <v>50</v>
      </c>
      <c r="E770" t="s">
        <v>176</v>
      </c>
      <c r="F770" t="s">
        <v>82</v>
      </c>
      <c r="G770" t="s">
        <v>177</v>
      </c>
      <c r="H770" t="s">
        <v>108</v>
      </c>
      <c r="I770" t="s">
        <v>107</v>
      </c>
      <c r="J770" s="26">
        <v>45013</v>
      </c>
      <c r="K770" t="s">
        <v>162</v>
      </c>
      <c r="L770" s="26"/>
      <c r="M770" t="s">
        <v>163</v>
      </c>
      <c r="N770" t="s">
        <v>98</v>
      </c>
      <c r="O770" s="27">
        <v>875000</v>
      </c>
      <c r="P770">
        <v>4</v>
      </c>
      <c r="Q770" t="s">
        <v>164</v>
      </c>
      <c r="R770">
        <v>60</v>
      </c>
      <c r="S770" t="s">
        <v>244</v>
      </c>
      <c r="T770">
        <f t="shared" ref="T770:T833" si="84">VALUE(MID(A770,5,5))</f>
        <v>10071</v>
      </c>
      <c r="U770" t="str">
        <f t="shared" ref="U770:U833" si="85">LEFT(E770,3)</f>
        <v>ENG</v>
      </c>
      <c r="V770" t="str">
        <f t="shared" ref="V770:V833" si="86">RIGHT(E770,2)</f>
        <v>L2</v>
      </c>
      <c r="W770" t="str">
        <f>PROPER(TRIM(VLOOKUP(S770,Employee_Lookups!$I$4:$M$19,2,FALSE())))</f>
        <v>Siddharth Nair</v>
      </c>
      <c r="X770" t="str">
        <f>VLOOKUP(C770,Employee_Lookups!$A$4:$G$9,4,FALSE())</f>
        <v>CC-101</v>
      </c>
      <c r="Y770" t="str">
        <f>INDEX(Employee_Lookups!$C$13:$C$17,MATCH(F770,Employee_Lookups!$A$13:$A$17,0))</f>
        <v>Band B (Mid)</v>
      </c>
      <c r="Z770" s="27">
        <f>_xlfn.XLOOKUP(F770,Employee_Lookups!$A$13:$A$17,Employee_Lookups!$E$13:$E$17,0)</f>
        <v>1100000</v>
      </c>
      <c r="AA770" s="28">
        <f>ROUND(O770/INDEX(Employee_Lookups!$E$13:$E$17,MATCH(F770,Employee_Lookups!$A$13:$A$17,0)),3)</f>
        <v>0.79500000000000004</v>
      </c>
      <c r="AB770">
        <f t="shared" ref="AB770:AB833" si="87">YEAR(J770)</f>
        <v>2023</v>
      </c>
      <c r="AC770" t="str">
        <f t="shared" ref="AC770:AC833" si="88">IF(ISBLANK(L770),"",YEAR(L770))</f>
        <v/>
      </c>
      <c r="AD770" s="28">
        <f>ROUND((IF(ISBLANK(L770),Employee_Lookups!$O$14,L770)-J770)/365.25,2)</f>
        <v>2.76</v>
      </c>
      <c r="AE770" t="str">
        <f t="shared" ref="AE770:AE833" si="89">IF(AD770&lt;1,"&lt; 1 Yr (New)",IF(AD770&lt;3,"1 - 3 Yrs",IF(AD770&lt;5,"3 - 5 Yrs","5+ Yrs")))</f>
        <v>1 - 3 Yrs</v>
      </c>
      <c r="AF770" t="str">
        <f t="shared" ref="AF770:AF833" si="90">IF(K770&lt;&gt;"Active","Exited",IF(AND(Q770="Yes",OR(P770&gt;=4,AA770&lt;0.95)),"High Risk",IF(OR(Q770="Yes",AND(NOT(ISBLANK(P770)),P770&lt;=2)),"Moderate Risk","Low Risk")))</f>
        <v>Low Risk</v>
      </c>
    </row>
    <row r="771" spans="1:32" x14ac:dyDescent="0.45">
      <c r="A771" t="s">
        <v>1499</v>
      </c>
      <c r="B771" t="s">
        <v>1500</v>
      </c>
      <c r="C771" t="s">
        <v>57</v>
      </c>
      <c r="D771" t="s">
        <v>56</v>
      </c>
      <c r="E771" t="s">
        <v>222</v>
      </c>
      <c r="F771" t="s">
        <v>82</v>
      </c>
      <c r="G771" t="s">
        <v>223</v>
      </c>
      <c r="H771" t="s">
        <v>111</v>
      </c>
      <c r="I771" t="s">
        <v>110</v>
      </c>
      <c r="J771" s="26">
        <v>45021</v>
      </c>
      <c r="K771" t="s">
        <v>187</v>
      </c>
      <c r="L771" s="26">
        <v>45594</v>
      </c>
      <c r="M771" t="s">
        <v>269</v>
      </c>
      <c r="N771" t="s">
        <v>98</v>
      </c>
      <c r="O771" s="27">
        <v>1046000</v>
      </c>
      <c r="P771">
        <v>3</v>
      </c>
      <c r="Q771" t="s">
        <v>172</v>
      </c>
      <c r="R771">
        <v>18</v>
      </c>
      <c r="S771" t="s">
        <v>165</v>
      </c>
      <c r="T771">
        <f t="shared" si="84"/>
        <v>10666</v>
      </c>
      <c r="U771" t="str">
        <f t="shared" si="85"/>
        <v>MKT</v>
      </c>
      <c r="V771" t="str">
        <f t="shared" si="86"/>
        <v>L2</v>
      </c>
      <c r="W771" t="str">
        <f>PROPER(TRIM(VLOOKUP(S771,Employee_Lookups!$I$4:$M$19,2,FALSE())))</f>
        <v>Arjun Sengupta</v>
      </c>
      <c r="X771" t="str">
        <f>VLOOKUP(C771,Employee_Lookups!$A$4:$G$9,4,FALSE())</f>
        <v>CC-606</v>
      </c>
      <c r="Y771" t="str">
        <f>INDEX(Employee_Lookups!$C$13:$C$17,MATCH(F771,Employee_Lookups!$A$13:$A$17,0))</f>
        <v>Band B (Mid)</v>
      </c>
      <c r="Z771" s="27">
        <f>_xlfn.XLOOKUP(F771,Employee_Lookups!$A$13:$A$17,Employee_Lookups!$E$13:$E$17,0)</f>
        <v>1100000</v>
      </c>
      <c r="AA771" s="28">
        <f>ROUND(O771/INDEX(Employee_Lookups!$E$13:$E$17,MATCH(F771,Employee_Lookups!$A$13:$A$17,0)),3)</f>
        <v>0.95099999999999996</v>
      </c>
      <c r="AB771">
        <f t="shared" si="87"/>
        <v>2023</v>
      </c>
      <c r="AC771">
        <f t="shared" si="88"/>
        <v>2024</v>
      </c>
      <c r="AD771" s="28">
        <f>ROUND((IF(ISBLANK(L771),Employee_Lookups!$O$14,L771)-J771)/365.25,2)</f>
        <v>1.57</v>
      </c>
      <c r="AE771" t="str">
        <f t="shared" si="89"/>
        <v>1 - 3 Yrs</v>
      </c>
      <c r="AF771" t="str">
        <f t="shared" si="90"/>
        <v>Exited</v>
      </c>
    </row>
    <row r="772" spans="1:32" x14ac:dyDescent="0.45">
      <c r="A772" t="s">
        <v>1501</v>
      </c>
      <c r="B772" t="s">
        <v>999</v>
      </c>
      <c r="C772" t="s">
        <v>51</v>
      </c>
      <c r="D772" t="s">
        <v>50</v>
      </c>
      <c r="E772" t="s">
        <v>176</v>
      </c>
      <c r="F772" t="s">
        <v>82</v>
      </c>
      <c r="G772" t="s">
        <v>177</v>
      </c>
      <c r="H772" t="s">
        <v>109</v>
      </c>
      <c r="I772" t="s">
        <v>110</v>
      </c>
      <c r="J772" s="26">
        <v>45023</v>
      </c>
      <c r="K772" t="s">
        <v>162</v>
      </c>
      <c r="L772" s="26"/>
      <c r="M772" t="s">
        <v>163</v>
      </c>
      <c r="N772" t="s">
        <v>99</v>
      </c>
      <c r="O772" s="27">
        <v>967000</v>
      </c>
      <c r="P772">
        <v>4</v>
      </c>
      <c r="Q772" t="s">
        <v>164</v>
      </c>
      <c r="R772">
        <v>16</v>
      </c>
      <c r="S772" t="s">
        <v>219</v>
      </c>
      <c r="T772">
        <f t="shared" si="84"/>
        <v>11044</v>
      </c>
      <c r="U772" t="str">
        <f t="shared" si="85"/>
        <v>ENG</v>
      </c>
      <c r="V772" t="str">
        <f t="shared" si="86"/>
        <v>L2</v>
      </c>
      <c r="W772" t="str">
        <f>PROPER(TRIM(VLOOKUP(S772,Employee_Lookups!$I$4:$M$19,2,FALSE())))</f>
        <v>Neha Kulkarni</v>
      </c>
      <c r="X772" t="str">
        <f>VLOOKUP(C772,Employee_Lookups!$A$4:$G$9,4,FALSE())</f>
        <v>CC-101</v>
      </c>
      <c r="Y772" t="str">
        <f>INDEX(Employee_Lookups!$C$13:$C$17,MATCH(F772,Employee_Lookups!$A$13:$A$17,0))</f>
        <v>Band B (Mid)</v>
      </c>
      <c r="Z772" s="27">
        <f>_xlfn.XLOOKUP(F772,Employee_Lookups!$A$13:$A$17,Employee_Lookups!$E$13:$E$17,0)</f>
        <v>1100000</v>
      </c>
      <c r="AA772" s="28">
        <f>ROUND(O772/INDEX(Employee_Lookups!$E$13:$E$17,MATCH(F772,Employee_Lookups!$A$13:$A$17,0)),3)</f>
        <v>0.879</v>
      </c>
      <c r="AB772">
        <f t="shared" si="87"/>
        <v>2023</v>
      </c>
      <c r="AC772" t="str">
        <f t="shared" si="88"/>
        <v/>
      </c>
      <c r="AD772" s="28">
        <f>ROUND((IF(ISBLANK(L772),Employee_Lookups!$O$14,L772)-J772)/365.25,2)</f>
        <v>2.74</v>
      </c>
      <c r="AE772" t="str">
        <f t="shared" si="89"/>
        <v>1 - 3 Yrs</v>
      </c>
      <c r="AF772" t="str">
        <f t="shared" si="90"/>
        <v>Low Risk</v>
      </c>
    </row>
    <row r="773" spans="1:32" x14ac:dyDescent="0.45">
      <c r="A773" t="s">
        <v>1502</v>
      </c>
      <c r="B773" t="s">
        <v>1503</v>
      </c>
      <c r="C773" t="s">
        <v>51</v>
      </c>
      <c r="D773" t="s">
        <v>50</v>
      </c>
      <c r="E773" t="s">
        <v>217</v>
      </c>
      <c r="F773" t="s">
        <v>83</v>
      </c>
      <c r="G773" t="s">
        <v>218</v>
      </c>
      <c r="H773" t="s">
        <v>108</v>
      </c>
      <c r="I773" t="s">
        <v>107</v>
      </c>
      <c r="J773" s="26">
        <v>45025</v>
      </c>
      <c r="K773" t="s">
        <v>187</v>
      </c>
      <c r="L773" s="26">
        <v>45257</v>
      </c>
      <c r="M773" t="s">
        <v>282</v>
      </c>
      <c r="N773" t="s">
        <v>96</v>
      </c>
      <c r="O773" s="27">
        <v>1416000</v>
      </c>
      <c r="P773">
        <v>4</v>
      </c>
      <c r="Q773" t="s">
        <v>172</v>
      </c>
      <c r="R773">
        <v>42</v>
      </c>
      <c r="S773" t="s">
        <v>219</v>
      </c>
      <c r="T773">
        <f t="shared" si="84"/>
        <v>11129</v>
      </c>
      <c r="U773" t="str">
        <f t="shared" si="85"/>
        <v>ENG</v>
      </c>
      <c r="V773" t="str">
        <f t="shared" si="86"/>
        <v>L3</v>
      </c>
      <c r="W773" t="str">
        <f>PROPER(TRIM(VLOOKUP(S773,Employee_Lookups!$I$4:$M$19,2,FALSE())))</f>
        <v>Neha Kulkarni</v>
      </c>
      <c r="X773" t="str">
        <f>VLOOKUP(C773,Employee_Lookups!$A$4:$G$9,4,FALSE())</f>
        <v>CC-101</v>
      </c>
      <c r="Y773" t="str">
        <f>INDEX(Employee_Lookups!$C$13:$C$17,MATCH(F773,Employee_Lookups!$A$13:$A$17,0))</f>
        <v>Band C (Senior)</v>
      </c>
      <c r="Z773" s="27">
        <f>_xlfn.XLOOKUP(F773,Employee_Lookups!$A$13:$A$17,Employee_Lookups!$E$13:$E$17,0)</f>
        <v>1725000</v>
      </c>
      <c r="AA773" s="28">
        <f>ROUND(O773/INDEX(Employee_Lookups!$E$13:$E$17,MATCH(F773,Employee_Lookups!$A$13:$A$17,0)),3)</f>
        <v>0.82099999999999995</v>
      </c>
      <c r="AB773">
        <f t="shared" si="87"/>
        <v>2023</v>
      </c>
      <c r="AC773">
        <f t="shared" si="88"/>
        <v>2023</v>
      </c>
      <c r="AD773" s="28">
        <f>ROUND((IF(ISBLANK(L773),Employee_Lookups!$O$14,L773)-J773)/365.25,2)</f>
        <v>0.64</v>
      </c>
      <c r="AE773" t="str">
        <f t="shared" si="89"/>
        <v>&lt; 1 Yr (New)</v>
      </c>
      <c r="AF773" t="str">
        <f t="shared" si="90"/>
        <v>Exited</v>
      </c>
    </row>
    <row r="774" spans="1:32" x14ac:dyDescent="0.45">
      <c r="A774" t="s">
        <v>1504</v>
      </c>
      <c r="B774" t="s">
        <v>1222</v>
      </c>
      <c r="C774" t="s">
        <v>57</v>
      </c>
      <c r="D774" t="s">
        <v>56</v>
      </c>
      <c r="E774" t="s">
        <v>391</v>
      </c>
      <c r="F774" t="s">
        <v>83</v>
      </c>
      <c r="G774" t="s">
        <v>392</v>
      </c>
      <c r="H774" t="s">
        <v>109</v>
      </c>
      <c r="I774" t="s">
        <v>110</v>
      </c>
      <c r="J774" s="26">
        <v>45027</v>
      </c>
      <c r="K774" t="s">
        <v>162</v>
      </c>
      <c r="L774" s="26"/>
      <c r="M774" t="s">
        <v>163</v>
      </c>
      <c r="N774" t="s">
        <v>96</v>
      </c>
      <c r="O774" s="27">
        <v>1983000</v>
      </c>
      <c r="P774">
        <v>5</v>
      </c>
      <c r="Q774" t="s">
        <v>172</v>
      </c>
      <c r="R774">
        <v>36</v>
      </c>
      <c r="S774" t="s">
        <v>165</v>
      </c>
      <c r="T774">
        <f t="shared" si="84"/>
        <v>10856</v>
      </c>
      <c r="U774" t="str">
        <f t="shared" si="85"/>
        <v>MKT</v>
      </c>
      <c r="V774" t="str">
        <f t="shared" si="86"/>
        <v>L3</v>
      </c>
      <c r="W774" t="str">
        <f>PROPER(TRIM(VLOOKUP(S774,Employee_Lookups!$I$4:$M$19,2,FALSE())))</f>
        <v>Arjun Sengupta</v>
      </c>
      <c r="X774" t="str">
        <f>VLOOKUP(C774,Employee_Lookups!$A$4:$G$9,4,FALSE())</f>
        <v>CC-606</v>
      </c>
      <c r="Y774" t="str">
        <f>INDEX(Employee_Lookups!$C$13:$C$17,MATCH(F774,Employee_Lookups!$A$13:$A$17,0))</f>
        <v>Band C (Senior)</v>
      </c>
      <c r="Z774" s="27">
        <f>_xlfn.XLOOKUP(F774,Employee_Lookups!$A$13:$A$17,Employee_Lookups!$E$13:$E$17,0)</f>
        <v>1725000</v>
      </c>
      <c r="AA774" s="28">
        <f>ROUND(O774/INDEX(Employee_Lookups!$E$13:$E$17,MATCH(F774,Employee_Lookups!$A$13:$A$17,0)),3)</f>
        <v>1.1499999999999999</v>
      </c>
      <c r="AB774">
        <f t="shared" si="87"/>
        <v>2023</v>
      </c>
      <c r="AC774" t="str">
        <f t="shared" si="88"/>
        <v/>
      </c>
      <c r="AD774" s="28">
        <f>ROUND((IF(ISBLANK(L774),Employee_Lookups!$O$14,L774)-J774)/365.25,2)</f>
        <v>2.72</v>
      </c>
      <c r="AE774" t="str">
        <f t="shared" si="89"/>
        <v>1 - 3 Yrs</v>
      </c>
      <c r="AF774" t="str">
        <f t="shared" si="90"/>
        <v>High Risk</v>
      </c>
    </row>
    <row r="775" spans="1:32" x14ac:dyDescent="0.45">
      <c r="A775" t="s">
        <v>1505</v>
      </c>
      <c r="B775" t="s">
        <v>816</v>
      </c>
      <c r="C775" t="s">
        <v>61</v>
      </c>
      <c r="D775" t="s">
        <v>60</v>
      </c>
      <c r="E775" t="s">
        <v>356</v>
      </c>
      <c r="F775" t="s">
        <v>81</v>
      </c>
      <c r="G775" t="s">
        <v>357</v>
      </c>
      <c r="H775" t="s">
        <v>109</v>
      </c>
      <c r="I775" t="s">
        <v>110</v>
      </c>
      <c r="J775" s="26">
        <v>45028</v>
      </c>
      <c r="K775" t="s">
        <v>187</v>
      </c>
      <c r="L775" s="26">
        <v>45511</v>
      </c>
      <c r="M775" t="s">
        <v>269</v>
      </c>
      <c r="N775" t="s">
        <v>98</v>
      </c>
      <c r="O775" s="27">
        <v>745000</v>
      </c>
      <c r="P775">
        <v>4</v>
      </c>
      <c r="Q775" t="s">
        <v>164</v>
      </c>
      <c r="R775">
        <v>23</v>
      </c>
      <c r="S775" t="s">
        <v>253</v>
      </c>
      <c r="T775">
        <f t="shared" si="84"/>
        <v>10877</v>
      </c>
      <c r="U775" t="str">
        <f t="shared" si="85"/>
        <v>-HR</v>
      </c>
      <c r="V775" t="str">
        <f t="shared" si="86"/>
        <v>L1</v>
      </c>
      <c r="W775" t="str">
        <f>PROPER(TRIM(VLOOKUP(S775,Employee_Lookups!$I$4:$M$19,2,FALSE())))</f>
        <v>Nikhil Chatterjee</v>
      </c>
      <c r="X775" t="str">
        <f>VLOOKUP(C775,Employee_Lookups!$A$4:$G$9,4,FALSE())</f>
        <v>CC-505</v>
      </c>
      <c r="Y775" t="str">
        <f>INDEX(Employee_Lookups!$C$13:$C$17,MATCH(F775,Employee_Lookups!$A$13:$A$17,0))</f>
        <v>Band A (Entry)</v>
      </c>
      <c r="Z775" s="27">
        <f>_xlfn.XLOOKUP(F775,Employee_Lookups!$A$13:$A$17,Employee_Lookups!$E$13:$E$17,0)</f>
        <v>700000</v>
      </c>
      <c r="AA775" s="28">
        <f>ROUND(O775/INDEX(Employee_Lookups!$E$13:$E$17,MATCH(F775,Employee_Lookups!$A$13:$A$17,0)),3)</f>
        <v>1.0640000000000001</v>
      </c>
      <c r="AB775">
        <f t="shared" si="87"/>
        <v>2023</v>
      </c>
      <c r="AC775">
        <f t="shared" si="88"/>
        <v>2024</v>
      </c>
      <c r="AD775" s="28">
        <f>ROUND((IF(ISBLANK(L775),Employee_Lookups!$O$14,L775)-J775)/365.25,2)</f>
        <v>1.32</v>
      </c>
      <c r="AE775" t="str">
        <f t="shared" si="89"/>
        <v>1 - 3 Yrs</v>
      </c>
      <c r="AF775" t="str">
        <f t="shared" si="90"/>
        <v>Exited</v>
      </c>
    </row>
    <row r="776" spans="1:32" x14ac:dyDescent="0.45">
      <c r="A776" t="s">
        <v>1506</v>
      </c>
      <c r="B776" t="s">
        <v>505</v>
      </c>
      <c r="C776" t="s">
        <v>51</v>
      </c>
      <c r="D776" t="s">
        <v>50</v>
      </c>
      <c r="E776" t="s">
        <v>176</v>
      </c>
      <c r="F776" t="s">
        <v>82</v>
      </c>
      <c r="G776" t="s">
        <v>177</v>
      </c>
      <c r="H776" t="s">
        <v>111</v>
      </c>
      <c r="I776" t="s">
        <v>110</v>
      </c>
      <c r="J776" s="26">
        <v>45029</v>
      </c>
      <c r="K776" t="s">
        <v>162</v>
      </c>
      <c r="L776" s="26"/>
      <c r="M776" t="s">
        <v>163</v>
      </c>
      <c r="N776" t="s">
        <v>99</v>
      </c>
      <c r="O776" s="27">
        <v>1333000</v>
      </c>
      <c r="P776">
        <v>4</v>
      </c>
      <c r="Q776" t="s">
        <v>164</v>
      </c>
      <c r="R776">
        <v>37</v>
      </c>
      <c r="S776" t="s">
        <v>178</v>
      </c>
      <c r="T776">
        <f t="shared" si="84"/>
        <v>11345</v>
      </c>
      <c r="U776" t="str">
        <f t="shared" si="85"/>
        <v>ENG</v>
      </c>
      <c r="V776" t="str">
        <f t="shared" si="86"/>
        <v>L2</v>
      </c>
      <c r="W776" t="str">
        <f>PROPER(TRIM(VLOOKUP(S776,Employee_Lookups!$I$4:$M$19,2,FALSE())))</f>
        <v>Aarav Deshmukh</v>
      </c>
      <c r="X776" t="str">
        <f>VLOOKUP(C776,Employee_Lookups!$A$4:$G$9,4,FALSE())</f>
        <v>CC-101</v>
      </c>
      <c r="Y776" t="str">
        <f>INDEX(Employee_Lookups!$C$13:$C$17,MATCH(F776,Employee_Lookups!$A$13:$A$17,0))</f>
        <v>Band B (Mid)</v>
      </c>
      <c r="Z776" s="27">
        <f>_xlfn.XLOOKUP(F776,Employee_Lookups!$A$13:$A$17,Employee_Lookups!$E$13:$E$17,0)</f>
        <v>1100000</v>
      </c>
      <c r="AA776" s="28">
        <f>ROUND(O776/INDEX(Employee_Lookups!$E$13:$E$17,MATCH(F776,Employee_Lookups!$A$13:$A$17,0)),3)</f>
        <v>1.212</v>
      </c>
      <c r="AB776">
        <f t="shared" si="87"/>
        <v>2023</v>
      </c>
      <c r="AC776" t="str">
        <f t="shared" si="88"/>
        <v/>
      </c>
      <c r="AD776" s="28">
        <f>ROUND((IF(ISBLANK(L776),Employee_Lookups!$O$14,L776)-J776)/365.25,2)</f>
        <v>2.72</v>
      </c>
      <c r="AE776" t="str">
        <f t="shared" si="89"/>
        <v>1 - 3 Yrs</v>
      </c>
      <c r="AF776" t="str">
        <f t="shared" si="90"/>
        <v>Low Risk</v>
      </c>
    </row>
    <row r="777" spans="1:32" x14ac:dyDescent="0.45">
      <c r="A777" t="s">
        <v>1507</v>
      </c>
      <c r="B777" t="s">
        <v>947</v>
      </c>
      <c r="C777" t="s">
        <v>57</v>
      </c>
      <c r="D777" t="s">
        <v>56</v>
      </c>
      <c r="E777" t="s">
        <v>160</v>
      </c>
      <c r="F777" t="s">
        <v>81</v>
      </c>
      <c r="G777" t="s">
        <v>161</v>
      </c>
      <c r="H777" t="s">
        <v>106</v>
      </c>
      <c r="I777" t="s">
        <v>107</v>
      </c>
      <c r="J777" s="26">
        <v>45029</v>
      </c>
      <c r="K777" t="s">
        <v>162</v>
      </c>
      <c r="L777" s="26"/>
      <c r="M777" t="s">
        <v>163</v>
      </c>
      <c r="N777" t="s">
        <v>98</v>
      </c>
      <c r="O777" s="27">
        <v>625000</v>
      </c>
      <c r="P777">
        <v>3</v>
      </c>
      <c r="Q777" t="s">
        <v>172</v>
      </c>
      <c r="R777">
        <v>56</v>
      </c>
      <c r="S777" t="s">
        <v>165</v>
      </c>
      <c r="T777">
        <f t="shared" si="84"/>
        <v>11071</v>
      </c>
      <c r="U777" t="str">
        <f t="shared" si="85"/>
        <v>MKT</v>
      </c>
      <c r="V777" t="str">
        <f t="shared" si="86"/>
        <v>L1</v>
      </c>
      <c r="W777" t="str">
        <f>PROPER(TRIM(VLOOKUP(S777,Employee_Lookups!$I$4:$M$19,2,FALSE())))</f>
        <v>Arjun Sengupta</v>
      </c>
      <c r="X777" t="str">
        <f>VLOOKUP(C777,Employee_Lookups!$A$4:$G$9,4,FALSE())</f>
        <v>CC-606</v>
      </c>
      <c r="Y777" t="str">
        <f>INDEX(Employee_Lookups!$C$13:$C$17,MATCH(F777,Employee_Lookups!$A$13:$A$17,0))</f>
        <v>Band A (Entry)</v>
      </c>
      <c r="Z777" s="27">
        <f>_xlfn.XLOOKUP(F777,Employee_Lookups!$A$13:$A$17,Employee_Lookups!$E$13:$E$17,0)</f>
        <v>700000</v>
      </c>
      <c r="AA777" s="28">
        <f>ROUND(O777/INDEX(Employee_Lookups!$E$13:$E$17,MATCH(F777,Employee_Lookups!$A$13:$A$17,0)),3)</f>
        <v>0.89300000000000002</v>
      </c>
      <c r="AB777">
        <f t="shared" si="87"/>
        <v>2023</v>
      </c>
      <c r="AC777" t="str">
        <f t="shared" si="88"/>
        <v/>
      </c>
      <c r="AD777" s="28">
        <f>ROUND((IF(ISBLANK(L777),Employee_Lookups!$O$14,L777)-J777)/365.25,2)</f>
        <v>2.72</v>
      </c>
      <c r="AE777" t="str">
        <f t="shared" si="89"/>
        <v>1 - 3 Yrs</v>
      </c>
      <c r="AF777" t="str">
        <f t="shared" si="90"/>
        <v>High Risk</v>
      </c>
    </row>
    <row r="778" spans="1:32" x14ac:dyDescent="0.45">
      <c r="A778" t="s">
        <v>1508</v>
      </c>
      <c r="B778" t="s">
        <v>1407</v>
      </c>
      <c r="C778" t="s">
        <v>51</v>
      </c>
      <c r="D778" t="s">
        <v>50</v>
      </c>
      <c r="E778" t="s">
        <v>176</v>
      </c>
      <c r="F778" t="s">
        <v>82</v>
      </c>
      <c r="G778" t="s">
        <v>177</v>
      </c>
      <c r="H778" t="s">
        <v>108</v>
      </c>
      <c r="I778" t="s">
        <v>107</v>
      </c>
      <c r="J778" s="26">
        <v>45031</v>
      </c>
      <c r="K778" t="s">
        <v>170</v>
      </c>
      <c r="L778" s="26">
        <v>45785</v>
      </c>
      <c r="M778" t="s">
        <v>171</v>
      </c>
      <c r="N778" t="s">
        <v>99</v>
      </c>
      <c r="O778" s="27">
        <v>1255000</v>
      </c>
      <c r="P778">
        <v>2</v>
      </c>
      <c r="Q778" t="s">
        <v>164</v>
      </c>
      <c r="R778">
        <v>11</v>
      </c>
      <c r="S778" t="s">
        <v>244</v>
      </c>
      <c r="T778">
        <f t="shared" si="84"/>
        <v>10003</v>
      </c>
      <c r="U778" t="str">
        <f t="shared" si="85"/>
        <v>ENG</v>
      </c>
      <c r="V778" t="str">
        <f t="shared" si="86"/>
        <v>L2</v>
      </c>
      <c r="W778" t="str">
        <f>PROPER(TRIM(VLOOKUP(S778,Employee_Lookups!$I$4:$M$19,2,FALSE())))</f>
        <v>Siddharth Nair</v>
      </c>
      <c r="X778" t="str">
        <f>VLOOKUP(C778,Employee_Lookups!$A$4:$G$9,4,FALSE())</f>
        <v>CC-101</v>
      </c>
      <c r="Y778" t="str">
        <f>INDEX(Employee_Lookups!$C$13:$C$17,MATCH(F778,Employee_Lookups!$A$13:$A$17,0))</f>
        <v>Band B (Mid)</v>
      </c>
      <c r="Z778" s="27">
        <f>_xlfn.XLOOKUP(F778,Employee_Lookups!$A$13:$A$17,Employee_Lookups!$E$13:$E$17,0)</f>
        <v>1100000</v>
      </c>
      <c r="AA778" s="28">
        <f>ROUND(O778/INDEX(Employee_Lookups!$E$13:$E$17,MATCH(F778,Employee_Lookups!$A$13:$A$17,0)),3)</f>
        <v>1.141</v>
      </c>
      <c r="AB778">
        <f t="shared" si="87"/>
        <v>2023</v>
      </c>
      <c r="AC778">
        <f t="shared" si="88"/>
        <v>2025</v>
      </c>
      <c r="AD778" s="28">
        <f>ROUND((IF(ISBLANK(L778),Employee_Lookups!$O$14,L778)-J778)/365.25,2)</f>
        <v>2.06</v>
      </c>
      <c r="AE778" t="str">
        <f t="shared" si="89"/>
        <v>1 - 3 Yrs</v>
      </c>
      <c r="AF778" t="str">
        <f t="shared" si="90"/>
        <v>Exited</v>
      </c>
    </row>
    <row r="779" spans="1:32" x14ac:dyDescent="0.45">
      <c r="A779" t="s">
        <v>1509</v>
      </c>
      <c r="B779" t="s">
        <v>1162</v>
      </c>
      <c r="C779" t="s">
        <v>55</v>
      </c>
      <c r="D779" t="s">
        <v>54</v>
      </c>
      <c r="E779" t="s">
        <v>277</v>
      </c>
      <c r="F779" t="s">
        <v>81</v>
      </c>
      <c r="G779" t="s">
        <v>278</v>
      </c>
      <c r="H779" t="s">
        <v>111</v>
      </c>
      <c r="I779" t="s">
        <v>110</v>
      </c>
      <c r="J779" s="26">
        <v>45032</v>
      </c>
      <c r="K779" t="s">
        <v>162</v>
      </c>
      <c r="L779" s="26"/>
      <c r="M779" t="s">
        <v>163</v>
      </c>
      <c r="N779" t="s">
        <v>96</v>
      </c>
      <c r="O779" s="27">
        <v>613000</v>
      </c>
      <c r="P779">
        <v>3</v>
      </c>
      <c r="Q779" t="s">
        <v>172</v>
      </c>
      <c r="R779">
        <v>0</v>
      </c>
      <c r="S779" t="s">
        <v>173</v>
      </c>
      <c r="T779">
        <f t="shared" si="84"/>
        <v>11324</v>
      </c>
      <c r="U779" t="str">
        <f t="shared" si="85"/>
        <v>OPS</v>
      </c>
      <c r="V779" t="str">
        <f t="shared" si="86"/>
        <v>L1</v>
      </c>
      <c r="W779" t="str">
        <f>PROPER(TRIM(VLOOKUP(S779,Employee_Lookups!$I$4:$M$19,2,FALSE())))</f>
        <v>Deepak Patil</v>
      </c>
      <c r="X779" t="str">
        <f>VLOOKUP(C779,Employee_Lookups!$A$4:$G$9,4,FALSE())</f>
        <v>CC-303</v>
      </c>
      <c r="Y779" t="str">
        <f>INDEX(Employee_Lookups!$C$13:$C$17,MATCH(F779,Employee_Lookups!$A$13:$A$17,0))</f>
        <v>Band A (Entry)</v>
      </c>
      <c r="Z779" s="27">
        <f>_xlfn.XLOOKUP(F779,Employee_Lookups!$A$13:$A$17,Employee_Lookups!$E$13:$E$17,0)</f>
        <v>700000</v>
      </c>
      <c r="AA779" s="28">
        <f>ROUND(O779/INDEX(Employee_Lookups!$E$13:$E$17,MATCH(F779,Employee_Lookups!$A$13:$A$17,0)),3)</f>
        <v>0.876</v>
      </c>
      <c r="AB779">
        <f t="shared" si="87"/>
        <v>2023</v>
      </c>
      <c r="AC779" t="str">
        <f t="shared" si="88"/>
        <v/>
      </c>
      <c r="AD779" s="28">
        <f>ROUND((IF(ISBLANK(L779),Employee_Lookups!$O$14,L779)-J779)/365.25,2)</f>
        <v>2.71</v>
      </c>
      <c r="AE779" t="str">
        <f t="shared" si="89"/>
        <v>1 - 3 Yrs</v>
      </c>
      <c r="AF779" t="str">
        <f t="shared" si="90"/>
        <v>High Risk</v>
      </c>
    </row>
    <row r="780" spans="1:32" x14ac:dyDescent="0.45">
      <c r="A780" t="s">
        <v>1510</v>
      </c>
      <c r="B780" t="s">
        <v>1511</v>
      </c>
      <c r="C780" t="s">
        <v>55</v>
      </c>
      <c r="D780" t="s">
        <v>54</v>
      </c>
      <c r="E780" t="s">
        <v>240</v>
      </c>
      <c r="F780" t="s">
        <v>83</v>
      </c>
      <c r="G780" t="s">
        <v>241</v>
      </c>
      <c r="H780" t="s">
        <v>108</v>
      </c>
      <c r="I780" t="s">
        <v>107</v>
      </c>
      <c r="J780" s="26">
        <v>45033</v>
      </c>
      <c r="K780" t="s">
        <v>162</v>
      </c>
      <c r="L780" s="26"/>
      <c r="M780" t="s">
        <v>163</v>
      </c>
      <c r="N780" t="s">
        <v>98</v>
      </c>
      <c r="O780" s="27">
        <v>1878000</v>
      </c>
      <c r="P780">
        <v>3</v>
      </c>
      <c r="Q780" t="s">
        <v>172</v>
      </c>
      <c r="R780">
        <v>29</v>
      </c>
      <c r="S780" t="s">
        <v>274</v>
      </c>
      <c r="T780">
        <f t="shared" si="84"/>
        <v>10574</v>
      </c>
      <c r="U780" t="str">
        <f t="shared" si="85"/>
        <v>OPS</v>
      </c>
      <c r="V780" t="str">
        <f t="shared" si="86"/>
        <v>L3</v>
      </c>
      <c r="W780" t="str">
        <f>PROPER(TRIM(VLOOKUP(S780,Employee_Lookups!$I$4:$M$19,2,FALSE())))</f>
        <v>Meera Krishnan</v>
      </c>
      <c r="X780" t="str">
        <f>VLOOKUP(C780,Employee_Lookups!$A$4:$G$9,4,FALSE())</f>
        <v>CC-303</v>
      </c>
      <c r="Y780" t="str">
        <f>INDEX(Employee_Lookups!$C$13:$C$17,MATCH(F780,Employee_Lookups!$A$13:$A$17,0))</f>
        <v>Band C (Senior)</v>
      </c>
      <c r="Z780" s="27">
        <f>_xlfn.XLOOKUP(F780,Employee_Lookups!$A$13:$A$17,Employee_Lookups!$E$13:$E$17,0)</f>
        <v>1725000</v>
      </c>
      <c r="AA780" s="28">
        <f>ROUND(O780/INDEX(Employee_Lookups!$E$13:$E$17,MATCH(F780,Employee_Lookups!$A$13:$A$17,0)),3)</f>
        <v>1.089</v>
      </c>
      <c r="AB780">
        <f t="shared" si="87"/>
        <v>2023</v>
      </c>
      <c r="AC780" t="str">
        <f t="shared" si="88"/>
        <v/>
      </c>
      <c r="AD780" s="28">
        <f>ROUND((IF(ISBLANK(L780),Employee_Lookups!$O$14,L780)-J780)/365.25,2)</f>
        <v>2.71</v>
      </c>
      <c r="AE780" t="str">
        <f t="shared" si="89"/>
        <v>1 - 3 Yrs</v>
      </c>
      <c r="AF780" t="str">
        <f t="shared" si="90"/>
        <v>Moderate Risk</v>
      </c>
    </row>
    <row r="781" spans="1:32" x14ac:dyDescent="0.45">
      <c r="A781" t="s">
        <v>1512</v>
      </c>
      <c r="B781" t="s">
        <v>474</v>
      </c>
      <c r="C781" t="s">
        <v>55</v>
      </c>
      <c r="D781" t="s">
        <v>54</v>
      </c>
      <c r="E781" t="s">
        <v>277</v>
      </c>
      <c r="F781" t="s">
        <v>81</v>
      </c>
      <c r="G781" t="s">
        <v>278</v>
      </c>
      <c r="H781" t="s">
        <v>109</v>
      </c>
      <c r="I781" t="s">
        <v>110</v>
      </c>
      <c r="J781" s="26">
        <v>45033</v>
      </c>
      <c r="K781" t="s">
        <v>170</v>
      </c>
      <c r="L781" s="26">
        <v>45390</v>
      </c>
      <c r="M781" t="s">
        <v>171</v>
      </c>
      <c r="N781" t="s">
        <v>96</v>
      </c>
      <c r="O781" s="27">
        <v>845000</v>
      </c>
      <c r="P781">
        <v>2</v>
      </c>
      <c r="Q781" t="s">
        <v>172</v>
      </c>
      <c r="R781">
        <v>39</v>
      </c>
      <c r="S781" t="s">
        <v>262</v>
      </c>
      <c r="T781">
        <f t="shared" si="84"/>
        <v>10679</v>
      </c>
      <c r="U781" t="str">
        <f t="shared" si="85"/>
        <v>OPS</v>
      </c>
      <c r="V781" t="str">
        <f t="shared" si="86"/>
        <v>L1</v>
      </c>
      <c r="W781" t="str">
        <f>PROPER(TRIM(VLOOKUP(S781,Employee_Lookups!$I$4:$M$19,2,FALSE())))</f>
        <v>Ananya Iyer</v>
      </c>
      <c r="X781" t="str">
        <f>VLOOKUP(C781,Employee_Lookups!$A$4:$G$9,4,FALSE())</f>
        <v>CC-303</v>
      </c>
      <c r="Y781" t="str">
        <f>INDEX(Employee_Lookups!$C$13:$C$17,MATCH(F781,Employee_Lookups!$A$13:$A$17,0))</f>
        <v>Band A (Entry)</v>
      </c>
      <c r="Z781" s="27">
        <f>_xlfn.XLOOKUP(F781,Employee_Lookups!$A$13:$A$17,Employee_Lookups!$E$13:$E$17,0)</f>
        <v>700000</v>
      </c>
      <c r="AA781" s="28">
        <f>ROUND(O781/INDEX(Employee_Lookups!$E$13:$E$17,MATCH(F781,Employee_Lookups!$A$13:$A$17,0)),3)</f>
        <v>1.2070000000000001</v>
      </c>
      <c r="AB781">
        <f t="shared" si="87"/>
        <v>2023</v>
      </c>
      <c r="AC781">
        <f t="shared" si="88"/>
        <v>2024</v>
      </c>
      <c r="AD781" s="28">
        <f>ROUND((IF(ISBLANK(L781),Employee_Lookups!$O$14,L781)-J781)/365.25,2)</f>
        <v>0.98</v>
      </c>
      <c r="AE781" t="str">
        <f t="shared" si="89"/>
        <v>&lt; 1 Yr (New)</v>
      </c>
      <c r="AF781" t="str">
        <f t="shared" si="90"/>
        <v>Exited</v>
      </c>
    </row>
    <row r="782" spans="1:32" x14ac:dyDescent="0.45">
      <c r="A782" t="s">
        <v>1513</v>
      </c>
      <c r="B782" t="s">
        <v>802</v>
      </c>
      <c r="C782" t="s">
        <v>61</v>
      </c>
      <c r="D782" t="s">
        <v>60</v>
      </c>
      <c r="E782" t="s">
        <v>251</v>
      </c>
      <c r="F782" t="s">
        <v>82</v>
      </c>
      <c r="G782" t="s">
        <v>252</v>
      </c>
      <c r="H782" t="s">
        <v>108</v>
      </c>
      <c r="I782" t="s">
        <v>107</v>
      </c>
      <c r="J782" s="26">
        <v>45033</v>
      </c>
      <c r="K782" t="s">
        <v>162</v>
      </c>
      <c r="L782" s="26"/>
      <c r="M782" t="s">
        <v>163</v>
      </c>
      <c r="N782" t="s">
        <v>99</v>
      </c>
      <c r="O782" s="27">
        <v>906000</v>
      </c>
      <c r="P782">
        <v>4</v>
      </c>
      <c r="Q782" t="s">
        <v>172</v>
      </c>
      <c r="R782">
        <v>39</v>
      </c>
      <c r="S782" t="s">
        <v>253</v>
      </c>
      <c r="T782">
        <f t="shared" si="84"/>
        <v>10709</v>
      </c>
      <c r="U782" t="str">
        <f t="shared" si="85"/>
        <v>-HR</v>
      </c>
      <c r="V782" t="str">
        <f t="shared" si="86"/>
        <v>L2</v>
      </c>
      <c r="W782" t="str">
        <f>PROPER(TRIM(VLOOKUP(S782,Employee_Lookups!$I$4:$M$19,2,FALSE())))</f>
        <v>Nikhil Chatterjee</v>
      </c>
      <c r="X782" t="str">
        <f>VLOOKUP(C782,Employee_Lookups!$A$4:$G$9,4,FALSE())</f>
        <v>CC-505</v>
      </c>
      <c r="Y782" t="str">
        <f>INDEX(Employee_Lookups!$C$13:$C$17,MATCH(F782,Employee_Lookups!$A$13:$A$17,0))</f>
        <v>Band B (Mid)</v>
      </c>
      <c r="Z782" s="27">
        <f>_xlfn.XLOOKUP(F782,Employee_Lookups!$A$13:$A$17,Employee_Lookups!$E$13:$E$17,0)</f>
        <v>1100000</v>
      </c>
      <c r="AA782" s="28">
        <f>ROUND(O782/INDEX(Employee_Lookups!$E$13:$E$17,MATCH(F782,Employee_Lookups!$A$13:$A$17,0)),3)</f>
        <v>0.82399999999999995</v>
      </c>
      <c r="AB782">
        <f t="shared" si="87"/>
        <v>2023</v>
      </c>
      <c r="AC782" t="str">
        <f t="shared" si="88"/>
        <v/>
      </c>
      <c r="AD782" s="28">
        <f>ROUND((IF(ISBLANK(L782),Employee_Lookups!$O$14,L782)-J782)/365.25,2)</f>
        <v>2.71</v>
      </c>
      <c r="AE782" t="str">
        <f t="shared" si="89"/>
        <v>1 - 3 Yrs</v>
      </c>
      <c r="AF782" t="str">
        <f t="shared" si="90"/>
        <v>High Risk</v>
      </c>
    </row>
    <row r="783" spans="1:32" x14ac:dyDescent="0.45">
      <c r="A783" t="s">
        <v>1514</v>
      </c>
      <c r="B783" t="s">
        <v>451</v>
      </c>
      <c r="C783" t="s">
        <v>55</v>
      </c>
      <c r="D783" t="s">
        <v>54</v>
      </c>
      <c r="E783" t="s">
        <v>240</v>
      </c>
      <c r="F783" t="s">
        <v>83</v>
      </c>
      <c r="G783" t="s">
        <v>241</v>
      </c>
      <c r="H783" t="s">
        <v>106</v>
      </c>
      <c r="I783" t="s">
        <v>107</v>
      </c>
      <c r="J783" s="26">
        <v>45034</v>
      </c>
      <c r="K783" t="s">
        <v>170</v>
      </c>
      <c r="L783" s="26">
        <v>45370</v>
      </c>
      <c r="M783" t="s">
        <v>171</v>
      </c>
      <c r="N783" t="s">
        <v>96</v>
      </c>
      <c r="O783" s="27">
        <v>1998000</v>
      </c>
      <c r="P783">
        <v>2</v>
      </c>
      <c r="Q783" t="s">
        <v>172</v>
      </c>
      <c r="R783">
        <v>33</v>
      </c>
      <c r="S783" t="s">
        <v>173</v>
      </c>
      <c r="T783">
        <f t="shared" si="84"/>
        <v>10277</v>
      </c>
      <c r="U783" t="str">
        <f t="shared" si="85"/>
        <v>OPS</v>
      </c>
      <c r="V783" t="str">
        <f t="shared" si="86"/>
        <v>L3</v>
      </c>
      <c r="W783" t="str">
        <f>PROPER(TRIM(VLOOKUP(S783,Employee_Lookups!$I$4:$M$19,2,FALSE())))</f>
        <v>Deepak Patil</v>
      </c>
      <c r="X783" t="str">
        <f>VLOOKUP(C783,Employee_Lookups!$A$4:$G$9,4,FALSE())</f>
        <v>CC-303</v>
      </c>
      <c r="Y783" t="str">
        <f>INDEX(Employee_Lookups!$C$13:$C$17,MATCH(F783,Employee_Lookups!$A$13:$A$17,0))</f>
        <v>Band C (Senior)</v>
      </c>
      <c r="Z783" s="27">
        <f>_xlfn.XLOOKUP(F783,Employee_Lookups!$A$13:$A$17,Employee_Lookups!$E$13:$E$17,0)</f>
        <v>1725000</v>
      </c>
      <c r="AA783" s="28">
        <f>ROUND(O783/INDEX(Employee_Lookups!$E$13:$E$17,MATCH(F783,Employee_Lookups!$A$13:$A$17,0)),3)</f>
        <v>1.1579999999999999</v>
      </c>
      <c r="AB783">
        <f t="shared" si="87"/>
        <v>2023</v>
      </c>
      <c r="AC783">
        <f t="shared" si="88"/>
        <v>2024</v>
      </c>
      <c r="AD783" s="28">
        <f>ROUND((IF(ISBLANK(L783),Employee_Lookups!$O$14,L783)-J783)/365.25,2)</f>
        <v>0.92</v>
      </c>
      <c r="AE783" t="str">
        <f t="shared" si="89"/>
        <v>&lt; 1 Yr (New)</v>
      </c>
      <c r="AF783" t="str">
        <f t="shared" si="90"/>
        <v>Exited</v>
      </c>
    </row>
    <row r="784" spans="1:32" x14ac:dyDescent="0.45">
      <c r="A784" t="s">
        <v>1515</v>
      </c>
      <c r="B784" t="s">
        <v>1311</v>
      </c>
      <c r="C784" t="s">
        <v>55</v>
      </c>
      <c r="D784" t="s">
        <v>54</v>
      </c>
      <c r="E784" t="s">
        <v>537</v>
      </c>
      <c r="F784" t="s">
        <v>85</v>
      </c>
      <c r="G784" t="s">
        <v>538</v>
      </c>
      <c r="H784" t="s">
        <v>106</v>
      </c>
      <c r="I784" t="s">
        <v>107</v>
      </c>
      <c r="J784" s="26">
        <v>45034</v>
      </c>
      <c r="K784" t="s">
        <v>187</v>
      </c>
      <c r="L784" s="26">
        <v>45371</v>
      </c>
      <c r="M784" t="s">
        <v>213</v>
      </c>
      <c r="N784" t="s">
        <v>95</v>
      </c>
      <c r="O784" s="27">
        <v>4268000</v>
      </c>
      <c r="P784">
        <v>5</v>
      </c>
      <c r="Q784" t="s">
        <v>172</v>
      </c>
      <c r="R784">
        <v>31</v>
      </c>
      <c r="S784" t="s">
        <v>274</v>
      </c>
      <c r="T784">
        <f t="shared" si="84"/>
        <v>10726</v>
      </c>
      <c r="U784" t="str">
        <f t="shared" si="85"/>
        <v>OPS</v>
      </c>
      <c r="V784" t="str">
        <f t="shared" si="86"/>
        <v>L5</v>
      </c>
      <c r="W784" t="str">
        <f>PROPER(TRIM(VLOOKUP(S784,Employee_Lookups!$I$4:$M$19,2,FALSE())))</f>
        <v>Meera Krishnan</v>
      </c>
      <c r="X784" t="str">
        <f>VLOOKUP(C784,Employee_Lookups!$A$4:$G$9,4,FALSE())</f>
        <v>CC-303</v>
      </c>
      <c r="Y784" t="str">
        <f>INDEX(Employee_Lookups!$C$13:$C$17,MATCH(F784,Employee_Lookups!$A$13:$A$17,0))</f>
        <v>Band E (Executive)</v>
      </c>
      <c r="Z784" s="27">
        <f>_xlfn.XLOOKUP(F784,Employee_Lookups!$A$13:$A$17,Employee_Lookups!$E$13:$E$17,0)</f>
        <v>4300000</v>
      </c>
      <c r="AA784" s="28">
        <f>ROUND(O784/INDEX(Employee_Lookups!$E$13:$E$17,MATCH(F784,Employee_Lookups!$A$13:$A$17,0)),3)</f>
        <v>0.99299999999999999</v>
      </c>
      <c r="AB784">
        <f t="shared" si="87"/>
        <v>2023</v>
      </c>
      <c r="AC784">
        <f t="shared" si="88"/>
        <v>2024</v>
      </c>
      <c r="AD784" s="28">
        <f>ROUND((IF(ISBLANK(L784),Employee_Lookups!$O$14,L784)-J784)/365.25,2)</f>
        <v>0.92</v>
      </c>
      <c r="AE784" t="str">
        <f t="shared" si="89"/>
        <v>&lt; 1 Yr (New)</v>
      </c>
      <c r="AF784" t="str">
        <f t="shared" si="90"/>
        <v>Exited</v>
      </c>
    </row>
    <row r="785" spans="1:32" x14ac:dyDescent="0.45">
      <c r="A785" t="s">
        <v>1516</v>
      </c>
      <c r="B785" t="s">
        <v>749</v>
      </c>
      <c r="C785" t="s">
        <v>51</v>
      </c>
      <c r="D785" t="s">
        <v>50</v>
      </c>
      <c r="E785" t="s">
        <v>181</v>
      </c>
      <c r="F785" t="s">
        <v>81</v>
      </c>
      <c r="G785" t="s">
        <v>182</v>
      </c>
      <c r="H785" t="s">
        <v>108</v>
      </c>
      <c r="I785" t="s">
        <v>107</v>
      </c>
      <c r="J785" s="26">
        <v>45036</v>
      </c>
      <c r="K785" t="s">
        <v>187</v>
      </c>
      <c r="L785" s="26">
        <v>45948</v>
      </c>
      <c r="M785" t="s">
        <v>282</v>
      </c>
      <c r="N785" t="s">
        <v>99</v>
      </c>
      <c r="O785" s="27">
        <v>608000</v>
      </c>
      <c r="P785">
        <v>4</v>
      </c>
      <c r="Q785" t="s">
        <v>164</v>
      </c>
      <c r="R785">
        <v>47</v>
      </c>
      <c r="S785" t="s">
        <v>219</v>
      </c>
      <c r="T785">
        <f t="shared" si="84"/>
        <v>10531</v>
      </c>
      <c r="U785" t="str">
        <f t="shared" si="85"/>
        <v>ENG</v>
      </c>
      <c r="V785" t="str">
        <f t="shared" si="86"/>
        <v>L1</v>
      </c>
      <c r="W785" t="str">
        <f>PROPER(TRIM(VLOOKUP(S785,Employee_Lookups!$I$4:$M$19,2,FALSE())))</f>
        <v>Neha Kulkarni</v>
      </c>
      <c r="X785" t="str">
        <f>VLOOKUP(C785,Employee_Lookups!$A$4:$G$9,4,FALSE())</f>
        <v>CC-101</v>
      </c>
      <c r="Y785" t="str">
        <f>INDEX(Employee_Lookups!$C$13:$C$17,MATCH(F785,Employee_Lookups!$A$13:$A$17,0))</f>
        <v>Band A (Entry)</v>
      </c>
      <c r="Z785" s="27">
        <f>_xlfn.XLOOKUP(F785,Employee_Lookups!$A$13:$A$17,Employee_Lookups!$E$13:$E$17,0)</f>
        <v>700000</v>
      </c>
      <c r="AA785" s="28">
        <f>ROUND(O785/INDEX(Employee_Lookups!$E$13:$E$17,MATCH(F785,Employee_Lookups!$A$13:$A$17,0)),3)</f>
        <v>0.86899999999999999</v>
      </c>
      <c r="AB785">
        <f t="shared" si="87"/>
        <v>2023</v>
      </c>
      <c r="AC785">
        <f t="shared" si="88"/>
        <v>2025</v>
      </c>
      <c r="AD785" s="28">
        <f>ROUND((IF(ISBLANK(L785),Employee_Lookups!$O$14,L785)-J785)/365.25,2)</f>
        <v>2.5</v>
      </c>
      <c r="AE785" t="str">
        <f t="shared" si="89"/>
        <v>1 - 3 Yrs</v>
      </c>
      <c r="AF785" t="str">
        <f t="shared" si="90"/>
        <v>Exited</v>
      </c>
    </row>
    <row r="786" spans="1:32" x14ac:dyDescent="0.45">
      <c r="A786" t="s">
        <v>1517</v>
      </c>
      <c r="B786" t="s">
        <v>1281</v>
      </c>
      <c r="C786" t="s">
        <v>51</v>
      </c>
      <c r="D786" t="s">
        <v>50</v>
      </c>
      <c r="E786" t="s">
        <v>176</v>
      </c>
      <c r="F786" t="s">
        <v>82</v>
      </c>
      <c r="G786" t="s">
        <v>177</v>
      </c>
      <c r="H786" t="s">
        <v>106</v>
      </c>
      <c r="I786" t="s">
        <v>107</v>
      </c>
      <c r="J786" s="26">
        <v>45037</v>
      </c>
      <c r="K786" t="s">
        <v>162</v>
      </c>
      <c r="L786" s="26"/>
      <c r="M786" t="s">
        <v>163</v>
      </c>
      <c r="N786" t="s">
        <v>96</v>
      </c>
      <c r="O786" s="27">
        <v>987000</v>
      </c>
      <c r="P786">
        <v>4</v>
      </c>
      <c r="Q786" t="s">
        <v>164</v>
      </c>
      <c r="R786">
        <v>35</v>
      </c>
      <c r="S786" t="s">
        <v>197</v>
      </c>
      <c r="T786">
        <f t="shared" si="84"/>
        <v>10221</v>
      </c>
      <c r="U786" t="str">
        <f t="shared" si="85"/>
        <v>ENG</v>
      </c>
      <c r="V786" t="str">
        <f t="shared" si="86"/>
        <v>L2</v>
      </c>
      <c r="W786" t="str">
        <f>PROPER(TRIM(VLOOKUP(S786,Employee_Lookups!$I$4:$M$19,2,FALSE())))</f>
        <v>Rohan Verma</v>
      </c>
      <c r="X786" t="str">
        <f>VLOOKUP(C786,Employee_Lookups!$A$4:$G$9,4,FALSE())</f>
        <v>CC-101</v>
      </c>
      <c r="Y786" t="str">
        <f>INDEX(Employee_Lookups!$C$13:$C$17,MATCH(F786,Employee_Lookups!$A$13:$A$17,0))</f>
        <v>Band B (Mid)</v>
      </c>
      <c r="Z786" s="27">
        <f>_xlfn.XLOOKUP(F786,Employee_Lookups!$A$13:$A$17,Employee_Lookups!$E$13:$E$17,0)</f>
        <v>1100000</v>
      </c>
      <c r="AA786" s="28">
        <f>ROUND(O786/INDEX(Employee_Lookups!$E$13:$E$17,MATCH(F786,Employee_Lookups!$A$13:$A$17,0)),3)</f>
        <v>0.89700000000000002</v>
      </c>
      <c r="AB786">
        <f t="shared" si="87"/>
        <v>2023</v>
      </c>
      <c r="AC786" t="str">
        <f t="shared" si="88"/>
        <v/>
      </c>
      <c r="AD786" s="28">
        <f>ROUND((IF(ISBLANK(L786),Employee_Lookups!$O$14,L786)-J786)/365.25,2)</f>
        <v>2.7</v>
      </c>
      <c r="AE786" t="str">
        <f t="shared" si="89"/>
        <v>1 - 3 Yrs</v>
      </c>
      <c r="AF786" t="str">
        <f t="shared" si="90"/>
        <v>Low Risk</v>
      </c>
    </row>
    <row r="787" spans="1:32" x14ac:dyDescent="0.45">
      <c r="A787" t="s">
        <v>1518</v>
      </c>
      <c r="B787" t="s">
        <v>918</v>
      </c>
      <c r="C787" t="s">
        <v>55</v>
      </c>
      <c r="D787" t="s">
        <v>54</v>
      </c>
      <c r="E787" t="s">
        <v>277</v>
      </c>
      <c r="F787" t="s">
        <v>81</v>
      </c>
      <c r="G787" t="s">
        <v>278</v>
      </c>
      <c r="H787" t="s">
        <v>106</v>
      </c>
      <c r="I787" t="s">
        <v>107</v>
      </c>
      <c r="J787" s="26">
        <v>45040</v>
      </c>
      <c r="K787" t="s">
        <v>162</v>
      </c>
      <c r="L787" s="26"/>
      <c r="M787" t="s">
        <v>163</v>
      </c>
      <c r="N787" t="s">
        <v>95</v>
      </c>
      <c r="O787" s="27">
        <v>676000</v>
      </c>
      <c r="P787">
        <v>2</v>
      </c>
      <c r="Q787" t="s">
        <v>164</v>
      </c>
      <c r="R787">
        <v>22</v>
      </c>
      <c r="S787" t="s">
        <v>173</v>
      </c>
      <c r="T787">
        <f t="shared" si="84"/>
        <v>10456</v>
      </c>
      <c r="U787" t="str">
        <f t="shared" si="85"/>
        <v>OPS</v>
      </c>
      <c r="V787" t="str">
        <f t="shared" si="86"/>
        <v>L1</v>
      </c>
      <c r="W787" t="str">
        <f>PROPER(TRIM(VLOOKUP(S787,Employee_Lookups!$I$4:$M$19,2,FALSE())))</f>
        <v>Deepak Patil</v>
      </c>
      <c r="X787" t="str">
        <f>VLOOKUP(C787,Employee_Lookups!$A$4:$G$9,4,FALSE())</f>
        <v>CC-303</v>
      </c>
      <c r="Y787" t="str">
        <f>INDEX(Employee_Lookups!$C$13:$C$17,MATCH(F787,Employee_Lookups!$A$13:$A$17,0))</f>
        <v>Band A (Entry)</v>
      </c>
      <c r="Z787" s="27">
        <f>_xlfn.XLOOKUP(F787,Employee_Lookups!$A$13:$A$17,Employee_Lookups!$E$13:$E$17,0)</f>
        <v>700000</v>
      </c>
      <c r="AA787" s="28">
        <f>ROUND(O787/INDEX(Employee_Lookups!$E$13:$E$17,MATCH(F787,Employee_Lookups!$A$13:$A$17,0)),3)</f>
        <v>0.96599999999999997</v>
      </c>
      <c r="AB787">
        <f t="shared" si="87"/>
        <v>2023</v>
      </c>
      <c r="AC787" t="str">
        <f t="shared" si="88"/>
        <v/>
      </c>
      <c r="AD787" s="28">
        <f>ROUND((IF(ISBLANK(L787),Employee_Lookups!$O$14,L787)-J787)/365.25,2)</f>
        <v>2.69</v>
      </c>
      <c r="AE787" t="str">
        <f t="shared" si="89"/>
        <v>1 - 3 Yrs</v>
      </c>
      <c r="AF787" t="str">
        <f t="shared" si="90"/>
        <v>Moderate Risk</v>
      </c>
    </row>
    <row r="788" spans="1:32" x14ac:dyDescent="0.45">
      <c r="A788" t="s">
        <v>1519</v>
      </c>
      <c r="B788" t="s">
        <v>1520</v>
      </c>
      <c r="C788" t="s">
        <v>51</v>
      </c>
      <c r="D788" t="s">
        <v>50</v>
      </c>
      <c r="E788" t="s">
        <v>181</v>
      </c>
      <c r="F788" t="s">
        <v>81</v>
      </c>
      <c r="G788" t="s">
        <v>182</v>
      </c>
      <c r="H788" t="s">
        <v>109</v>
      </c>
      <c r="I788" t="s">
        <v>110</v>
      </c>
      <c r="J788" s="26">
        <v>45041</v>
      </c>
      <c r="K788" t="s">
        <v>162</v>
      </c>
      <c r="L788" s="26"/>
      <c r="M788" t="s">
        <v>163</v>
      </c>
      <c r="N788" t="s">
        <v>96</v>
      </c>
      <c r="O788" s="27">
        <v>733000</v>
      </c>
      <c r="P788">
        <v>3</v>
      </c>
      <c r="Q788" t="s">
        <v>164</v>
      </c>
      <c r="R788">
        <v>33</v>
      </c>
      <c r="S788" t="s">
        <v>244</v>
      </c>
      <c r="T788">
        <f t="shared" si="84"/>
        <v>10082</v>
      </c>
      <c r="U788" t="str">
        <f t="shared" si="85"/>
        <v>ENG</v>
      </c>
      <c r="V788" t="str">
        <f t="shared" si="86"/>
        <v>L1</v>
      </c>
      <c r="W788" t="str">
        <f>PROPER(TRIM(VLOOKUP(S788,Employee_Lookups!$I$4:$M$19,2,FALSE())))</f>
        <v>Siddharth Nair</v>
      </c>
      <c r="X788" t="str">
        <f>VLOOKUP(C788,Employee_Lookups!$A$4:$G$9,4,FALSE())</f>
        <v>CC-101</v>
      </c>
      <c r="Y788" t="str">
        <f>INDEX(Employee_Lookups!$C$13:$C$17,MATCH(F788,Employee_Lookups!$A$13:$A$17,0))</f>
        <v>Band A (Entry)</v>
      </c>
      <c r="Z788" s="27">
        <f>_xlfn.XLOOKUP(F788,Employee_Lookups!$A$13:$A$17,Employee_Lookups!$E$13:$E$17,0)</f>
        <v>700000</v>
      </c>
      <c r="AA788" s="28">
        <f>ROUND(O788/INDEX(Employee_Lookups!$E$13:$E$17,MATCH(F788,Employee_Lookups!$A$13:$A$17,0)),3)</f>
        <v>1.0469999999999999</v>
      </c>
      <c r="AB788">
        <f t="shared" si="87"/>
        <v>2023</v>
      </c>
      <c r="AC788" t="str">
        <f t="shared" si="88"/>
        <v/>
      </c>
      <c r="AD788" s="28">
        <f>ROUND((IF(ISBLANK(L788),Employee_Lookups!$O$14,L788)-J788)/365.25,2)</f>
        <v>2.69</v>
      </c>
      <c r="AE788" t="str">
        <f t="shared" si="89"/>
        <v>1 - 3 Yrs</v>
      </c>
      <c r="AF788" t="str">
        <f t="shared" si="90"/>
        <v>Low Risk</v>
      </c>
    </row>
    <row r="789" spans="1:32" x14ac:dyDescent="0.45">
      <c r="A789" t="s">
        <v>1521</v>
      </c>
      <c r="B789" t="s">
        <v>587</v>
      </c>
      <c r="C789" t="s">
        <v>51</v>
      </c>
      <c r="D789" t="s">
        <v>50</v>
      </c>
      <c r="E789" t="s">
        <v>181</v>
      </c>
      <c r="F789" t="s">
        <v>81</v>
      </c>
      <c r="G789" t="s">
        <v>182</v>
      </c>
      <c r="H789" t="s">
        <v>108</v>
      </c>
      <c r="I789" t="s">
        <v>107</v>
      </c>
      <c r="J789" s="26">
        <v>45042</v>
      </c>
      <c r="K789" t="s">
        <v>162</v>
      </c>
      <c r="L789" s="26"/>
      <c r="M789" t="s">
        <v>163</v>
      </c>
      <c r="N789" t="s">
        <v>98</v>
      </c>
      <c r="O789" s="27">
        <v>767000</v>
      </c>
      <c r="P789">
        <v>3</v>
      </c>
      <c r="Q789" t="s">
        <v>164</v>
      </c>
      <c r="R789">
        <v>47</v>
      </c>
      <c r="S789" t="s">
        <v>178</v>
      </c>
      <c r="T789">
        <f t="shared" si="84"/>
        <v>10285</v>
      </c>
      <c r="U789" t="str">
        <f t="shared" si="85"/>
        <v>ENG</v>
      </c>
      <c r="V789" t="str">
        <f t="shared" si="86"/>
        <v>L1</v>
      </c>
      <c r="W789" t="str">
        <f>PROPER(TRIM(VLOOKUP(S789,Employee_Lookups!$I$4:$M$19,2,FALSE())))</f>
        <v>Aarav Deshmukh</v>
      </c>
      <c r="X789" t="str">
        <f>VLOOKUP(C789,Employee_Lookups!$A$4:$G$9,4,FALSE())</f>
        <v>CC-101</v>
      </c>
      <c r="Y789" t="str">
        <f>INDEX(Employee_Lookups!$C$13:$C$17,MATCH(F789,Employee_Lookups!$A$13:$A$17,0))</f>
        <v>Band A (Entry)</v>
      </c>
      <c r="Z789" s="27">
        <f>_xlfn.XLOOKUP(F789,Employee_Lookups!$A$13:$A$17,Employee_Lookups!$E$13:$E$17,0)</f>
        <v>700000</v>
      </c>
      <c r="AA789" s="28">
        <f>ROUND(O789/INDEX(Employee_Lookups!$E$13:$E$17,MATCH(F789,Employee_Lookups!$A$13:$A$17,0)),3)</f>
        <v>1.0960000000000001</v>
      </c>
      <c r="AB789">
        <f t="shared" si="87"/>
        <v>2023</v>
      </c>
      <c r="AC789" t="str">
        <f t="shared" si="88"/>
        <v/>
      </c>
      <c r="AD789" s="28">
        <f>ROUND((IF(ISBLANK(L789),Employee_Lookups!$O$14,L789)-J789)/365.25,2)</f>
        <v>2.68</v>
      </c>
      <c r="AE789" t="str">
        <f t="shared" si="89"/>
        <v>1 - 3 Yrs</v>
      </c>
      <c r="AF789" t="str">
        <f t="shared" si="90"/>
        <v>Low Risk</v>
      </c>
    </row>
    <row r="790" spans="1:32" x14ac:dyDescent="0.45">
      <c r="A790" t="s">
        <v>1522</v>
      </c>
      <c r="B790" t="s">
        <v>1523</v>
      </c>
      <c r="C790" t="s">
        <v>51</v>
      </c>
      <c r="D790" t="s">
        <v>50</v>
      </c>
      <c r="E790" t="s">
        <v>181</v>
      </c>
      <c r="F790" t="s">
        <v>81</v>
      </c>
      <c r="G790" t="s">
        <v>182</v>
      </c>
      <c r="H790" t="s">
        <v>111</v>
      </c>
      <c r="I790" t="s">
        <v>110</v>
      </c>
      <c r="J790" s="26">
        <v>45042</v>
      </c>
      <c r="K790" t="s">
        <v>170</v>
      </c>
      <c r="L790" s="26">
        <v>45288</v>
      </c>
      <c r="M790" t="s">
        <v>171</v>
      </c>
      <c r="N790" t="s">
        <v>97</v>
      </c>
      <c r="O790" s="27">
        <v>563000</v>
      </c>
      <c r="P790">
        <v>3</v>
      </c>
      <c r="Q790" t="s">
        <v>172</v>
      </c>
      <c r="R790">
        <v>26</v>
      </c>
      <c r="S790" t="s">
        <v>219</v>
      </c>
      <c r="T790">
        <f t="shared" si="84"/>
        <v>10430</v>
      </c>
      <c r="U790" t="str">
        <f t="shared" si="85"/>
        <v>ENG</v>
      </c>
      <c r="V790" t="str">
        <f t="shared" si="86"/>
        <v>L1</v>
      </c>
      <c r="W790" t="str">
        <f>PROPER(TRIM(VLOOKUP(S790,Employee_Lookups!$I$4:$M$19,2,FALSE())))</f>
        <v>Neha Kulkarni</v>
      </c>
      <c r="X790" t="str">
        <f>VLOOKUP(C790,Employee_Lookups!$A$4:$G$9,4,FALSE())</f>
        <v>CC-101</v>
      </c>
      <c r="Y790" t="str">
        <f>INDEX(Employee_Lookups!$C$13:$C$17,MATCH(F790,Employee_Lookups!$A$13:$A$17,0))</f>
        <v>Band A (Entry)</v>
      </c>
      <c r="Z790" s="27">
        <f>_xlfn.XLOOKUP(F790,Employee_Lookups!$A$13:$A$17,Employee_Lookups!$E$13:$E$17,0)</f>
        <v>700000</v>
      </c>
      <c r="AA790" s="28">
        <f>ROUND(O790/INDEX(Employee_Lookups!$E$13:$E$17,MATCH(F790,Employee_Lookups!$A$13:$A$17,0)),3)</f>
        <v>0.80400000000000005</v>
      </c>
      <c r="AB790">
        <f t="shared" si="87"/>
        <v>2023</v>
      </c>
      <c r="AC790">
        <f t="shared" si="88"/>
        <v>2023</v>
      </c>
      <c r="AD790" s="28">
        <f>ROUND((IF(ISBLANK(L790),Employee_Lookups!$O$14,L790)-J790)/365.25,2)</f>
        <v>0.67</v>
      </c>
      <c r="AE790" t="str">
        <f t="shared" si="89"/>
        <v>&lt; 1 Yr (New)</v>
      </c>
      <c r="AF790" t="str">
        <f t="shared" si="90"/>
        <v>Exited</v>
      </c>
    </row>
    <row r="791" spans="1:32" x14ac:dyDescent="0.45">
      <c r="A791" t="s">
        <v>1524</v>
      </c>
      <c r="B791" t="s">
        <v>1014</v>
      </c>
      <c r="C791" t="s">
        <v>53</v>
      </c>
      <c r="D791" t="s">
        <v>52</v>
      </c>
      <c r="E791" t="s">
        <v>322</v>
      </c>
      <c r="F791" t="s">
        <v>81</v>
      </c>
      <c r="G791" t="s">
        <v>323</v>
      </c>
      <c r="H791" t="s">
        <v>108</v>
      </c>
      <c r="I791" t="s">
        <v>107</v>
      </c>
      <c r="J791" s="26">
        <v>45042</v>
      </c>
      <c r="K791" t="s">
        <v>162</v>
      </c>
      <c r="L791" s="26"/>
      <c r="M791" t="s">
        <v>163</v>
      </c>
      <c r="N791" t="s">
        <v>97</v>
      </c>
      <c r="O791" s="27">
        <v>765000</v>
      </c>
      <c r="P791">
        <v>3</v>
      </c>
      <c r="Q791" t="s">
        <v>172</v>
      </c>
      <c r="R791">
        <v>41</v>
      </c>
      <c r="S791" t="s">
        <v>237</v>
      </c>
      <c r="T791">
        <f t="shared" si="84"/>
        <v>11421</v>
      </c>
      <c r="U791" t="str">
        <f t="shared" si="85"/>
        <v>SAL</v>
      </c>
      <c r="V791" t="str">
        <f t="shared" si="86"/>
        <v>L1</v>
      </c>
      <c r="W791" t="str">
        <f>PROPER(TRIM(VLOOKUP(S791,Employee_Lookups!$I$4:$M$19,2,FALSE())))</f>
        <v>Karan Malhotra</v>
      </c>
      <c r="X791" t="str">
        <f>VLOOKUP(C791,Employee_Lookups!$A$4:$G$9,4,FALSE())</f>
        <v>CC-202</v>
      </c>
      <c r="Y791" t="str">
        <f>INDEX(Employee_Lookups!$C$13:$C$17,MATCH(F791,Employee_Lookups!$A$13:$A$17,0))</f>
        <v>Band A (Entry)</v>
      </c>
      <c r="Z791" s="27">
        <f>_xlfn.XLOOKUP(F791,Employee_Lookups!$A$13:$A$17,Employee_Lookups!$E$13:$E$17,0)</f>
        <v>700000</v>
      </c>
      <c r="AA791" s="28">
        <f>ROUND(O791/INDEX(Employee_Lookups!$E$13:$E$17,MATCH(F791,Employee_Lookups!$A$13:$A$17,0)),3)</f>
        <v>1.093</v>
      </c>
      <c r="AB791">
        <f t="shared" si="87"/>
        <v>2023</v>
      </c>
      <c r="AC791" t="str">
        <f t="shared" si="88"/>
        <v/>
      </c>
      <c r="AD791" s="28">
        <f>ROUND((IF(ISBLANK(L791),Employee_Lookups!$O$14,L791)-J791)/365.25,2)</f>
        <v>2.68</v>
      </c>
      <c r="AE791" t="str">
        <f t="shared" si="89"/>
        <v>1 - 3 Yrs</v>
      </c>
      <c r="AF791" t="str">
        <f t="shared" si="90"/>
        <v>Moderate Risk</v>
      </c>
    </row>
    <row r="792" spans="1:32" x14ac:dyDescent="0.45">
      <c r="A792" t="s">
        <v>1525</v>
      </c>
      <c r="B792" t="s">
        <v>1526</v>
      </c>
      <c r="C792" t="s">
        <v>51</v>
      </c>
      <c r="D792" t="s">
        <v>50</v>
      </c>
      <c r="E792" t="s">
        <v>176</v>
      </c>
      <c r="F792" t="s">
        <v>82</v>
      </c>
      <c r="G792" t="s">
        <v>177</v>
      </c>
      <c r="H792" t="s">
        <v>109</v>
      </c>
      <c r="I792" t="s">
        <v>110</v>
      </c>
      <c r="J792" s="26">
        <v>45043</v>
      </c>
      <c r="K792" t="s">
        <v>162</v>
      </c>
      <c r="L792" s="26"/>
      <c r="M792" t="s">
        <v>163</v>
      </c>
      <c r="N792" t="s">
        <v>97</v>
      </c>
      <c r="O792" s="27">
        <v>1317000</v>
      </c>
      <c r="P792">
        <v>4</v>
      </c>
      <c r="Q792" t="s">
        <v>164</v>
      </c>
      <c r="R792">
        <v>21</v>
      </c>
      <c r="S792" t="s">
        <v>219</v>
      </c>
      <c r="T792">
        <f t="shared" si="84"/>
        <v>10249</v>
      </c>
      <c r="U792" t="str">
        <f t="shared" si="85"/>
        <v>ENG</v>
      </c>
      <c r="V792" t="str">
        <f t="shared" si="86"/>
        <v>L2</v>
      </c>
      <c r="W792" t="str">
        <f>PROPER(TRIM(VLOOKUP(S792,Employee_Lookups!$I$4:$M$19,2,FALSE())))</f>
        <v>Neha Kulkarni</v>
      </c>
      <c r="X792" t="str">
        <f>VLOOKUP(C792,Employee_Lookups!$A$4:$G$9,4,FALSE())</f>
        <v>CC-101</v>
      </c>
      <c r="Y792" t="str">
        <f>INDEX(Employee_Lookups!$C$13:$C$17,MATCH(F792,Employee_Lookups!$A$13:$A$17,0))</f>
        <v>Band B (Mid)</v>
      </c>
      <c r="Z792" s="27">
        <f>_xlfn.XLOOKUP(F792,Employee_Lookups!$A$13:$A$17,Employee_Lookups!$E$13:$E$17,0)</f>
        <v>1100000</v>
      </c>
      <c r="AA792" s="28">
        <f>ROUND(O792/INDEX(Employee_Lookups!$E$13:$E$17,MATCH(F792,Employee_Lookups!$A$13:$A$17,0)),3)</f>
        <v>1.1970000000000001</v>
      </c>
      <c r="AB792">
        <f t="shared" si="87"/>
        <v>2023</v>
      </c>
      <c r="AC792" t="str">
        <f t="shared" si="88"/>
        <v/>
      </c>
      <c r="AD792" s="28">
        <f>ROUND((IF(ISBLANK(L792),Employee_Lookups!$O$14,L792)-J792)/365.25,2)</f>
        <v>2.68</v>
      </c>
      <c r="AE792" t="str">
        <f t="shared" si="89"/>
        <v>1 - 3 Yrs</v>
      </c>
      <c r="AF792" t="str">
        <f t="shared" si="90"/>
        <v>Low Risk</v>
      </c>
    </row>
    <row r="793" spans="1:32" x14ac:dyDescent="0.45">
      <c r="A793" t="s">
        <v>1527</v>
      </c>
      <c r="B793" t="s">
        <v>493</v>
      </c>
      <c r="C793" t="s">
        <v>51</v>
      </c>
      <c r="D793" t="s">
        <v>50</v>
      </c>
      <c r="E793" t="s">
        <v>176</v>
      </c>
      <c r="F793" t="s">
        <v>82</v>
      </c>
      <c r="G793" t="s">
        <v>177</v>
      </c>
      <c r="H793" t="s">
        <v>106</v>
      </c>
      <c r="I793" t="s">
        <v>107</v>
      </c>
      <c r="J793" s="26">
        <v>45044</v>
      </c>
      <c r="K793" t="s">
        <v>162</v>
      </c>
      <c r="L793" s="26"/>
      <c r="M793" t="s">
        <v>163</v>
      </c>
      <c r="N793" t="s">
        <v>97</v>
      </c>
      <c r="O793" s="27">
        <v>1236000</v>
      </c>
      <c r="P793">
        <v>4</v>
      </c>
      <c r="Q793" t="s">
        <v>172</v>
      </c>
      <c r="R793">
        <v>24</v>
      </c>
      <c r="S793" t="s">
        <v>219</v>
      </c>
      <c r="T793">
        <f t="shared" si="84"/>
        <v>10643</v>
      </c>
      <c r="U793" t="str">
        <f t="shared" si="85"/>
        <v>ENG</v>
      </c>
      <c r="V793" t="str">
        <f t="shared" si="86"/>
        <v>L2</v>
      </c>
      <c r="W793" t="str">
        <f>PROPER(TRIM(VLOOKUP(S793,Employee_Lookups!$I$4:$M$19,2,FALSE())))</f>
        <v>Neha Kulkarni</v>
      </c>
      <c r="X793" t="str">
        <f>VLOOKUP(C793,Employee_Lookups!$A$4:$G$9,4,FALSE())</f>
        <v>CC-101</v>
      </c>
      <c r="Y793" t="str">
        <f>INDEX(Employee_Lookups!$C$13:$C$17,MATCH(F793,Employee_Lookups!$A$13:$A$17,0))</f>
        <v>Band B (Mid)</v>
      </c>
      <c r="Z793" s="27">
        <f>_xlfn.XLOOKUP(F793,Employee_Lookups!$A$13:$A$17,Employee_Lookups!$E$13:$E$17,0)</f>
        <v>1100000</v>
      </c>
      <c r="AA793" s="28">
        <f>ROUND(O793/INDEX(Employee_Lookups!$E$13:$E$17,MATCH(F793,Employee_Lookups!$A$13:$A$17,0)),3)</f>
        <v>1.1240000000000001</v>
      </c>
      <c r="AB793">
        <f t="shared" si="87"/>
        <v>2023</v>
      </c>
      <c r="AC793" t="str">
        <f t="shared" si="88"/>
        <v/>
      </c>
      <c r="AD793" s="28">
        <f>ROUND((IF(ISBLANK(L793),Employee_Lookups!$O$14,L793)-J793)/365.25,2)</f>
        <v>2.68</v>
      </c>
      <c r="AE793" t="str">
        <f t="shared" si="89"/>
        <v>1 - 3 Yrs</v>
      </c>
      <c r="AF793" t="str">
        <f t="shared" si="90"/>
        <v>High Risk</v>
      </c>
    </row>
    <row r="794" spans="1:32" x14ac:dyDescent="0.45">
      <c r="A794" t="s">
        <v>1528</v>
      </c>
      <c r="B794" t="s">
        <v>1529</v>
      </c>
      <c r="C794" t="s">
        <v>53</v>
      </c>
      <c r="D794" t="s">
        <v>52</v>
      </c>
      <c r="E794" t="s">
        <v>280</v>
      </c>
      <c r="F794" t="s">
        <v>85</v>
      </c>
      <c r="G794" t="s">
        <v>281</v>
      </c>
      <c r="H794" t="s">
        <v>108</v>
      </c>
      <c r="I794" t="s">
        <v>107</v>
      </c>
      <c r="J794" s="26">
        <v>45047</v>
      </c>
      <c r="K794" t="s">
        <v>162</v>
      </c>
      <c r="L794" s="26"/>
      <c r="M794" t="s">
        <v>163</v>
      </c>
      <c r="N794" t="s">
        <v>97</v>
      </c>
      <c r="O794" s="27">
        <v>3742000</v>
      </c>
      <c r="P794">
        <v>3</v>
      </c>
      <c r="Q794" t="s">
        <v>172</v>
      </c>
      <c r="R794">
        <v>30</v>
      </c>
      <c r="S794" t="s">
        <v>189</v>
      </c>
      <c r="T794">
        <f t="shared" si="84"/>
        <v>10286</v>
      </c>
      <c r="U794" t="str">
        <f t="shared" si="85"/>
        <v>SAL</v>
      </c>
      <c r="V794" t="str">
        <f t="shared" si="86"/>
        <v>L5</v>
      </c>
      <c r="W794" t="str">
        <f>PROPER(TRIM(VLOOKUP(S794,Employee_Lookups!$I$4:$M$19,2,FALSE())))</f>
        <v>Priya Sharma</v>
      </c>
      <c r="X794" t="str">
        <f>VLOOKUP(C794,Employee_Lookups!$A$4:$G$9,4,FALSE())</f>
        <v>CC-202</v>
      </c>
      <c r="Y794" t="str">
        <f>INDEX(Employee_Lookups!$C$13:$C$17,MATCH(F794,Employee_Lookups!$A$13:$A$17,0))</f>
        <v>Band E (Executive)</v>
      </c>
      <c r="Z794" s="27">
        <f>_xlfn.XLOOKUP(F794,Employee_Lookups!$A$13:$A$17,Employee_Lookups!$E$13:$E$17,0)</f>
        <v>4300000</v>
      </c>
      <c r="AA794" s="28">
        <f>ROUND(O794/INDEX(Employee_Lookups!$E$13:$E$17,MATCH(F794,Employee_Lookups!$A$13:$A$17,0)),3)</f>
        <v>0.87</v>
      </c>
      <c r="AB794">
        <f t="shared" si="87"/>
        <v>2023</v>
      </c>
      <c r="AC794" t="str">
        <f t="shared" si="88"/>
        <v/>
      </c>
      <c r="AD794" s="28">
        <f>ROUND((IF(ISBLANK(L794),Employee_Lookups!$O$14,L794)-J794)/365.25,2)</f>
        <v>2.67</v>
      </c>
      <c r="AE794" t="str">
        <f t="shared" si="89"/>
        <v>1 - 3 Yrs</v>
      </c>
      <c r="AF794" t="str">
        <f t="shared" si="90"/>
        <v>High Risk</v>
      </c>
    </row>
    <row r="795" spans="1:32" x14ac:dyDescent="0.45">
      <c r="A795" t="s">
        <v>1530</v>
      </c>
      <c r="B795" t="s">
        <v>1337</v>
      </c>
      <c r="C795" t="s">
        <v>51</v>
      </c>
      <c r="D795" t="s">
        <v>50</v>
      </c>
      <c r="E795" t="s">
        <v>176</v>
      </c>
      <c r="F795" t="s">
        <v>82</v>
      </c>
      <c r="G795" t="s">
        <v>177</v>
      </c>
      <c r="H795" t="s">
        <v>108</v>
      </c>
      <c r="I795" t="s">
        <v>107</v>
      </c>
      <c r="J795" s="26">
        <v>45051</v>
      </c>
      <c r="K795" t="s">
        <v>162</v>
      </c>
      <c r="L795" s="26"/>
      <c r="M795" t="s">
        <v>163</v>
      </c>
      <c r="N795" t="s">
        <v>96</v>
      </c>
      <c r="O795" s="27">
        <v>965000</v>
      </c>
      <c r="P795">
        <v>3</v>
      </c>
      <c r="Q795" t="s">
        <v>172</v>
      </c>
      <c r="R795">
        <v>58</v>
      </c>
      <c r="S795" t="s">
        <v>244</v>
      </c>
      <c r="T795">
        <f t="shared" si="84"/>
        <v>10290</v>
      </c>
      <c r="U795" t="str">
        <f t="shared" si="85"/>
        <v>ENG</v>
      </c>
      <c r="V795" t="str">
        <f t="shared" si="86"/>
        <v>L2</v>
      </c>
      <c r="W795" t="str">
        <f>PROPER(TRIM(VLOOKUP(S795,Employee_Lookups!$I$4:$M$19,2,FALSE())))</f>
        <v>Siddharth Nair</v>
      </c>
      <c r="X795" t="str">
        <f>VLOOKUP(C795,Employee_Lookups!$A$4:$G$9,4,FALSE())</f>
        <v>CC-101</v>
      </c>
      <c r="Y795" t="str">
        <f>INDEX(Employee_Lookups!$C$13:$C$17,MATCH(F795,Employee_Lookups!$A$13:$A$17,0))</f>
        <v>Band B (Mid)</v>
      </c>
      <c r="Z795" s="27">
        <f>_xlfn.XLOOKUP(F795,Employee_Lookups!$A$13:$A$17,Employee_Lookups!$E$13:$E$17,0)</f>
        <v>1100000</v>
      </c>
      <c r="AA795" s="28">
        <f>ROUND(O795/INDEX(Employee_Lookups!$E$13:$E$17,MATCH(F795,Employee_Lookups!$A$13:$A$17,0)),3)</f>
        <v>0.877</v>
      </c>
      <c r="AB795">
        <f t="shared" si="87"/>
        <v>2023</v>
      </c>
      <c r="AC795" t="str">
        <f t="shared" si="88"/>
        <v/>
      </c>
      <c r="AD795" s="28">
        <f>ROUND((IF(ISBLANK(L795),Employee_Lookups!$O$14,L795)-J795)/365.25,2)</f>
        <v>2.66</v>
      </c>
      <c r="AE795" t="str">
        <f t="shared" si="89"/>
        <v>1 - 3 Yrs</v>
      </c>
      <c r="AF795" t="str">
        <f t="shared" si="90"/>
        <v>High Risk</v>
      </c>
    </row>
    <row r="796" spans="1:32" x14ac:dyDescent="0.45">
      <c r="A796" t="s">
        <v>1531</v>
      </c>
      <c r="B796" t="s">
        <v>1107</v>
      </c>
      <c r="C796" t="s">
        <v>53</v>
      </c>
      <c r="D796" t="s">
        <v>52</v>
      </c>
      <c r="E796" t="s">
        <v>185</v>
      </c>
      <c r="F796" t="s">
        <v>82</v>
      </c>
      <c r="G796" t="s">
        <v>186</v>
      </c>
      <c r="H796" t="s">
        <v>106</v>
      </c>
      <c r="I796" t="s">
        <v>107</v>
      </c>
      <c r="J796" s="26">
        <v>45053</v>
      </c>
      <c r="K796" t="s">
        <v>162</v>
      </c>
      <c r="L796" s="26"/>
      <c r="M796" t="s">
        <v>163</v>
      </c>
      <c r="N796" t="s">
        <v>99</v>
      </c>
      <c r="O796" s="27">
        <v>1063000</v>
      </c>
      <c r="P796">
        <v>3</v>
      </c>
      <c r="Q796" t="s">
        <v>164</v>
      </c>
      <c r="R796">
        <v>38</v>
      </c>
      <c r="S796" t="s">
        <v>194</v>
      </c>
      <c r="T796">
        <f t="shared" si="84"/>
        <v>11192</v>
      </c>
      <c r="U796" t="str">
        <f t="shared" si="85"/>
        <v>SAL</v>
      </c>
      <c r="V796" t="str">
        <f t="shared" si="86"/>
        <v>L2</v>
      </c>
      <c r="W796" t="str">
        <f>PROPER(TRIM(VLOOKUP(S796,Employee_Lookups!$I$4:$M$19,2,FALSE())))</f>
        <v>Vikramaditya Joshi</v>
      </c>
      <c r="X796" t="str">
        <f>VLOOKUP(C796,Employee_Lookups!$A$4:$G$9,4,FALSE())</f>
        <v>CC-202</v>
      </c>
      <c r="Y796" t="str">
        <f>INDEX(Employee_Lookups!$C$13:$C$17,MATCH(F796,Employee_Lookups!$A$13:$A$17,0))</f>
        <v>Band B (Mid)</v>
      </c>
      <c r="Z796" s="27">
        <f>_xlfn.XLOOKUP(F796,Employee_Lookups!$A$13:$A$17,Employee_Lookups!$E$13:$E$17,0)</f>
        <v>1100000</v>
      </c>
      <c r="AA796" s="28">
        <f>ROUND(O796/INDEX(Employee_Lookups!$E$13:$E$17,MATCH(F796,Employee_Lookups!$A$13:$A$17,0)),3)</f>
        <v>0.96599999999999997</v>
      </c>
      <c r="AB796">
        <f t="shared" si="87"/>
        <v>2023</v>
      </c>
      <c r="AC796" t="str">
        <f t="shared" si="88"/>
        <v/>
      </c>
      <c r="AD796" s="28">
        <f>ROUND((IF(ISBLANK(L796),Employee_Lookups!$O$14,L796)-J796)/365.25,2)</f>
        <v>2.65</v>
      </c>
      <c r="AE796" t="str">
        <f t="shared" si="89"/>
        <v>1 - 3 Yrs</v>
      </c>
      <c r="AF796" t="str">
        <f t="shared" si="90"/>
        <v>Low Risk</v>
      </c>
    </row>
    <row r="797" spans="1:32" x14ac:dyDescent="0.45">
      <c r="A797" t="s">
        <v>1532</v>
      </c>
      <c r="B797" t="s">
        <v>1533</v>
      </c>
      <c r="C797" t="s">
        <v>51</v>
      </c>
      <c r="D797" t="s">
        <v>50</v>
      </c>
      <c r="E797" t="s">
        <v>181</v>
      </c>
      <c r="F797" t="s">
        <v>81</v>
      </c>
      <c r="G797" t="s">
        <v>182</v>
      </c>
      <c r="H797" t="s">
        <v>109</v>
      </c>
      <c r="I797" t="s">
        <v>110</v>
      </c>
      <c r="J797" s="26">
        <v>45054</v>
      </c>
      <c r="K797" t="s">
        <v>162</v>
      </c>
      <c r="L797" s="26"/>
      <c r="M797" t="s">
        <v>163</v>
      </c>
      <c r="N797" t="s">
        <v>96</v>
      </c>
      <c r="O797" s="27">
        <v>641000</v>
      </c>
      <c r="P797">
        <v>3</v>
      </c>
      <c r="Q797" t="s">
        <v>164</v>
      </c>
      <c r="R797">
        <v>47</v>
      </c>
      <c r="S797" t="s">
        <v>219</v>
      </c>
      <c r="T797">
        <f t="shared" si="84"/>
        <v>10089</v>
      </c>
      <c r="U797" t="str">
        <f t="shared" si="85"/>
        <v>ENG</v>
      </c>
      <c r="V797" t="str">
        <f t="shared" si="86"/>
        <v>L1</v>
      </c>
      <c r="W797" t="str">
        <f>PROPER(TRIM(VLOOKUP(S797,Employee_Lookups!$I$4:$M$19,2,FALSE())))</f>
        <v>Neha Kulkarni</v>
      </c>
      <c r="X797" t="str">
        <f>VLOOKUP(C797,Employee_Lookups!$A$4:$G$9,4,FALSE())</f>
        <v>CC-101</v>
      </c>
      <c r="Y797" t="str">
        <f>INDEX(Employee_Lookups!$C$13:$C$17,MATCH(F797,Employee_Lookups!$A$13:$A$17,0))</f>
        <v>Band A (Entry)</v>
      </c>
      <c r="Z797" s="27">
        <f>_xlfn.XLOOKUP(F797,Employee_Lookups!$A$13:$A$17,Employee_Lookups!$E$13:$E$17,0)</f>
        <v>700000</v>
      </c>
      <c r="AA797" s="28">
        <f>ROUND(O797/INDEX(Employee_Lookups!$E$13:$E$17,MATCH(F797,Employee_Lookups!$A$13:$A$17,0)),3)</f>
        <v>0.91600000000000004</v>
      </c>
      <c r="AB797">
        <f t="shared" si="87"/>
        <v>2023</v>
      </c>
      <c r="AC797" t="str">
        <f t="shared" si="88"/>
        <v/>
      </c>
      <c r="AD797" s="28">
        <f>ROUND((IF(ISBLANK(L797),Employee_Lookups!$O$14,L797)-J797)/365.25,2)</f>
        <v>2.65</v>
      </c>
      <c r="AE797" t="str">
        <f t="shared" si="89"/>
        <v>1 - 3 Yrs</v>
      </c>
      <c r="AF797" t="str">
        <f t="shared" si="90"/>
        <v>Low Risk</v>
      </c>
    </row>
    <row r="798" spans="1:32" x14ac:dyDescent="0.45">
      <c r="A798" t="s">
        <v>1534</v>
      </c>
      <c r="B798" t="s">
        <v>724</v>
      </c>
      <c r="C798" t="s">
        <v>53</v>
      </c>
      <c r="D798" t="s">
        <v>52</v>
      </c>
      <c r="E798" t="s">
        <v>185</v>
      </c>
      <c r="F798" t="s">
        <v>82</v>
      </c>
      <c r="G798" t="s">
        <v>186</v>
      </c>
      <c r="H798" t="s">
        <v>106</v>
      </c>
      <c r="I798" t="s">
        <v>107</v>
      </c>
      <c r="J798" s="26">
        <v>45054</v>
      </c>
      <c r="K798" t="s">
        <v>162</v>
      </c>
      <c r="L798" s="26"/>
      <c r="M798" t="s">
        <v>163</v>
      </c>
      <c r="N798" t="s">
        <v>95</v>
      </c>
      <c r="O798" s="27">
        <v>927000</v>
      </c>
      <c r="P798">
        <v>4</v>
      </c>
      <c r="Q798" t="s">
        <v>172</v>
      </c>
      <c r="R798">
        <v>18</v>
      </c>
      <c r="S798" t="s">
        <v>237</v>
      </c>
      <c r="T798">
        <f t="shared" si="84"/>
        <v>10322</v>
      </c>
      <c r="U798" t="str">
        <f t="shared" si="85"/>
        <v>SAL</v>
      </c>
      <c r="V798" t="str">
        <f t="shared" si="86"/>
        <v>L2</v>
      </c>
      <c r="W798" t="str">
        <f>PROPER(TRIM(VLOOKUP(S798,Employee_Lookups!$I$4:$M$19,2,FALSE())))</f>
        <v>Karan Malhotra</v>
      </c>
      <c r="X798" t="str">
        <f>VLOOKUP(C798,Employee_Lookups!$A$4:$G$9,4,FALSE())</f>
        <v>CC-202</v>
      </c>
      <c r="Y798" t="str">
        <f>INDEX(Employee_Lookups!$C$13:$C$17,MATCH(F798,Employee_Lookups!$A$13:$A$17,0))</f>
        <v>Band B (Mid)</v>
      </c>
      <c r="Z798" s="27">
        <f>_xlfn.XLOOKUP(F798,Employee_Lookups!$A$13:$A$17,Employee_Lookups!$E$13:$E$17,0)</f>
        <v>1100000</v>
      </c>
      <c r="AA798" s="28">
        <f>ROUND(O798/INDEX(Employee_Lookups!$E$13:$E$17,MATCH(F798,Employee_Lookups!$A$13:$A$17,0)),3)</f>
        <v>0.84299999999999997</v>
      </c>
      <c r="AB798">
        <f t="shared" si="87"/>
        <v>2023</v>
      </c>
      <c r="AC798" t="str">
        <f t="shared" si="88"/>
        <v/>
      </c>
      <c r="AD798" s="28">
        <f>ROUND((IF(ISBLANK(L798),Employee_Lookups!$O$14,L798)-J798)/365.25,2)</f>
        <v>2.65</v>
      </c>
      <c r="AE798" t="str">
        <f t="shared" si="89"/>
        <v>1 - 3 Yrs</v>
      </c>
      <c r="AF798" t="str">
        <f t="shared" si="90"/>
        <v>High Risk</v>
      </c>
    </row>
    <row r="799" spans="1:32" x14ac:dyDescent="0.45">
      <c r="A799" t="s">
        <v>1535</v>
      </c>
      <c r="B799" t="s">
        <v>1536</v>
      </c>
      <c r="C799" t="s">
        <v>55</v>
      </c>
      <c r="D799" t="s">
        <v>54</v>
      </c>
      <c r="E799" t="s">
        <v>229</v>
      </c>
      <c r="F799" t="s">
        <v>82</v>
      </c>
      <c r="G799" t="s">
        <v>230</v>
      </c>
      <c r="H799" t="s">
        <v>106</v>
      </c>
      <c r="I799" t="s">
        <v>107</v>
      </c>
      <c r="J799" s="26">
        <v>45056</v>
      </c>
      <c r="K799" t="s">
        <v>162</v>
      </c>
      <c r="L799" s="26"/>
      <c r="M799" t="s">
        <v>163</v>
      </c>
      <c r="N799" t="s">
        <v>97</v>
      </c>
      <c r="O799" s="27">
        <v>1096000</v>
      </c>
      <c r="P799">
        <v>3</v>
      </c>
      <c r="Q799" t="s">
        <v>172</v>
      </c>
      <c r="R799">
        <v>39</v>
      </c>
      <c r="S799" t="s">
        <v>173</v>
      </c>
      <c r="T799">
        <f t="shared" si="84"/>
        <v>10437</v>
      </c>
      <c r="U799" t="str">
        <f t="shared" si="85"/>
        <v>OPS</v>
      </c>
      <c r="V799" t="str">
        <f t="shared" si="86"/>
        <v>L2</v>
      </c>
      <c r="W799" t="str">
        <f>PROPER(TRIM(VLOOKUP(S799,Employee_Lookups!$I$4:$M$19,2,FALSE())))</f>
        <v>Deepak Patil</v>
      </c>
      <c r="X799" t="str">
        <f>VLOOKUP(C799,Employee_Lookups!$A$4:$G$9,4,FALSE())</f>
        <v>CC-303</v>
      </c>
      <c r="Y799" t="str">
        <f>INDEX(Employee_Lookups!$C$13:$C$17,MATCH(F799,Employee_Lookups!$A$13:$A$17,0))</f>
        <v>Band B (Mid)</v>
      </c>
      <c r="Z799" s="27">
        <f>_xlfn.XLOOKUP(F799,Employee_Lookups!$A$13:$A$17,Employee_Lookups!$E$13:$E$17,0)</f>
        <v>1100000</v>
      </c>
      <c r="AA799" s="28">
        <f>ROUND(O799/INDEX(Employee_Lookups!$E$13:$E$17,MATCH(F799,Employee_Lookups!$A$13:$A$17,0)),3)</f>
        <v>0.996</v>
      </c>
      <c r="AB799">
        <f t="shared" si="87"/>
        <v>2023</v>
      </c>
      <c r="AC799" t="str">
        <f t="shared" si="88"/>
        <v/>
      </c>
      <c r="AD799" s="28">
        <f>ROUND((IF(ISBLANK(L799),Employee_Lookups!$O$14,L799)-J799)/365.25,2)</f>
        <v>2.64</v>
      </c>
      <c r="AE799" t="str">
        <f t="shared" si="89"/>
        <v>1 - 3 Yrs</v>
      </c>
      <c r="AF799" t="str">
        <f t="shared" si="90"/>
        <v>Moderate Risk</v>
      </c>
    </row>
    <row r="800" spans="1:32" x14ac:dyDescent="0.45">
      <c r="A800" t="s">
        <v>1537</v>
      </c>
      <c r="B800" t="s">
        <v>1538</v>
      </c>
      <c r="C800" t="s">
        <v>53</v>
      </c>
      <c r="D800" t="s">
        <v>52</v>
      </c>
      <c r="E800" t="s">
        <v>322</v>
      </c>
      <c r="F800" t="s">
        <v>81</v>
      </c>
      <c r="G800" t="s">
        <v>323</v>
      </c>
      <c r="H800" t="s">
        <v>109</v>
      </c>
      <c r="I800" t="s">
        <v>110</v>
      </c>
      <c r="J800" s="26">
        <v>45056</v>
      </c>
      <c r="K800" t="s">
        <v>187</v>
      </c>
      <c r="L800" s="26">
        <v>45145</v>
      </c>
      <c r="M800" t="s">
        <v>269</v>
      </c>
      <c r="N800" t="s">
        <v>99</v>
      </c>
      <c r="O800" s="27">
        <v>787000</v>
      </c>
      <c r="P800">
        <v>3</v>
      </c>
      <c r="Q800" t="s">
        <v>172</v>
      </c>
      <c r="R800">
        <v>25</v>
      </c>
      <c r="S800" t="s">
        <v>189</v>
      </c>
      <c r="T800">
        <f t="shared" si="84"/>
        <v>10981</v>
      </c>
      <c r="U800" t="str">
        <f t="shared" si="85"/>
        <v>SAL</v>
      </c>
      <c r="V800" t="str">
        <f t="shared" si="86"/>
        <v>L1</v>
      </c>
      <c r="W800" t="str">
        <f>PROPER(TRIM(VLOOKUP(S800,Employee_Lookups!$I$4:$M$19,2,FALSE())))</f>
        <v>Priya Sharma</v>
      </c>
      <c r="X800" t="str">
        <f>VLOOKUP(C800,Employee_Lookups!$A$4:$G$9,4,FALSE())</f>
        <v>CC-202</v>
      </c>
      <c r="Y800" t="str">
        <f>INDEX(Employee_Lookups!$C$13:$C$17,MATCH(F800,Employee_Lookups!$A$13:$A$17,0))</f>
        <v>Band A (Entry)</v>
      </c>
      <c r="Z800" s="27">
        <f>_xlfn.XLOOKUP(F800,Employee_Lookups!$A$13:$A$17,Employee_Lookups!$E$13:$E$17,0)</f>
        <v>700000</v>
      </c>
      <c r="AA800" s="28">
        <f>ROUND(O800/INDEX(Employee_Lookups!$E$13:$E$17,MATCH(F800,Employee_Lookups!$A$13:$A$17,0)),3)</f>
        <v>1.1240000000000001</v>
      </c>
      <c r="AB800">
        <f t="shared" si="87"/>
        <v>2023</v>
      </c>
      <c r="AC800">
        <f t="shared" si="88"/>
        <v>2023</v>
      </c>
      <c r="AD800" s="28">
        <f>ROUND((IF(ISBLANK(L800),Employee_Lookups!$O$14,L800)-J800)/365.25,2)</f>
        <v>0.24</v>
      </c>
      <c r="AE800" t="str">
        <f t="shared" si="89"/>
        <v>&lt; 1 Yr (New)</v>
      </c>
      <c r="AF800" t="str">
        <f t="shared" si="90"/>
        <v>Exited</v>
      </c>
    </row>
    <row r="801" spans="1:32" x14ac:dyDescent="0.45">
      <c r="A801" t="s">
        <v>1539</v>
      </c>
      <c r="B801" t="s">
        <v>824</v>
      </c>
      <c r="C801" t="s">
        <v>51</v>
      </c>
      <c r="D801" t="s">
        <v>50</v>
      </c>
      <c r="E801" t="s">
        <v>181</v>
      </c>
      <c r="F801" t="s">
        <v>81</v>
      </c>
      <c r="G801" t="s">
        <v>182</v>
      </c>
      <c r="H801" t="s">
        <v>106</v>
      </c>
      <c r="I801" t="s">
        <v>107</v>
      </c>
      <c r="J801" s="26">
        <v>45059</v>
      </c>
      <c r="K801" t="s">
        <v>162</v>
      </c>
      <c r="L801" s="26"/>
      <c r="M801" t="s">
        <v>163</v>
      </c>
      <c r="N801" t="s">
        <v>95</v>
      </c>
      <c r="O801" s="27">
        <v>570000</v>
      </c>
      <c r="P801">
        <v>3</v>
      </c>
      <c r="Q801" t="s">
        <v>164</v>
      </c>
      <c r="R801">
        <v>52</v>
      </c>
      <c r="S801" t="s">
        <v>197</v>
      </c>
      <c r="T801">
        <f t="shared" si="84"/>
        <v>11386</v>
      </c>
      <c r="U801" t="str">
        <f t="shared" si="85"/>
        <v>ENG</v>
      </c>
      <c r="V801" t="str">
        <f t="shared" si="86"/>
        <v>L1</v>
      </c>
      <c r="W801" t="str">
        <f>PROPER(TRIM(VLOOKUP(S801,Employee_Lookups!$I$4:$M$19,2,FALSE())))</f>
        <v>Rohan Verma</v>
      </c>
      <c r="X801" t="str">
        <f>VLOOKUP(C801,Employee_Lookups!$A$4:$G$9,4,FALSE())</f>
        <v>CC-101</v>
      </c>
      <c r="Y801" t="str">
        <f>INDEX(Employee_Lookups!$C$13:$C$17,MATCH(F801,Employee_Lookups!$A$13:$A$17,0))</f>
        <v>Band A (Entry)</v>
      </c>
      <c r="Z801" s="27">
        <f>_xlfn.XLOOKUP(F801,Employee_Lookups!$A$13:$A$17,Employee_Lookups!$E$13:$E$17,0)</f>
        <v>700000</v>
      </c>
      <c r="AA801" s="28">
        <f>ROUND(O801/INDEX(Employee_Lookups!$E$13:$E$17,MATCH(F801,Employee_Lookups!$A$13:$A$17,0)),3)</f>
        <v>0.81399999999999995</v>
      </c>
      <c r="AB801">
        <f t="shared" si="87"/>
        <v>2023</v>
      </c>
      <c r="AC801" t="str">
        <f t="shared" si="88"/>
        <v/>
      </c>
      <c r="AD801" s="28">
        <f>ROUND((IF(ISBLANK(L801),Employee_Lookups!$O$14,L801)-J801)/365.25,2)</f>
        <v>2.64</v>
      </c>
      <c r="AE801" t="str">
        <f t="shared" si="89"/>
        <v>1 - 3 Yrs</v>
      </c>
      <c r="AF801" t="str">
        <f t="shared" si="90"/>
        <v>Low Risk</v>
      </c>
    </row>
    <row r="802" spans="1:32" x14ac:dyDescent="0.45">
      <c r="A802" t="s">
        <v>1540</v>
      </c>
      <c r="B802" t="s">
        <v>1181</v>
      </c>
      <c r="C802" t="s">
        <v>53</v>
      </c>
      <c r="D802" t="s">
        <v>52</v>
      </c>
      <c r="E802" t="s">
        <v>322</v>
      </c>
      <c r="F802" t="s">
        <v>81</v>
      </c>
      <c r="G802" t="s">
        <v>323</v>
      </c>
      <c r="H802" t="s">
        <v>108</v>
      </c>
      <c r="I802" t="s">
        <v>107</v>
      </c>
      <c r="J802" s="26">
        <v>45061</v>
      </c>
      <c r="K802" t="s">
        <v>162</v>
      </c>
      <c r="L802" s="26"/>
      <c r="M802" t="s">
        <v>163</v>
      </c>
      <c r="N802" t="s">
        <v>98</v>
      </c>
      <c r="O802" s="27">
        <v>699000</v>
      </c>
      <c r="P802">
        <v>3</v>
      </c>
      <c r="Q802" t="s">
        <v>164</v>
      </c>
      <c r="R802">
        <v>63</v>
      </c>
      <c r="S802" t="s">
        <v>237</v>
      </c>
      <c r="T802">
        <f t="shared" si="84"/>
        <v>11302</v>
      </c>
      <c r="U802" t="str">
        <f t="shared" si="85"/>
        <v>SAL</v>
      </c>
      <c r="V802" t="str">
        <f t="shared" si="86"/>
        <v>L1</v>
      </c>
      <c r="W802" t="str">
        <f>PROPER(TRIM(VLOOKUP(S802,Employee_Lookups!$I$4:$M$19,2,FALSE())))</f>
        <v>Karan Malhotra</v>
      </c>
      <c r="X802" t="str">
        <f>VLOOKUP(C802,Employee_Lookups!$A$4:$G$9,4,FALSE())</f>
        <v>CC-202</v>
      </c>
      <c r="Y802" t="str">
        <f>INDEX(Employee_Lookups!$C$13:$C$17,MATCH(F802,Employee_Lookups!$A$13:$A$17,0))</f>
        <v>Band A (Entry)</v>
      </c>
      <c r="Z802" s="27">
        <f>_xlfn.XLOOKUP(F802,Employee_Lookups!$A$13:$A$17,Employee_Lookups!$E$13:$E$17,0)</f>
        <v>700000</v>
      </c>
      <c r="AA802" s="28">
        <f>ROUND(O802/INDEX(Employee_Lookups!$E$13:$E$17,MATCH(F802,Employee_Lookups!$A$13:$A$17,0)),3)</f>
        <v>0.999</v>
      </c>
      <c r="AB802">
        <f t="shared" si="87"/>
        <v>2023</v>
      </c>
      <c r="AC802" t="str">
        <f t="shared" si="88"/>
        <v/>
      </c>
      <c r="AD802" s="28">
        <f>ROUND((IF(ISBLANK(L802),Employee_Lookups!$O$14,L802)-J802)/365.25,2)</f>
        <v>2.63</v>
      </c>
      <c r="AE802" t="str">
        <f t="shared" si="89"/>
        <v>1 - 3 Yrs</v>
      </c>
      <c r="AF802" t="str">
        <f t="shared" si="90"/>
        <v>Low Risk</v>
      </c>
    </row>
    <row r="803" spans="1:32" x14ac:dyDescent="0.45">
      <c r="A803" t="s">
        <v>1541</v>
      </c>
      <c r="B803" t="s">
        <v>1542</v>
      </c>
      <c r="C803" t="s">
        <v>51</v>
      </c>
      <c r="D803" t="s">
        <v>50</v>
      </c>
      <c r="E803" t="s">
        <v>181</v>
      </c>
      <c r="F803" t="s">
        <v>81</v>
      </c>
      <c r="G803" t="s">
        <v>182</v>
      </c>
      <c r="H803" t="s">
        <v>111</v>
      </c>
      <c r="I803" t="s">
        <v>110</v>
      </c>
      <c r="J803" s="26">
        <v>45063</v>
      </c>
      <c r="K803" t="s">
        <v>187</v>
      </c>
      <c r="L803" s="26">
        <v>45886</v>
      </c>
      <c r="M803" t="s">
        <v>213</v>
      </c>
      <c r="N803" t="s">
        <v>98</v>
      </c>
      <c r="O803" s="27">
        <v>573000</v>
      </c>
      <c r="P803">
        <v>3</v>
      </c>
      <c r="Q803" t="s">
        <v>164</v>
      </c>
      <c r="R803">
        <v>39</v>
      </c>
      <c r="S803" t="s">
        <v>197</v>
      </c>
      <c r="T803">
        <f t="shared" si="84"/>
        <v>10836</v>
      </c>
      <c r="U803" t="str">
        <f t="shared" si="85"/>
        <v>ENG</v>
      </c>
      <c r="V803" t="str">
        <f t="shared" si="86"/>
        <v>L1</v>
      </c>
      <c r="W803" t="str">
        <f>PROPER(TRIM(VLOOKUP(S803,Employee_Lookups!$I$4:$M$19,2,FALSE())))</f>
        <v>Rohan Verma</v>
      </c>
      <c r="X803" t="str">
        <f>VLOOKUP(C803,Employee_Lookups!$A$4:$G$9,4,FALSE())</f>
        <v>CC-101</v>
      </c>
      <c r="Y803" t="str">
        <f>INDEX(Employee_Lookups!$C$13:$C$17,MATCH(F803,Employee_Lookups!$A$13:$A$17,0))</f>
        <v>Band A (Entry)</v>
      </c>
      <c r="Z803" s="27">
        <f>_xlfn.XLOOKUP(F803,Employee_Lookups!$A$13:$A$17,Employee_Lookups!$E$13:$E$17,0)</f>
        <v>700000</v>
      </c>
      <c r="AA803" s="28">
        <f>ROUND(O803/INDEX(Employee_Lookups!$E$13:$E$17,MATCH(F803,Employee_Lookups!$A$13:$A$17,0)),3)</f>
        <v>0.81899999999999995</v>
      </c>
      <c r="AB803">
        <f t="shared" si="87"/>
        <v>2023</v>
      </c>
      <c r="AC803">
        <f t="shared" si="88"/>
        <v>2025</v>
      </c>
      <c r="AD803" s="28">
        <f>ROUND((IF(ISBLANK(L803),Employee_Lookups!$O$14,L803)-J803)/365.25,2)</f>
        <v>2.25</v>
      </c>
      <c r="AE803" t="str">
        <f t="shared" si="89"/>
        <v>1 - 3 Yrs</v>
      </c>
      <c r="AF803" t="str">
        <f t="shared" si="90"/>
        <v>Exited</v>
      </c>
    </row>
    <row r="804" spans="1:32" x14ac:dyDescent="0.45">
      <c r="A804" t="s">
        <v>1543</v>
      </c>
      <c r="B804" t="s">
        <v>1544</v>
      </c>
      <c r="C804" t="s">
        <v>55</v>
      </c>
      <c r="D804" t="s">
        <v>54</v>
      </c>
      <c r="E804" t="s">
        <v>229</v>
      </c>
      <c r="F804" t="s">
        <v>82</v>
      </c>
      <c r="G804" t="s">
        <v>230</v>
      </c>
      <c r="H804" t="s">
        <v>108</v>
      </c>
      <c r="I804" t="s">
        <v>107</v>
      </c>
      <c r="J804" s="26">
        <v>45067</v>
      </c>
      <c r="K804" t="s">
        <v>162</v>
      </c>
      <c r="L804" s="26"/>
      <c r="M804" t="s">
        <v>163</v>
      </c>
      <c r="N804" t="s">
        <v>95</v>
      </c>
      <c r="O804" s="27">
        <v>1297000</v>
      </c>
      <c r="P804">
        <v>5</v>
      </c>
      <c r="Q804" t="s">
        <v>172</v>
      </c>
      <c r="R804">
        <v>46</v>
      </c>
      <c r="S804" t="s">
        <v>262</v>
      </c>
      <c r="T804">
        <f t="shared" si="84"/>
        <v>11179</v>
      </c>
      <c r="U804" t="str">
        <f t="shared" si="85"/>
        <v>OPS</v>
      </c>
      <c r="V804" t="str">
        <f t="shared" si="86"/>
        <v>L2</v>
      </c>
      <c r="W804" t="str">
        <f>PROPER(TRIM(VLOOKUP(S804,Employee_Lookups!$I$4:$M$19,2,FALSE())))</f>
        <v>Ananya Iyer</v>
      </c>
      <c r="X804" t="str">
        <f>VLOOKUP(C804,Employee_Lookups!$A$4:$G$9,4,FALSE())</f>
        <v>CC-303</v>
      </c>
      <c r="Y804" t="str">
        <f>INDEX(Employee_Lookups!$C$13:$C$17,MATCH(F804,Employee_Lookups!$A$13:$A$17,0))</f>
        <v>Band B (Mid)</v>
      </c>
      <c r="Z804" s="27">
        <f>_xlfn.XLOOKUP(F804,Employee_Lookups!$A$13:$A$17,Employee_Lookups!$E$13:$E$17,0)</f>
        <v>1100000</v>
      </c>
      <c r="AA804" s="28">
        <f>ROUND(O804/INDEX(Employee_Lookups!$E$13:$E$17,MATCH(F804,Employee_Lookups!$A$13:$A$17,0)),3)</f>
        <v>1.179</v>
      </c>
      <c r="AB804">
        <f t="shared" si="87"/>
        <v>2023</v>
      </c>
      <c r="AC804" t="str">
        <f t="shared" si="88"/>
        <v/>
      </c>
      <c r="AD804" s="28">
        <f>ROUND((IF(ISBLANK(L804),Employee_Lookups!$O$14,L804)-J804)/365.25,2)</f>
        <v>2.61</v>
      </c>
      <c r="AE804" t="str">
        <f t="shared" si="89"/>
        <v>1 - 3 Yrs</v>
      </c>
      <c r="AF804" t="str">
        <f t="shared" si="90"/>
        <v>High Risk</v>
      </c>
    </row>
    <row r="805" spans="1:32" x14ac:dyDescent="0.45">
      <c r="A805" t="s">
        <v>1545</v>
      </c>
      <c r="B805" t="s">
        <v>1420</v>
      </c>
      <c r="C805" t="s">
        <v>53</v>
      </c>
      <c r="D805" t="s">
        <v>52</v>
      </c>
      <c r="E805" t="s">
        <v>185</v>
      </c>
      <c r="F805" t="s">
        <v>82</v>
      </c>
      <c r="G805" t="s">
        <v>186</v>
      </c>
      <c r="H805" t="s">
        <v>109</v>
      </c>
      <c r="I805" t="s">
        <v>110</v>
      </c>
      <c r="J805" s="26">
        <v>45067</v>
      </c>
      <c r="K805" t="s">
        <v>162</v>
      </c>
      <c r="L805" s="26"/>
      <c r="M805" t="s">
        <v>163</v>
      </c>
      <c r="N805" t="s">
        <v>97</v>
      </c>
      <c r="O805" s="27">
        <v>1234000</v>
      </c>
      <c r="P805">
        <v>3</v>
      </c>
      <c r="Q805" t="s">
        <v>172</v>
      </c>
      <c r="R805">
        <v>29</v>
      </c>
      <c r="S805" t="s">
        <v>189</v>
      </c>
      <c r="T805">
        <f t="shared" si="84"/>
        <v>10253</v>
      </c>
      <c r="U805" t="str">
        <f t="shared" si="85"/>
        <v>SAL</v>
      </c>
      <c r="V805" t="str">
        <f t="shared" si="86"/>
        <v>L2</v>
      </c>
      <c r="W805" t="str">
        <f>PROPER(TRIM(VLOOKUP(S805,Employee_Lookups!$I$4:$M$19,2,FALSE())))</f>
        <v>Priya Sharma</v>
      </c>
      <c r="X805" t="str">
        <f>VLOOKUP(C805,Employee_Lookups!$A$4:$G$9,4,FALSE())</f>
        <v>CC-202</v>
      </c>
      <c r="Y805" t="str">
        <f>INDEX(Employee_Lookups!$C$13:$C$17,MATCH(F805,Employee_Lookups!$A$13:$A$17,0))</f>
        <v>Band B (Mid)</v>
      </c>
      <c r="Z805" s="27">
        <f>_xlfn.XLOOKUP(F805,Employee_Lookups!$A$13:$A$17,Employee_Lookups!$E$13:$E$17,0)</f>
        <v>1100000</v>
      </c>
      <c r="AA805" s="28">
        <f>ROUND(O805/INDEX(Employee_Lookups!$E$13:$E$17,MATCH(F805,Employee_Lookups!$A$13:$A$17,0)),3)</f>
        <v>1.1220000000000001</v>
      </c>
      <c r="AB805">
        <f t="shared" si="87"/>
        <v>2023</v>
      </c>
      <c r="AC805" t="str">
        <f t="shared" si="88"/>
        <v/>
      </c>
      <c r="AD805" s="28">
        <f>ROUND((IF(ISBLANK(L805),Employee_Lookups!$O$14,L805)-J805)/365.25,2)</f>
        <v>2.61</v>
      </c>
      <c r="AE805" t="str">
        <f t="shared" si="89"/>
        <v>1 - 3 Yrs</v>
      </c>
      <c r="AF805" t="str">
        <f t="shared" si="90"/>
        <v>Moderate Risk</v>
      </c>
    </row>
    <row r="806" spans="1:32" x14ac:dyDescent="0.45">
      <c r="A806" t="s">
        <v>1546</v>
      </c>
      <c r="B806" t="s">
        <v>1445</v>
      </c>
      <c r="C806" t="s">
        <v>57</v>
      </c>
      <c r="D806" t="s">
        <v>56</v>
      </c>
      <c r="E806" t="s">
        <v>391</v>
      </c>
      <c r="F806" t="s">
        <v>83</v>
      </c>
      <c r="G806" t="s">
        <v>392</v>
      </c>
      <c r="H806" t="s">
        <v>106</v>
      </c>
      <c r="I806" t="s">
        <v>107</v>
      </c>
      <c r="J806" s="26">
        <v>45067</v>
      </c>
      <c r="K806" t="s">
        <v>162</v>
      </c>
      <c r="L806" s="26"/>
      <c r="M806" t="s">
        <v>163</v>
      </c>
      <c r="N806" t="s">
        <v>96</v>
      </c>
      <c r="O806" s="27">
        <v>1932000</v>
      </c>
      <c r="P806">
        <v>3</v>
      </c>
      <c r="Q806" t="s">
        <v>164</v>
      </c>
      <c r="R806">
        <v>0</v>
      </c>
      <c r="S806" t="s">
        <v>165</v>
      </c>
      <c r="T806">
        <f t="shared" si="84"/>
        <v>10240</v>
      </c>
      <c r="U806" t="str">
        <f t="shared" si="85"/>
        <v>MKT</v>
      </c>
      <c r="V806" t="str">
        <f t="shared" si="86"/>
        <v>L3</v>
      </c>
      <c r="W806" t="str">
        <f>PROPER(TRIM(VLOOKUP(S806,Employee_Lookups!$I$4:$M$19,2,FALSE())))</f>
        <v>Arjun Sengupta</v>
      </c>
      <c r="X806" t="str">
        <f>VLOOKUP(C806,Employee_Lookups!$A$4:$G$9,4,FALSE())</f>
        <v>CC-606</v>
      </c>
      <c r="Y806" t="str">
        <f>INDEX(Employee_Lookups!$C$13:$C$17,MATCH(F806,Employee_Lookups!$A$13:$A$17,0))</f>
        <v>Band C (Senior)</v>
      </c>
      <c r="Z806" s="27">
        <f>_xlfn.XLOOKUP(F806,Employee_Lookups!$A$13:$A$17,Employee_Lookups!$E$13:$E$17,0)</f>
        <v>1725000</v>
      </c>
      <c r="AA806" s="28">
        <f>ROUND(O806/INDEX(Employee_Lookups!$E$13:$E$17,MATCH(F806,Employee_Lookups!$A$13:$A$17,0)),3)</f>
        <v>1.1200000000000001</v>
      </c>
      <c r="AB806">
        <f t="shared" si="87"/>
        <v>2023</v>
      </c>
      <c r="AC806" t="str">
        <f t="shared" si="88"/>
        <v/>
      </c>
      <c r="AD806" s="28">
        <f>ROUND((IF(ISBLANK(L806),Employee_Lookups!$O$14,L806)-J806)/365.25,2)</f>
        <v>2.61</v>
      </c>
      <c r="AE806" t="str">
        <f t="shared" si="89"/>
        <v>1 - 3 Yrs</v>
      </c>
      <c r="AF806" t="str">
        <f t="shared" si="90"/>
        <v>Low Risk</v>
      </c>
    </row>
    <row r="807" spans="1:32" x14ac:dyDescent="0.45">
      <c r="A807" t="s">
        <v>1547</v>
      </c>
      <c r="B807" t="s">
        <v>631</v>
      </c>
      <c r="C807" t="s">
        <v>55</v>
      </c>
      <c r="D807" t="s">
        <v>54</v>
      </c>
      <c r="E807" t="s">
        <v>277</v>
      </c>
      <c r="F807" t="s">
        <v>81</v>
      </c>
      <c r="G807" t="s">
        <v>278</v>
      </c>
      <c r="H807" t="s">
        <v>108</v>
      </c>
      <c r="I807" t="s">
        <v>107</v>
      </c>
      <c r="J807" s="26">
        <v>45070</v>
      </c>
      <c r="K807" t="s">
        <v>170</v>
      </c>
      <c r="L807" s="26">
        <v>45453</v>
      </c>
      <c r="M807" t="s">
        <v>171</v>
      </c>
      <c r="N807" t="s">
        <v>95</v>
      </c>
      <c r="O807" s="27">
        <v>779000</v>
      </c>
      <c r="P807">
        <v>3</v>
      </c>
      <c r="Q807" t="s">
        <v>164</v>
      </c>
      <c r="R807">
        <v>59</v>
      </c>
      <c r="S807" t="s">
        <v>274</v>
      </c>
      <c r="T807">
        <f t="shared" si="84"/>
        <v>10455</v>
      </c>
      <c r="U807" t="str">
        <f t="shared" si="85"/>
        <v>OPS</v>
      </c>
      <c r="V807" t="str">
        <f t="shared" si="86"/>
        <v>L1</v>
      </c>
      <c r="W807" t="str">
        <f>PROPER(TRIM(VLOOKUP(S807,Employee_Lookups!$I$4:$M$19,2,FALSE())))</f>
        <v>Meera Krishnan</v>
      </c>
      <c r="X807" t="str">
        <f>VLOOKUP(C807,Employee_Lookups!$A$4:$G$9,4,FALSE())</f>
        <v>CC-303</v>
      </c>
      <c r="Y807" t="str">
        <f>INDEX(Employee_Lookups!$C$13:$C$17,MATCH(F807,Employee_Lookups!$A$13:$A$17,0))</f>
        <v>Band A (Entry)</v>
      </c>
      <c r="Z807" s="27">
        <f>_xlfn.XLOOKUP(F807,Employee_Lookups!$A$13:$A$17,Employee_Lookups!$E$13:$E$17,0)</f>
        <v>700000</v>
      </c>
      <c r="AA807" s="28">
        <f>ROUND(O807/INDEX(Employee_Lookups!$E$13:$E$17,MATCH(F807,Employee_Lookups!$A$13:$A$17,0)),3)</f>
        <v>1.113</v>
      </c>
      <c r="AB807">
        <f t="shared" si="87"/>
        <v>2023</v>
      </c>
      <c r="AC807">
        <f t="shared" si="88"/>
        <v>2024</v>
      </c>
      <c r="AD807" s="28">
        <f>ROUND((IF(ISBLANK(L807),Employee_Lookups!$O$14,L807)-J807)/365.25,2)</f>
        <v>1.05</v>
      </c>
      <c r="AE807" t="str">
        <f t="shared" si="89"/>
        <v>1 - 3 Yrs</v>
      </c>
      <c r="AF807" t="str">
        <f t="shared" si="90"/>
        <v>Exited</v>
      </c>
    </row>
    <row r="808" spans="1:32" x14ac:dyDescent="0.45">
      <c r="A808" t="s">
        <v>1548</v>
      </c>
      <c r="B808" t="s">
        <v>300</v>
      </c>
      <c r="C808" t="s">
        <v>59</v>
      </c>
      <c r="D808" t="s">
        <v>58</v>
      </c>
      <c r="E808" t="s">
        <v>579</v>
      </c>
      <c r="F808" t="s">
        <v>84</v>
      </c>
      <c r="G808" t="s">
        <v>580</v>
      </c>
      <c r="H808" t="s">
        <v>108</v>
      </c>
      <c r="I808" t="s">
        <v>107</v>
      </c>
      <c r="J808" s="26">
        <v>45071</v>
      </c>
      <c r="K808" t="s">
        <v>162</v>
      </c>
      <c r="L808" s="26"/>
      <c r="M808" t="s">
        <v>163</v>
      </c>
      <c r="N808" t="s">
        <v>97</v>
      </c>
      <c r="O808" s="27">
        <v>2856000</v>
      </c>
      <c r="P808">
        <v>2</v>
      </c>
      <c r="Q808" t="s">
        <v>164</v>
      </c>
      <c r="R808">
        <v>16</v>
      </c>
      <c r="S808" t="s">
        <v>214</v>
      </c>
      <c r="T808">
        <f t="shared" si="84"/>
        <v>10857</v>
      </c>
      <c r="U808" t="str">
        <f t="shared" si="85"/>
        <v>FIN</v>
      </c>
      <c r="V808" t="str">
        <f t="shared" si="86"/>
        <v>L4</v>
      </c>
      <c r="W808" t="str">
        <f>PROPER(TRIM(VLOOKUP(S808,Employee_Lookups!$I$4:$M$19,2,FALSE())))</f>
        <v>Aditya Gokhale</v>
      </c>
      <c r="X808" t="str">
        <f>VLOOKUP(C808,Employee_Lookups!$A$4:$G$9,4,FALSE())</f>
        <v>CC-404</v>
      </c>
      <c r="Y808" t="str">
        <f>INDEX(Employee_Lookups!$C$13:$C$17,MATCH(F808,Employee_Lookups!$A$13:$A$17,0))</f>
        <v>Band D (Leadership)</v>
      </c>
      <c r="Z808" s="27">
        <f>_xlfn.XLOOKUP(F808,Employee_Lookups!$A$13:$A$17,Employee_Lookups!$E$13:$E$17,0)</f>
        <v>2750000</v>
      </c>
      <c r="AA808" s="28">
        <f>ROUND(O808/INDEX(Employee_Lookups!$E$13:$E$17,MATCH(F808,Employee_Lookups!$A$13:$A$17,0)),3)</f>
        <v>1.0389999999999999</v>
      </c>
      <c r="AB808">
        <f t="shared" si="87"/>
        <v>2023</v>
      </c>
      <c r="AC808" t="str">
        <f t="shared" si="88"/>
        <v/>
      </c>
      <c r="AD808" s="28">
        <f>ROUND((IF(ISBLANK(L808),Employee_Lookups!$O$14,L808)-J808)/365.25,2)</f>
        <v>2.6</v>
      </c>
      <c r="AE808" t="str">
        <f t="shared" si="89"/>
        <v>1 - 3 Yrs</v>
      </c>
      <c r="AF808" t="str">
        <f t="shared" si="90"/>
        <v>Moderate Risk</v>
      </c>
    </row>
    <row r="809" spans="1:32" x14ac:dyDescent="0.45">
      <c r="A809" t="s">
        <v>1549</v>
      </c>
      <c r="B809" t="s">
        <v>1186</v>
      </c>
      <c r="C809" t="s">
        <v>51</v>
      </c>
      <c r="D809" t="s">
        <v>50</v>
      </c>
      <c r="E809" t="s">
        <v>176</v>
      </c>
      <c r="F809" t="s">
        <v>82</v>
      </c>
      <c r="G809" t="s">
        <v>177</v>
      </c>
      <c r="H809" t="s">
        <v>106</v>
      </c>
      <c r="I809" t="s">
        <v>107</v>
      </c>
      <c r="J809" s="26">
        <v>45073</v>
      </c>
      <c r="K809" t="s">
        <v>162</v>
      </c>
      <c r="L809" s="26"/>
      <c r="M809" t="s">
        <v>163</v>
      </c>
      <c r="N809" t="s">
        <v>97</v>
      </c>
      <c r="O809" s="27">
        <v>1269000</v>
      </c>
      <c r="P809">
        <v>3</v>
      </c>
      <c r="Q809" t="s">
        <v>172</v>
      </c>
      <c r="R809">
        <v>25</v>
      </c>
      <c r="S809" t="s">
        <v>244</v>
      </c>
      <c r="T809">
        <f t="shared" si="84"/>
        <v>11073</v>
      </c>
      <c r="U809" t="str">
        <f t="shared" si="85"/>
        <v>ENG</v>
      </c>
      <c r="V809" t="str">
        <f t="shared" si="86"/>
        <v>L2</v>
      </c>
      <c r="W809" t="str">
        <f>PROPER(TRIM(VLOOKUP(S809,Employee_Lookups!$I$4:$M$19,2,FALSE())))</f>
        <v>Siddharth Nair</v>
      </c>
      <c r="X809" t="str">
        <f>VLOOKUP(C809,Employee_Lookups!$A$4:$G$9,4,FALSE())</f>
        <v>CC-101</v>
      </c>
      <c r="Y809" t="str">
        <f>INDEX(Employee_Lookups!$C$13:$C$17,MATCH(F809,Employee_Lookups!$A$13:$A$17,0))</f>
        <v>Band B (Mid)</v>
      </c>
      <c r="Z809" s="27">
        <f>_xlfn.XLOOKUP(F809,Employee_Lookups!$A$13:$A$17,Employee_Lookups!$E$13:$E$17,0)</f>
        <v>1100000</v>
      </c>
      <c r="AA809" s="28">
        <f>ROUND(O809/INDEX(Employee_Lookups!$E$13:$E$17,MATCH(F809,Employee_Lookups!$A$13:$A$17,0)),3)</f>
        <v>1.1539999999999999</v>
      </c>
      <c r="AB809">
        <f t="shared" si="87"/>
        <v>2023</v>
      </c>
      <c r="AC809" t="str">
        <f t="shared" si="88"/>
        <v/>
      </c>
      <c r="AD809" s="28">
        <f>ROUND((IF(ISBLANK(L809),Employee_Lookups!$O$14,L809)-J809)/365.25,2)</f>
        <v>2.6</v>
      </c>
      <c r="AE809" t="str">
        <f t="shared" si="89"/>
        <v>1 - 3 Yrs</v>
      </c>
      <c r="AF809" t="str">
        <f t="shared" si="90"/>
        <v>Moderate Risk</v>
      </c>
    </row>
    <row r="810" spans="1:32" x14ac:dyDescent="0.45">
      <c r="A810" t="s">
        <v>1550</v>
      </c>
      <c r="B810" t="s">
        <v>1551</v>
      </c>
      <c r="C810" t="s">
        <v>51</v>
      </c>
      <c r="D810" t="s">
        <v>50</v>
      </c>
      <c r="E810" t="s">
        <v>181</v>
      </c>
      <c r="F810" t="s">
        <v>81</v>
      </c>
      <c r="G810" t="s">
        <v>182</v>
      </c>
      <c r="H810" t="s">
        <v>111</v>
      </c>
      <c r="I810" t="s">
        <v>110</v>
      </c>
      <c r="J810" s="26">
        <v>45074</v>
      </c>
      <c r="K810" t="s">
        <v>162</v>
      </c>
      <c r="L810" s="26"/>
      <c r="M810" t="s">
        <v>163</v>
      </c>
      <c r="N810" t="s">
        <v>99</v>
      </c>
      <c r="O810" s="27">
        <v>653000</v>
      </c>
      <c r="P810">
        <v>5</v>
      </c>
      <c r="Q810" t="s">
        <v>164</v>
      </c>
      <c r="R810">
        <v>30</v>
      </c>
      <c r="S810" t="s">
        <v>178</v>
      </c>
      <c r="T810">
        <f t="shared" si="84"/>
        <v>10434</v>
      </c>
      <c r="U810" t="str">
        <f t="shared" si="85"/>
        <v>ENG</v>
      </c>
      <c r="V810" t="str">
        <f t="shared" si="86"/>
        <v>L1</v>
      </c>
      <c r="W810" t="str">
        <f>PROPER(TRIM(VLOOKUP(S810,Employee_Lookups!$I$4:$M$19,2,FALSE())))</f>
        <v>Aarav Deshmukh</v>
      </c>
      <c r="X810" t="str">
        <f>VLOOKUP(C810,Employee_Lookups!$A$4:$G$9,4,FALSE())</f>
        <v>CC-101</v>
      </c>
      <c r="Y810" t="str">
        <f>INDEX(Employee_Lookups!$C$13:$C$17,MATCH(F810,Employee_Lookups!$A$13:$A$17,0))</f>
        <v>Band A (Entry)</v>
      </c>
      <c r="Z810" s="27">
        <f>_xlfn.XLOOKUP(F810,Employee_Lookups!$A$13:$A$17,Employee_Lookups!$E$13:$E$17,0)</f>
        <v>700000</v>
      </c>
      <c r="AA810" s="28">
        <f>ROUND(O810/INDEX(Employee_Lookups!$E$13:$E$17,MATCH(F810,Employee_Lookups!$A$13:$A$17,0)),3)</f>
        <v>0.93300000000000005</v>
      </c>
      <c r="AB810">
        <f t="shared" si="87"/>
        <v>2023</v>
      </c>
      <c r="AC810" t="str">
        <f t="shared" si="88"/>
        <v/>
      </c>
      <c r="AD810" s="28">
        <f>ROUND((IF(ISBLANK(L810),Employee_Lookups!$O$14,L810)-J810)/365.25,2)</f>
        <v>2.6</v>
      </c>
      <c r="AE810" t="str">
        <f t="shared" si="89"/>
        <v>1 - 3 Yrs</v>
      </c>
      <c r="AF810" t="str">
        <f t="shared" si="90"/>
        <v>Low Risk</v>
      </c>
    </row>
    <row r="811" spans="1:32" x14ac:dyDescent="0.45">
      <c r="A811" t="s">
        <v>1552</v>
      </c>
      <c r="B811" t="s">
        <v>1553</v>
      </c>
      <c r="C811" t="s">
        <v>61</v>
      </c>
      <c r="D811" t="s">
        <v>60</v>
      </c>
      <c r="E811" t="s">
        <v>356</v>
      </c>
      <c r="F811" t="s">
        <v>81</v>
      </c>
      <c r="G811" t="s">
        <v>357</v>
      </c>
      <c r="H811" t="s">
        <v>106</v>
      </c>
      <c r="I811" t="s">
        <v>107</v>
      </c>
      <c r="J811" s="26">
        <v>45078</v>
      </c>
      <c r="K811" t="s">
        <v>162</v>
      </c>
      <c r="L811" s="26"/>
      <c r="M811" t="s">
        <v>163</v>
      </c>
      <c r="N811" t="s">
        <v>99</v>
      </c>
      <c r="O811" s="27">
        <v>649000</v>
      </c>
      <c r="P811">
        <v>4</v>
      </c>
      <c r="Q811" t="s">
        <v>164</v>
      </c>
      <c r="R811">
        <v>44</v>
      </c>
      <c r="S811" t="s">
        <v>319</v>
      </c>
      <c r="T811">
        <f t="shared" si="84"/>
        <v>11180</v>
      </c>
      <c r="U811" t="str">
        <f t="shared" si="85"/>
        <v>-HR</v>
      </c>
      <c r="V811" t="str">
        <f t="shared" si="86"/>
        <v>L1</v>
      </c>
      <c r="W811" t="str">
        <f>PROPER(TRIM(VLOOKUP(S811,Employee_Lookups!$I$4:$M$19,2,FALSE())))</f>
        <v>Kavita Menon</v>
      </c>
      <c r="X811" t="str">
        <f>VLOOKUP(C811,Employee_Lookups!$A$4:$G$9,4,FALSE())</f>
        <v>CC-505</v>
      </c>
      <c r="Y811" t="str">
        <f>INDEX(Employee_Lookups!$C$13:$C$17,MATCH(F811,Employee_Lookups!$A$13:$A$17,0))</f>
        <v>Band A (Entry)</v>
      </c>
      <c r="Z811" s="27">
        <f>_xlfn.XLOOKUP(F811,Employee_Lookups!$A$13:$A$17,Employee_Lookups!$E$13:$E$17,0)</f>
        <v>700000</v>
      </c>
      <c r="AA811" s="28">
        <f>ROUND(O811/INDEX(Employee_Lookups!$E$13:$E$17,MATCH(F811,Employee_Lookups!$A$13:$A$17,0)),3)</f>
        <v>0.92700000000000005</v>
      </c>
      <c r="AB811">
        <f t="shared" si="87"/>
        <v>2023</v>
      </c>
      <c r="AC811" t="str">
        <f t="shared" si="88"/>
        <v/>
      </c>
      <c r="AD811" s="28">
        <f>ROUND((IF(ISBLANK(L811),Employee_Lookups!$O$14,L811)-J811)/365.25,2)</f>
        <v>2.58</v>
      </c>
      <c r="AE811" t="str">
        <f t="shared" si="89"/>
        <v>1 - 3 Yrs</v>
      </c>
      <c r="AF811" t="str">
        <f t="shared" si="90"/>
        <v>Low Risk</v>
      </c>
    </row>
    <row r="812" spans="1:32" x14ac:dyDescent="0.45">
      <c r="A812" t="s">
        <v>1554</v>
      </c>
      <c r="B812" t="s">
        <v>1555</v>
      </c>
      <c r="C812" t="s">
        <v>51</v>
      </c>
      <c r="D812" t="s">
        <v>50</v>
      </c>
      <c r="E812" t="s">
        <v>176</v>
      </c>
      <c r="F812" t="s">
        <v>82</v>
      </c>
      <c r="G812" t="s">
        <v>177</v>
      </c>
      <c r="H812" t="s">
        <v>111</v>
      </c>
      <c r="I812" t="s">
        <v>110</v>
      </c>
      <c r="J812" s="26">
        <v>45081</v>
      </c>
      <c r="K812" t="s">
        <v>162</v>
      </c>
      <c r="L812" s="26"/>
      <c r="M812" t="s">
        <v>163</v>
      </c>
      <c r="N812" t="s">
        <v>97</v>
      </c>
      <c r="O812" s="27">
        <v>1043000</v>
      </c>
      <c r="P812">
        <v>3</v>
      </c>
      <c r="Q812" t="s">
        <v>164</v>
      </c>
      <c r="R812">
        <v>46</v>
      </c>
      <c r="S812" t="s">
        <v>178</v>
      </c>
      <c r="T812">
        <f t="shared" si="84"/>
        <v>10178</v>
      </c>
      <c r="U812" t="str">
        <f t="shared" si="85"/>
        <v>ENG</v>
      </c>
      <c r="V812" t="str">
        <f t="shared" si="86"/>
        <v>L2</v>
      </c>
      <c r="W812" t="str">
        <f>PROPER(TRIM(VLOOKUP(S812,Employee_Lookups!$I$4:$M$19,2,FALSE())))</f>
        <v>Aarav Deshmukh</v>
      </c>
      <c r="X812" t="str">
        <f>VLOOKUP(C812,Employee_Lookups!$A$4:$G$9,4,FALSE())</f>
        <v>CC-101</v>
      </c>
      <c r="Y812" t="str">
        <f>INDEX(Employee_Lookups!$C$13:$C$17,MATCH(F812,Employee_Lookups!$A$13:$A$17,0))</f>
        <v>Band B (Mid)</v>
      </c>
      <c r="Z812" s="27">
        <f>_xlfn.XLOOKUP(F812,Employee_Lookups!$A$13:$A$17,Employee_Lookups!$E$13:$E$17,0)</f>
        <v>1100000</v>
      </c>
      <c r="AA812" s="28">
        <f>ROUND(O812/INDEX(Employee_Lookups!$E$13:$E$17,MATCH(F812,Employee_Lookups!$A$13:$A$17,0)),3)</f>
        <v>0.94799999999999995</v>
      </c>
      <c r="AB812">
        <f t="shared" si="87"/>
        <v>2023</v>
      </c>
      <c r="AC812" t="str">
        <f t="shared" si="88"/>
        <v/>
      </c>
      <c r="AD812" s="28">
        <f>ROUND((IF(ISBLANK(L812),Employee_Lookups!$O$14,L812)-J812)/365.25,2)</f>
        <v>2.58</v>
      </c>
      <c r="AE812" t="str">
        <f t="shared" si="89"/>
        <v>1 - 3 Yrs</v>
      </c>
      <c r="AF812" t="str">
        <f t="shared" si="90"/>
        <v>Low Risk</v>
      </c>
    </row>
    <row r="813" spans="1:32" x14ac:dyDescent="0.45">
      <c r="A813" t="s">
        <v>1556</v>
      </c>
      <c r="B813" t="s">
        <v>1557</v>
      </c>
      <c r="C813" t="s">
        <v>55</v>
      </c>
      <c r="D813" t="s">
        <v>54</v>
      </c>
      <c r="E813" t="s">
        <v>240</v>
      </c>
      <c r="F813" t="s">
        <v>83</v>
      </c>
      <c r="G813" t="s">
        <v>241</v>
      </c>
      <c r="H813" t="s">
        <v>106</v>
      </c>
      <c r="I813" t="s">
        <v>107</v>
      </c>
      <c r="J813" s="26">
        <v>45083</v>
      </c>
      <c r="K813" t="s">
        <v>162</v>
      </c>
      <c r="L813" s="26"/>
      <c r="M813" t="s">
        <v>163</v>
      </c>
      <c r="N813" t="s">
        <v>97</v>
      </c>
      <c r="O813" s="27">
        <v>1394000</v>
      </c>
      <c r="P813">
        <v>5</v>
      </c>
      <c r="Q813" t="s">
        <v>172</v>
      </c>
      <c r="R813">
        <v>41</v>
      </c>
      <c r="S813" t="s">
        <v>274</v>
      </c>
      <c r="T813">
        <f t="shared" si="84"/>
        <v>10992</v>
      </c>
      <c r="U813" t="str">
        <f t="shared" si="85"/>
        <v>OPS</v>
      </c>
      <c r="V813" t="str">
        <f t="shared" si="86"/>
        <v>L3</v>
      </c>
      <c r="W813" t="str">
        <f>PROPER(TRIM(VLOOKUP(S813,Employee_Lookups!$I$4:$M$19,2,FALSE())))</f>
        <v>Meera Krishnan</v>
      </c>
      <c r="X813" t="str">
        <f>VLOOKUP(C813,Employee_Lookups!$A$4:$G$9,4,FALSE())</f>
        <v>CC-303</v>
      </c>
      <c r="Y813" t="str">
        <f>INDEX(Employee_Lookups!$C$13:$C$17,MATCH(F813,Employee_Lookups!$A$13:$A$17,0))</f>
        <v>Band C (Senior)</v>
      </c>
      <c r="Z813" s="27">
        <f>_xlfn.XLOOKUP(F813,Employee_Lookups!$A$13:$A$17,Employee_Lookups!$E$13:$E$17,0)</f>
        <v>1725000</v>
      </c>
      <c r="AA813" s="28">
        <f>ROUND(O813/INDEX(Employee_Lookups!$E$13:$E$17,MATCH(F813,Employee_Lookups!$A$13:$A$17,0)),3)</f>
        <v>0.80800000000000005</v>
      </c>
      <c r="AB813">
        <f t="shared" si="87"/>
        <v>2023</v>
      </c>
      <c r="AC813" t="str">
        <f t="shared" si="88"/>
        <v/>
      </c>
      <c r="AD813" s="28">
        <f>ROUND((IF(ISBLANK(L813),Employee_Lookups!$O$14,L813)-J813)/365.25,2)</f>
        <v>2.57</v>
      </c>
      <c r="AE813" t="str">
        <f t="shared" si="89"/>
        <v>1 - 3 Yrs</v>
      </c>
      <c r="AF813" t="str">
        <f t="shared" si="90"/>
        <v>High Risk</v>
      </c>
    </row>
    <row r="814" spans="1:32" x14ac:dyDescent="0.45">
      <c r="A814" t="s">
        <v>1558</v>
      </c>
      <c r="B814" t="s">
        <v>243</v>
      </c>
      <c r="C814" t="s">
        <v>53</v>
      </c>
      <c r="D814" t="s">
        <v>52</v>
      </c>
      <c r="E814" t="s">
        <v>185</v>
      </c>
      <c r="F814" t="s">
        <v>82</v>
      </c>
      <c r="G814" t="s">
        <v>186</v>
      </c>
      <c r="H814" t="s">
        <v>106</v>
      </c>
      <c r="I814" t="s">
        <v>107</v>
      </c>
      <c r="J814" s="26">
        <v>45083</v>
      </c>
      <c r="K814" t="s">
        <v>162</v>
      </c>
      <c r="L814" s="26"/>
      <c r="M814" t="s">
        <v>163</v>
      </c>
      <c r="N814" t="s">
        <v>95</v>
      </c>
      <c r="O814" s="27">
        <v>1131000</v>
      </c>
      <c r="P814">
        <v>3</v>
      </c>
      <c r="Q814" t="s">
        <v>164</v>
      </c>
      <c r="R814">
        <v>45</v>
      </c>
      <c r="S814" t="s">
        <v>237</v>
      </c>
      <c r="T814">
        <f t="shared" si="84"/>
        <v>10410</v>
      </c>
      <c r="U814" t="str">
        <f t="shared" si="85"/>
        <v>SAL</v>
      </c>
      <c r="V814" t="str">
        <f t="shared" si="86"/>
        <v>L2</v>
      </c>
      <c r="W814" t="str">
        <f>PROPER(TRIM(VLOOKUP(S814,Employee_Lookups!$I$4:$M$19,2,FALSE())))</f>
        <v>Karan Malhotra</v>
      </c>
      <c r="X814" t="str">
        <f>VLOOKUP(C814,Employee_Lookups!$A$4:$G$9,4,FALSE())</f>
        <v>CC-202</v>
      </c>
      <c r="Y814" t="str">
        <f>INDEX(Employee_Lookups!$C$13:$C$17,MATCH(F814,Employee_Lookups!$A$13:$A$17,0))</f>
        <v>Band B (Mid)</v>
      </c>
      <c r="Z814" s="27">
        <f>_xlfn.XLOOKUP(F814,Employee_Lookups!$A$13:$A$17,Employee_Lookups!$E$13:$E$17,0)</f>
        <v>1100000</v>
      </c>
      <c r="AA814" s="28">
        <f>ROUND(O814/INDEX(Employee_Lookups!$E$13:$E$17,MATCH(F814,Employee_Lookups!$A$13:$A$17,0)),3)</f>
        <v>1.028</v>
      </c>
      <c r="AB814">
        <f t="shared" si="87"/>
        <v>2023</v>
      </c>
      <c r="AC814" t="str">
        <f t="shared" si="88"/>
        <v/>
      </c>
      <c r="AD814" s="28">
        <f>ROUND((IF(ISBLANK(L814),Employee_Lookups!$O$14,L814)-J814)/365.25,2)</f>
        <v>2.57</v>
      </c>
      <c r="AE814" t="str">
        <f t="shared" si="89"/>
        <v>1 - 3 Yrs</v>
      </c>
      <c r="AF814" t="str">
        <f t="shared" si="90"/>
        <v>Low Risk</v>
      </c>
    </row>
    <row r="815" spans="1:32" x14ac:dyDescent="0.45">
      <c r="A815" t="s">
        <v>1559</v>
      </c>
      <c r="B815" t="s">
        <v>1560</v>
      </c>
      <c r="C815" t="s">
        <v>51</v>
      </c>
      <c r="D815" t="s">
        <v>50</v>
      </c>
      <c r="E815" t="s">
        <v>176</v>
      </c>
      <c r="F815" t="s">
        <v>82</v>
      </c>
      <c r="G815" t="s">
        <v>177</v>
      </c>
      <c r="H815" t="s">
        <v>108</v>
      </c>
      <c r="I815" t="s">
        <v>107</v>
      </c>
      <c r="J815" s="26">
        <v>45085</v>
      </c>
      <c r="K815" t="s">
        <v>162</v>
      </c>
      <c r="L815" s="26"/>
      <c r="M815" t="s">
        <v>163</v>
      </c>
      <c r="N815" t="s">
        <v>99</v>
      </c>
      <c r="O815" s="27">
        <v>1177000</v>
      </c>
      <c r="P815">
        <v>2</v>
      </c>
      <c r="Q815" t="s">
        <v>172</v>
      </c>
      <c r="R815">
        <v>13</v>
      </c>
      <c r="S815" t="s">
        <v>219</v>
      </c>
      <c r="T815">
        <f t="shared" si="84"/>
        <v>10598</v>
      </c>
      <c r="U815" t="str">
        <f t="shared" si="85"/>
        <v>ENG</v>
      </c>
      <c r="V815" t="str">
        <f t="shared" si="86"/>
        <v>L2</v>
      </c>
      <c r="W815" t="str">
        <f>PROPER(TRIM(VLOOKUP(S815,Employee_Lookups!$I$4:$M$19,2,FALSE())))</f>
        <v>Neha Kulkarni</v>
      </c>
      <c r="X815" t="str">
        <f>VLOOKUP(C815,Employee_Lookups!$A$4:$G$9,4,FALSE())</f>
        <v>CC-101</v>
      </c>
      <c r="Y815" t="str">
        <f>INDEX(Employee_Lookups!$C$13:$C$17,MATCH(F815,Employee_Lookups!$A$13:$A$17,0))</f>
        <v>Band B (Mid)</v>
      </c>
      <c r="Z815" s="27">
        <f>_xlfn.XLOOKUP(F815,Employee_Lookups!$A$13:$A$17,Employee_Lookups!$E$13:$E$17,0)</f>
        <v>1100000</v>
      </c>
      <c r="AA815" s="28">
        <f>ROUND(O815/INDEX(Employee_Lookups!$E$13:$E$17,MATCH(F815,Employee_Lookups!$A$13:$A$17,0)),3)</f>
        <v>1.07</v>
      </c>
      <c r="AB815">
        <f t="shared" si="87"/>
        <v>2023</v>
      </c>
      <c r="AC815" t="str">
        <f t="shared" si="88"/>
        <v/>
      </c>
      <c r="AD815" s="28">
        <f>ROUND((IF(ISBLANK(L815),Employee_Lookups!$O$14,L815)-J815)/365.25,2)</f>
        <v>2.57</v>
      </c>
      <c r="AE815" t="str">
        <f t="shared" si="89"/>
        <v>1 - 3 Yrs</v>
      </c>
      <c r="AF815" t="str">
        <f t="shared" si="90"/>
        <v>Moderate Risk</v>
      </c>
    </row>
    <row r="816" spans="1:32" x14ac:dyDescent="0.45">
      <c r="A816" t="s">
        <v>1561</v>
      </c>
      <c r="B816" t="s">
        <v>1156</v>
      </c>
      <c r="C816" t="s">
        <v>59</v>
      </c>
      <c r="D816" t="s">
        <v>58</v>
      </c>
      <c r="E816" t="s">
        <v>211</v>
      </c>
      <c r="F816" t="s">
        <v>82</v>
      </c>
      <c r="G816" t="s">
        <v>212</v>
      </c>
      <c r="H816" t="s">
        <v>106</v>
      </c>
      <c r="I816" t="s">
        <v>107</v>
      </c>
      <c r="J816" s="26">
        <v>45086</v>
      </c>
      <c r="K816" t="s">
        <v>187</v>
      </c>
      <c r="L816" s="26">
        <v>45486</v>
      </c>
      <c r="M816" t="s">
        <v>213</v>
      </c>
      <c r="N816" t="s">
        <v>96</v>
      </c>
      <c r="O816" s="27">
        <v>917000</v>
      </c>
      <c r="P816">
        <v>3</v>
      </c>
      <c r="Q816" t="s">
        <v>164</v>
      </c>
      <c r="R816">
        <v>45</v>
      </c>
      <c r="S816" t="s">
        <v>208</v>
      </c>
      <c r="T816">
        <f t="shared" si="84"/>
        <v>11045</v>
      </c>
      <c r="U816" t="str">
        <f t="shared" si="85"/>
        <v>FIN</v>
      </c>
      <c r="V816" t="str">
        <f t="shared" si="86"/>
        <v>L2</v>
      </c>
      <c r="W816" t="str">
        <f>PROPER(TRIM(VLOOKUP(S816,Employee_Lookups!$I$4:$M$19,2,FALSE())))</f>
        <v>Rajeshwari Rao</v>
      </c>
      <c r="X816" t="str">
        <f>VLOOKUP(C816,Employee_Lookups!$A$4:$G$9,4,FALSE())</f>
        <v>CC-404</v>
      </c>
      <c r="Y816" t="str">
        <f>INDEX(Employee_Lookups!$C$13:$C$17,MATCH(F816,Employee_Lookups!$A$13:$A$17,0))</f>
        <v>Band B (Mid)</v>
      </c>
      <c r="Z816" s="27">
        <f>_xlfn.XLOOKUP(F816,Employee_Lookups!$A$13:$A$17,Employee_Lookups!$E$13:$E$17,0)</f>
        <v>1100000</v>
      </c>
      <c r="AA816" s="28">
        <f>ROUND(O816/INDEX(Employee_Lookups!$E$13:$E$17,MATCH(F816,Employee_Lookups!$A$13:$A$17,0)),3)</f>
        <v>0.83399999999999996</v>
      </c>
      <c r="AB816">
        <f t="shared" si="87"/>
        <v>2023</v>
      </c>
      <c r="AC816">
        <f t="shared" si="88"/>
        <v>2024</v>
      </c>
      <c r="AD816" s="28">
        <f>ROUND((IF(ISBLANK(L816),Employee_Lookups!$O$14,L816)-J816)/365.25,2)</f>
        <v>1.1000000000000001</v>
      </c>
      <c r="AE816" t="str">
        <f t="shared" si="89"/>
        <v>1 - 3 Yrs</v>
      </c>
      <c r="AF816" t="str">
        <f t="shared" si="90"/>
        <v>Exited</v>
      </c>
    </row>
    <row r="817" spans="1:32" x14ac:dyDescent="0.45">
      <c r="A817" t="s">
        <v>1562</v>
      </c>
      <c r="B817" t="s">
        <v>1563</v>
      </c>
      <c r="C817" t="s">
        <v>59</v>
      </c>
      <c r="D817" t="s">
        <v>58</v>
      </c>
      <c r="E817" t="s">
        <v>579</v>
      </c>
      <c r="F817" t="s">
        <v>84</v>
      </c>
      <c r="G817" t="s">
        <v>580</v>
      </c>
      <c r="H817" t="s">
        <v>106</v>
      </c>
      <c r="I817" t="s">
        <v>107</v>
      </c>
      <c r="J817" s="26">
        <v>45087</v>
      </c>
      <c r="K817" t="s">
        <v>162</v>
      </c>
      <c r="L817" s="26"/>
      <c r="M817" t="s">
        <v>163</v>
      </c>
      <c r="N817" t="s">
        <v>97</v>
      </c>
      <c r="O817" s="27">
        <v>3120000</v>
      </c>
      <c r="P817">
        <v>3</v>
      </c>
      <c r="Q817" t="s">
        <v>164</v>
      </c>
      <c r="R817">
        <v>42</v>
      </c>
      <c r="S817" t="s">
        <v>208</v>
      </c>
      <c r="T817">
        <f t="shared" si="84"/>
        <v>10973</v>
      </c>
      <c r="U817" t="str">
        <f t="shared" si="85"/>
        <v>FIN</v>
      </c>
      <c r="V817" t="str">
        <f t="shared" si="86"/>
        <v>L4</v>
      </c>
      <c r="W817" t="str">
        <f>PROPER(TRIM(VLOOKUP(S817,Employee_Lookups!$I$4:$M$19,2,FALSE())))</f>
        <v>Rajeshwari Rao</v>
      </c>
      <c r="X817" t="str">
        <f>VLOOKUP(C817,Employee_Lookups!$A$4:$G$9,4,FALSE())</f>
        <v>CC-404</v>
      </c>
      <c r="Y817" t="str">
        <f>INDEX(Employee_Lookups!$C$13:$C$17,MATCH(F817,Employee_Lookups!$A$13:$A$17,0))</f>
        <v>Band D (Leadership)</v>
      </c>
      <c r="Z817" s="27">
        <f>_xlfn.XLOOKUP(F817,Employee_Lookups!$A$13:$A$17,Employee_Lookups!$E$13:$E$17,0)</f>
        <v>2750000</v>
      </c>
      <c r="AA817" s="28">
        <f>ROUND(O817/INDEX(Employee_Lookups!$E$13:$E$17,MATCH(F817,Employee_Lookups!$A$13:$A$17,0)),3)</f>
        <v>1.135</v>
      </c>
      <c r="AB817">
        <f t="shared" si="87"/>
        <v>2023</v>
      </c>
      <c r="AC817" t="str">
        <f t="shared" si="88"/>
        <v/>
      </c>
      <c r="AD817" s="28">
        <f>ROUND((IF(ISBLANK(L817),Employee_Lookups!$O$14,L817)-J817)/365.25,2)</f>
        <v>2.56</v>
      </c>
      <c r="AE817" t="str">
        <f t="shared" si="89"/>
        <v>1 - 3 Yrs</v>
      </c>
      <c r="AF817" t="str">
        <f t="shared" si="90"/>
        <v>Low Risk</v>
      </c>
    </row>
    <row r="818" spans="1:32" x14ac:dyDescent="0.45">
      <c r="A818" t="s">
        <v>1564</v>
      </c>
      <c r="B818" t="s">
        <v>978</v>
      </c>
      <c r="C818" t="s">
        <v>57</v>
      </c>
      <c r="D818" t="s">
        <v>56</v>
      </c>
      <c r="E818" t="s">
        <v>160</v>
      </c>
      <c r="F818" t="s">
        <v>81</v>
      </c>
      <c r="G818" t="s">
        <v>161</v>
      </c>
      <c r="H818" t="s">
        <v>111</v>
      </c>
      <c r="I818" t="s">
        <v>110</v>
      </c>
      <c r="J818" s="26">
        <v>45087</v>
      </c>
      <c r="K818" t="s">
        <v>162</v>
      </c>
      <c r="L818" s="26"/>
      <c r="M818" t="s">
        <v>163</v>
      </c>
      <c r="N818" t="s">
        <v>99</v>
      </c>
      <c r="O818" s="27">
        <v>576000</v>
      </c>
      <c r="P818">
        <v>2</v>
      </c>
      <c r="Q818" t="s">
        <v>164</v>
      </c>
      <c r="R818">
        <v>25</v>
      </c>
      <c r="S818" t="s">
        <v>165</v>
      </c>
      <c r="T818">
        <f t="shared" si="84"/>
        <v>10960</v>
      </c>
      <c r="U818" t="str">
        <f t="shared" si="85"/>
        <v>MKT</v>
      </c>
      <c r="V818" t="str">
        <f t="shared" si="86"/>
        <v>L1</v>
      </c>
      <c r="W818" t="str">
        <f>PROPER(TRIM(VLOOKUP(S818,Employee_Lookups!$I$4:$M$19,2,FALSE())))</f>
        <v>Arjun Sengupta</v>
      </c>
      <c r="X818" t="str">
        <f>VLOOKUP(C818,Employee_Lookups!$A$4:$G$9,4,FALSE())</f>
        <v>CC-606</v>
      </c>
      <c r="Y818" t="str">
        <f>INDEX(Employee_Lookups!$C$13:$C$17,MATCH(F818,Employee_Lookups!$A$13:$A$17,0))</f>
        <v>Band A (Entry)</v>
      </c>
      <c r="Z818" s="27">
        <f>_xlfn.XLOOKUP(F818,Employee_Lookups!$A$13:$A$17,Employee_Lookups!$E$13:$E$17,0)</f>
        <v>700000</v>
      </c>
      <c r="AA818" s="28">
        <f>ROUND(O818/INDEX(Employee_Lookups!$E$13:$E$17,MATCH(F818,Employee_Lookups!$A$13:$A$17,0)),3)</f>
        <v>0.82299999999999995</v>
      </c>
      <c r="AB818">
        <f t="shared" si="87"/>
        <v>2023</v>
      </c>
      <c r="AC818" t="str">
        <f t="shared" si="88"/>
        <v/>
      </c>
      <c r="AD818" s="28">
        <f>ROUND((IF(ISBLANK(L818),Employee_Lookups!$O$14,L818)-J818)/365.25,2)</f>
        <v>2.56</v>
      </c>
      <c r="AE818" t="str">
        <f t="shared" si="89"/>
        <v>1 - 3 Yrs</v>
      </c>
      <c r="AF818" t="str">
        <f t="shared" si="90"/>
        <v>Moderate Risk</v>
      </c>
    </row>
    <row r="819" spans="1:32" x14ac:dyDescent="0.45">
      <c r="A819" t="s">
        <v>1565</v>
      </c>
      <c r="B819" t="s">
        <v>339</v>
      </c>
      <c r="C819" t="s">
        <v>55</v>
      </c>
      <c r="D819" t="s">
        <v>54</v>
      </c>
      <c r="E819" t="s">
        <v>229</v>
      </c>
      <c r="F819" t="s">
        <v>82</v>
      </c>
      <c r="G819" t="s">
        <v>230</v>
      </c>
      <c r="H819" t="s">
        <v>108</v>
      </c>
      <c r="I819" t="s">
        <v>107</v>
      </c>
      <c r="J819" s="26">
        <v>45088</v>
      </c>
      <c r="K819" t="s">
        <v>170</v>
      </c>
      <c r="L819" s="26">
        <v>45264</v>
      </c>
      <c r="M819" t="s">
        <v>171</v>
      </c>
      <c r="N819" t="s">
        <v>98</v>
      </c>
      <c r="O819" s="27">
        <v>1329000</v>
      </c>
      <c r="P819">
        <v>2</v>
      </c>
      <c r="Q819" t="s">
        <v>172</v>
      </c>
      <c r="R819">
        <v>27</v>
      </c>
      <c r="S819" t="s">
        <v>274</v>
      </c>
      <c r="T819">
        <f t="shared" si="84"/>
        <v>11003</v>
      </c>
      <c r="U819" t="str">
        <f t="shared" si="85"/>
        <v>OPS</v>
      </c>
      <c r="V819" t="str">
        <f t="shared" si="86"/>
        <v>L2</v>
      </c>
      <c r="W819" t="str">
        <f>PROPER(TRIM(VLOOKUP(S819,Employee_Lookups!$I$4:$M$19,2,FALSE())))</f>
        <v>Meera Krishnan</v>
      </c>
      <c r="X819" t="str">
        <f>VLOOKUP(C819,Employee_Lookups!$A$4:$G$9,4,FALSE())</f>
        <v>CC-303</v>
      </c>
      <c r="Y819" t="str">
        <f>INDEX(Employee_Lookups!$C$13:$C$17,MATCH(F819,Employee_Lookups!$A$13:$A$17,0))</f>
        <v>Band B (Mid)</v>
      </c>
      <c r="Z819" s="27">
        <f>_xlfn.XLOOKUP(F819,Employee_Lookups!$A$13:$A$17,Employee_Lookups!$E$13:$E$17,0)</f>
        <v>1100000</v>
      </c>
      <c r="AA819" s="28">
        <f>ROUND(O819/INDEX(Employee_Lookups!$E$13:$E$17,MATCH(F819,Employee_Lookups!$A$13:$A$17,0)),3)</f>
        <v>1.208</v>
      </c>
      <c r="AB819">
        <f t="shared" si="87"/>
        <v>2023</v>
      </c>
      <c r="AC819">
        <f t="shared" si="88"/>
        <v>2023</v>
      </c>
      <c r="AD819" s="28">
        <f>ROUND((IF(ISBLANK(L819),Employee_Lookups!$O$14,L819)-J819)/365.25,2)</f>
        <v>0.48</v>
      </c>
      <c r="AE819" t="str">
        <f t="shared" si="89"/>
        <v>&lt; 1 Yr (New)</v>
      </c>
      <c r="AF819" t="str">
        <f t="shared" si="90"/>
        <v>Exited</v>
      </c>
    </row>
    <row r="820" spans="1:32" x14ac:dyDescent="0.45">
      <c r="A820" t="s">
        <v>1566</v>
      </c>
      <c r="B820" t="s">
        <v>1567</v>
      </c>
      <c r="C820" t="s">
        <v>55</v>
      </c>
      <c r="D820" t="s">
        <v>54</v>
      </c>
      <c r="E820" t="s">
        <v>229</v>
      </c>
      <c r="F820" t="s">
        <v>82</v>
      </c>
      <c r="G820" t="s">
        <v>230</v>
      </c>
      <c r="H820" t="s">
        <v>109</v>
      </c>
      <c r="I820" t="s">
        <v>110</v>
      </c>
      <c r="J820" s="26">
        <v>45089</v>
      </c>
      <c r="K820" t="s">
        <v>162</v>
      </c>
      <c r="L820" s="26"/>
      <c r="M820" t="s">
        <v>163</v>
      </c>
      <c r="N820" t="s">
        <v>99</v>
      </c>
      <c r="O820" s="27">
        <v>1022000</v>
      </c>
      <c r="P820">
        <v>3</v>
      </c>
      <c r="Q820" t="s">
        <v>172</v>
      </c>
      <c r="R820">
        <v>39</v>
      </c>
      <c r="S820" t="s">
        <v>173</v>
      </c>
      <c r="T820">
        <f t="shared" si="84"/>
        <v>10655</v>
      </c>
      <c r="U820" t="str">
        <f t="shared" si="85"/>
        <v>OPS</v>
      </c>
      <c r="V820" t="str">
        <f t="shared" si="86"/>
        <v>L2</v>
      </c>
      <c r="W820" t="str">
        <f>PROPER(TRIM(VLOOKUP(S820,Employee_Lookups!$I$4:$M$19,2,FALSE())))</f>
        <v>Deepak Patil</v>
      </c>
      <c r="X820" t="str">
        <f>VLOOKUP(C820,Employee_Lookups!$A$4:$G$9,4,FALSE())</f>
        <v>CC-303</v>
      </c>
      <c r="Y820" t="str">
        <f>INDEX(Employee_Lookups!$C$13:$C$17,MATCH(F820,Employee_Lookups!$A$13:$A$17,0))</f>
        <v>Band B (Mid)</v>
      </c>
      <c r="Z820" s="27">
        <f>_xlfn.XLOOKUP(F820,Employee_Lookups!$A$13:$A$17,Employee_Lookups!$E$13:$E$17,0)</f>
        <v>1100000</v>
      </c>
      <c r="AA820" s="28">
        <f>ROUND(O820/INDEX(Employee_Lookups!$E$13:$E$17,MATCH(F820,Employee_Lookups!$A$13:$A$17,0)),3)</f>
        <v>0.92900000000000005</v>
      </c>
      <c r="AB820">
        <f t="shared" si="87"/>
        <v>2023</v>
      </c>
      <c r="AC820" t="str">
        <f t="shared" si="88"/>
        <v/>
      </c>
      <c r="AD820" s="28">
        <f>ROUND((IF(ISBLANK(L820),Employee_Lookups!$O$14,L820)-J820)/365.25,2)</f>
        <v>2.5499999999999998</v>
      </c>
      <c r="AE820" t="str">
        <f t="shared" si="89"/>
        <v>1 - 3 Yrs</v>
      </c>
      <c r="AF820" t="str">
        <f t="shared" si="90"/>
        <v>High Risk</v>
      </c>
    </row>
    <row r="821" spans="1:32" x14ac:dyDescent="0.45">
      <c r="A821" t="s">
        <v>1568</v>
      </c>
      <c r="B821" t="s">
        <v>312</v>
      </c>
      <c r="C821" t="s">
        <v>55</v>
      </c>
      <c r="D821" t="s">
        <v>54</v>
      </c>
      <c r="E821" t="s">
        <v>229</v>
      </c>
      <c r="F821" t="s">
        <v>82</v>
      </c>
      <c r="G821" t="s">
        <v>230</v>
      </c>
      <c r="H821" t="s">
        <v>106</v>
      </c>
      <c r="I821" t="s">
        <v>107</v>
      </c>
      <c r="J821" s="26">
        <v>45093</v>
      </c>
      <c r="K821" t="s">
        <v>162</v>
      </c>
      <c r="L821" s="26"/>
      <c r="M821" t="s">
        <v>163</v>
      </c>
      <c r="N821" t="s">
        <v>97</v>
      </c>
      <c r="O821" s="27">
        <v>992000</v>
      </c>
      <c r="P821">
        <v>3</v>
      </c>
      <c r="Q821" t="s">
        <v>172</v>
      </c>
      <c r="R821">
        <v>37</v>
      </c>
      <c r="S821" t="s">
        <v>262</v>
      </c>
      <c r="T821">
        <f t="shared" si="84"/>
        <v>10852</v>
      </c>
      <c r="U821" t="str">
        <f t="shared" si="85"/>
        <v>OPS</v>
      </c>
      <c r="V821" t="str">
        <f t="shared" si="86"/>
        <v>L2</v>
      </c>
      <c r="W821" t="str">
        <f>PROPER(TRIM(VLOOKUP(S821,Employee_Lookups!$I$4:$M$19,2,FALSE())))</f>
        <v>Ananya Iyer</v>
      </c>
      <c r="X821" t="str">
        <f>VLOOKUP(C821,Employee_Lookups!$A$4:$G$9,4,FALSE())</f>
        <v>CC-303</v>
      </c>
      <c r="Y821" t="str">
        <f>INDEX(Employee_Lookups!$C$13:$C$17,MATCH(F821,Employee_Lookups!$A$13:$A$17,0))</f>
        <v>Band B (Mid)</v>
      </c>
      <c r="Z821" s="27">
        <f>_xlfn.XLOOKUP(F821,Employee_Lookups!$A$13:$A$17,Employee_Lookups!$E$13:$E$17,0)</f>
        <v>1100000</v>
      </c>
      <c r="AA821" s="28">
        <f>ROUND(O821/INDEX(Employee_Lookups!$E$13:$E$17,MATCH(F821,Employee_Lookups!$A$13:$A$17,0)),3)</f>
        <v>0.90200000000000002</v>
      </c>
      <c r="AB821">
        <f t="shared" si="87"/>
        <v>2023</v>
      </c>
      <c r="AC821" t="str">
        <f t="shared" si="88"/>
        <v/>
      </c>
      <c r="AD821" s="28">
        <f>ROUND((IF(ISBLANK(L821),Employee_Lookups!$O$14,L821)-J821)/365.25,2)</f>
        <v>2.54</v>
      </c>
      <c r="AE821" t="str">
        <f t="shared" si="89"/>
        <v>1 - 3 Yrs</v>
      </c>
      <c r="AF821" t="str">
        <f t="shared" si="90"/>
        <v>High Risk</v>
      </c>
    </row>
    <row r="822" spans="1:32" x14ac:dyDescent="0.45">
      <c r="A822" t="s">
        <v>1569</v>
      </c>
      <c r="B822" t="s">
        <v>696</v>
      </c>
      <c r="C822" t="s">
        <v>53</v>
      </c>
      <c r="D822" t="s">
        <v>52</v>
      </c>
      <c r="E822" t="s">
        <v>192</v>
      </c>
      <c r="F822" t="s">
        <v>83</v>
      </c>
      <c r="G822" t="s">
        <v>193</v>
      </c>
      <c r="H822" t="s">
        <v>108</v>
      </c>
      <c r="I822" t="s">
        <v>107</v>
      </c>
      <c r="J822" s="26">
        <v>45094</v>
      </c>
      <c r="K822" t="s">
        <v>170</v>
      </c>
      <c r="L822" s="26">
        <v>45689</v>
      </c>
      <c r="M822" t="s">
        <v>171</v>
      </c>
      <c r="N822" t="s">
        <v>99</v>
      </c>
      <c r="O822" s="27">
        <v>1669000</v>
      </c>
      <c r="P822">
        <v>4</v>
      </c>
      <c r="Q822" t="s">
        <v>172</v>
      </c>
      <c r="R822">
        <v>31</v>
      </c>
      <c r="S822" t="s">
        <v>237</v>
      </c>
      <c r="T822">
        <f t="shared" si="84"/>
        <v>10803</v>
      </c>
      <c r="U822" t="str">
        <f t="shared" si="85"/>
        <v>SAL</v>
      </c>
      <c r="V822" t="str">
        <f t="shared" si="86"/>
        <v>L3</v>
      </c>
      <c r="W822" t="str">
        <f>PROPER(TRIM(VLOOKUP(S822,Employee_Lookups!$I$4:$M$19,2,FALSE())))</f>
        <v>Karan Malhotra</v>
      </c>
      <c r="X822" t="str">
        <f>VLOOKUP(C822,Employee_Lookups!$A$4:$G$9,4,FALSE())</f>
        <v>CC-202</v>
      </c>
      <c r="Y822" t="str">
        <f>INDEX(Employee_Lookups!$C$13:$C$17,MATCH(F822,Employee_Lookups!$A$13:$A$17,0))</f>
        <v>Band C (Senior)</v>
      </c>
      <c r="Z822" s="27">
        <f>_xlfn.XLOOKUP(F822,Employee_Lookups!$A$13:$A$17,Employee_Lookups!$E$13:$E$17,0)</f>
        <v>1725000</v>
      </c>
      <c r="AA822" s="28">
        <f>ROUND(O822/INDEX(Employee_Lookups!$E$13:$E$17,MATCH(F822,Employee_Lookups!$A$13:$A$17,0)),3)</f>
        <v>0.96799999999999997</v>
      </c>
      <c r="AB822">
        <f t="shared" si="87"/>
        <v>2023</v>
      </c>
      <c r="AC822">
        <f t="shared" si="88"/>
        <v>2025</v>
      </c>
      <c r="AD822" s="28">
        <f>ROUND((IF(ISBLANK(L822),Employee_Lookups!$O$14,L822)-J822)/365.25,2)</f>
        <v>1.63</v>
      </c>
      <c r="AE822" t="str">
        <f t="shared" si="89"/>
        <v>1 - 3 Yrs</v>
      </c>
      <c r="AF822" t="str">
        <f t="shared" si="90"/>
        <v>Exited</v>
      </c>
    </row>
    <row r="823" spans="1:32" x14ac:dyDescent="0.45">
      <c r="A823" t="s">
        <v>1570</v>
      </c>
      <c r="B823" t="s">
        <v>1571</v>
      </c>
      <c r="C823" t="s">
        <v>61</v>
      </c>
      <c r="D823" t="s">
        <v>60</v>
      </c>
      <c r="E823" t="s">
        <v>251</v>
      </c>
      <c r="F823" t="s">
        <v>82</v>
      </c>
      <c r="G823" t="s">
        <v>252</v>
      </c>
      <c r="H823" t="s">
        <v>106</v>
      </c>
      <c r="I823" t="s">
        <v>107</v>
      </c>
      <c r="J823" s="26">
        <v>45094</v>
      </c>
      <c r="K823" t="s">
        <v>162</v>
      </c>
      <c r="L823" s="26"/>
      <c r="M823" t="s">
        <v>163</v>
      </c>
      <c r="N823" t="s">
        <v>95</v>
      </c>
      <c r="O823" s="27">
        <v>1010000</v>
      </c>
      <c r="P823">
        <v>3</v>
      </c>
      <c r="Q823" t="s">
        <v>164</v>
      </c>
      <c r="R823">
        <v>19</v>
      </c>
      <c r="S823" t="s">
        <v>319</v>
      </c>
      <c r="T823">
        <f t="shared" si="84"/>
        <v>10227</v>
      </c>
      <c r="U823" t="str">
        <f t="shared" si="85"/>
        <v>-HR</v>
      </c>
      <c r="V823" t="str">
        <f t="shared" si="86"/>
        <v>L2</v>
      </c>
      <c r="W823" t="str">
        <f>PROPER(TRIM(VLOOKUP(S823,Employee_Lookups!$I$4:$M$19,2,FALSE())))</f>
        <v>Kavita Menon</v>
      </c>
      <c r="X823" t="str">
        <f>VLOOKUP(C823,Employee_Lookups!$A$4:$G$9,4,FALSE())</f>
        <v>CC-505</v>
      </c>
      <c r="Y823" t="str">
        <f>INDEX(Employee_Lookups!$C$13:$C$17,MATCH(F823,Employee_Lookups!$A$13:$A$17,0))</f>
        <v>Band B (Mid)</v>
      </c>
      <c r="Z823" s="27">
        <f>_xlfn.XLOOKUP(F823,Employee_Lookups!$A$13:$A$17,Employee_Lookups!$E$13:$E$17,0)</f>
        <v>1100000</v>
      </c>
      <c r="AA823" s="28">
        <f>ROUND(O823/INDEX(Employee_Lookups!$E$13:$E$17,MATCH(F823,Employee_Lookups!$A$13:$A$17,0)),3)</f>
        <v>0.91800000000000004</v>
      </c>
      <c r="AB823">
        <f t="shared" si="87"/>
        <v>2023</v>
      </c>
      <c r="AC823" t="str">
        <f t="shared" si="88"/>
        <v/>
      </c>
      <c r="AD823" s="28">
        <f>ROUND((IF(ISBLANK(L823),Employee_Lookups!$O$14,L823)-J823)/365.25,2)</f>
        <v>2.54</v>
      </c>
      <c r="AE823" t="str">
        <f t="shared" si="89"/>
        <v>1 - 3 Yrs</v>
      </c>
      <c r="AF823" t="str">
        <f t="shared" si="90"/>
        <v>Low Risk</v>
      </c>
    </row>
    <row r="824" spans="1:32" x14ac:dyDescent="0.45">
      <c r="A824" t="s">
        <v>1572</v>
      </c>
      <c r="B824" t="s">
        <v>1222</v>
      </c>
      <c r="C824" t="s">
        <v>51</v>
      </c>
      <c r="D824" t="s">
        <v>50</v>
      </c>
      <c r="E824" t="s">
        <v>181</v>
      </c>
      <c r="F824" t="s">
        <v>81</v>
      </c>
      <c r="G824" t="s">
        <v>182</v>
      </c>
      <c r="H824" t="s">
        <v>106</v>
      </c>
      <c r="I824" t="s">
        <v>107</v>
      </c>
      <c r="J824" s="26">
        <v>45097</v>
      </c>
      <c r="K824" t="s">
        <v>162</v>
      </c>
      <c r="L824" s="26"/>
      <c r="M824" t="s">
        <v>163</v>
      </c>
      <c r="N824" t="s">
        <v>97</v>
      </c>
      <c r="O824" s="27">
        <v>818000</v>
      </c>
      <c r="P824">
        <v>4</v>
      </c>
      <c r="Q824" t="s">
        <v>164</v>
      </c>
      <c r="R824">
        <v>42</v>
      </c>
      <c r="S824" t="s">
        <v>178</v>
      </c>
      <c r="T824">
        <f t="shared" si="84"/>
        <v>10419</v>
      </c>
      <c r="U824" t="str">
        <f t="shared" si="85"/>
        <v>ENG</v>
      </c>
      <c r="V824" t="str">
        <f t="shared" si="86"/>
        <v>L1</v>
      </c>
      <c r="W824" t="str">
        <f>PROPER(TRIM(VLOOKUP(S824,Employee_Lookups!$I$4:$M$19,2,FALSE())))</f>
        <v>Aarav Deshmukh</v>
      </c>
      <c r="X824" t="str">
        <f>VLOOKUP(C824,Employee_Lookups!$A$4:$G$9,4,FALSE())</f>
        <v>CC-101</v>
      </c>
      <c r="Y824" t="str">
        <f>INDEX(Employee_Lookups!$C$13:$C$17,MATCH(F824,Employee_Lookups!$A$13:$A$17,0))</f>
        <v>Band A (Entry)</v>
      </c>
      <c r="Z824" s="27">
        <f>_xlfn.XLOOKUP(F824,Employee_Lookups!$A$13:$A$17,Employee_Lookups!$E$13:$E$17,0)</f>
        <v>700000</v>
      </c>
      <c r="AA824" s="28">
        <f>ROUND(O824/INDEX(Employee_Lookups!$E$13:$E$17,MATCH(F824,Employee_Lookups!$A$13:$A$17,0)),3)</f>
        <v>1.169</v>
      </c>
      <c r="AB824">
        <f t="shared" si="87"/>
        <v>2023</v>
      </c>
      <c r="AC824" t="str">
        <f t="shared" si="88"/>
        <v/>
      </c>
      <c r="AD824" s="28">
        <f>ROUND((IF(ISBLANK(L824),Employee_Lookups!$O$14,L824)-J824)/365.25,2)</f>
        <v>2.5299999999999998</v>
      </c>
      <c r="AE824" t="str">
        <f t="shared" si="89"/>
        <v>1 - 3 Yrs</v>
      </c>
      <c r="AF824" t="str">
        <f t="shared" si="90"/>
        <v>Low Risk</v>
      </c>
    </row>
    <row r="825" spans="1:32" x14ac:dyDescent="0.45">
      <c r="A825" t="s">
        <v>1573</v>
      </c>
      <c r="B825" t="s">
        <v>1574</v>
      </c>
      <c r="C825" t="s">
        <v>51</v>
      </c>
      <c r="D825" t="s">
        <v>50</v>
      </c>
      <c r="E825" t="s">
        <v>181</v>
      </c>
      <c r="F825" t="s">
        <v>81</v>
      </c>
      <c r="G825" t="s">
        <v>182</v>
      </c>
      <c r="H825" t="s">
        <v>108</v>
      </c>
      <c r="I825" t="s">
        <v>107</v>
      </c>
      <c r="J825" s="26">
        <v>45098</v>
      </c>
      <c r="K825" t="s">
        <v>162</v>
      </c>
      <c r="L825" s="26"/>
      <c r="M825" t="s">
        <v>163</v>
      </c>
      <c r="N825" t="s">
        <v>95</v>
      </c>
      <c r="O825" s="27">
        <v>690000</v>
      </c>
      <c r="P825">
        <v>5</v>
      </c>
      <c r="Q825" t="s">
        <v>172</v>
      </c>
      <c r="R825">
        <v>44</v>
      </c>
      <c r="S825" t="s">
        <v>219</v>
      </c>
      <c r="T825">
        <f t="shared" si="84"/>
        <v>10218</v>
      </c>
      <c r="U825" t="str">
        <f t="shared" si="85"/>
        <v>ENG</v>
      </c>
      <c r="V825" t="str">
        <f t="shared" si="86"/>
        <v>L1</v>
      </c>
      <c r="W825" t="str">
        <f>PROPER(TRIM(VLOOKUP(S825,Employee_Lookups!$I$4:$M$19,2,FALSE())))</f>
        <v>Neha Kulkarni</v>
      </c>
      <c r="X825" t="str">
        <f>VLOOKUP(C825,Employee_Lookups!$A$4:$G$9,4,FALSE())</f>
        <v>CC-101</v>
      </c>
      <c r="Y825" t="str">
        <f>INDEX(Employee_Lookups!$C$13:$C$17,MATCH(F825,Employee_Lookups!$A$13:$A$17,0))</f>
        <v>Band A (Entry)</v>
      </c>
      <c r="Z825" s="27">
        <f>_xlfn.XLOOKUP(F825,Employee_Lookups!$A$13:$A$17,Employee_Lookups!$E$13:$E$17,0)</f>
        <v>700000</v>
      </c>
      <c r="AA825" s="28">
        <f>ROUND(O825/INDEX(Employee_Lookups!$E$13:$E$17,MATCH(F825,Employee_Lookups!$A$13:$A$17,0)),3)</f>
        <v>0.98599999999999999</v>
      </c>
      <c r="AB825">
        <f t="shared" si="87"/>
        <v>2023</v>
      </c>
      <c r="AC825" t="str">
        <f t="shared" si="88"/>
        <v/>
      </c>
      <c r="AD825" s="28">
        <f>ROUND((IF(ISBLANK(L825),Employee_Lookups!$O$14,L825)-J825)/365.25,2)</f>
        <v>2.5299999999999998</v>
      </c>
      <c r="AE825" t="str">
        <f t="shared" si="89"/>
        <v>1 - 3 Yrs</v>
      </c>
      <c r="AF825" t="str">
        <f t="shared" si="90"/>
        <v>High Risk</v>
      </c>
    </row>
    <row r="826" spans="1:32" x14ac:dyDescent="0.45">
      <c r="A826" t="s">
        <v>1575</v>
      </c>
      <c r="B826" t="s">
        <v>755</v>
      </c>
      <c r="C826" t="s">
        <v>53</v>
      </c>
      <c r="D826" t="s">
        <v>52</v>
      </c>
      <c r="E826" t="s">
        <v>322</v>
      </c>
      <c r="F826" t="s">
        <v>81</v>
      </c>
      <c r="G826" t="s">
        <v>323</v>
      </c>
      <c r="H826" t="s">
        <v>109</v>
      </c>
      <c r="I826" t="s">
        <v>110</v>
      </c>
      <c r="J826" s="26">
        <v>45098</v>
      </c>
      <c r="K826" t="s">
        <v>187</v>
      </c>
      <c r="L826" s="26">
        <v>45304</v>
      </c>
      <c r="M826" t="s">
        <v>213</v>
      </c>
      <c r="N826" t="s">
        <v>99</v>
      </c>
      <c r="O826" s="27">
        <v>631000</v>
      </c>
      <c r="P826">
        <v>3</v>
      </c>
      <c r="Q826" t="s">
        <v>172</v>
      </c>
      <c r="R826">
        <v>32</v>
      </c>
      <c r="S826" t="s">
        <v>194</v>
      </c>
      <c r="T826">
        <f t="shared" si="84"/>
        <v>11245</v>
      </c>
      <c r="U826" t="str">
        <f t="shared" si="85"/>
        <v>SAL</v>
      </c>
      <c r="V826" t="str">
        <f t="shared" si="86"/>
        <v>L1</v>
      </c>
      <c r="W826" t="str">
        <f>PROPER(TRIM(VLOOKUP(S826,Employee_Lookups!$I$4:$M$19,2,FALSE())))</f>
        <v>Vikramaditya Joshi</v>
      </c>
      <c r="X826" t="str">
        <f>VLOOKUP(C826,Employee_Lookups!$A$4:$G$9,4,FALSE())</f>
        <v>CC-202</v>
      </c>
      <c r="Y826" t="str">
        <f>INDEX(Employee_Lookups!$C$13:$C$17,MATCH(F826,Employee_Lookups!$A$13:$A$17,0))</f>
        <v>Band A (Entry)</v>
      </c>
      <c r="Z826" s="27">
        <f>_xlfn.XLOOKUP(F826,Employee_Lookups!$A$13:$A$17,Employee_Lookups!$E$13:$E$17,0)</f>
        <v>700000</v>
      </c>
      <c r="AA826" s="28">
        <f>ROUND(O826/INDEX(Employee_Lookups!$E$13:$E$17,MATCH(F826,Employee_Lookups!$A$13:$A$17,0)),3)</f>
        <v>0.90100000000000002</v>
      </c>
      <c r="AB826">
        <f t="shared" si="87"/>
        <v>2023</v>
      </c>
      <c r="AC826">
        <f t="shared" si="88"/>
        <v>2024</v>
      </c>
      <c r="AD826" s="28">
        <f>ROUND((IF(ISBLANK(L826),Employee_Lookups!$O$14,L826)-J826)/365.25,2)</f>
        <v>0.56000000000000005</v>
      </c>
      <c r="AE826" t="str">
        <f t="shared" si="89"/>
        <v>&lt; 1 Yr (New)</v>
      </c>
      <c r="AF826" t="str">
        <f t="shared" si="90"/>
        <v>Exited</v>
      </c>
    </row>
    <row r="827" spans="1:32" x14ac:dyDescent="0.45">
      <c r="A827" t="s">
        <v>1576</v>
      </c>
      <c r="B827" t="s">
        <v>1577</v>
      </c>
      <c r="C827" t="s">
        <v>59</v>
      </c>
      <c r="D827" t="s">
        <v>58</v>
      </c>
      <c r="E827" t="s">
        <v>206</v>
      </c>
      <c r="F827" t="s">
        <v>81</v>
      </c>
      <c r="G827" t="s">
        <v>207</v>
      </c>
      <c r="H827" t="s">
        <v>108</v>
      </c>
      <c r="I827" t="s">
        <v>107</v>
      </c>
      <c r="J827" s="26">
        <v>45101</v>
      </c>
      <c r="K827" t="s">
        <v>162</v>
      </c>
      <c r="L827" s="26"/>
      <c r="M827" t="s">
        <v>163</v>
      </c>
      <c r="N827" t="s">
        <v>95</v>
      </c>
      <c r="O827" s="27">
        <v>570000</v>
      </c>
      <c r="P827">
        <v>4</v>
      </c>
      <c r="Q827" t="s">
        <v>164</v>
      </c>
      <c r="R827">
        <v>39</v>
      </c>
      <c r="S827" t="s">
        <v>214</v>
      </c>
      <c r="T827">
        <f t="shared" si="84"/>
        <v>10431</v>
      </c>
      <c r="U827" t="str">
        <f t="shared" si="85"/>
        <v>FIN</v>
      </c>
      <c r="V827" t="str">
        <f t="shared" si="86"/>
        <v>L1</v>
      </c>
      <c r="W827" t="str">
        <f>PROPER(TRIM(VLOOKUP(S827,Employee_Lookups!$I$4:$M$19,2,FALSE())))</f>
        <v>Aditya Gokhale</v>
      </c>
      <c r="X827" t="str">
        <f>VLOOKUP(C827,Employee_Lookups!$A$4:$G$9,4,FALSE())</f>
        <v>CC-404</v>
      </c>
      <c r="Y827" t="str">
        <f>INDEX(Employee_Lookups!$C$13:$C$17,MATCH(F827,Employee_Lookups!$A$13:$A$17,0))</f>
        <v>Band A (Entry)</v>
      </c>
      <c r="Z827" s="27">
        <f>_xlfn.XLOOKUP(F827,Employee_Lookups!$A$13:$A$17,Employee_Lookups!$E$13:$E$17,0)</f>
        <v>700000</v>
      </c>
      <c r="AA827" s="28">
        <f>ROUND(O827/INDEX(Employee_Lookups!$E$13:$E$17,MATCH(F827,Employee_Lookups!$A$13:$A$17,0)),3)</f>
        <v>0.81399999999999995</v>
      </c>
      <c r="AB827">
        <f t="shared" si="87"/>
        <v>2023</v>
      </c>
      <c r="AC827" t="str">
        <f t="shared" si="88"/>
        <v/>
      </c>
      <c r="AD827" s="28">
        <f>ROUND((IF(ISBLANK(L827),Employee_Lookups!$O$14,L827)-J827)/365.25,2)</f>
        <v>2.52</v>
      </c>
      <c r="AE827" t="str">
        <f t="shared" si="89"/>
        <v>1 - 3 Yrs</v>
      </c>
      <c r="AF827" t="str">
        <f t="shared" si="90"/>
        <v>Low Risk</v>
      </c>
    </row>
    <row r="828" spans="1:32" x14ac:dyDescent="0.45">
      <c r="A828" t="s">
        <v>1578</v>
      </c>
      <c r="B828" t="s">
        <v>1024</v>
      </c>
      <c r="C828" t="s">
        <v>51</v>
      </c>
      <c r="D828" t="s">
        <v>50</v>
      </c>
      <c r="E828" t="s">
        <v>181</v>
      </c>
      <c r="F828" t="s">
        <v>81</v>
      </c>
      <c r="G828" t="s">
        <v>182</v>
      </c>
      <c r="H828" t="s">
        <v>106</v>
      </c>
      <c r="I828" t="s">
        <v>107</v>
      </c>
      <c r="J828" s="26">
        <v>45103</v>
      </c>
      <c r="K828" t="s">
        <v>162</v>
      </c>
      <c r="L828" s="26"/>
      <c r="M828" t="s">
        <v>163</v>
      </c>
      <c r="N828" t="s">
        <v>99</v>
      </c>
      <c r="O828" s="27">
        <v>759000</v>
      </c>
      <c r="P828">
        <v>2</v>
      </c>
      <c r="Q828" t="s">
        <v>164</v>
      </c>
      <c r="R828">
        <v>36</v>
      </c>
      <c r="S828" t="s">
        <v>244</v>
      </c>
      <c r="T828">
        <f t="shared" si="84"/>
        <v>10567</v>
      </c>
      <c r="U828" t="str">
        <f t="shared" si="85"/>
        <v>ENG</v>
      </c>
      <c r="V828" t="str">
        <f t="shared" si="86"/>
        <v>L1</v>
      </c>
      <c r="W828" t="str">
        <f>PROPER(TRIM(VLOOKUP(S828,Employee_Lookups!$I$4:$M$19,2,FALSE())))</f>
        <v>Siddharth Nair</v>
      </c>
      <c r="X828" t="str">
        <f>VLOOKUP(C828,Employee_Lookups!$A$4:$G$9,4,FALSE())</f>
        <v>CC-101</v>
      </c>
      <c r="Y828" t="str">
        <f>INDEX(Employee_Lookups!$C$13:$C$17,MATCH(F828,Employee_Lookups!$A$13:$A$17,0))</f>
        <v>Band A (Entry)</v>
      </c>
      <c r="Z828" s="27">
        <f>_xlfn.XLOOKUP(F828,Employee_Lookups!$A$13:$A$17,Employee_Lookups!$E$13:$E$17,0)</f>
        <v>700000</v>
      </c>
      <c r="AA828" s="28">
        <f>ROUND(O828/INDEX(Employee_Lookups!$E$13:$E$17,MATCH(F828,Employee_Lookups!$A$13:$A$17,0)),3)</f>
        <v>1.0840000000000001</v>
      </c>
      <c r="AB828">
        <f t="shared" si="87"/>
        <v>2023</v>
      </c>
      <c r="AC828" t="str">
        <f t="shared" si="88"/>
        <v/>
      </c>
      <c r="AD828" s="28">
        <f>ROUND((IF(ISBLANK(L828),Employee_Lookups!$O$14,L828)-J828)/365.25,2)</f>
        <v>2.52</v>
      </c>
      <c r="AE828" t="str">
        <f t="shared" si="89"/>
        <v>1 - 3 Yrs</v>
      </c>
      <c r="AF828" t="str">
        <f t="shared" si="90"/>
        <v>Moderate Risk</v>
      </c>
    </row>
    <row r="829" spans="1:32" x14ac:dyDescent="0.45">
      <c r="A829" t="s">
        <v>1579</v>
      </c>
      <c r="B829" t="s">
        <v>868</v>
      </c>
      <c r="C829" t="s">
        <v>57</v>
      </c>
      <c r="D829" t="s">
        <v>56</v>
      </c>
      <c r="E829" t="s">
        <v>222</v>
      </c>
      <c r="F829" t="s">
        <v>82</v>
      </c>
      <c r="G829" t="s">
        <v>223</v>
      </c>
      <c r="H829" t="s">
        <v>108</v>
      </c>
      <c r="I829" t="s">
        <v>107</v>
      </c>
      <c r="J829" s="26">
        <v>45104</v>
      </c>
      <c r="K829" t="s">
        <v>187</v>
      </c>
      <c r="L829" s="26">
        <v>45732</v>
      </c>
      <c r="M829" t="s">
        <v>282</v>
      </c>
      <c r="N829" t="s">
        <v>99</v>
      </c>
      <c r="O829" s="27">
        <v>1153000</v>
      </c>
      <c r="P829">
        <v>3</v>
      </c>
      <c r="Q829" t="s">
        <v>172</v>
      </c>
      <c r="R829">
        <v>52</v>
      </c>
      <c r="S829" t="s">
        <v>165</v>
      </c>
      <c r="T829">
        <f t="shared" si="84"/>
        <v>10575</v>
      </c>
      <c r="U829" t="str">
        <f t="shared" si="85"/>
        <v>MKT</v>
      </c>
      <c r="V829" t="str">
        <f t="shared" si="86"/>
        <v>L2</v>
      </c>
      <c r="W829" t="str">
        <f>PROPER(TRIM(VLOOKUP(S829,Employee_Lookups!$I$4:$M$19,2,FALSE())))</f>
        <v>Arjun Sengupta</v>
      </c>
      <c r="X829" t="str">
        <f>VLOOKUP(C829,Employee_Lookups!$A$4:$G$9,4,FALSE())</f>
        <v>CC-606</v>
      </c>
      <c r="Y829" t="str">
        <f>INDEX(Employee_Lookups!$C$13:$C$17,MATCH(F829,Employee_Lookups!$A$13:$A$17,0))</f>
        <v>Band B (Mid)</v>
      </c>
      <c r="Z829" s="27">
        <f>_xlfn.XLOOKUP(F829,Employee_Lookups!$A$13:$A$17,Employee_Lookups!$E$13:$E$17,0)</f>
        <v>1100000</v>
      </c>
      <c r="AA829" s="28">
        <f>ROUND(O829/INDEX(Employee_Lookups!$E$13:$E$17,MATCH(F829,Employee_Lookups!$A$13:$A$17,0)),3)</f>
        <v>1.048</v>
      </c>
      <c r="AB829">
        <f t="shared" si="87"/>
        <v>2023</v>
      </c>
      <c r="AC829">
        <f t="shared" si="88"/>
        <v>2025</v>
      </c>
      <c r="AD829" s="28">
        <f>ROUND((IF(ISBLANK(L829),Employee_Lookups!$O$14,L829)-J829)/365.25,2)</f>
        <v>1.72</v>
      </c>
      <c r="AE829" t="str">
        <f t="shared" si="89"/>
        <v>1 - 3 Yrs</v>
      </c>
      <c r="AF829" t="str">
        <f t="shared" si="90"/>
        <v>Exited</v>
      </c>
    </row>
    <row r="830" spans="1:32" x14ac:dyDescent="0.45">
      <c r="A830" t="s">
        <v>1580</v>
      </c>
      <c r="B830" t="s">
        <v>345</v>
      </c>
      <c r="C830" t="s">
        <v>61</v>
      </c>
      <c r="D830" t="s">
        <v>60</v>
      </c>
      <c r="E830" t="s">
        <v>317</v>
      </c>
      <c r="F830" t="s">
        <v>84</v>
      </c>
      <c r="G830" t="s">
        <v>318</v>
      </c>
      <c r="H830" t="s">
        <v>106</v>
      </c>
      <c r="I830" t="s">
        <v>107</v>
      </c>
      <c r="J830" s="26">
        <v>45105</v>
      </c>
      <c r="K830" t="s">
        <v>162</v>
      </c>
      <c r="L830" s="26"/>
      <c r="M830" t="s">
        <v>163</v>
      </c>
      <c r="N830" t="s">
        <v>99</v>
      </c>
      <c r="O830" s="27">
        <v>3007000</v>
      </c>
      <c r="P830">
        <v>3</v>
      </c>
      <c r="Q830" t="s">
        <v>172</v>
      </c>
      <c r="R830">
        <v>31</v>
      </c>
      <c r="S830" t="s">
        <v>253</v>
      </c>
      <c r="T830">
        <f t="shared" si="84"/>
        <v>10114</v>
      </c>
      <c r="U830" t="str">
        <f t="shared" si="85"/>
        <v>-HR</v>
      </c>
      <c r="V830" t="str">
        <f t="shared" si="86"/>
        <v>L4</v>
      </c>
      <c r="W830" t="str">
        <f>PROPER(TRIM(VLOOKUP(S830,Employee_Lookups!$I$4:$M$19,2,FALSE())))</f>
        <v>Nikhil Chatterjee</v>
      </c>
      <c r="X830" t="str">
        <f>VLOOKUP(C830,Employee_Lookups!$A$4:$G$9,4,FALSE())</f>
        <v>CC-505</v>
      </c>
      <c r="Y830" t="str">
        <f>INDEX(Employee_Lookups!$C$13:$C$17,MATCH(F830,Employee_Lookups!$A$13:$A$17,0))</f>
        <v>Band D (Leadership)</v>
      </c>
      <c r="Z830" s="27">
        <f>_xlfn.XLOOKUP(F830,Employee_Lookups!$A$13:$A$17,Employee_Lookups!$E$13:$E$17,0)</f>
        <v>2750000</v>
      </c>
      <c r="AA830" s="28">
        <f>ROUND(O830/INDEX(Employee_Lookups!$E$13:$E$17,MATCH(F830,Employee_Lookups!$A$13:$A$17,0)),3)</f>
        <v>1.093</v>
      </c>
      <c r="AB830">
        <f t="shared" si="87"/>
        <v>2023</v>
      </c>
      <c r="AC830" t="str">
        <f t="shared" si="88"/>
        <v/>
      </c>
      <c r="AD830" s="28">
        <f>ROUND((IF(ISBLANK(L830),Employee_Lookups!$O$14,L830)-J830)/365.25,2)</f>
        <v>2.5099999999999998</v>
      </c>
      <c r="AE830" t="str">
        <f t="shared" si="89"/>
        <v>1 - 3 Yrs</v>
      </c>
      <c r="AF830" t="str">
        <f t="shared" si="90"/>
        <v>Moderate Risk</v>
      </c>
    </row>
    <row r="831" spans="1:32" x14ac:dyDescent="0.45">
      <c r="A831" t="s">
        <v>1581</v>
      </c>
      <c r="B831" t="s">
        <v>1311</v>
      </c>
      <c r="C831" t="s">
        <v>53</v>
      </c>
      <c r="D831" t="s">
        <v>52</v>
      </c>
      <c r="E831" t="s">
        <v>322</v>
      </c>
      <c r="F831" t="s">
        <v>81</v>
      </c>
      <c r="G831" t="s">
        <v>323</v>
      </c>
      <c r="H831" t="s">
        <v>109</v>
      </c>
      <c r="I831" t="s">
        <v>110</v>
      </c>
      <c r="J831" s="26">
        <v>45109</v>
      </c>
      <c r="K831" t="s">
        <v>170</v>
      </c>
      <c r="L831" s="26">
        <v>45988</v>
      </c>
      <c r="M831" t="s">
        <v>171</v>
      </c>
      <c r="N831" t="s">
        <v>99</v>
      </c>
      <c r="O831" s="27">
        <v>596000</v>
      </c>
      <c r="P831">
        <v>3</v>
      </c>
      <c r="Q831" t="s">
        <v>172</v>
      </c>
      <c r="R831">
        <v>38</v>
      </c>
      <c r="S831" t="s">
        <v>194</v>
      </c>
      <c r="T831">
        <f t="shared" si="84"/>
        <v>11285</v>
      </c>
      <c r="U831" t="str">
        <f t="shared" si="85"/>
        <v>SAL</v>
      </c>
      <c r="V831" t="str">
        <f t="shared" si="86"/>
        <v>L1</v>
      </c>
      <c r="W831" t="str">
        <f>PROPER(TRIM(VLOOKUP(S831,Employee_Lookups!$I$4:$M$19,2,FALSE())))</f>
        <v>Vikramaditya Joshi</v>
      </c>
      <c r="X831" t="str">
        <f>VLOOKUP(C831,Employee_Lookups!$A$4:$G$9,4,FALSE())</f>
        <v>CC-202</v>
      </c>
      <c r="Y831" t="str">
        <f>INDEX(Employee_Lookups!$C$13:$C$17,MATCH(F831,Employee_Lookups!$A$13:$A$17,0))</f>
        <v>Band A (Entry)</v>
      </c>
      <c r="Z831" s="27">
        <f>_xlfn.XLOOKUP(F831,Employee_Lookups!$A$13:$A$17,Employee_Lookups!$E$13:$E$17,0)</f>
        <v>700000</v>
      </c>
      <c r="AA831" s="28">
        <f>ROUND(O831/INDEX(Employee_Lookups!$E$13:$E$17,MATCH(F831,Employee_Lookups!$A$13:$A$17,0)),3)</f>
        <v>0.85099999999999998</v>
      </c>
      <c r="AB831">
        <f t="shared" si="87"/>
        <v>2023</v>
      </c>
      <c r="AC831">
        <f t="shared" si="88"/>
        <v>2025</v>
      </c>
      <c r="AD831" s="28">
        <f>ROUND((IF(ISBLANK(L831),Employee_Lookups!$O$14,L831)-J831)/365.25,2)</f>
        <v>2.41</v>
      </c>
      <c r="AE831" t="str">
        <f t="shared" si="89"/>
        <v>1 - 3 Yrs</v>
      </c>
      <c r="AF831" t="str">
        <f t="shared" si="90"/>
        <v>Exited</v>
      </c>
    </row>
    <row r="832" spans="1:32" x14ac:dyDescent="0.45">
      <c r="A832" t="s">
        <v>1582</v>
      </c>
      <c r="B832" t="s">
        <v>464</v>
      </c>
      <c r="C832" t="s">
        <v>51</v>
      </c>
      <c r="D832" t="s">
        <v>50</v>
      </c>
      <c r="E832" t="s">
        <v>181</v>
      </c>
      <c r="F832" t="s">
        <v>81</v>
      </c>
      <c r="G832" t="s">
        <v>182</v>
      </c>
      <c r="H832" t="s">
        <v>108</v>
      </c>
      <c r="I832" t="s">
        <v>107</v>
      </c>
      <c r="J832" s="26">
        <v>45112</v>
      </c>
      <c r="K832" t="s">
        <v>162</v>
      </c>
      <c r="L832" s="26"/>
      <c r="M832" t="s">
        <v>163</v>
      </c>
      <c r="N832" t="s">
        <v>99</v>
      </c>
      <c r="O832" s="27">
        <v>687000</v>
      </c>
      <c r="P832">
        <v>4</v>
      </c>
      <c r="Q832" t="s">
        <v>172</v>
      </c>
      <c r="R832">
        <v>43</v>
      </c>
      <c r="S832" t="s">
        <v>244</v>
      </c>
      <c r="T832">
        <f t="shared" si="84"/>
        <v>11369</v>
      </c>
      <c r="U832" t="str">
        <f t="shared" si="85"/>
        <v>ENG</v>
      </c>
      <c r="V832" t="str">
        <f t="shared" si="86"/>
        <v>L1</v>
      </c>
      <c r="W832" t="str">
        <f>PROPER(TRIM(VLOOKUP(S832,Employee_Lookups!$I$4:$M$19,2,FALSE())))</f>
        <v>Siddharth Nair</v>
      </c>
      <c r="X832" t="str">
        <f>VLOOKUP(C832,Employee_Lookups!$A$4:$G$9,4,FALSE())</f>
        <v>CC-101</v>
      </c>
      <c r="Y832" t="str">
        <f>INDEX(Employee_Lookups!$C$13:$C$17,MATCH(F832,Employee_Lookups!$A$13:$A$17,0))</f>
        <v>Band A (Entry)</v>
      </c>
      <c r="Z832" s="27">
        <f>_xlfn.XLOOKUP(F832,Employee_Lookups!$A$13:$A$17,Employee_Lookups!$E$13:$E$17,0)</f>
        <v>700000</v>
      </c>
      <c r="AA832" s="28">
        <f>ROUND(O832/INDEX(Employee_Lookups!$E$13:$E$17,MATCH(F832,Employee_Lookups!$A$13:$A$17,0)),3)</f>
        <v>0.98099999999999998</v>
      </c>
      <c r="AB832">
        <f t="shared" si="87"/>
        <v>2023</v>
      </c>
      <c r="AC832" t="str">
        <f t="shared" si="88"/>
        <v/>
      </c>
      <c r="AD832" s="28">
        <f>ROUND((IF(ISBLANK(L832),Employee_Lookups!$O$14,L832)-J832)/365.25,2)</f>
        <v>2.4900000000000002</v>
      </c>
      <c r="AE832" t="str">
        <f t="shared" si="89"/>
        <v>1 - 3 Yrs</v>
      </c>
      <c r="AF832" t="str">
        <f t="shared" si="90"/>
        <v>High Risk</v>
      </c>
    </row>
    <row r="833" spans="1:32" x14ac:dyDescent="0.45">
      <c r="A833" t="s">
        <v>1583</v>
      </c>
      <c r="B833" t="s">
        <v>503</v>
      </c>
      <c r="C833" t="s">
        <v>55</v>
      </c>
      <c r="D833" t="s">
        <v>54</v>
      </c>
      <c r="E833" t="s">
        <v>277</v>
      </c>
      <c r="F833" t="s">
        <v>81</v>
      </c>
      <c r="G833" t="s">
        <v>278</v>
      </c>
      <c r="H833" t="s">
        <v>108</v>
      </c>
      <c r="I833" t="s">
        <v>107</v>
      </c>
      <c r="J833" s="26">
        <v>45115</v>
      </c>
      <c r="K833" t="s">
        <v>170</v>
      </c>
      <c r="L833" s="26">
        <v>45284</v>
      </c>
      <c r="M833" t="s">
        <v>171</v>
      </c>
      <c r="N833" t="s">
        <v>95</v>
      </c>
      <c r="O833" s="27">
        <v>771000</v>
      </c>
      <c r="P833">
        <v>2</v>
      </c>
      <c r="Q833" t="s">
        <v>172</v>
      </c>
      <c r="R833">
        <v>33</v>
      </c>
      <c r="S833" t="s">
        <v>173</v>
      </c>
      <c r="T833">
        <f t="shared" si="84"/>
        <v>10611</v>
      </c>
      <c r="U833" t="str">
        <f t="shared" si="85"/>
        <v>OPS</v>
      </c>
      <c r="V833" t="str">
        <f t="shared" si="86"/>
        <v>L1</v>
      </c>
      <c r="W833" t="str">
        <f>PROPER(TRIM(VLOOKUP(S833,Employee_Lookups!$I$4:$M$19,2,FALSE())))</f>
        <v>Deepak Patil</v>
      </c>
      <c r="X833" t="str">
        <f>VLOOKUP(C833,Employee_Lookups!$A$4:$G$9,4,FALSE())</f>
        <v>CC-303</v>
      </c>
      <c r="Y833" t="str">
        <f>INDEX(Employee_Lookups!$C$13:$C$17,MATCH(F833,Employee_Lookups!$A$13:$A$17,0))</f>
        <v>Band A (Entry)</v>
      </c>
      <c r="Z833" s="27">
        <f>_xlfn.XLOOKUP(F833,Employee_Lookups!$A$13:$A$17,Employee_Lookups!$E$13:$E$17,0)</f>
        <v>700000</v>
      </c>
      <c r="AA833" s="28">
        <f>ROUND(O833/INDEX(Employee_Lookups!$E$13:$E$17,MATCH(F833,Employee_Lookups!$A$13:$A$17,0)),3)</f>
        <v>1.101</v>
      </c>
      <c r="AB833">
        <f t="shared" si="87"/>
        <v>2023</v>
      </c>
      <c r="AC833">
        <f t="shared" si="88"/>
        <v>2023</v>
      </c>
      <c r="AD833" s="28">
        <f>ROUND((IF(ISBLANK(L833),Employee_Lookups!$O$14,L833)-J833)/365.25,2)</f>
        <v>0.46</v>
      </c>
      <c r="AE833" t="str">
        <f t="shared" si="89"/>
        <v>&lt; 1 Yr (New)</v>
      </c>
      <c r="AF833" t="str">
        <f t="shared" si="90"/>
        <v>Exited</v>
      </c>
    </row>
    <row r="834" spans="1:32" x14ac:dyDescent="0.45">
      <c r="A834" t="s">
        <v>1584</v>
      </c>
      <c r="B834" t="s">
        <v>1585</v>
      </c>
      <c r="C834" t="s">
        <v>57</v>
      </c>
      <c r="D834" t="s">
        <v>56</v>
      </c>
      <c r="E834" t="s">
        <v>160</v>
      </c>
      <c r="F834" t="s">
        <v>81</v>
      </c>
      <c r="G834" t="s">
        <v>161</v>
      </c>
      <c r="H834" t="s">
        <v>106</v>
      </c>
      <c r="I834" t="s">
        <v>107</v>
      </c>
      <c r="J834" s="26">
        <v>45117</v>
      </c>
      <c r="K834" t="s">
        <v>162</v>
      </c>
      <c r="L834" s="26"/>
      <c r="M834" t="s">
        <v>163</v>
      </c>
      <c r="N834" t="s">
        <v>95</v>
      </c>
      <c r="O834" s="27">
        <v>629000</v>
      </c>
      <c r="P834">
        <v>1</v>
      </c>
      <c r="Q834" t="s">
        <v>164</v>
      </c>
      <c r="R834">
        <v>31</v>
      </c>
      <c r="S834" t="s">
        <v>165</v>
      </c>
      <c r="T834">
        <f t="shared" ref="T834:T897" si="91">VALUE(MID(A834,5,5))</f>
        <v>10916</v>
      </c>
      <c r="U834" t="str">
        <f t="shared" ref="U834:U897" si="92">LEFT(E834,3)</f>
        <v>MKT</v>
      </c>
      <c r="V834" t="str">
        <f t="shared" ref="V834:V897" si="93">RIGHT(E834,2)</f>
        <v>L1</v>
      </c>
      <c r="W834" t="str">
        <f>PROPER(TRIM(VLOOKUP(S834,Employee_Lookups!$I$4:$M$19,2,FALSE())))</f>
        <v>Arjun Sengupta</v>
      </c>
      <c r="X834" t="str">
        <f>VLOOKUP(C834,Employee_Lookups!$A$4:$G$9,4,FALSE())</f>
        <v>CC-606</v>
      </c>
      <c r="Y834" t="str">
        <f>INDEX(Employee_Lookups!$C$13:$C$17,MATCH(F834,Employee_Lookups!$A$13:$A$17,0))</f>
        <v>Band A (Entry)</v>
      </c>
      <c r="Z834" s="27">
        <f>_xlfn.XLOOKUP(F834,Employee_Lookups!$A$13:$A$17,Employee_Lookups!$E$13:$E$17,0)</f>
        <v>700000</v>
      </c>
      <c r="AA834" s="28">
        <f>ROUND(O834/INDEX(Employee_Lookups!$E$13:$E$17,MATCH(F834,Employee_Lookups!$A$13:$A$17,0)),3)</f>
        <v>0.89900000000000002</v>
      </c>
      <c r="AB834">
        <f t="shared" ref="AB834:AB897" si="94">YEAR(J834)</f>
        <v>2023</v>
      </c>
      <c r="AC834" t="str">
        <f t="shared" ref="AC834:AC897" si="95">IF(ISBLANK(L834),"",YEAR(L834))</f>
        <v/>
      </c>
      <c r="AD834" s="28">
        <f>ROUND((IF(ISBLANK(L834),Employee_Lookups!$O$14,L834)-J834)/365.25,2)</f>
        <v>2.48</v>
      </c>
      <c r="AE834" t="str">
        <f t="shared" ref="AE834:AE897" si="96">IF(AD834&lt;1,"&lt; 1 Yr (New)",IF(AD834&lt;3,"1 - 3 Yrs",IF(AD834&lt;5,"3 - 5 Yrs","5+ Yrs")))</f>
        <v>1 - 3 Yrs</v>
      </c>
      <c r="AF834" t="str">
        <f t="shared" ref="AF834:AF897" si="97">IF(K834&lt;&gt;"Active","Exited",IF(AND(Q834="Yes",OR(P834&gt;=4,AA834&lt;0.95)),"High Risk",IF(OR(Q834="Yes",AND(NOT(ISBLANK(P834)),P834&lt;=2)),"Moderate Risk","Low Risk")))</f>
        <v>Moderate Risk</v>
      </c>
    </row>
    <row r="835" spans="1:32" x14ac:dyDescent="0.45">
      <c r="A835" t="s">
        <v>1586</v>
      </c>
      <c r="B835" t="s">
        <v>1224</v>
      </c>
      <c r="C835" t="s">
        <v>61</v>
      </c>
      <c r="D835" t="s">
        <v>60</v>
      </c>
      <c r="E835" t="s">
        <v>251</v>
      </c>
      <c r="F835" t="s">
        <v>82</v>
      </c>
      <c r="G835" t="s">
        <v>252</v>
      </c>
      <c r="H835" t="s">
        <v>106</v>
      </c>
      <c r="I835" t="s">
        <v>107</v>
      </c>
      <c r="J835" s="26">
        <v>45117</v>
      </c>
      <c r="K835" t="s">
        <v>162</v>
      </c>
      <c r="L835" s="26"/>
      <c r="M835" t="s">
        <v>163</v>
      </c>
      <c r="N835" t="s">
        <v>96</v>
      </c>
      <c r="O835" s="27">
        <v>1099000</v>
      </c>
      <c r="P835">
        <v>4</v>
      </c>
      <c r="Q835" t="s">
        <v>164</v>
      </c>
      <c r="R835">
        <v>63</v>
      </c>
      <c r="S835" t="s">
        <v>253</v>
      </c>
      <c r="T835">
        <f t="shared" si="91"/>
        <v>10616</v>
      </c>
      <c r="U835" t="str">
        <f t="shared" si="92"/>
        <v>-HR</v>
      </c>
      <c r="V835" t="str">
        <f t="shared" si="93"/>
        <v>L2</v>
      </c>
      <c r="W835" t="str">
        <f>PROPER(TRIM(VLOOKUP(S835,Employee_Lookups!$I$4:$M$19,2,FALSE())))</f>
        <v>Nikhil Chatterjee</v>
      </c>
      <c r="X835" t="str">
        <f>VLOOKUP(C835,Employee_Lookups!$A$4:$G$9,4,FALSE())</f>
        <v>CC-505</v>
      </c>
      <c r="Y835" t="str">
        <f>INDEX(Employee_Lookups!$C$13:$C$17,MATCH(F835,Employee_Lookups!$A$13:$A$17,0))</f>
        <v>Band B (Mid)</v>
      </c>
      <c r="Z835" s="27">
        <f>_xlfn.XLOOKUP(F835,Employee_Lookups!$A$13:$A$17,Employee_Lookups!$E$13:$E$17,0)</f>
        <v>1100000</v>
      </c>
      <c r="AA835" s="28">
        <f>ROUND(O835/INDEX(Employee_Lookups!$E$13:$E$17,MATCH(F835,Employee_Lookups!$A$13:$A$17,0)),3)</f>
        <v>0.999</v>
      </c>
      <c r="AB835">
        <f t="shared" si="94"/>
        <v>2023</v>
      </c>
      <c r="AC835" t="str">
        <f t="shared" si="95"/>
        <v/>
      </c>
      <c r="AD835" s="28">
        <f>ROUND((IF(ISBLANK(L835),Employee_Lookups!$O$14,L835)-J835)/365.25,2)</f>
        <v>2.48</v>
      </c>
      <c r="AE835" t="str">
        <f t="shared" si="96"/>
        <v>1 - 3 Yrs</v>
      </c>
      <c r="AF835" t="str">
        <f t="shared" si="97"/>
        <v>Low Risk</v>
      </c>
    </row>
    <row r="836" spans="1:32" x14ac:dyDescent="0.45">
      <c r="A836" t="s">
        <v>1587</v>
      </c>
      <c r="B836" t="s">
        <v>1345</v>
      </c>
      <c r="C836" t="s">
        <v>51</v>
      </c>
      <c r="D836" t="s">
        <v>50</v>
      </c>
      <c r="E836" t="s">
        <v>181</v>
      </c>
      <c r="F836" t="s">
        <v>81</v>
      </c>
      <c r="G836" t="s">
        <v>182</v>
      </c>
      <c r="H836" t="s">
        <v>106</v>
      </c>
      <c r="I836" t="s">
        <v>107</v>
      </c>
      <c r="J836" s="26">
        <v>45118</v>
      </c>
      <c r="K836" t="s">
        <v>162</v>
      </c>
      <c r="L836" s="26"/>
      <c r="M836" t="s">
        <v>163</v>
      </c>
      <c r="N836" t="s">
        <v>99</v>
      </c>
      <c r="O836" s="27">
        <v>702000</v>
      </c>
      <c r="P836">
        <v>2</v>
      </c>
      <c r="Q836" t="s">
        <v>164</v>
      </c>
      <c r="R836">
        <v>20</v>
      </c>
      <c r="S836" t="s">
        <v>197</v>
      </c>
      <c r="T836">
        <f t="shared" si="91"/>
        <v>10112</v>
      </c>
      <c r="U836" t="str">
        <f t="shared" si="92"/>
        <v>ENG</v>
      </c>
      <c r="V836" t="str">
        <f t="shared" si="93"/>
        <v>L1</v>
      </c>
      <c r="W836" t="str">
        <f>PROPER(TRIM(VLOOKUP(S836,Employee_Lookups!$I$4:$M$19,2,FALSE())))</f>
        <v>Rohan Verma</v>
      </c>
      <c r="X836" t="str">
        <f>VLOOKUP(C836,Employee_Lookups!$A$4:$G$9,4,FALSE())</f>
        <v>CC-101</v>
      </c>
      <c r="Y836" t="str">
        <f>INDEX(Employee_Lookups!$C$13:$C$17,MATCH(F836,Employee_Lookups!$A$13:$A$17,0))</f>
        <v>Band A (Entry)</v>
      </c>
      <c r="Z836" s="27">
        <f>_xlfn.XLOOKUP(F836,Employee_Lookups!$A$13:$A$17,Employee_Lookups!$E$13:$E$17,0)</f>
        <v>700000</v>
      </c>
      <c r="AA836" s="28">
        <f>ROUND(O836/INDEX(Employee_Lookups!$E$13:$E$17,MATCH(F836,Employee_Lookups!$A$13:$A$17,0)),3)</f>
        <v>1.0029999999999999</v>
      </c>
      <c r="AB836">
        <f t="shared" si="94"/>
        <v>2023</v>
      </c>
      <c r="AC836" t="str">
        <f t="shared" si="95"/>
        <v/>
      </c>
      <c r="AD836" s="28">
        <f>ROUND((IF(ISBLANK(L836),Employee_Lookups!$O$14,L836)-J836)/365.25,2)</f>
        <v>2.48</v>
      </c>
      <c r="AE836" t="str">
        <f t="shared" si="96"/>
        <v>1 - 3 Yrs</v>
      </c>
      <c r="AF836" t="str">
        <f t="shared" si="97"/>
        <v>Moderate Risk</v>
      </c>
    </row>
    <row r="837" spans="1:32" x14ac:dyDescent="0.45">
      <c r="A837" t="s">
        <v>1588</v>
      </c>
      <c r="B837" t="s">
        <v>1589</v>
      </c>
      <c r="C837" t="s">
        <v>55</v>
      </c>
      <c r="D837" t="s">
        <v>54</v>
      </c>
      <c r="E837" t="s">
        <v>537</v>
      </c>
      <c r="F837" t="s">
        <v>85</v>
      </c>
      <c r="G837" t="s">
        <v>538</v>
      </c>
      <c r="H837" t="s">
        <v>106</v>
      </c>
      <c r="I837" t="s">
        <v>107</v>
      </c>
      <c r="J837" s="26">
        <v>45119</v>
      </c>
      <c r="K837" t="s">
        <v>162</v>
      </c>
      <c r="L837" s="26"/>
      <c r="M837" t="s">
        <v>163</v>
      </c>
      <c r="N837" t="s">
        <v>99</v>
      </c>
      <c r="O837" s="27">
        <v>3591000</v>
      </c>
      <c r="P837">
        <v>3</v>
      </c>
      <c r="Q837" t="s">
        <v>172</v>
      </c>
      <c r="R837">
        <v>41</v>
      </c>
      <c r="S837" t="s">
        <v>274</v>
      </c>
      <c r="T837">
        <f t="shared" si="91"/>
        <v>11237</v>
      </c>
      <c r="U837" t="str">
        <f t="shared" si="92"/>
        <v>OPS</v>
      </c>
      <c r="V837" t="str">
        <f t="shared" si="93"/>
        <v>L5</v>
      </c>
      <c r="W837" t="str">
        <f>PROPER(TRIM(VLOOKUP(S837,Employee_Lookups!$I$4:$M$19,2,FALSE())))</f>
        <v>Meera Krishnan</v>
      </c>
      <c r="X837" t="str">
        <f>VLOOKUP(C837,Employee_Lookups!$A$4:$G$9,4,FALSE())</f>
        <v>CC-303</v>
      </c>
      <c r="Y837" t="str">
        <f>INDEX(Employee_Lookups!$C$13:$C$17,MATCH(F837,Employee_Lookups!$A$13:$A$17,0))</f>
        <v>Band E (Executive)</v>
      </c>
      <c r="Z837" s="27">
        <f>_xlfn.XLOOKUP(F837,Employee_Lookups!$A$13:$A$17,Employee_Lookups!$E$13:$E$17,0)</f>
        <v>4300000</v>
      </c>
      <c r="AA837" s="28">
        <f>ROUND(O837/INDEX(Employee_Lookups!$E$13:$E$17,MATCH(F837,Employee_Lookups!$A$13:$A$17,0)),3)</f>
        <v>0.83499999999999996</v>
      </c>
      <c r="AB837">
        <f t="shared" si="94"/>
        <v>2023</v>
      </c>
      <c r="AC837" t="str">
        <f t="shared" si="95"/>
        <v/>
      </c>
      <c r="AD837" s="28">
        <f>ROUND((IF(ISBLANK(L837),Employee_Lookups!$O$14,L837)-J837)/365.25,2)</f>
        <v>2.4700000000000002</v>
      </c>
      <c r="AE837" t="str">
        <f t="shared" si="96"/>
        <v>1 - 3 Yrs</v>
      </c>
      <c r="AF837" t="str">
        <f t="shared" si="97"/>
        <v>High Risk</v>
      </c>
    </row>
    <row r="838" spans="1:32" x14ac:dyDescent="0.45">
      <c r="A838" t="s">
        <v>1590</v>
      </c>
      <c r="B838" t="s">
        <v>1591</v>
      </c>
      <c r="C838" t="s">
        <v>51</v>
      </c>
      <c r="D838" t="s">
        <v>50</v>
      </c>
      <c r="E838" t="s">
        <v>181</v>
      </c>
      <c r="F838" t="s">
        <v>81</v>
      </c>
      <c r="G838" t="s">
        <v>182</v>
      </c>
      <c r="H838" t="s">
        <v>108</v>
      </c>
      <c r="I838" t="s">
        <v>107</v>
      </c>
      <c r="J838" s="26">
        <v>45119</v>
      </c>
      <c r="K838" t="s">
        <v>162</v>
      </c>
      <c r="L838" s="26"/>
      <c r="M838" t="s">
        <v>163</v>
      </c>
      <c r="N838" t="s">
        <v>95</v>
      </c>
      <c r="O838" s="27">
        <v>766000</v>
      </c>
      <c r="P838">
        <v>1</v>
      </c>
      <c r="Q838" t="s">
        <v>172</v>
      </c>
      <c r="R838">
        <v>21</v>
      </c>
      <c r="S838" t="s">
        <v>219</v>
      </c>
      <c r="T838">
        <f t="shared" si="91"/>
        <v>10792</v>
      </c>
      <c r="U838" t="str">
        <f t="shared" si="92"/>
        <v>ENG</v>
      </c>
      <c r="V838" t="str">
        <f t="shared" si="93"/>
        <v>L1</v>
      </c>
      <c r="W838" t="str">
        <f>PROPER(TRIM(VLOOKUP(S838,Employee_Lookups!$I$4:$M$19,2,FALSE())))</f>
        <v>Neha Kulkarni</v>
      </c>
      <c r="X838" t="str">
        <f>VLOOKUP(C838,Employee_Lookups!$A$4:$G$9,4,FALSE())</f>
        <v>CC-101</v>
      </c>
      <c r="Y838" t="str">
        <f>INDEX(Employee_Lookups!$C$13:$C$17,MATCH(F838,Employee_Lookups!$A$13:$A$17,0))</f>
        <v>Band A (Entry)</v>
      </c>
      <c r="Z838" s="27">
        <f>_xlfn.XLOOKUP(F838,Employee_Lookups!$A$13:$A$17,Employee_Lookups!$E$13:$E$17,0)</f>
        <v>700000</v>
      </c>
      <c r="AA838" s="28">
        <f>ROUND(O838/INDEX(Employee_Lookups!$E$13:$E$17,MATCH(F838,Employee_Lookups!$A$13:$A$17,0)),3)</f>
        <v>1.0940000000000001</v>
      </c>
      <c r="AB838">
        <f t="shared" si="94"/>
        <v>2023</v>
      </c>
      <c r="AC838" t="str">
        <f t="shared" si="95"/>
        <v/>
      </c>
      <c r="AD838" s="28">
        <f>ROUND((IF(ISBLANK(L838),Employee_Lookups!$O$14,L838)-J838)/365.25,2)</f>
        <v>2.4700000000000002</v>
      </c>
      <c r="AE838" t="str">
        <f t="shared" si="96"/>
        <v>1 - 3 Yrs</v>
      </c>
      <c r="AF838" t="str">
        <f t="shared" si="97"/>
        <v>Moderate Risk</v>
      </c>
    </row>
    <row r="839" spans="1:32" x14ac:dyDescent="0.45">
      <c r="A839" t="s">
        <v>1592</v>
      </c>
      <c r="B839" t="s">
        <v>1593</v>
      </c>
      <c r="C839" t="s">
        <v>51</v>
      </c>
      <c r="D839" t="s">
        <v>50</v>
      </c>
      <c r="E839" t="s">
        <v>176</v>
      </c>
      <c r="F839" t="s">
        <v>82</v>
      </c>
      <c r="G839" t="s">
        <v>177</v>
      </c>
      <c r="H839" t="s">
        <v>106</v>
      </c>
      <c r="I839" t="s">
        <v>107</v>
      </c>
      <c r="J839" s="26">
        <v>45119</v>
      </c>
      <c r="K839" t="s">
        <v>162</v>
      </c>
      <c r="L839" s="26"/>
      <c r="M839" t="s">
        <v>163</v>
      </c>
      <c r="N839" t="s">
        <v>99</v>
      </c>
      <c r="O839" s="27">
        <v>1326000</v>
      </c>
      <c r="P839">
        <v>3</v>
      </c>
      <c r="Q839" t="s">
        <v>164</v>
      </c>
      <c r="R839">
        <v>44</v>
      </c>
      <c r="S839" t="s">
        <v>178</v>
      </c>
      <c r="T839">
        <f t="shared" si="91"/>
        <v>10923</v>
      </c>
      <c r="U839" t="str">
        <f t="shared" si="92"/>
        <v>ENG</v>
      </c>
      <c r="V839" t="str">
        <f t="shared" si="93"/>
        <v>L2</v>
      </c>
      <c r="W839" t="str">
        <f>PROPER(TRIM(VLOOKUP(S839,Employee_Lookups!$I$4:$M$19,2,FALSE())))</f>
        <v>Aarav Deshmukh</v>
      </c>
      <c r="X839" t="str">
        <f>VLOOKUP(C839,Employee_Lookups!$A$4:$G$9,4,FALSE())</f>
        <v>CC-101</v>
      </c>
      <c r="Y839" t="str">
        <f>INDEX(Employee_Lookups!$C$13:$C$17,MATCH(F839,Employee_Lookups!$A$13:$A$17,0))</f>
        <v>Band B (Mid)</v>
      </c>
      <c r="Z839" s="27">
        <f>_xlfn.XLOOKUP(F839,Employee_Lookups!$A$13:$A$17,Employee_Lookups!$E$13:$E$17,0)</f>
        <v>1100000</v>
      </c>
      <c r="AA839" s="28">
        <f>ROUND(O839/INDEX(Employee_Lookups!$E$13:$E$17,MATCH(F839,Employee_Lookups!$A$13:$A$17,0)),3)</f>
        <v>1.2050000000000001</v>
      </c>
      <c r="AB839">
        <f t="shared" si="94"/>
        <v>2023</v>
      </c>
      <c r="AC839" t="str">
        <f t="shared" si="95"/>
        <v/>
      </c>
      <c r="AD839" s="28">
        <f>ROUND((IF(ISBLANK(L839),Employee_Lookups!$O$14,L839)-J839)/365.25,2)</f>
        <v>2.4700000000000002</v>
      </c>
      <c r="AE839" t="str">
        <f t="shared" si="96"/>
        <v>1 - 3 Yrs</v>
      </c>
      <c r="AF839" t="str">
        <f t="shared" si="97"/>
        <v>Low Risk</v>
      </c>
    </row>
    <row r="840" spans="1:32" x14ac:dyDescent="0.45">
      <c r="A840" t="s">
        <v>1594</v>
      </c>
      <c r="B840" t="s">
        <v>1595</v>
      </c>
      <c r="C840" t="s">
        <v>55</v>
      </c>
      <c r="D840" t="s">
        <v>54</v>
      </c>
      <c r="E840" t="s">
        <v>229</v>
      </c>
      <c r="F840" t="s">
        <v>82</v>
      </c>
      <c r="G840" t="s">
        <v>230</v>
      </c>
      <c r="H840" t="s">
        <v>111</v>
      </c>
      <c r="I840" t="s">
        <v>110</v>
      </c>
      <c r="J840" s="26">
        <v>45120</v>
      </c>
      <c r="K840" t="s">
        <v>162</v>
      </c>
      <c r="L840" s="26"/>
      <c r="M840" t="s">
        <v>163</v>
      </c>
      <c r="N840" t="s">
        <v>95</v>
      </c>
      <c r="O840" s="27">
        <v>1142000</v>
      </c>
      <c r="P840">
        <v>5</v>
      </c>
      <c r="Q840" t="s">
        <v>164</v>
      </c>
      <c r="R840">
        <v>49</v>
      </c>
      <c r="S840" t="s">
        <v>173</v>
      </c>
      <c r="T840">
        <f t="shared" si="91"/>
        <v>10452</v>
      </c>
      <c r="U840" t="str">
        <f t="shared" si="92"/>
        <v>OPS</v>
      </c>
      <c r="V840" t="str">
        <f t="shared" si="93"/>
        <v>L2</v>
      </c>
      <c r="W840" t="str">
        <f>PROPER(TRIM(VLOOKUP(S840,Employee_Lookups!$I$4:$M$19,2,FALSE())))</f>
        <v>Deepak Patil</v>
      </c>
      <c r="X840" t="str">
        <f>VLOOKUP(C840,Employee_Lookups!$A$4:$G$9,4,FALSE())</f>
        <v>CC-303</v>
      </c>
      <c r="Y840" t="str">
        <f>INDEX(Employee_Lookups!$C$13:$C$17,MATCH(F840,Employee_Lookups!$A$13:$A$17,0))</f>
        <v>Band B (Mid)</v>
      </c>
      <c r="Z840" s="27">
        <f>_xlfn.XLOOKUP(F840,Employee_Lookups!$A$13:$A$17,Employee_Lookups!$E$13:$E$17,0)</f>
        <v>1100000</v>
      </c>
      <c r="AA840" s="28">
        <f>ROUND(O840/INDEX(Employee_Lookups!$E$13:$E$17,MATCH(F840,Employee_Lookups!$A$13:$A$17,0)),3)</f>
        <v>1.038</v>
      </c>
      <c r="AB840">
        <f t="shared" si="94"/>
        <v>2023</v>
      </c>
      <c r="AC840" t="str">
        <f t="shared" si="95"/>
        <v/>
      </c>
      <c r="AD840" s="28">
        <f>ROUND((IF(ISBLANK(L840),Employee_Lookups!$O$14,L840)-J840)/365.25,2)</f>
        <v>2.4700000000000002</v>
      </c>
      <c r="AE840" t="str">
        <f t="shared" si="96"/>
        <v>1 - 3 Yrs</v>
      </c>
      <c r="AF840" t="str">
        <f t="shared" si="97"/>
        <v>Low Risk</v>
      </c>
    </row>
    <row r="841" spans="1:32" x14ac:dyDescent="0.45">
      <c r="A841" t="s">
        <v>1596</v>
      </c>
      <c r="B841" t="s">
        <v>1597</v>
      </c>
      <c r="C841" t="s">
        <v>55</v>
      </c>
      <c r="D841" t="s">
        <v>54</v>
      </c>
      <c r="E841" t="s">
        <v>229</v>
      </c>
      <c r="F841" t="s">
        <v>82</v>
      </c>
      <c r="G841" t="s">
        <v>230</v>
      </c>
      <c r="H841" t="s">
        <v>106</v>
      </c>
      <c r="I841" t="s">
        <v>107</v>
      </c>
      <c r="J841" s="26">
        <v>45120</v>
      </c>
      <c r="K841" t="s">
        <v>162</v>
      </c>
      <c r="L841" s="26"/>
      <c r="M841" t="s">
        <v>163</v>
      </c>
      <c r="N841" t="s">
        <v>96</v>
      </c>
      <c r="O841" s="27">
        <v>1108000</v>
      </c>
      <c r="P841">
        <v>2</v>
      </c>
      <c r="Q841" t="s">
        <v>172</v>
      </c>
      <c r="R841">
        <v>18</v>
      </c>
      <c r="S841" t="s">
        <v>262</v>
      </c>
      <c r="T841">
        <f t="shared" si="91"/>
        <v>10878</v>
      </c>
      <c r="U841" t="str">
        <f t="shared" si="92"/>
        <v>OPS</v>
      </c>
      <c r="V841" t="str">
        <f t="shared" si="93"/>
        <v>L2</v>
      </c>
      <c r="W841" t="str">
        <f>PROPER(TRIM(VLOOKUP(S841,Employee_Lookups!$I$4:$M$19,2,FALSE())))</f>
        <v>Ananya Iyer</v>
      </c>
      <c r="X841" t="str">
        <f>VLOOKUP(C841,Employee_Lookups!$A$4:$G$9,4,FALSE())</f>
        <v>CC-303</v>
      </c>
      <c r="Y841" t="str">
        <f>INDEX(Employee_Lookups!$C$13:$C$17,MATCH(F841,Employee_Lookups!$A$13:$A$17,0))</f>
        <v>Band B (Mid)</v>
      </c>
      <c r="Z841" s="27">
        <f>_xlfn.XLOOKUP(F841,Employee_Lookups!$A$13:$A$17,Employee_Lookups!$E$13:$E$17,0)</f>
        <v>1100000</v>
      </c>
      <c r="AA841" s="28">
        <f>ROUND(O841/INDEX(Employee_Lookups!$E$13:$E$17,MATCH(F841,Employee_Lookups!$A$13:$A$17,0)),3)</f>
        <v>1.0069999999999999</v>
      </c>
      <c r="AB841">
        <f t="shared" si="94"/>
        <v>2023</v>
      </c>
      <c r="AC841" t="str">
        <f t="shared" si="95"/>
        <v/>
      </c>
      <c r="AD841" s="28">
        <f>ROUND((IF(ISBLANK(L841),Employee_Lookups!$O$14,L841)-J841)/365.25,2)</f>
        <v>2.4700000000000002</v>
      </c>
      <c r="AE841" t="str">
        <f t="shared" si="96"/>
        <v>1 - 3 Yrs</v>
      </c>
      <c r="AF841" t="str">
        <f t="shared" si="97"/>
        <v>Moderate Risk</v>
      </c>
    </row>
    <row r="842" spans="1:32" x14ac:dyDescent="0.45">
      <c r="A842" t="s">
        <v>1598</v>
      </c>
      <c r="B842" t="s">
        <v>1599</v>
      </c>
      <c r="C842" t="s">
        <v>51</v>
      </c>
      <c r="D842" t="s">
        <v>50</v>
      </c>
      <c r="E842" t="s">
        <v>176</v>
      </c>
      <c r="F842" t="s">
        <v>82</v>
      </c>
      <c r="G842" t="s">
        <v>177</v>
      </c>
      <c r="H842" t="s">
        <v>108</v>
      </c>
      <c r="I842" t="s">
        <v>107</v>
      </c>
      <c r="J842" s="26">
        <v>45121</v>
      </c>
      <c r="K842" t="s">
        <v>162</v>
      </c>
      <c r="L842" s="26"/>
      <c r="M842" t="s">
        <v>163</v>
      </c>
      <c r="N842" t="s">
        <v>99</v>
      </c>
      <c r="O842" s="27">
        <v>1033000</v>
      </c>
      <c r="P842">
        <v>2</v>
      </c>
      <c r="Q842" t="s">
        <v>172</v>
      </c>
      <c r="R842">
        <v>38</v>
      </c>
      <c r="S842" t="s">
        <v>219</v>
      </c>
      <c r="T842">
        <f t="shared" si="91"/>
        <v>11131</v>
      </c>
      <c r="U842" t="str">
        <f t="shared" si="92"/>
        <v>ENG</v>
      </c>
      <c r="V842" t="str">
        <f t="shared" si="93"/>
        <v>L2</v>
      </c>
      <c r="W842" t="str">
        <f>PROPER(TRIM(VLOOKUP(S842,Employee_Lookups!$I$4:$M$19,2,FALSE())))</f>
        <v>Neha Kulkarni</v>
      </c>
      <c r="X842" t="str">
        <f>VLOOKUP(C842,Employee_Lookups!$A$4:$G$9,4,FALSE())</f>
        <v>CC-101</v>
      </c>
      <c r="Y842" t="str">
        <f>INDEX(Employee_Lookups!$C$13:$C$17,MATCH(F842,Employee_Lookups!$A$13:$A$17,0))</f>
        <v>Band B (Mid)</v>
      </c>
      <c r="Z842" s="27">
        <f>_xlfn.XLOOKUP(F842,Employee_Lookups!$A$13:$A$17,Employee_Lookups!$E$13:$E$17,0)</f>
        <v>1100000</v>
      </c>
      <c r="AA842" s="28">
        <f>ROUND(O842/INDEX(Employee_Lookups!$E$13:$E$17,MATCH(F842,Employee_Lookups!$A$13:$A$17,0)),3)</f>
        <v>0.93899999999999995</v>
      </c>
      <c r="AB842">
        <f t="shared" si="94"/>
        <v>2023</v>
      </c>
      <c r="AC842" t="str">
        <f t="shared" si="95"/>
        <v/>
      </c>
      <c r="AD842" s="28">
        <f>ROUND((IF(ISBLANK(L842),Employee_Lookups!$O$14,L842)-J842)/365.25,2)</f>
        <v>2.4700000000000002</v>
      </c>
      <c r="AE842" t="str">
        <f t="shared" si="96"/>
        <v>1 - 3 Yrs</v>
      </c>
      <c r="AF842" t="str">
        <f t="shared" si="97"/>
        <v>High Risk</v>
      </c>
    </row>
    <row r="843" spans="1:32" x14ac:dyDescent="0.45">
      <c r="A843" t="s">
        <v>1600</v>
      </c>
      <c r="B843" t="s">
        <v>1551</v>
      </c>
      <c r="C843" t="s">
        <v>51</v>
      </c>
      <c r="D843" t="s">
        <v>50</v>
      </c>
      <c r="E843" t="s">
        <v>181</v>
      </c>
      <c r="F843" t="s">
        <v>81</v>
      </c>
      <c r="G843" t="s">
        <v>182</v>
      </c>
      <c r="H843" t="s">
        <v>109</v>
      </c>
      <c r="I843" t="s">
        <v>110</v>
      </c>
      <c r="J843" s="26">
        <v>45123</v>
      </c>
      <c r="K843" t="s">
        <v>162</v>
      </c>
      <c r="L843" s="26"/>
      <c r="M843" t="s">
        <v>163</v>
      </c>
      <c r="N843" t="s">
        <v>97</v>
      </c>
      <c r="O843" s="27">
        <v>761000</v>
      </c>
      <c r="P843">
        <v>3</v>
      </c>
      <c r="Q843" t="s">
        <v>164</v>
      </c>
      <c r="R843">
        <v>15</v>
      </c>
      <c r="S843" t="s">
        <v>219</v>
      </c>
      <c r="T843">
        <f t="shared" si="91"/>
        <v>11149</v>
      </c>
      <c r="U843" t="str">
        <f t="shared" si="92"/>
        <v>ENG</v>
      </c>
      <c r="V843" t="str">
        <f t="shared" si="93"/>
        <v>L1</v>
      </c>
      <c r="W843" t="str">
        <f>PROPER(TRIM(VLOOKUP(S843,Employee_Lookups!$I$4:$M$19,2,FALSE())))</f>
        <v>Neha Kulkarni</v>
      </c>
      <c r="X843" t="str">
        <f>VLOOKUP(C843,Employee_Lookups!$A$4:$G$9,4,FALSE())</f>
        <v>CC-101</v>
      </c>
      <c r="Y843" t="str">
        <f>INDEX(Employee_Lookups!$C$13:$C$17,MATCH(F843,Employee_Lookups!$A$13:$A$17,0))</f>
        <v>Band A (Entry)</v>
      </c>
      <c r="Z843" s="27">
        <f>_xlfn.XLOOKUP(F843,Employee_Lookups!$A$13:$A$17,Employee_Lookups!$E$13:$E$17,0)</f>
        <v>700000</v>
      </c>
      <c r="AA843" s="28">
        <f>ROUND(O843/INDEX(Employee_Lookups!$E$13:$E$17,MATCH(F843,Employee_Lookups!$A$13:$A$17,0)),3)</f>
        <v>1.087</v>
      </c>
      <c r="AB843">
        <f t="shared" si="94"/>
        <v>2023</v>
      </c>
      <c r="AC843" t="str">
        <f t="shared" si="95"/>
        <v/>
      </c>
      <c r="AD843" s="28">
        <f>ROUND((IF(ISBLANK(L843),Employee_Lookups!$O$14,L843)-J843)/365.25,2)</f>
        <v>2.46</v>
      </c>
      <c r="AE843" t="str">
        <f t="shared" si="96"/>
        <v>1 - 3 Yrs</v>
      </c>
      <c r="AF843" t="str">
        <f t="shared" si="97"/>
        <v>Low Risk</v>
      </c>
    </row>
    <row r="844" spans="1:32" x14ac:dyDescent="0.45">
      <c r="A844" t="s">
        <v>1601</v>
      </c>
      <c r="B844" t="s">
        <v>1602</v>
      </c>
      <c r="C844" t="s">
        <v>61</v>
      </c>
      <c r="D844" t="s">
        <v>60</v>
      </c>
      <c r="E844" t="s">
        <v>251</v>
      </c>
      <c r="F844" t="s">
        <v>82</v>
      </c>
      <c r="G844" t="s">
        <v>252</v>
      </c>
      <c r="H844" t="s">
        <v>111</v>
      </c>
      <c r="I844" t="s">
        <v>110</v>
      </c>
      <c r="J844" s="26">
        <v>45123</v>
      </c>
      <c r="K844" t="s">
        <v>162</v>
      </c>
      <c r="L844" s="26"/>
      <c r="M844" t="s">
        <v>163</v>
      </c>
      <c r="N844" t="s">
        <v>99</v>
      </c>
      <c r="O844" s="27">
        <v>1250000</v>
      </c>
      <c r="P844">
        <v>3</v>
      </c>
      <c r="Q844" t="s">
        <v>164</v>
      </c>
      <c r="R844">
        <v>22</v>
      </c>
      <c r="S844" t="s">
        <v>319</v>
      </c>
      <c r="T844">
        <f t="shared" si="91"/>
        <v>11186</v>
      </c>
      <c r="U844" t="str">
        <f t="shared" si="92"/>
        <v>-HR</v>
      </c>
      <c r="V844" t="str">
        <f t="shared" si="93"/>
        <v>L2</v>
      </c>
      <c r="W844" t="str">
        <f>PROPER(TRIM(VLOOKUP(S844,Employee_Lookups!$I$4:$M$19,2,FALSE())))</f>
        <v>Kavita Menon</v>
      </c>
      <c r="X844" t="str">
        <f>VLOOKUP(C844,Employee_Lookups!$A$4:$G$9,4,FALSE())</f>
        <v>CC-505</v>
      </c>
      <c r="Y844" t="str">
        <f>INDEX(Employee_Lookups!$C$13:$C$17,MATCH(F844,Employee_Lookups!$A$13:$A$17,0))</f>
        <v>Band B (Mid)</v>
      </c>
      <c r="Z844" s="27">
        <f>_xlfn.XLOOKUP(F844,Employee_Lookups!$A$13:$A$17,Employee_Lookups!$E$13:$E$17,0)</f>
        <v>1100000</v>
      </c>
      <c r="AA844" s="28">
        <f>ROUND(O844/INDEX(Employee_Lookups!$E$13:$E$17,MATCH(F844,Employee_Lookups!$A$13:$A$17,0)),3)</f>
        <v>1.1359999999999999</v>
      </c>
      <c r="AB844">
        <f t="shared" si="94"/>
        <v>2023</v>
      </c>
      <c r="AC844" t="str">
        <f t="shared" si="95"/>
        <v/>
      </c>
      <c r="AD844" s="28">
        <f>ROUND((IF(ISBLANK(L844),Employee_Lookups!$O$14,L844)-J844)/365.25,2)</f>
        <v>2.46</v>
      </c>
      <c r="AE844" t="str">
        <f t="shared" si="96"/>
        <v>1 - 3 Yrs</v>
      </c>
      <c r="AF844" t="str">
        <f t="shared" si="97"/>
        <v>Low Risk</v>
      </c>
    </row>
    <row r="845" spans="1:32" x14ac:dyDescent="0.45">
      <c r="A845" t="s">
        <v>1603</v>
      </c>
      <c r="B845" t="s">
        <v>1604</v>
      </c>
      <c r="C845" t="s">
        <v>55</v>
      </c>
      <c r="D845" t="s">
        <v>54</v>
      </c>
      <c r="E845" t="s">
        <v>229</v>
      </c>
      <c r="F845" t="s">
        <v>82</v>
      </c>
      <c r="G845" t="s">
        <v>230</v>
      </c>
      <c r="H845" t="s">
        <v>108</v>
      </c>
      <c r="I845" t="s">
        <v>107</v>
      </c>
      <c r="J845" s="26">
        <v>45127</v>
      </c>
      <c r="K845" t="s">
        <v>162</v>
      </c>
      <c r="L845" s="26"/>
      <c r="M845" t="s">
        <v>163</v>
      </c>
      <c r="N845" t="s">
        <v>97</v>
      </c>
      <c r="O845" s="27">
        <v>948000</v>
      </c>
      <c r="P845">
        <v>2</v>
      </c>
      <c r="Q845" t="s">
        <v>164</v>
      </c>
      <c r="R845">
        <v>4</v>
      </c>
      <c r="S845" t="s">
        <v>173</v>
      </c>
      <c r="T845">
        <f t="shared" si="91"/>
        <v>10731</v>
      </c>
      <c r="U845" t="str">
        <f t="shared" si="92"/>
        <v>OPS</v>
      </c>
      <c r="V845" t="str">
        <f t="shared" si="93"/>
        <v>L2</v>
      </c>
      <c r="W845" t="str">
        <f>PROPER(TRIM(VLOOKUP(S845,Employee_Lookups!$I$4:$M$19,2,FALSE())))</f>
        <v>Deepak Patil</v>
      </c>
      <c r="X845" t="str">
        <f>VLOOKUP(C845,Employee_Lookups!$A$4:$G$9,4,FALSE())</f>
        <v>CC-303</v>
      </c>
      <c r="Y845" t="str">
        <f>INDEX(Employee_Lookups!$C$13:$C$17,MATCH(F845,Employee_Lookups!$A$13:$A$17,0))</f>
        <v>Band B (Mid)</v>
      </c>
      <c r="Z845" s="27">
        <f>_xlfn.XLOOKUP(F845,Employee_Lookups!$A$13:$A$17,Employee_Lookups!$E$13:$E$17,0)</f>
        <v>1100000</v>
      </c>
      <c r="AA845" s="28">
        <f>ROUND(O845/INDEX(Employee_Lookups!$E$13:$E$17,MATCH(F845,Employee_Lookups!$A$13:$A$17,0)),3)</f>
        <v>0.86199999999999999</v>
      </c>
      <c r="AB845">
        <f t="shared" si="94"/>
        <v>2023</v>
      </c>
      <c r="AC845" t="str">
        <f t="shared" si="95"/>
        <v/>
      </c>
      <c r="AD845" s="28">
        <f>ROUND((IF(ISBLANK(L845),Employee_Lookups!$O$14,L845)-J845)/365.25,2)</f>
        <v>2.4500000000000002</v>
      </c>
      <c r="AE845" t="str">
        <f t="shared" si="96"/>
        <v>1 - 3 Yrs</v>
      </c>
      <c r="AF845" t="str">
        <f t="shared" si="97"/>
        <v>Moderate Risk</v>
      </c>
    </row>
    <row r="846" spans="1:32" x14ac:dyDescent="0.45">
      <c r="A846" t="s">
        <v>1605</v>
      </c>
      <c r="B846" t="s">
        <v>1606</v>
      </c>
      <c r="C846" t="s">
        <v>53</v>
      </c>
      <c r="D846" t="s">
        <v>52</v>
      </c>
      <c r="E846" t="s">
        <v>185</v>
      </c>
      <c r="F846" t="s">
        <v>82</v>
      </c>
      <c r="G846" t="s">
        <v>186</v>
      </c>
      <c r="H846" t="s">
        <v>111</v>
      </c>
      <c r="I846" t="s">
        <v>110</v>
      </c>
      <c r="J846" s="26">
        <v>45128</v>
      </c>
      <c r="K846" t="s">
        <v>162</v>
      </c>
      <c r="L846" s="26"/>
      <c r="M846" t="s">
        <v>163</v>
      </c>
      <c r="N846" t="s">
        <v>97</v>
      </c>
      <c r="O846" s="27">
        <v>1335000</v>
      </c>
      <c r="P846">
        <v>3</v>
      </c>
      <c r="Q846" t="s">
        <v>164</v>
      </c>
      <c r="R846">
        <v>33</v>
      </c>
      <c r="S846" t="s">
        <v>237</v>
      </c>
      <c r="T846">
        <f t="shared" si="91"/>
        <v>10103</v>
      </c>
      <c r="U846" t="str">
        <f t="shared" si="92"/>
        <v>SAL</v>
      </c>
      <c r="V846" t="str">
        <f t="shared" si="93"/>
        <v>L2</v>
      </c>
      <c r="W846" t="str">
        <f>PROPER(TRIM(VLOOKUP(S846,Employee_Lookups!$I$4:$M$19,2,FALSE())))</f>
        <v>Karan Malhotra</v>
      </c>
      <c r="X846" t="str">
        <f>VLOOKUP(C846,Employee_Lookups!$A$4:$G$9,4,FALSE())</f>
        <v>CC-202</v>
      </c>
      <c r="Y846" t="str">
        <f>INDEX(Employee_Lookups!$C$13:$C$17,MATCH(F846,Employee_Lookups!$A$13:$A$17,0))</f>
        <v>Band B (Mid)</v>
      </c>
      <c r="Z846" s="27">
        <f>_xlfn.XLOOKUP(F846,Employee_Lookups!$A$13:$A$17,Employee_Lookups!$E$13:$E$17,0)</f>
        <v>1100000</v>
      </c>
      <c r="AA846" s="28">
        <f>ROUND(O846/INDEX(Employee_Lookups!$E$13:$E$17,MATCH(F846,Employee_Lookups!$A$13:$A$17,0)),3)</f>
        <v>1.214</v>
      </c>
      <c r="AB846">
        <f t="shared" si="94"/>
        <v>2023</v>
      </c>
      <c r="AC846" t="str">
        <f t="shared" si="95"/>
        <v/>
      </c>
      <c r="AD846" s="28">
        <f>ROUND((IF(ISBLANK(L846),Employee_Lookups!$O$14,L846)-J846)/365.25,2)</f>
        <v>2.4500000000000002</v>
      </c>
      <c r="AE846" t="str">
        <f t="shared" si="96"/>
        <v>1 - 3 Yrs</v>
      </c>
      <c r="AF846" t="str">
        <f t="shared" si="97"/>
        <v>Low Risk</v>
      </c>
    </row>
    <row r="847" spans="1:32" x14ac:dyDescent="0.45">
      <c r="A847" t="s">
        <v>1607</v>
      </c>
      <c r="B847" t="s">
        <v>1174</v>
      </c>
      <c r="C847" t="s">
        <v>53</v>
      </c>
      <c r="D847" t="s">
        <v>52</v>
      </c>
      <c r="E847" t="s">
        <v>185</v>
      </c>
      <c r="F847" t="s">
        <v>82</v>
      </c>
      <c r="G847" t="s">
        <v>186</v>
      </c>
      <c r="H847" t="s">
        <v>109</v>
      </c>
      <c r="I847" t="s">
        <v>110</v>
      </c>
      <c r="J847" s="26">
        <v>45129</v>
      </c>
      <c r="K847" t="s">
        <v>162</v>
      </c>
      <c r="L847" s="26"/>
      <c r="M847" t="s">
        <v>163</v>
      </c>
      <c r="N847" t="s">
        <v>97</v>
      </c>
      <c r="O847" s="27">
        <v>1298000</v>
      </c>
      <c r="P847">
        <v>2</v>
      </c>
      <c r="Q847" t="s">
        <v>172</v>
      </c>
      <c r="R847">
        <v>43</v>
      </c>
      <c r="S847" t="s">
        <v>194</v>
      </c>
      <c r="T847">
        <f t="shared" si="91"/>
        <v>10262</v>
      </c>
      <c r="U847" t="str">
        <f t="shared" si="92"/>
        <v>SAL</v>
      </c>
      <c r="V847" t="str">
        <f t="shared" si="93"/>
        <v>L2</v>
      </c>
      <c r="W847" t="str">
        <f>PROPER(TRIM(VLOOKUP(S847,Employee_Lookups!$I$4:$M$19,2,FALSE())))</f>
        <v>Vikramaditya Joshi</v>
      </c>
      <c r="X847" t="str">
        <f>VLOOKUP(C847,Employee_Lookups!$A$4:$G$9,4,FALSE())</f>
        <v>CC-202</v>
      </c>
      <c r="Y847" t="str">
        <f>INDEX(Employee_Lookups!$C$13:$C$17,MATCH(F847,Employee_Lookups!$A$13:$A$17,0))</f>
        <v>Band B (Mid)</v>
      </c>
      <c r="Z847" s="27">
        <f>_xlfn.XLOOKUP(F847,Employee_Lookups!$A$13:$A$17,Employee_Lookups!$E$13:$E$17,0)</f>
        <v>1100000</v>
      </c>
      <c r="AA847" s="28">
        <f>ROUND(O847/INDEX(Employee_Lookups!$E$13:$E$17,MATCH(F847,Employee_Lookups!$A$13:$A$17,0)),3)</f>
        <v>1.18</v>
      </c>
      <c r="AB847">
        <f t="shared" si="94"/>
        <v>2023</v>
      </c>
      <c r="AC847" t="str">
        <f t="shared" si="95"/>
        <v/>
      </c>
      <c r="AD847" s="28">
        <f>ROUND((IF(ISBLANK(L847),Employee_Lookups!$O$14,L847)-J847)/365.25,2)</f>
        <v>2.44</v>
      </c>
      <c r="AE847" t="str">
        <f t="shared" si="96"/>
        <v>1 - 3 Yrs</v>
      </c>
      <c r="AF847" t="str">
        <f t="shared" si="97"/>
        <v>Moderate Risk</v>
      </c>
    </row>
    <row r="848" spans="1:32" x14ac:dyDescent="0.45">
      <c r="A848" t="s">
        <v>1608</v>
      </c>
      <c r="B848" t="s">
        <v>1609</v>
      </c>
      <c r="C848" t="s">
        <v>53</v>
      </c>
      <c r="D848" t="s">
        <v>52</v>
      </c>
      <c r="E848" t="s">
        <v>185</v>
      </c>
      <c r="F848" t="s">
        <v>82</v>
      </c>
      <c r="G848" t="s">
        <v>186</v>
      </c>
      <c r="H848" t="s">
        <v>108</v>
      </c>
      <c r="I848" t="s">
        <v>107</v>
      </c>
      <c r="J848" s="26">
        <v>45129</v>
      </c>
      <c r="K848" t="s">
        <v>162</v>
      </c>
      <c r="L848" s="26"/>
      <c r="M848" t="s">
        <v>163</v>
      </c>
      <c r="N848" t="s">
        <v>95</v>
      </c>
      <c r="O848" s="27">
        <v>859000</v>
      </c>
      <c r="P848">
        <v>4</v>
      </c>
      <c r="Q848" t="s">
        <v>164</v>
      </c>
      <c r="R848">
        <v>39</v>
      </c>
      <c r="S848" t="s">
        <v>237</v>
      </c>
      <c r="T848">
        <f t="shared" si="91"/>
        <v>11393</v>
      </c>
      <c r="U848" t="str">
        <f t="shared" si="92"/>
        <v>SAL</v>
      </c>
      <c r="V848" t="str">
        <f t="shared" si="93"/>
        <v>L2</v>
      </c>
      <c r="W848" t="str">
        <f>PROPER(TRIM(VLOOKUP(S848,Employee_Lookups!$I$4:$M$19,2,FALSE())))</f>
        <v>Karan Malhotra</v>
      </c>
      <c r="X848" t="str">
        <f>VLOOKUP(C848,Employee_Lookups!$A$4:$G$9,4,FALSE())</f>
        <v>CC-202</v>
      </c>
      <c r="Y848" t="str">
        <f>INDEX(Employee_Lookups!$C$13:$C$17,MATCH(F848,Employee_Lookups!$A$13:$A$17,0))</f>
        <v>Band B (Mid)</v>
      </c>
      <c r="Z848" s="27">
        <f>_xlfn.XLOOKUP(F848,Employee_Lookups!$A$13:$A$17,Employee_Lookups!$E$13:$E$17,0)</f>
        <v>1100000</v>
      </c>
      <c r="AA848" s="28">
        <f>ROUND(O848/INDEX(Employee_Lookups!$E$13:$E$17,MATCH(F848,Employee_Lookups!$A$13:$A$17,0)),3)</f>
        <v>0.78100000000000003</v>
      </c>
      <c r="AB848">
        <f t="shared" si="94"/>
        <v>2023</v>
      </c>
      <c r="AC848" t="str">
        <f t="shared" si="95"/>
        <v/>
      </c>
      <c r="AD848" s="28">
        <f>ROUND((IF(ISBLANK(L848),Employee_Lookups!$O$14,L848)-J848)/365.25,2)</f>
        <v>2.44</v>
      </c>
      <c r="AE848" t="str">
        <f t="shared" si="96"/>
        <v>1 - 3 Yrs</v>
      </c>
      <c r="AF848" t="str">
        <f t="shared" si="97"/>
        <v>Low Risk</v>
      </c>
    </row>
    <row r="849" spans="1:32" x14ac:dyDescent="0.45">
      <c r="A849" t="s">
        <v>1610</v>
      </c>
      <c r="B849" t="s">
        <v>1611</v>
      </c>
      <c r="C849" t="s">
        <v>51</v>
      </c>
      <c r="D849" t="s">
        <v>50</v>
      </c>
      <c r="E849" t="s">
        <v>176</v>
      </c>
      <c r="F849" t="s">
        <v>82</v>
      </c>
      <c r="G849" t="s">
        <v>177</v>
      </c>
      <c r="H849" t="s">
        <v>108</v>
      </c>
      <c r="I849" t="s">
        <v>107</v>
      </c>
      <c r="J849" s="26">
        <v>45130</v>
      </c>
      <c r="K849" t="s">
        <v>162</v>
      </c>
      <c r="L849" s="26"/>
      <c r="M849" t="s">
        <v>163</v>
      </c>
      <c r="N849" t="s">
        <v>97</v>
      </c>
      <c r="O849" s="27">
        <v>1170000</v>
      </c>
      <c r="P849">
        <v>5</v>
      </c>
      <c r="Q849" t="s">
        <v>164</v>
      </c>
      <c r="R849">
        <v>42</v>
      </c>
      <c r="S849" t="s">
        <v>244</v>
      </c>
      <c r="T849">
        <f t="shared" si="91"/>
        <v>10369</v>
      </c>
      <c r="U849" t="str">
        <f t="shared" si="92"/>
        <v>ENG</v>
      </c>
      <c r="V849" t="str">
        <f t="shared" si="93"/>
        <v>L2</v>
      </c>
      <c r="W849" t="str">
        <f>PROPER(TRIM(VLOOKUP(S849,Employee_Lookups!$I$4:$M$19,2,FALSE())))</f>
        <v>Siddharth Nair</v>
      </c>
      <c r="X849" t="str">
        <f>VLOOKUP(C849,Employee_Lookups!$A$4:$G$9,4,FALSE())</f>
        <v>CC-101</v>
      </c>
      <c r="Y849" t="str">
        <f>INDEX(Employee_Lookups!$C$13:$C$17,MATCH(F849,Employee_Lookups!$A$13:$A$17,0))</f>
        <v>Band B (Mid)</v>
      </c>
      <c r="Z849" s="27">
        <f>_xlfn.XLOOKUP(F849,Employee_Lookups!$A$13:$A$17,Employee_Lookups!$E$13:$E$17,0)</f>
        <v>1100000</v>
      </c>
      <c r="AA849" s="28">
        <f>ROUND(O849/INDEX(Employee_Lookups!$E$13:$E$17,MATCH(F849,Employee_Lookups!$A$13:$A$17,0)),3)</f>
        <v>1.0640000000000001</v>
      </c>
      <c r="AB849">
        <f t="shared" si="94"/>
        <v>2023</v>
      </c>
      <c r="AC849" t="str">
        <f t="shared" si="95"/>
        <v/>
      </c>
      <c r="AD849" s="28">
        <f>ROUND((IF(ISBLANK(L849),Employee_Lookups!$O$14,L849)-J849)/365.25,2)</f>
        <v>2.44</v>
      </c>
      <c r="AE849" t="str">
        <f t="shared" si="96"/>
        <v>1 - 3 Yrs</v>
      </c>
      <c r="AF849" t="str">
        <f t="shared" si="97"/>
        <v>Low Risk</v>
      </c>
    </row>
    <row r="850" spans="1:32" x14ac:dyDescent="0.45">
      <c r="A850" t="s">
        <v>1612</v>
      </c>
      <c r="B850" t="s">
        <v>333</v>
      </c>
      <c r="C850" t="s">
        <v>53</v>
      </c>
      <c r="D850" t="s">
        <v>52</v>
      </c>
      <c r="E850" t="s">
        <v>192</v>
      </c>
      <c r="F850" t="s">
        <v>83</v>
      </c>
      <c r="G850" t="s">
        <v>193</v>
      </c>
      <c r="H850" t="s">
        <v>108</v>
      </c>
      <c r="I850" t="s">
        <v>107</v>
      </c>
      <c r="J850" s="26">
        <v>45130</v>
      </c>
      <c r="K850" t="s">
        <v>162</v>
      </c>
      <c r="L850" s="26"/>
      <c r="M850" t="s">
        <v>163</v>
      </c>
      <c r="N850" t="s">
        <v>96</v>
      </c>
      <c r="O850" s="27">
        <v>1458000</v>
      </c>
      <c r="P850">
        <v>2</v>
      </c>
      <c r="Q850" t="s">
        <v>172</v>
      </c>
      <c r="R850">
        <v>20</v>
      </c>
      <c r="S850" t="s">
        <v>237</v>
      </c>
      <c r="T850">
        <f t="shared" si="91"/>
        <v>11038</v>
      </c>
      <c r="U850" t="str">
        <f t="shared" si="92"/>
        <v>SAL</v>
      </c>
      <c r="V850" t="str">
        <f t="shared" si="93"/>
        <v>L3</v>
      </c>
      <c r="W850" t="str">
        <f>PROPER(TRIM(VLOOKUP(S850,Employee_Lookups!$I$4:$M$19,2,FALSE())))</f>
        <v>Karan Malhotra</v>
      </c>
      <c r="X850" t="str">
        <f>VLOOKUP(C850,Employee_Lookups!$A$4:$G$9,4,FALSE())</f>
        <v>CC-202</v>
      </c>
      <c r="Y850" t="str">
        <f>INDEX(Employee_Lookups!$C$13:$C$17,MATCH(F850,Employee_Lookups!$A$13:$A$17,0))</f>
        <v>Band C (Senior)</v>
      </c>
      <c r="Z850" s="27">
        <f>_xlfn.XLOOKUP(F850,Employee_Lookups!$A$13:$A$17,Employee_Lookups!$E$13:$E$17,0)</f>
        <v>1725000</v>
      </c>
      <c r="AA850" s="28">
        <f>ROUND(O850/INDEX(Employee_Lookups!$E$13:$E$17,MATCH(F850,Employee_Lookups!$A$13:$A$17,0)),3)</f>
        <v>0.84499999999999997</v>
      </c>
      <c r="AB850">
        <f t="shared" si="94"/>
        <v>2023</v>
      </c>
      <c r="AC850" t="str">
        <f t="shared" si="95"/>
        <v/>
      </c>
      <c r="AD850" s="28">
        <f>ROUND((IF(ISBLANK(L850),Employee_Lookups!$O$14,L850)-J850)/365.25,2)</f>
        <v>2.44</v>
      </c>
      <c r="AE850" t="str">
        <f t="shared" si="96"/>
        <v>1 - 3 Yrs</v>
      </c>
      <c r="AF850" t="str">
        <f t="shared" si="97"/>
        <v>High Risk</v>
      </c>
    </row>
    <row r="851" spans="1:32" x14ac:dyDescent="0.45">
      <c r="A851" t="s">
        <v>1613</v>
      </c>
      <c r="B851" t="s">
        <v>1240</v>
      </c>
      <c r="C851" t="s">
        <v>57</v>
      </c>
      <c r="D851" t="s">
        <v>56</v>
      </c>
      <c r="E851" t="s">
        <v>160</v>
      </c>
      <c r="F851" t="s">
        <v>81</v>
      </c>
      <c r="G851" t="s">
        <v>161</v>
      </c>
      <c r="H851" t="s">
        <v>108</v>
      </c>
      <c r="I851" t="s">
        <v>107</v>
      </c>
      <c r="J851" s="26">
        <v>45130</v>
      </c>
      <c r="K851" t="s">
        <v>162</v>
      </c>
      <c r="L851" s="26"/>
      <c r="M851" t="s">
        <v>163</v>
      </c>
      <c r="N851" t="s">
        <v>98</v>
      </c>
      <c r="O851" s="27">
        <v>768000</v>
      </c>
      <c r="P851">
        <v>3</v>
      </c>
      <c r="Q851" t="s">
        <v>164</v>
      </c>
      <c r="R851">
        <v>53</v>
      </c>
      <c r="S851" t="s">
        <v>165</v>
      </c>
      <c r="T851">
        <f t="shared" si="91"/>
        <v>11128</v>
      </c>
      <c r="U851" t="str">
        <f t="shared" si="92"/>
        <v>MKT</v>
      </c>
      <c r="V851" t="str">
        <f t="shared" si="93"/>
        <v>L1</v>
      </c>
      <c r="W851" t="str">
        <f>PROPER(TRIM(VLOOKUP(S851,Employee_Lookups!$I$4:$M$19,2,FALSE())))</f>
        <v>Arjun Sengupta</v>
      </c>
      <c r="X851" t="str">
        <f>VLOOKUP(C851,Employee_Lookups!$A$4:$G$9,4,FALSE())</f>
        <v>CC-606</v>
      </c>
      <c r="Y851" t="str">
        <f>INDEX(Employee_Lookups!$C$13:$C$17,MATCH(F851,Employee_Lookups!$A$13:$A$17,0))</f>
        <v>Band A (Entry)</v>
      </c>
      <c r="Z851" s="27">
        <f>_xlfn.XLOOKUP(F851,Employee_Lookups!$A$13:$A$17,Employee_Lookups!$E$13:$E$17,0)</f>
        <v>700000</v>
      </c>
      <c r="AA851" s="28">
        <f>ROUND(O851/INDEX(Employee_Lookups!$E$13:$E$17,MATCH(F851,Employee_Lookups!$A$13:$A$17,0)),3)</f>
        <v>1.097</v>
      </c>
      <c r="AB851">
        <f t="shared" si="94"/>
        <v>2023</v>
      </c>
      <c r="AC851" t="str">
        <f t="shared" si="95"/>
        <v/>
      </c>
      <c r="AD851" s="28">
        <f>ROUND((IF(ISBLANK(L851),Employee_Lookups!$O$14,L851)-J851)/365.25,2)</f>
        <v>2.44</v>
      </c>
      <c r="AE851" t="str">
        <f t="shared" si="96"/>
        <v>1 - 3 Yrs</v>
      </c>
      <c r="AF851" t="str">
        <f t="shared" si="97"/>
        <v>Low Risk</v>
      </c>
    </row>
    <row r="852" spans="1:32" x14ac:dyDescent="0.45">
      <c r="A852" t="s">
        <v>1614</v>
      </c>
      <c r="B852" t="s">
        <v>1615</v>
      </c>
      <c r="C852" t="s">
        <v>51</v>
      </c>
      <c r="D852" t="s">
        <v>50</v>
      </c>
      <c r="E852" t="s">
        <v>181</v>
      </c>
      <c r="F852" t="s">
        <v>81</v>
      </c>
      <c r="G852" t="s">
        <v>182</v>
      </c>
      <c r="H852" t="s">
        <v>106</v>
      </c>
      <c r="I852" t="s">
        <v>107</v>
      </c>
      <c r="J852" s="26">
        <v>45132</v>
      </c>
      <c r="K852" t="s">
        <v>187</v>
      </c>
      <c r="L852" s="26">
        <v>45333</v>
      </c>
      <c r="M852" t="s">
        <v>188</v>
      </c>
      <c r="N852" t="s">
        <v>98</v>
      </c>
      <c r="O852" s="27">
        <v>849000</v>
      </c>
      <c r="P852">
        <v>5</v>
      </c>
      <c r="Q852" t="s">
        <v>164</v>
      </c>
      <c r="R852">
        <v>61</v>
      </c>
      <c r="S852" t="s">
        <v>244</v>
      </c>
      <c r="T852">
        <f t="shared" si="91"/>
        <v>11069</v>
      </c>
      <c r="U852" t="str">
        <f t="shared" si="92"/>
        <v>ENG</v>
      </c>
      <c r="V852" t="str">
        <f t="shared" si="93"/>
        <v>L1</v>
      </c>
      <c r="W852" t="str">
        <f>PROPER(TRIM(VLOOKUP(S852,Employee_Lookups!$I$4:$M$19,2,FALSE())))</f>
        <v>Siddharth Nair</v>
      </c>
      <c r="X852" t="str">
        <f>VLOOKUP(C852,Employee_Lookups!$A$4:$G$9,4,FALSE())</f>
        <v>CC-101</v>
      </c>
      <c r="Y852" t="str">
        <f>INDEX(Employee_Lookups!$C$13:$C$17,MATCH(F852,Employee_Lookups!$A$13:$A$17,0))</f>
        <v>Band A (Entry)</v>
      </c>
      <c r="Z852" s="27">
        <f>_xlfn.XLOOKUP(F852,Employee_Lookups!$A$13:$A$17,Employee_Lookups!$E$13:$E$17,0)</f>
        <v>700000</v>
      </c>
      <c r="AA852" s="28">
        <f>ROUND(O852/INDEX(Employee_Lookups!$E$13:$E$17,MATCH(F852,Employee_Lookups!$A$13:$A$17,0)),3)</f>
        <v>1.2130000000000001</v>
      </c>
      <c r="AB852">
        <f t="shared" si="94"/>
        <v>2023</v>
      </c>
      <c r="AC852">
        <f t="shared" si="95"/>
        <v>2024</v>
      </c>
      <c r="AD852" s="28">
        <f>ROUND((IF(ISBLANK(L852),Employee_Lookups!$O$14,L852)-J852)/365.25,2)</f>
        <v>0.55000000000000004</v>
      </c>
      <c r="AE852" t="str">
        <f t="shared" si="96"/>
        <v>&lt; 1 Yr (New)</v>
      </c>
      <c r="AF852" t="str">
        <f t="shared" si="97"/>
        <v>Exited</v>
      </c>
    </row>
    <row r="853" spans="1:32" x14ac:dyDescent="0.45">
      <c r="A853" t="s">
        <v>1616</v>
      </c>
      <c r="B853" t="s">
        <v>1617</v>
      </c>
      <c r="C853" t="s">
        <v>53</v>
      </c>
      <c r="D853" t="s">
        <v>52</v>
      </c>
      <c r="E853" t="s">
        <v>185</v>
      </c>
      <c r="F853" t="s">
        <v>82</v>
      </c>
      <c r="G853" t="s">
        <v>186</v>
      </c>
      <c r="H853" t="s">
        <v>106</v>
      </c>
      <c r="I853" t="s">
        <v>107</v>
      </c>
      <c r="J853" s="26">
        <v>45132</v>
      </c>
      <c r="K853" t="s">
        <v>162</v>
      </c>
      <c r="L853" s="26"/>
      <c r="M853" t="s">
        <v>163</v>
      </c>
      <c r="N853" t="s">
        <v>96</v>
      </c>
      <c r="O853" s="27">
        <v>1231000</v>
      </c>
      <c r="P853">
        <v>4</v>
      </c>
      <c r="Q853" t="s">
        <v>164</v>
      </c>
      <c r="R853">
        <v>0</v>
      </c>
      <c r="S853" t="s">
        <v>237</v>
      </c>
      <c r="T853">
        <f t="shared" si="91"/>
        <v>10652</v>
      </c>
      <c r="U853" t="str">
        <f t="shared" si="92"/>
        <v>SAL</v>
      </c>
      <c r="V853" t="str">
        <f t="shared" si="93"/>
        <v>L2</v>
      </c>
      <c r="W853" t="str">
        <f>PROPER(TRIM(VLOOKUP(S853,Employee_Lookups!$I$4:$M$19,2,FALSE())))</f>
        <v>Karan Malhotra</v>
      </c>
      <c r="X853" t="str">
        <f>VLOOKUP(C853,Employee_Lookups!$A$4:$G$9,4,FALSE())</f>
        <v>CC-202</v>
      </c>
      <c r="Y853" t="str">
        <f>INDEX(Employee_Lookups!$C$13:$C$17,MATCH(F853,Employee_Lookups!$A$13:$A$17,0))</f>
        <v>Band B (Mid)</v>
      </c>
      <c r="Z853" s="27">
        <f>_xlfn.XLOOKUP(F853,Employee_Lookups!$A$13:$A$17,Employee_Lookups!$E$13:$E$17,0)</f>
        <v>1100000</v>
      </c>
      <c r="AA853" s="28">
        <f>ROUND(O853/INDEX(Employee_Lookups!$E$13:$E$17,MATCH(F853,Employee_Lookups!$A$13:$A$17,0)),3)</f>
        <v>1.119</v>
      </c>
      <c r="AB853">
        <f t="shared" si="94"/>
        <v>2023</v>
      </c>
      <c r="AC853" t="str">
        <f t="shared" si="95"/>
        <v/>
      </c>
      <c r="AD853" s="28">
        <f>ROUND((IF(ISBLANK(L853),Employee_Lookups!$O$14,L853)-J853)/365.25,2)</f>
        <v>2.44</v>
      </c>
      <c r="AE853" t="str">
        <f t="shared" si="96"/>
        <v>1 - 3 Yrs</v>
      </c>
      <c r="AF853" t="str">
        <f t="shared" si="97"/>
        <v>Low Risk</v>
      </c>
    </row>
    <row r="854" spans="1:32" x14ac:dyDescent="0.45">
      <c r="A854" t="s">
        <v>1618</v>
      </c>
      <c r="B854" t="s">
        <v>495</v>
      </c>
      <c r="C854" t="s">
        <v>51</v>
      </c>
      <c r="D854" t="s">
        <v>50</v>
      </c>
      <c r="E854" t="s">
        <v>181</v>
      </c>
      <c r="F854" t="s">
        <v>81</v>
      </c>
      <c r="G854" t="s">
        <v>182</v>
      </c>
      <c r="H854" t="s">
        <v>106</v>
      </c>
      <c r="I854" t="s">
        <v>107</v>
      </c>
      <c r="J854" s="26">
        <v>45134</v>
      </c>
      <c r="K854" t="s">
        <v>162</v>
      </c>
      <c r="L854" s="26"/>
      <c r="M854" t="s">
        <v>163</v>
      </c>
      <c r="N854" t="s">
        <v>99</v>
      </c>
      <c r="O854" s="27">
        <v>631000</v>
      </c>
      <c r="P854">
        <v>3</v>
      </c>
      <c r="Q854" t="s">
        <v>164</v>
      </c>
      <c r="R854">
        <v>55</v>
      </c>
      <c r="S854" t="s">
        <v>244</v>
      </c>
      <c r="T854">
        <f t="shared" si="91"/>
        <v>10081</v>
      </c>
      <c r="U854" t="str">
        <f t="shared" si="92"/>
        <v>ENG</v>
      </c>
      <c r="V854" t="str">
        <f t="shared" si="93"/>
        <v>L1</v>
      </c>
      <c r="W854" t="str">
        <f>PROPER(TRIM(VLOOKUP(S854,Employee_Lookups!$I$4:$M$19,2,FALSE())))</f>
        <v>Siddharth Nair</v>
      </c>
      <c r="X854" t="str">
        <f>VLOOKUP(C854,Employee_Lookups!$A$4:$G$9,4,FALSE())</f>
        <v>CC-101</v>
      </c>
      <c r="Y854" t="str">
        <f>INDEX(Employee_Lookups!$C$13:$C$17,MATCH(F854,Employee_Lookups!$A$13:$A$17,0))</f>
        <v>Band A (Entry)</v>
      </c>
      <c r="Z854" s="27">
        <f>_xlfn.XLOOKUP(F854,Employee_Lookups!$A$13:$A$17,Employee_Lookups!$E$13:$E$17,0)</f>
        <v>700000</v>
      </c>
      <c r="AA854" s="28">
        <f>ROUND(O854/INDEX(Employee_Lookups!$E$13:$E$17,MATCH(F854,Employee_Lookups!$A$13:$A$17,0)),3)</f>
        <v>0.90100000000000002</v>
      </c>
      <c r="AB854">
        <f t="shared" si="94"/>
        <v>2023</v>
      </c>
      <c r="AC854" t="str">
        <f t="shared" si="95"/>
        <v/>
      </c>
      <c r="AD854" s="28">
        <f>ROUND((IF(ISBLANK(L854),Employee_Lookups!$O$14,L854)-J854)/365.25,2)</f>
        <v>2.4300000000000002</v>
      </c>
      <c r="AE854" t="str">
        <f t="shared" si="96"/>
        <v>1 - 3 Yrs</v>
      </c>
      <c r="AF854" t="str">
        <f t="shared" si="97"/>
        <v>Low Risk</v>
      </c>
    </row>
    <row r="855" spans="1:32" x14ac:dyDescent="0.45">
      <c r="A855" t="s">
        <v>1619</v>
      </c>
      <c r="B855" t="s">
        <v>509</v>
      </c>
      <c r="C855" t="s">
        <v>51</v>
      </c>
      <c r="D855" t="s">
        <v>50</v>
      </c>
      <c r="E855" t="s">
        <v>181</v>
      </c>
      <c r="F855" t="s">
        <v>81</v>
      </c>
      <c r="G855" t="s">
        <v>182</v>
      </c>
      <c r="H855" t="s">
        <v>112</v>
      </c>
      <c r="I855" t="s">
        <v>113</v>
      </c>
      <c r="J855" s="26">
        <v>45134</v>
      </c>
      <c r="K855" t="s">
        <v>162</v>
      </c>
      <c r="L855" s="26"/>
      <c r="M855" t="s">
        <v>163</v>
      </c>
      <c r="N855" t="s">
        <v>95</v>
      </c>
      <c r="O855" s="27">
        <v>840000</v>
      </c>
      <c r="P855">
        <v>3</v>
      </c>
      <c r="Q855" t="s">
        <v>164</v>
      </c>
      <c r="R855">
        <v>52</v>
      </c>
      <c r="S855" t="s">
        <v>178</v>
      </c>
      <c r="T855">
        <f t="shared" si="91"/>
        <v>10427</v>
      </c>
      <c r="U855" t="str">
        <f t="shared" si="92"/>
        <v>ENG</v>
      </c>
      <c r="V855" t="str">
        <f t="shared" si="93"/>
        <v>L1</v>
      </c>
      <c r="W855" t="str">
        <f>PROPER(TRIM(VLOOKUP(S855,Employee_Lookups!$I$4:$M$19,2,FALSE())))</f>
        <v>Aarav Deshmukh</v>
      </c>
      <c r="X855" t="str">
        <f>VLOOKUP(C855,Employee_Lookups!$A$4:$G$9,4,FALSE())</f>
        <v>CC-101</v>
      </c>
      <c r="Y855" t="str">
        <f>INDEX(Employee_Lookups!$C$13:$C$17,MATCH(F855,Employee_Lookups!$A$13:$A$17,0))</f>
        <v>Band A (Entry)</v>
      </c>
      <c r="Z855" s="27">
        <f>_xlfn.XLOOKUP(F855,Employee_Lookups!$A$13:$A$17,Employee_Lookups!$E$13:$E$17,0)</f>
        <v>700000</v>
      </c>
      <c r="AA855" s="28">
        <f>ROUND(O855/INDEX(Employee_Lookups!$E$13:$E$17,MATCH(F855,Employee_Lookups!$A$13:$A$17,0)),3)</f>
        <v>1.2</v>
      </c>
      <c r="AB855">
        <f t="shared" si="94"/>
        <v>2023</v>
      </c>
      <c r="AC855" t="str">
        <f t="shared" si="95"/>
        <v/>
      </c>
      <c r="AD855" s="28">
        <f>ROUND((IF(ISBLANK(L855),Employee_Lookups!$O$14,L855)-J855)/365.25,2)</f>
        <v>2.4300000000000002</v>
      </c>
      <c r="AE855" t="str">
        <f t="shared" si="96"/>
        <v>1 - 3 Yrs</v>
      </c>
      <c r="AF855" t="str">
        <f t="shared" si="97"/>
        <v>Low Risk</v>
      </c>
    </row>
    <row r="856" spans="1:32" x14ac:dyDescent="0.45">
      <c r="A856" t="s">
        <v>1620</v>
      </c>
      <c r="B856" t="s">
        <v>1284</v>
      </c>
      <c r="C856" t="s">
        <v>51</v>
      </c>
      <c r="D856" t="s">
        <v>50</v>
      </c>
      <c r="E856" t="s">
        <v>181</v>
      </c>
      <c r="F856" t="s">
        <v>81</v>
      </c>
      <c r="G856" t="s">
        <v>182</v>
      </c>
      <c r="H856" t="s">
        <v>106</v>
      </c>
      <c r="I856" t="s">
        <v>107</v>
      </c>
      <c r="J856" s="26">
        <v>45139</v>
      </c>
      <c r="K856" t="s">
        <v>162</v>
      </c>
      <c r="L856" s="26"/>
      <c r="M856" t="s">
        <v>163</v>
      </c>
      <c r="N856" t="s">
        <v>95</v>
      </c>
      <c r="O856" s="27">
        <v>772000</v>
      </c>
      <c r="P856">
        <v>3</v>
      </c>
      <c r="Q856" t="s">
        <v>172</v>
      </c>
      <c r="R856">
        <v>62</v>
      </c>
      <c r="S856" t="s">
        <v>197</v>
      </c>
      <c r="T856">
        <f t="shared" si="91"/>
        <v>11344</v>
      </c>
      <c r="U856" t="str">
        <f t="shared" si="92"/>
        <v>ENG</v>
      </c>
      <c r="V856" t="str">
        <f t="shared" si="93"/>
        <v>L1</v>
      </c>
      <c r="W856" t="str">
        <f>PROPER(TRIM(VLOOKUP(S856,Employee_Lookups!$I$4:$M$19,2,FALSE())))</f>
        <v>Rohan Verma</v>
      </c>
      <c r="X856" t="str">
        <f>VLOOKUP(C856,Employee_Lookups!$A$4:$G$9,4,FALSE())</f>
        <v>CC-101</v>
      </c>
      <c r="Y856" t="str">
        <f>INDEX(Employee_Lookups!$C$13:$C$17,MATCH(F856,Employee_Lookups!$A$13:$A$17,0))</f>
        <v>Band A (Entry)</v>
      </c>
      <c r="Z856" s="27">
        <f>_xlfn.XLOOKUP(F856,Employee_Lookups!$A$13:$A$17,Employee_Lookups!$E$13:$E$17,0)</f>
        <v>700000</v>
      </c>
      <c r="AA856" s="28">
        <f>ROUND(O856/INDEX(Employee_Lookups!$E$13:$E$17,MATCH(F856,Employee_Lookups!$A$13:$A$17,0)),3)</f>
        <v>1.103</v>
      </c>
      <c r="AB856">
        <f t="shared" si="94"/>
        <v>2023</v>
      </c>
      <c r="AC856" t="str">
        <f t="shared" si="95"/>
        <v/>
      </c>
      <c r="AD856" s="28">
        <f>ROUND((IF(ISBLANK(L856),Employee_Lookups!$O$14,L856)-J856)/365.25,2)</f>
        <v>2.42</v>
      </c>
      <c r="AE856" t="str">
        <f t="shared" si="96"/>
        <v>1 - 3 Yrs</v>
      </c>
      <c r="AF856" t="str">
        <f t="shared" si="97"/>
        <v>Moderate Risk</v>
      </c>
    </row>
    <row r="857" spans="1:32" x14ac:dyDescent="0.45">
      <c r="A857" t="s">
        <v>1621</v>
      </c>
      <c r="B857" t="s">
        <v>1622</v>
      </c>
      <c r="C857" t="s">
        <v>61</v>
      </c>
      <c r="D857" t="s">
        <v>60</v>
      </c>
      <c r="E857" t="s">
        <v>251</v>
      </c>
      <c r="F857" t="s">
        <v>82</v>
      </c>
      <c r="G857" t="s">
        <v>252</v>
      </c>
      <c r="H857" t="s">
        <v>109</v>
      </c>
      <c r="I857" t="s">
        <v>110</v>
      </c>
      <c r="J857" s="26">
        <v>45140</v>
      </c>
      <c r="K857" t="s">
        <v>162</v>
      </c>
      <c r="L857" s="26"/>
      <c r="M857" t="s">
        <v>163</v>
      </c>
      <c r="N857" t="s">
        <v>99</v>
      </c>
      <c r="O857" s="27">
        <v>1137000</v>
      </c>
      <c r="P857">
        <v>3</v>
      </c>
      <c r="Q857" t="s">
        <v>172</v>
      </c>
      <c r="R857">
        <v>23</v>
      </c>
      <c r="S857" t="s">
        <v>319</v>
      </c>
      <c r="T857">
        <f t="shared" si="91"/>
        <v>10396</v>
      </c>
      <c r="U857" t="str">
        <f t="shared" si="92"/>
        <v>-HR</v>
      </c>
      <c r="V857" t="str">
        <f t="shared" si="93"/>
        <v>L2</v>
      </c>
      <c r="W857" t="str">
        <f>PROPER(TRIM(VLOOKUP(S857,Employee_Lookups!$I$4:$M$19,2,FALSE())))</f>
        <v>Kavita Menon</v>
      </c>
      <c r="X857" t="str">
        <f>VLOOKUP(C857,Employee_Lookups!$A$4:$G$9,4,FALSE())</f>
        <v>CC-505</v>
      </c>
      <c r="Y857" t="str">
        <f>INDEX(Employee_Lookups!$C$13:$C$17,MATCH(F857,Employee_Lookups!$A$13:$A$17,0))</f>
        <v>Band B (Mid)</v>
      </c>
      <c r="Z857" s="27">
        <f>_xlfn.XLOOKUP(F857,Employee_Lookups!$A$13:$A$17,Employee_Lookups!$E$13:$E$17,0)</f>
        <v>1100000</v>
      </c>
      <c r="AA857" s="28">
        <f>ROUND(O857/INDEX(Employee_Lookups!$E$13:$E$17,MATCH(F857,Employee_Lookups!$A$13:$A$17,0)),3)</f>
        <v>1.034</v>
      </c>
      <c r="AB857">
        <f t="shared" si="94"/>
        <v>2023</v>
      </c>
      <c r="AC857" t="str">
        <f t="shared" si="95"/>
        <v/>
      </c>
      <c r="AD857" s="28">
        <f>ROUND((IF(ISBLANK(L857),Employee_Lookups!$O$14,L857)-J857)/365.25,2)</f>
        <v>2.41</v>
      </c>
      <c r="AE857" t="str">
        <f t="shared" si="96"/>
        <v>1 - 3 Yrs</v>
      </c>
      <c r="AF857" t="str">
        <f t="shared" si="97"/>
        <v>Moderate Risk</v>
      </c>
    </row>
    <row r="858" spans="1:32" x14ac:dyDescent="0.45">
      <c r="A858" t="s">
        <v>1623</v>
      </c>
      <c r="B858" t="s">
        <v>1624</v>
      </c>
      <c r="C858" t="s">
        <v>51</v>
      </c>
      <c r="D858" t="s">
        <v>50</v>
      </c>
      <c r="E858" t="s">
        <v>176</v>
      </c>
      <c r="F858" t="s">
        <v>82</v>
      </c>
      <c r="G858" t="s">
        <v>177</v>
      </c>
      <c r="H858" t="s">
        <v>106</v>
      </c>
      <c r="I858" t="s">
        <v>107</v>
      </c>
      <c r="J858" s="26">
        <v>45142</v>
      </c>
      <c r="K858" t="s">
        <v>162</v>
      </c>
      <c r="L858" s="26"/>
      <c r="M858" t="s">
        <v>163</v>
      </c>
      <c r="N858" t="s">
        <v>99</v>
      </c>
      <c r="O858" s="27">
        <v>1031000</v>
      </c>
      <c r="P858">
        <v>4</v>
      </c>
      <c r="Q858" t="s">
        <v>164</v>
      </c>
      <c r="R858">
        <v>27</v>
      </c>
      <c r="S858" t="s">
        <v>244</v>
      </c>
      <c r="T858">
        <f t="shared" si="91"/>
        <v>10079</v>
      </c>
      <c r="U858" t="str">
        <f t="shared" si="92"/>
        <v>ENG</v>
      </c>
      <c r="V858" t="str">
        <f t="shared" si="93"/>
        <v>L2</v>
      </c>
      <c r="W858" t="str">
        <f>PROPER(TRIM(VLOOKUP(S858,Employee_Lookups!$I$4:$M$19,2,FALSE())))</f>
        <v>Siddharth Nair</v>
      </c>
      <c r="X858" t="str">
        <f>VLOOKUP(C858,Employee_Lookups!$A$4:$G$9,4,FALSE())</f>
        <v>CC-101</v>
      </c>
      <c r="Y858" t="str">
        <f>INDEX(Employee_Lookups!$C$13:$C$17,MATCH(F858,Employee_Lookups!$A$13:$A$17,0))</f>
        <v>Band B (Mid)</v>
      </c>
      <c r="Z858" s="27">
        <f>_xlfn.XLOOKUP(F858,Employee_Lookups!$A$13:$A$17,Employee_Lookups!$E$13:$E$17,0)</f>
        <v>1100000</v>
      </c>
      <c r="AA858" s="28">
        <f>ROUND(O858/INDEX(Employee_Lookups!$E$13:$E$17,MATCH(F858,Employee_Lookups!$A$13:$A$17,0)),3)</f>
        <v>0.93700000000000006</v>
      </c>
      <c r="AB858">
        <f t="shared" si="94"/>
        <v>2023</v>
      </c>
      <c r="AC858" t="str">
        <f t="shared" si="95"/>
        <v/>
      </c>
      <c r="AD858" s="28">
        <f>ROUND((IF(ISBLANK(L858),Employee_Lookups!$O$14,L858)-J858)/365.25,2)</f>
        <v>2.41</v>
      </c>
      <c r="AE858" t="str">
        <f t="shared" si="96"/>
        <v>1 - 3 Yrs</v>
      </c>
      <c r="AF858" t="str">
        <f t="shared" si="97"/>
        <v>Low Risk</v>
      </c>
    </row>
    <row r="859" spans="1:32" x14ac:dyDescent="0.45">
      <c r="A859" t="s">
        <v>1625</v>
      </c>
      <c r="B859" t="s">
        <v>472</v>
      </c>
      <c r="C859" t="s">
        <v>51</v>
      </c>
      <c r="D859" t="s">
        <v>50</v>
      </c>
      <c r="E859" t="s">
        <v>176</v>
      </c>
      <c r="F859" t="s">
        <v>82</v>
      </c>
      <c r="G859" t="s">
        <v>177</v>
      </c>
      <c r="H859" t="s">
        <v>106</v>
      </c>
      <c r="I859" t="s">
        <v>107</v>
      </c>
      <c r="J859" s="26">
        <v>45143</v>
      </c>
      <c r="K859" t="s">
        <v>170</v>
      </c>
      <c r="L859" s="26">
        <v>45255</v>
      </c>
      <c r="M859" t="s">
        <v>171</v>
      </c>
      <c r="N859" t="s">
        <v>99</v>
      </c>
      <c r="O859" s="27">
        <v>850000</v>
      </c>
      <c r="P859">
        <v>2</v>
      </c>
      <c r="Q859" t="s">
        <v>164</v>
      </c>
      <c r="R859">
        <v>0</v>
      </c>
      <c r="S859" t="s">
        <v>178</v>
      </c>
      <c r="T859">
        <f t="shared" si="91"/>
        <v>10765</v>
      </c>
      <c r="U859" t="str">
        <f t="shared" si="92"/>
        <v>ENG</v>
      </c>
      <c r="V859" t="str">
        <f t="shared" si="93"/>
        <v>L2</v>
      </c>
      <c r="W859" t="str">
        <f>PROPER(TRIM(VLOOKUP(S859,Employee_Lookups!$I$4:$M$19,2,FALSE())))</f>
        <v>Aarav Deshmukh</v>
      </c>
      <c r="X859" t="str">
        <f>VLOOKUP(C859,Employee_Lookups!$A$4:$G$9,4,FALSE())</f>
        <v>CC-101</v>
      </c>
      <c r="Y859" t="str">
        <f>INDEX(Employee_Lookups!$C$13:$C$17,MATCH(F859,Employee_Lookups!$A$13:$A$17,0))</f>
        <v>Band B (Mid)</v>
      </c>
      <c r="Z859" s="27">
        <f>_xlfn.XLOOKUP(F859,Employee_Lookups!$A$13:$A$17,Employee_Lookups!$E$13:$E$17,0)</f>
        <v>1100000</v>
      </c>
      <c r="AA859" s="28">
        <f>ROUND(O859/INDEX(Employee_Lookups!$E$13:$E$17,MATCH(F859,Employee_Lookups!$A$13:$A$17,0)),3)</f>
        <v>0.77300000000000002</v>
      </c>
      <c r="AB859">
        <f t="shared" si="94"/>
        <v>2023</v>
      </c>
      <c r="AC859">
        <f t="shared" si="95"/>
        <v>2023</v>
      </c>
      <c r="AD859" s="28">
        <f>ROUND((IF(ISBLANK(L859),Employee_Lookups!$O$14,L859)-J859)/365.25,2)</f>
        <v>0.31</v>
      </c>
      <c r="AE859" t="str">
        <f t="shared" si="96"/>
        <v>&lt; 1 Yr (New)</v>
      </c>
      <c r="AF859" t="str">
        <f t="shared" si="97"/>
        <v>Exited</v>
      </c>
    </row>
    <row r="860" spans="1:32" x14ac:dyDescent="0.45">
      <c r="A860" t="s">
        <v>1626</v>
      </c>
      <c r="B860" t="s">
        <v>1627</v>
      </c>
      <c r="C860" t="s">
        <v>51</v>
      </c>
      <c r="D860" t="s">
        <v>50</v>
      </c>
      <c r="E860" t="s">
        <v>176</v>
      </c>
      <c r="F860" t="s">
        <v>82</v>
      </c>
      <c r="G860" t="s">
        <v>177</v>
      </c>
      <c r="H860" t="s">
        <v>111</v>
      </c>
      <c r="I860" t="s">
        <v>110</v>
      </c>
      <c r="J860" s="26">
        <v>45144</v>
      </c>
      <c r="K860" t="s">
        <v>162</v>
      </c>
      <c r="L860" s="26"/>
      <c r="M860" t="s">
        <v>163</v>
      </c>
      <c r="N860" t="s">
        <v>96</v>
      </c>
      <c r="O860" s="27">
        <v>1107000</v>
      </c>
      <c r="P860">
        <v>3</v>
      </c>
      <c r="Q860" t="s">
        <v>172</v>
      </c>
      <c r="R860">
        <v>26</v>
      </c>
      <c r="S860" t="s">
        <v>219</v>
      </c>
      <c r="T860">
        <f t="shared" si="91"/>
        <v>10548</v>
      </c>
      <c r="U860" t="str">
        <f t="shared" si="92"/>
        <v>ENG</v>
      </c>
      <c r="V860" t="str">
        <f t="shared" si="93"/>
        <v>L2</v>
      </c>
      <c r="W860" t="str">
        <f>PROPER(TRIM(VLOOKUP(S860,Employee_Lookups!$I$4:$M$19,2,FALSE())))</f>
        <v>Neha Kulkarni</v>
      </c>
      <c r="X860" t="str">
        <f>VLOOKUP(C860,Employee_Lookups!$A$4:$G$9,4,FALSE())</f>
        <v>CC-101</v>
      </c>
      <c r="Y860" t="str">
        <f>INDEX(Employee_Lookups!$C$13:$C$17,MATCH(F860,Employee_Lookups!$A$13:$A$17,0))</f>
        <v>Band B (Mid)</v>
      </c>
      <c r="Z860" s="27">
        <f>_xlfn.XLOOKUP(F860,Employee_Lookups!$A$13:$A$17,Employee_Lookups!$E$13:$E$17,0)</f>
        <v>1100000</v>
      </c>
      <c r="AA860" s="28">
        <f>ROUND(O860/INDEX(Employee_Lookups!$E$13:$E$17,MATCH(F860,Employee_Lookups!$A$13:$A$17,0)),3)</f>
        <v>1.006</v>
      </c>
      <c r="AB860">
        <f t="shared" si="94"/>
        <v>2023</v>
      </c>
      <c r="AC860" t="str">
        <f t="shared" si="95"/>
        <v/>
      </c>
      <c r="AD860" s="28">
        <f>ROUND((IF(ISBLANK(L860),Employee_Lookups!$O$14,L860)-J860)/365.25,2)</f>
        <v>2.4</v>
      </c>
      <c r="AE860" t="str">
        <f t="shared" si="96"/>
        <v>1 - 3 Yrs</v>
      </c>
      <c r="AF860" t="str">
        <f t="shared" si="97"/>
        <v>Moderate Risk</v>
      </c>
    </row>
    <row r="861" spans="1:32" x14ac:dyDescent="0.45">
      <c r="A861" t="s">
        <v>1628</v>
      </c>
      <c r="B861" t="s">
        <v>1629</v>
      </c>
      <c r="C861" t="s">
        <v>51</v>
      </c>
      <c r="D861" t="s">
        <v>50</v>
      </c>
      <c r="E861" t="s">
        <v>176</v>
      </c>
      <c r="F861" t="s">
        <v>82</v>
      </c>
      <c r="G861" t="s">
        <v>177</v>
      </c>
      <c r="H861" t="s">
        <v>106</v>
      </c>
      <c r="I861" t="s">
        <v>107</v>
      </c>
      <c r="J861" s="26">
        <v>45144</v>
      </c>
      <c r="K861" t="s">
        <v>162</v>
      </c>
      <c r="L861" s="26"/>
      <c r="M861" t="s">
        <v>163</v>
      </c>
      <c r="N861" t="s">
        <v>97</v>
      </c>
      <c r="O861" s="27">
        <v>1300000</v>
      </c>
      <c r="P861">
        <v>3</v>
      </c>
      <c r="Q861" t="s">
        <v>164</v>
      </c>
      <c r="R861">
        <v>22</v>
      </c>
      <c r="S861" t="s">
        <v>197</v>
      </c>
      <c r="T861">
        <f t="shared" si="91"/>
        <v>10646</v>
      </c>
      <c r="U861" t="str">
        <f t="shared" si="92"/>
        <v>ENG</v>
      </c>
      <c r="V861" t="str">
        <f t="shared" si="93"/>
        <v>L2</v>
      </c>
      <c r="W861" t="str">
        <f>PROPER(TRIM(VLOOKUP(S861,Employee_Lookups!$I$4:$M$19,2,FALSE())))</f>
        <v>Rohan Verma</v>
      </c>
      <c r="X861" t="str">
        <f>VLOOKUP(C861,Employee_Lookups!$A$4:$G$9,4,FALSE())</f>
        <v>CC-101</v>
      </c>
      <c r="Y861" t="str">
        <f>INDEX(Employee_Lookups!$C$13:$C$17,MATCH(F861,Employee_Lookups!$A$13:$A$17,0))</f>
        <v>Band B (Mid)</v>
      </c>
      <c r="Z861" s="27">
        <f>_xlfn.XLOOKUP(F861,Employee_Lookups!$A$13:$A$17,Employee_Lookups!$E$13:$E$17,0)</f>
        <v>1100000</v>
      </c>
      <c r="AA861" s="28">
        <f>ROUND(O861/INDEX(Employee_Lookups!$E$13:$E$17,MATCH(F861,Employee_Lookups!$A$13:$A$17,0)),3)</f>
        <v>1.1819999999999999</v>
      </c>
      <c r="AB861">
        <f t="shared" si="94"/>
        <v>2023</v>
      </c>
      <c r="AC861" t="str">
        <f t="shared" si="95"/>
        <v/>
      </c>
      <c r="AD861" s="28">
        <f>ROUND((IF(ISBLANK(L861),Employee_Lookups!$O$14,L861)-J861)/365.25,2)</f>
        <v>2.4</v>
      </c>
      <c r="AE861" t="str">
        <f t="shared" si="96"/>
        <v>1 - 3 Yrs</v>
      </c>
      <c r="AF861" t="str">
        <f t="shared" si="97"/>
        <v>Low Risk</v>
      </c>
    </row>
    <row r="862" spans="1:32" x14ac:dyDescent="0.45">
      <c r="A862" t="s">
        <v>1630</v>
      </c>
      <c r="B862" t="s">
        <v>675</v>
      </c>
      <c r="C862" t="s">
        <v>51</v>
      </c>
      <c r="D862" t="s">
        <v>50</v>
      </c>
      <c r="E862" t="s">
        <v>181</v>
      </c>
      <c r="F862" t="s">
        <v>81</v>
      </c>
      <c r="G862" t="s">
        <v>182</v>
      </c>
      <c r="H862" t="s">
        <v>106</v>
      </c>
      <c r="I862" t="s">
        <v>107</v>
      </c>
      <c r="J862" s="26">
        <v>45144</v>
      </c>
      <c r="K862" t="s">
        <v>162</v>
      </c>
      <c r="L862" s="26"/>
      <c r="M862" t="s">
        <v>163</v>
      </c>
      <c r="N862" t="s">
        <v>98</v>
      </c>
      <c r="O862" s="27">
        <v>603000</v>
      </c>
      <c r="P862">
        <v>1</v>
      </c>
      <c r="Q862" t="s">
        <v>164</v>
      </c>
      <c r="R862">
        <v>4</v>
      </c>
      <c r="S862" t="s">
        <v>219</v>
      </c>
      <c r="T862">
        <f t="shared" si="91"/>
        <v>11215</v>
      </c>
      <c r="U862" t="str">
        <f t="shared" si="92"/>
        <v>ENG</v>
      </c>
      <c r="V862" t="str">
        <f t="shared" si="93"/>
        <v>L1</v>
      </c>
      <c r="W862" t="str">
        <f>PROPER(TRIM(VLOOKUP(S862,Employee_Lookups!$I$4:$M$19,2,FALSE())))</f>
        <v>Neha Kulkarni</v>
      </c>
      <c r="X862" t="str">
        <f>VLOOKUP(C862,Employee_Lookups!$A$4:$G$9,4,FALSE())</f>
        <v>CC-101</v>
      </c>
      <c r="Y862" t="str">
        <f>INDEX(Employee_Lookups!$C$13:$C$17,MATCH(F862,Employee_Lookups!$A$13:$A$17,0))</f>
        <v>Band A (Entry)</v>
      </c>
      <c r="Z862" s="27">
        <f>_xlfn.XLOOKUP(F862,Employee_Lookups!$A$13:$A$17,Employee_Lookups!$E$13:$E$17,0)</f>
        <v>700000</v>
      </c>
      <c r="AA862" s="28">
        <f>ROUND(O862/INDEX(Employee_Lookups!$E$13:$E$17,MATCH(F862,Employee_Lookups!$A$13:$A$17,0)),3)</f>
        <v>0.86099999999999999</v>
      </c>
      <c r="AB862">
        <f t="shared" si="94"/>
        <v>2023</v>
      </c>
      <c r="AC862" t="str">
        <f t="shared" si="95"/>
        <v/>
      </c>
      <c r="AD862" s="28">
        <f>ROUND((IF(ISBLANK(L862),Employee_Lookups!$O$14,L862)-J862)/365.25,2)</f>
        <v>2.4</v>
      </c>
      <c r="AE862" t="str">
        <f t="shared" si="96"/>
        <v>1 - 3 Yrs</v>
      </c>
      <c r="AF862" t="str">
        <f t="shared" si="97"/>
        <v>Moderate Risk</v>
      </c>
    </row>
    <row r="863" spans="1:32" x14ac:dyDescent="0.45">
      <c r="A863" t="s">
        <v>1631</v>
      </c>
      <c r="B863" t="s">
        <v>1164</v>
      </c>
      <c r="C863" t="s">
        <v>55</v>
      </c>
      <c r="D863" t="s">
        <v>54</v>
      </c>
      <c r="E863" t="s">
        <v>240</v>
      </c>
      <c r="F863" t="s">
        <v>83</v>
      </c>
      <c r="G863" t="s">
        <v>241</v>
      </c>
      <c r="H863" t="s">
        <v>109</v>
      </c>
      <c r="I863" t="s">
        <v>110</v>
      </c>
      <c r="J863" s="26">
        <v>45145</v>
      </c>
      <c r="K863" t="s">
        <v>162</v>
      </c>
      <c r="L863" s="26"/>
      <c r="M863" t="s">
        <v>163</v>
      </c>
      <c r="N863" t="s">
        <v>96</v>
      </c>
      <c r="O863" s="27">
        <v>2001000</v>
      </c>
      <c r="P863">
        <v>3</v>
      </c>
      <c r="Q863" t="s">
        <v>164</v>
      </c>
      <c r="R863">
        <v>51</v>
      </c>
      <c r="S863" t="s">
        <v>262</v>
      </c>
      <c r="T863">
        <f t="shared" si="91"/>
        <v>10458</v>
      </c>
      <c r="U863" t="str">
        <f t="shared" si="92"/>
        <v>OPS</v>
      </c>
      <c r="V863" t="str">
        <f t="shared" si="93"/>
        <v>L3</v>
      </c>
      <c r="W863" t="str">
        <f>PROPER(TRIM(VLOOKUP(S863,Employee_Lookups!$I$4:$M$19,2,FALSE())))</f>
        <v>Ananya Iyer</v>
      </c>
      <c r="X863" t="str">
        <f>VLOOKUP(C863,Employee_Lookups!$A$4:$G$9,4,FALSE())</f>
        <v>CC-303</v>
      </c>
      <c r="Y863" t="str">
        <f>INDEX(Employee_Lookups!$C$13:$C$17,MATCH(F863,Employee_Lookups!$A$13:$A$17,0))</f>
        <v>Band C (Senior)</v>
      </c>
      <c r="Z863" s="27">
        <f>_xlfn.XLOOKUP(F863,Employee_Lookups!$A$13:$A$17,Employee_Lookups!$E$13:$E$17,0)</f>
        <v>1725000</v>
      </c>
      <c r="AA863" s="28">
        <f>ROUND(O863/INDEX(Employee_Lookups!$E$13:$E$17,MATCH(F863,Employee_Lookups!$A$13:$A$17,0)),3)</f>
        <v>1.1599999999999999</v>
      </c>
      <c r="AB863">
        <f t="shared" si="94"/>
        <v>2023</v>
      </c>
      <c r="AC863" t="str">
        <f t="shared" si="95"/>
        <v/>
      </c>
      <c r="AD863" s="28">
        <f>ROUND((IF(ISBLANK(L863),Employee_Lookups!$O$14,L863)-J863)/365.25,2)</f>
        <v>2.4</v>
      </c>
      <c r="AE863" t="str">
        <f t="shared" si="96"/>
        <v>1 - 3 Yrs</v>
      </c>
      <c r="AF863" t="str">
        <f t="shared" si="97"/>
        <v>Low Risk</v>
      </c>
    </row>
    <row r="864" spans="1:32" x14ac:dyDescent="0.45">
      <c r="A864" t="s">
        <v>1632</v>
      </c>
      <c r="B864" t="s">
        <v>1464</v>
      </c>
      <c r="C864" t="s">
        <v>57</v>
      </c>
      <c r="D864" t="s">
        <v>56</v>
      </c>
      <c r="E864" t="s">
        <v>222</v>
      </c>
      <c r="F864" t="s">
        <v>82</v>
      </c>
      <c r="G864" t="s">
        <v>223</v>
      </c>
      <c r="H864" t="s">
        <v>106</v>
      </c>
      <c r="I864" t="s">
        <v>107</v>
      </c>
      <c r="J864" s="26">
        <v>45146</v>
      </c>
      <c r="K864" t="s">
        <v>162</v>
      </c>
      <c r="L864" s="26"/>
      <c r="M864" t="s">
        <v>163</v>
      </c>
      <c r="N864" t="s">
        <v>97</v>
      </c>
      <c r="O864" s="27">
        <v>888000</v>
      </c>
      <c r="P864">
        <v>1</v>
      </c>
      <c r="Q864" t="s">
        <v>164</v>
      </c>
      <c r="R864">
        <v>24</v>
      </c>
      <c r="S864" t="s">
        <v>165</v>
      </c>
      <c r="T864">
        <f t="shared" si="91"/>
        <v>10027</v>
      </c>
      <c r="U864" t="str">
        <f t="shared" si="92"/>
        <v>MKT</v>
      </c>
      <c r="V864" t="str">
        <f t="shared" si="93"/>
        <v>L2</v>
      </c>
      <c r="W864" t="str">
        <f>PROPER(TRIM(VLOOKUP(S864,Employee_Lookups!$I$4:$M$19,2,FALSE())))</f>
        <v>Arjun Sengupta</v>
      </c>
      <c r="X864" t="str">
        <f>VLOOKUP(C864,Employee_Lookups!$A$4:$G$9,4,FALSE())</f>
        <v>CC-606</v>
      </c>
      <c r="Y864" t="str">
        <f>INDEX(Employee_Lookups!$C$13:$C$17,MATCH(F864,Employee_Lookups!$A$13:$A$17,0))</f>
        <v>Band B (Mid)</v>
      </c>
      <c r="Z864" s="27">
        <f>_xlfn.XLOOKUP(F864,Employee_Lookups!$A$13:$A$17,Employee_Lookups!$E$13:$E$17,0)</f>
        <v>1100000</v>
      </c>
      <c r="AA864" s="28">
        <f>ROUND(O864/INDEX(Employee_Lookups!$E$13:$E$17,MATCH(F864,Employee_Lookups!$A$13:$A$17,0)),3)</f>
        <v>0.80700000000000005</v>
      </c>
      <c r="AB864">
        <f t="shared" si="94"/>
        <v>2023</v>
      </c>
      <c r="AC864" t="str">
        <f t="shared" si="95"/>
        <v/>
      </c>
      <c r="AD864" s="28">
        <f>ROUND((IF(ISBLANK(L864),Employee_Lookups!$O$14,L864)-J864)/365.25,2)</f>
        <v>2.4</v>
      </c>
      <c r="AE864" t="str">
        <f t="shared" si="96"/>
        <v>1 - 3 Yrs</v>
      </c>
      <c r="AF864" t="str">
        <f t="shared" si="97"/>
        <v>Moderate Risk</v>
      </c>
    </row>
    <row r="865" spans="1:32" x14ac:dyDescent="0.45">
      <c r="A865" t="s">
        <v>1633</v>
      </c>
      <c r="B865" t="s">
        <v>1627</v>
      </c>
      <c r="C865" t="s">
        <v>53</v>
      </c>
      <c r="D865" t="s">
        <v>52</v>
      </c>
      <c r="E865" t="s">
        <v>192</v>
      </c>
      <c r="F865" t="s">
        <v>83</v>
      </c>
      <c r="G865" t="s">
        <v>193</v>
      </c>
      <c r="H865" t="s">
        <v>108</v>
      </c>
      <c r="I865" t="s">
        <v>107</v>
      </c>
      <c r="J865" s="26">
        <v>45148</v>
      </c>
      <c r="K865" t="s">
        <v>170</v>
      </c>
      <c r="L865" s="26">
        <v>45934</v>
      </c>
      <c r="M865" t="s">
        <v>171</v>
      </c>
      <c r="N865" t="s">
        <v>95</v>
      </c>
      <c r="O865" s="27">
        <v>1412000</v>
      </c>
      <c r="P865">
        <v>1</v>
      </c>
      <c r="Q865" t="s">
        <v>172</v>
      </c>
      <c r="R865">
        <v>10</v>
      </c>
      <c r="S865" t="s">
        <v>189</v>
      </c>
      <c r="T865">
        <f t="shared" si="91"/>
        <v>11189</v>
      </c>
      <c r="U865" t="str">
        <f t="shared" si="92"/>
        <v>SAL</v>
      </c>
      <c r="V865" t="str">
        <f t="shared" si="93"/>
        <v>L3</v>
      </c>
      <c r="W865" t="str">
        <f>PROPER(TRIM(VLOOKUP(S865,Employee_Lookups!$I$4:$M$19,2,FALSE())))</f>
        <v>Priya Sharma</v>
      </c>
      <c r="X865" t="str">
        <f>VLOOKUP(C865,Employee_Lookups!$A$4:$G$9,4,FALSE())</f>
        <v>CC-202</v>
      </c>
      <c r="Y865" t="str">
        <f>INDEX(Employee_Lookups!$C$13:$C$17,MATCH(F865,Employee_Lookups!$A$13:$A$17,0))</f>
        <v>Band C (Senior)</v>
      </c>
      <c r="Z865" s="27">
        <f>_xlfn.XLOOKUP(F865,Employee_Lookups!$A$13:$A$17,Employee_Lookups!$E$13:$E$17,0)</f>
        <v>1725000</v>
      </c>
      <c r="AA865" s="28">
        <f>ROUND(O865/INDEX(Employee_Lookups!$E$13:$E$17,MATCH(F865,Employee_Lookups!$A$13:$A$17,0)),3)</f>
        <v>0.81899999999999995</v>
      </c>
      <c r="AB865">
        <f t="shared" si="94"/>
        <v>2023</v>
      </c>
      <c r="AC865">
        <f t="shared" si="95"/>
        <v>2025</v>
      </c>
      <c r="AD865" s="28">
        <f>ROUND((IF(ISBLANK(L865),Employee_Lookups!$O$14,L865)-J865)/365.25,2)</f>
        <v>2.15</v>
      </c>
      <c r="AE865" t="str">
        <f t="shared" si="96"/>
        <v>1 - 3 Yrs</v>
      </c>
      <c r="AF865" t="str">
        <f t="shared" si="97"/>
        <v>Exited</v>
      </c>
    </row>
    <row r="866" spans="1:32" x14ac:dyDescent="0.45">
      <c r="A866" t="s">
        <v>1634</v>
      </c>
      <c r="B866" t="s">
        <v>1635</v>
      </c>
      <c r="C866" t="s">
        <v>55</v>
      </c>
      <c r="D866" t="s">
        <v>54</v>
      </c>
      <c r="E866" t="s">
        <v>229</v>
      </c>
      <c r="F866" t="s">
        <v>82</v>
      </c>
      <c r="G866" t="s">
        <v>230</v>
      </c>
      <c r="H866" t="s">
        <v>111</v>
      </c>
      <c r="I866" t="s">
        <v>110</v>
      </c>
      <c r="J866" s="26">
        <v>45149</v>
      </c>
      <c r="K866" t="s">
        <v>162</v>
      </c>
      <c r="L866" s="26"/>
      <c r="M866" t="s">
        <v>163</v>
      </c>
      <c r="N866" t="s">
        <v>97</v>
      </c>
      <c r="O866" s="27">
        <v>1284000</v>
      </c>
      <c r="P866">
        <v>3</v>
      </c>
      <c r="Q866" t="s">
        <v>164</v>
      </c>
      <c r="R866">
        <v>41</v>
      </c>
      <c r="S866" t="s">
        <v>173</v>
      </c>
      <c r="T866">
        <f t="shared" si="91"/>
        <v>10352</v>
      </c>
      <c r="U866" t="str">
        <f t="shared" si="92"/>
        <v>OPS</v>
      </c>
      <c r="V866" t="str">
        <f t="shared" si="93"/>
        <v>L2</v>
      </c>
      <c r="W866" t="str">
        <f>PROPER(TRIM(VLOOKUP(S866,Employee_Lookups!$I$4:$M$19,2,FALSE())))</f>
        <v>Deepak Patil</v>
      </c>
      <c r="X866" t="str">
        <f>VLOOKUP(C866,Employee_Lookups!$A$4:$G$9,4,FALSE())</f>
        <v>CC-303</v>
      </c>
      <c r="Y866" t="str">
        <f>INDEX(Employee_Lookups!$C$13:$C$17,MATCH(F866,Employee_Lookups!$A$13:$A$17,0))</f>
        <v>Band B (Mid)</v>
      </c>
      <c r="Z866" s="27">
        <f>_xlfn.XLOOKUP(F866,Employee_Lookups!$A$13:$A$17,Employee_Lookups!$E$13:$E$17,0)</f>
        <v>1100000</v>
      </c>
      <c r="AA866" s="28">
        <f>ROUND(O866/INDEX(Employee_Lookups!$E$13:$E$17,MATCH(F866,Employee_Lookups!$A$13:$A$17,0)),3)</f>
        <v>1.167</v>
      </c>
      <c r="AB866">
        <f t="shared" si="94"/>
        <v>2023</v>
      </c>
      <c r="AC866" t="str">
        <f t="shared" si="95"/>
        <v/>
      </c>
      <c r="AD866" s="28">
        <f>ROUND((IF(ISBLANK(L866),Employee_Lookups!$O$14,L866)-J866)/365.25,2)</f>
        <v>2.39</v>
      </c>
      <c r="AE866" t="str">
        <f t="shared" si="96"/>
        <v>1 - 3 Yrs</v>
      </c>
      <c r="AF866" t="str">
        <f t="shared" si="97"/>
        <v>Low Risk</v>
      </c>
    </row>
    <row r="867" spans="1:32" x14ac:dyDescent="0.45">
      <c r="A867" t="s">
        <v>1636</v>
      </c>
      <c r="B867" t="s">
        <v>1069</v>
      </c>
      <c r="C867" t="s">
        <v>55</v>
      </c>
      <c r="D867" t="s">
        <v>54</v>
      </c>
      <c r="E867" t="s">
        <v>168</v>
      </c>
      <c r="F867" t="s">
        <v>84</v>
      </c>
      <c r="G867" t="s">
        <v>169</v>
      </c>
      <c r="H867" t="s">
        <v>106</v>
      </c>
      <c r="I867" t="s">
        <v>107</v>
      </c>
      <c r="J867" s="26">
        <v>45149</v>
      </c>
      <c r="K867" t="s">
        <v>162</v>
      </c>
      <c r="L867" s="26"/>
      <c r="M867" t="s">
        <v>163</v>
      </c>
      <c r="N867" t="s">
        <v>95</v>
      </c>
      <c r="O867" s="27">
        <v>2747000</v>
      </c>
      <c r="P867">
        <v>3</v>
      </c>
      <c r="Q867" t="s">
        <v>172</v>
      </c>
      <c r="R867">
        <v>35</v>
      </c>
      <c r="S867" t="s">
        <v>173</v>
      </c>
      <c r="T867">
        <f t="shared" si="91"/>
        <v>10488</v>
      </c>
      <c r="U867" t="str">
        <f t="shared" si="92"/>
        <v>OPS</v>
      </c>
      <c r="V867" t="str">
        <f t="shared" si="93"/>
        <v>L4</v>
      </c>
      <c r="W867" t="str">
        <f>PROPER(TRIM(VLOOKUP(S867,Employee_Lookups!$I$4:$M$19,2,FALSE())))</f>
        <v>Deepak Patil</v>
      </c>
      <c r="X867" t="str">
        <f>VLOOKUP(C867,Employee_Lookups!$A$4:$G$9,4,FALSE())</f>
        <v>CC-303</v>
      </c>
      <c r="Y867" t="str">
        <f>INDEX(Employee_Lookups!$C$13:$C$17,MATCH(F867,Employee_Lookups!$A$13:$A$17,0))</f>
        <v>Band D (Leadership)</v>
      </c>
      <c r="Z867" s="27">
        <f>_xlfn.XLOOKUP(F867,Employee_Lookups!$A$13:$A$17,Employee_Lookups!$E$13:$E$17,0)</f>
        <v>2750000</v>
      </c>
      <c r="AA867" s="28">
        <f>ROUND(O867/INDEX(Employee_Lookups!$E$13:$E$17,MATCH(F867,Employee_Lookups!$A$13:$A$17,0)),3)</f>
        <v>0.999</v>
      </c>
      <c r="AB867">
        <f t="shared" si="94"/>
        <v>2023</v>
      </c>
      <c r="AC867" t="str">
        <f t="shared" si="95"/>
        <v/>
      </c>
      <c r="AD867" s="28">
        <f>ROUND((IF(ISBLANK(L867),Employee_Lookups!$O$14,L867)-J867)/365.25,2)</f>
        <v>2.39</v>
      </c>
      <c r="AE867" t="str">
        <f t="shared" si="96"/>
        <v>1 - 3 Yrs</v>
      </c>
      <c r="AF867" t="str">
        <f t="shared" si="97"/>
        <v>Moderate Risk</v>
      </c>
    </row>
    <row r="868" spans="1:32" x14ac:dyDescent="0.45">
      <c r="A868" t="s">
        <v>1637</v>
      </c>
      <c r="B868" t="s">
        <v>1638</v>
      </c>
      <c r="C868" t="s">
        <v>59</v>
      </c>
      <c r="D868" t="s">
        <v>58</v>
      </c>
      <c r="E868" t="s">
        <v>211</v>
      </c>
      <c r="F868" t="s">
        <v>82</v>
      </c>
      <c r="G868" t="s">
        <v>212</v>
      </c>
      <c r="H868" t="s">
        <v>111</v>
      </c>
      <c r="I868" t="s">
        <v>110</v>
      </c>
      <c r="J868" s="26">
        <v>45151</v>
      </c>
      <c r="K868" t="s">
        <v>162</v>
      </c>
      <c r="L868" s="26"/>
      <c r="M868" t="s">
        <v>163</v>
      </c>
      <c r="N868" t="s">
        <v>97</v>
      </c>
      <c r="O868" s="27">
        <v>1331000</v>
      </c>
      <c r="P868">
        <v>3</v>
      </c>
      <c r="Q868" t="s">
        <v>164</v>
      </c>
      <c r="R868">
        <v>41</v>
      </c>
      <c r="S868" t="s">
        <v>214</v>
      </c>
      <c r="T868">
        <f t="shared" si="91"/>
        <v>10753</v>
      </c>
      <c r="U868" t="str">
        <f t="shared" si="92"/>
        <v>FIN</v>
      </c>
      <c r="V868" t="str">
        <f t="shared" si="93"/>
        <v>L2</v>
      </c>
      <c r="W868" t="str">
        <f>PROPER(TRIM(VLOOKUP(S868,Employee_Lookups!$I$4:$M$19,2,FALSE())))</f>
        <v>Aditya Gokhale</v>
      </c>
      <c r="X868" t="str">
        <f>VLOOKUP(C868,Employee_Lookups!$A$4:$G$9,4,FALSE())</f>
        <v>CC-404</v>
      </c>
      <c r="Y868" t="str">
        <f>INDEX(Employee_Lookups!$C$13:$C$17,MATCH(F868,Employee_Lookups!$A$13:$A$17,0))</f>
        <v>Band B (Mid)</v>
      </c>
      <c r="Z868" s="27">
        <f>_xlfn.XLOOKUP(F868,Employee_Lookups!$A$13:$A$17,Employee_Lookups!$E$13:$E$17,0)</f>
        <v>1100000</v>
      </c>
      <c r="AA868" s="28">
        <f>ROUND(O868/INDEX(Employee_Lookups!$E$13:$E$17,MATCH(F868,Employee_Lookups!$A$13:$A$17,0)),3)</f>
        <v>1.21</v>
      </c>
      <c r="AB868">
        <f t="shared" si="94"/>
        <v>2023</v>
      </c>
      <c r="AC868" t="str">
        <f t="shared" si="95"/>
        <v/>
      </c>
      <c r="AD868" s="28">
        <f>ROUND((IF(ISBLANK(L868),Employee_Lookups!$O$14,L868)-J868)/365.25,2)</f>
        <v>2.38</v>
      </c>
      <c r="AE868" t="str">
        <f t="shared" si="96"/>
        <v>1 - 3 Yrs</v>
      </c>
      <c r="AF868" t="str">
        <f t="shared" si="97"/>
        <v>Low Risk</v>
      </c>
    </row>
    <row r="869" spans="1:32" x14ac:dyDescent="0.45">
      <c r="A869" t="s">
        <v>1639</v>
      </c>
      <c r="B869" t="s">
        <v>679</v>
      </c>
      <c r="C869" t="s">
        <v>53</v>
      </c>
      <c r="D869" t="s">
        <v>52</v>
      </c>
      <c r="E869" t="s">
        <v>322</v>
      </c>
      <c r="F869" t="s">
        <v>81</v>
      </c>
      <c r="G869" t="s">
        <v>323</v>
      </c>
      <c r="H869" t="s">
        <v>108</v>
      </c>
      <c r="I869" t="s">
        <v>107</v>
      </c>
      <c r="J869" s="26">
        <v>45152</v>
      </c>
      <c r="K869" t="s">
        <v>162</v>
      </c>
      <c r="L869" s="26"/>
      <c r="M869" t="s">
        <v>163</v>
      </c>
      <c r="N869" t="s">
        <v>95</v>
      </c>
      <c r="O869" s="27">
        <v>842000</v>
      </c>
      <c r="P869">
        <v>3</v>
      </c>
      <c r="Q869" t="s">
        <v>172</v>
      </c>
      <c r="R869">
        <v>53</v>
      </c>
      <c r="S869" t="s">
        <v>189</v>
      </c>
      <c r="T869">
        <f t="shared" si="91"/>
        <v>11230</v>
      </c>
      <c r="U869" t="str">
        <f t="shared" si="92"/>
        <v>SAL</v>
      </c>
      <c r="V869" t="str">
        <f t="shared" si="93"/>
        <v>L1</v>
      </c>
      <c r="W869" t="str">
        <f>PROPER(TRIM(VLOOKUP(S869,Employee_Lookups!$I$4:$M$19,2,FALSE())))</f>
        <v>Priya Sharma</v>
      </c>
      <c r="X869" t="str">
        <f>VLOOKUP(C869,Employee_Lookups!$A$4:$G$9,4,FALSE())</f>
        <v>CC-202</v>
      </c>
      <c r="Y869" t="str">
        <f>INDEX(Employee_Lookups!$C$13:$C$17,MATCH(F869,Employee_Lookups!$A$13:$A$17,0))</f>
        <v>Band A (Entry)</v>
      </c>
      <c r="Z869" s="27">
        <f>_xlfn.XLOOKUP(F869,Employee_Lookups!$A$13:$A$17,Employee_Lookups!$E$13:$E$17,0)</f>
        <v>700000</v>
      </c>
      <c r="AA869" s="28">
        <f>ROUND(O869/INDEX(Employee_Lookups!$E$13:$E$17,MATCH(F869,Employee_Lookups!$A$13:$A$17,0)),3)</f>
        <v>1.2030000000000001</v>
      </c>
      <c r="AB869">
        <f t="shared" si="94"/>
        <v>2023</v>
      </c>
      <c r="AC869" t="str">
        <f t="shared" si="95"/>
        <v/>
      </c>
      <c r="AD869" s="28">
        <f>ROUND((IF(ISBLANK(L869),Employee_Lookups!$O$14,L869)-J869)/365.25,2)</f>
        <v>2.38</v>
      </c>
      <c r="AE869" t="str">
        <f t="shared" si="96"/>
        <v>1 - 3 Yrs</v>
      </c>
      <c r="AF869" t="str">
        <f t="shared" si="97"/>
        <v>Moderate Risk</v>
      </c>
    </row>
    <row r="870" spans="1:32" x14ac:dyDescent="0.45">
      <c r="A870" t="s">
        <v>1640</v>
      </c>
      <c r="B870" t="s">
        <v>1641</v>
      </c>
      <c r="C870" t="s">
        <v>59</v>
      </c>
      <c r="D870" t="s">
        <v>58</v>
      </c>
      <c r="E870" t="s">
        <v>211</v>
      </c>
      <c r="F870" t="s">
        <v>82</v>
      </c>
      <c r="G870" t="s">
        <v>212</v>
      </c>
      <c r="H870" t="s">
        <v>106</v>
      </c>
      <c r="I870" t="s">
        <v>107</v>
      </c>
      <c r="J870" s="26">
        <v>45153</v>
      </c>
      <c r="K870" t="s">
        <v>162</v>
      </c>
      <c r="L870" s="26"/>
      <c r="M870" t="s">
        <v>163</v>
      </c>
      <c r="N870" t="s">
        <v>96</v>
      </c>
      <c r="O870" s="27">
        <v>1124000</v>
      </c>
      <c r="P870">
        <v>3</v>
      </c>
      <c r="Q870" t="s">
        <v>172</v>
      </c>
      <c r="R870">
        <v>35</v>
      </c>
      <c r="S870" t="s">
        <v>214</v>
      </c>
      <c r="T870">
        <f t="shared" si="91"/>
        <v>11072</v>
      </c>
      <c r="U870" t="str">
        <f t="shared" si="92"/>
        <v>FIN</v>
      </c>
      <c r="V870" t="str">
        <f t="shared" si="93"/>
        <v>L2</v>
      </c>
      <c r="W870" t="str">
        <f>PROPER(TRIM(VLOOKUP(S870,Employee_Lookups!$I$4:$M$19,2,FALSE())))</f>
        <v>Aditya Gokhale</v>
      </c>
      <c r="X870" t="str">
        <f>VLOOKUP(C870,Employee_Lookups!$A$4:$G$9,4,FALSE())</f>
        <v>CC-404</v>
      </c>
      <c r="Y870" t="str">
        <f>INDEX(Employee_Lookups!$C$13:$C$17,MATCH(F870,Employee_Lookups!$A$13:$A$17,0))</f>
        <v>Band B (Mid)</v>
      </c>
      <c r="Z870" s="27">
        <f>_xlfn.XLOOKUP(F870,Employee_Lookups!$A$13:$A$17,Employee_Lookups!$E$13:$E$17,0)</f>
        <v>1100000</v>
      </c>
      <c r="AA870" s="28">
        <f>ROUND(O870/INDEX(Employee_Lookups!$E$13:$E$17,MATCH(F870,Employee_Lookups!$A$13:$A$17,0)),3)</f>
        <v>1.022</v>
      </c>
      <c r="AB870">
        <f t="shared" si="94"/>
        <v>2023</v>
      </c>
      <c r="AC870" t="str">
        <f t="shared" si="95"/>
        <v/>
      </c>
      <c r="AD870" s="28">
        <f>ROUND((IF(ISBLANK(L870),Employee_Lookups!$O$14,L870)-J870)/365.25,2)</f>
        <v>2.38</v>
      </c>
      <c r="AE870" t="str">
        <f t="shared" si="96"/>
        <v>1 - 3 Yrs</v>
      </c>
      <c r="AF870" t="str">
        <f t="shared" si="97"/>
        <v>Moderate Risk</v>
      </c>
    </row>
    <row r="871" spans="1:32" x14ac:dyDescent="0.45">
      <c r="A871" t="s">
        <v>1642</v>
      </c>
      <c r="B871" t="s">
        <v>1643</v>
      </c>
      <c r="C871" t="s">
        <v>57</v>
      </c>
      <c r="D871" t="s">
        <v>56</v>
      </c>
      <c r="E871" t="s">
        <v>222</v>
      </c>
      <c r="F871" t="s">
        <v>82</v>
      </c>
      <c r="G871" t="s">
        <v>223</v>
      </c>
      <c r="H871" t="s">
        <v>108</v>
      </c>
      <c r="I871" t="s">
        <v>107</v>
      </c>
      <c r="J871" s="26">
        <v>45153</v>
      </c>
      <c r="K871" t="s">
        <v>187</v>
      </c>
      <c r="L871" s="26">
        <v>45472</v>
      </c>
      <c r="M871" t="s">
        <v>213</v>
      </c>
      <c r="N871" t="s">
        <v>99</v>
      </c>
      <c r="O871" s="27">
        <v>854000</v>
      </c>
      <c r="P871">
        <v>3</v>
      </c>
      <c r="Q871" t="s">
        <v>172</v>
      </c>
      <c r="R871">
        <v>49</v>
      </c>
      <c r="S871" t="s">
        <v>224</v>
      </c>
      <c r="T871">
        <f t="shared" si="91"/>
        <v>11412</v>
      </c>
      <c r="U871" t="str">
        <f t="shared" si="92"/>
        <v>MKT</v>
      </c>
      <c r="V871" t="str">
        <f t="shared" si="93"/>
        <v>L2</v>
      </c>
      <c r="W871" t="str">
        <f>PROPER(TRIM(VLOOKUP(S871,Employee_Lookups!$I$4:$M$19,2,FALSE())))</f>
        <v>Tanvi Chitnis</v>
      </c>
      <c r="X871" t="str">
        <f>VLOOKUP(C871,Employee_Lookups!$A$4:$G$9,4,FALSE())</f>
        <v>CC-606</v>
      </c>
      <c r="Y871" t="str">
        <f>INDEX(Employee_Lookups!$C$13:$C$17,MATCH(F871,Employee_Lookups!$A$13:$A$17,0))</f>
        <v>Band B (Mid)</v>
      </c>
      <c r="Z871" s="27">
        <f>_xlfn.XLOOKUP(F871,Employee_Lookups!$A$13:$A$17,Employee_Lookups!$E$13:$E$17,0)</f>
        <v>1100000</v>
      </c>
      <c r="AA871" s="28">
        <f>ROUND(O871/INDEX(Employee_Lookups!$E$13:$E$17,MATCH(F871,Employee_Lookups!$A$13:$A$17,0)),3)</f>
        <v>0.77600000000000002</v>
      </c>
      <c r="AB871">
        <f t="shared" si="94"/>
        <v>2023</v>
      </c>
      <c r="AC871">
        <f t="shared" si="95"/>
        <v>2024</v>
      </c>
      <c r="AD871" s="28">
        <f>ROUND((IF(ISBLANK(L871),Employee_Lookups!$O$14,L871)-J871)/365.25,2)</f>
        <v>0.87</v>
      </c>
      <c r="AE871" t="str">
        <f t="shared" si="96"/>
        <v>&lt; 1 Yr (New)</v>
      </c>
      <c r="AF871" t="str">
        <f t="shared" si="97"/>
        <v>Exited</v>
      </c>
    </row>
    <row r="872" spans="1:32" x14ac:dyDescent="0.45">
      <c r="A872" t="s">
        <v>1644</v>
      </c>
      <c r="B872" t="s">
        <v>1012</v>
      </c>
      <c r="C872" t="s">
        <v>53</v>
      </c>
      <c r="D872" t="s">
        <v>52</v>
      </c>
      <c r="E872" t="s">
        <v>322</v>
      </c>
      <c r="F872" t="s">
        <v>81</v>
      </c>
      <c r="G872" t="s">
        <v>323</v>
      </c>
      <c r="H872" t="s">
        <v>108</v>
      </c>
      <c r="I872" t="s">
        <v>107</v>
      </c>
      <c r="J872" s="26">
        <v>45154</v>
      </c>
      <c r="K872" t="s">
        <v>187</v>
      </c>
      <c r="L872" s="26">
        <v>45491</v>
      </c>
      <c r="M872" t="s">
        <v>213</v>
      </c>
      <c r="N872" t="s">
        <v>99</v>
      </c>
      <c r="O872" s="27">
        <v>597000</v>
      </c>
      <c r="P872">
        <v>3</v>
      </c>
      <c r="Q872" t="s">
        <v>164</v>
      </c>
      <c r="R872">
        <v>35</v>
      </c>
      <c r="S872" t="s">
        <v>237</v>
      </c>
      <c r="T872">
        <f t="shared" si="91"/>
        <v>10866</v>
      </c>
      <c r="U872" t="str">
        <f t="shared" si="92"/>
        <v>SAL</v>
      </c>
      <c r="V872" t="str">
        <f t="shared" si="93"/>
        <v>L1</v>
      </c>
      <c r="W872" t="str">
        <f>PROPER(TRIM(VLOOKUP(S872,Employee_Lookups!$I$4:$M$19,2,FALSE())))</f>
        <v>Karan Malhotra</v>
      </c>
      <c r="X872" t="str">
        <f>VLOOKUP(C872,Employee_Lookups!$A$4:$G$9,4,FALSE())</f>
        <v>CC-202</v>
      </c>
      <c r="Y872" t="str">
        <f>INDEX(Employee_Lookups!$C$13:$C$17,MATCH(F872,Employee_Lookups!$A$13:$A$17,0))</f>
        <v>Band A (Entry)</v>
      </c>
      <c r="Z872" s="27">
        <f>_xlfn.XLOOKUP(F872,Employee_Lookups!$A$13:$A$17,Employee_Lookups!$E$13:$E$17,0)</f>
        <v>700000</v>
      </c>
      <c r="AA872" s="28">
        <f>ROUND(O872/INDEX(Employee_Lookups!$E$13:$E$17,MATCH(F872,Employee_Lookups!$A$13:$A$17,0)),3)</f>
        <v>0.85299999999999998</v>
      </c>
      <c r="AB872">
        <f t="shared" si="94"/>
        <v>2023</v>
      </c>
      <c r="AC872">
        <f t="shared" si="95"/>
        <v>2024</v>
      </c>
      <c r="AD872" s="28">
        <f>ROUND((IF(ISBLANK(L872),Employee_Lookups!$O$14,L872)-J872)/365.25,2)</f>
        <v>0.92</v>
      </c>
      <c r="AE872" t="str">
        <f t="shared" si="96"/>
        <v>&lt; 1 Yr (New)</v>
      </c>
      <c r="AF872" t="str">
        <f t="shared" si="97"/>
        <v>Exited</v>
      </c>
    </row>
    <row r="873" spans="1:32" x14ac:dyDescent="0.45">
      <c r="A873" t="s">
        <v>1645</v>
      </c>
      <c r="B873" t="s">
        <v>1646</v>
      </c>
      <c r="C873" t="s">
        <v>59</v>
      </c>
      <c r="D873" t="s">
        <v>58</v>
      </c>
      <c r="E873" t="s">
        <v>211</v>
      </c>
      <c r="F873" t="s">
        <v>82</v>
      </c>
      <c r="G873" t="s">
        <v>212</v>
      </c>
      <c r="H873" t="s">
        <v>109</v>
      </c>
      <c r="I873" t="s">
        <v>110</v>
      </c>
      <c r="J873" s="26">
        <v>45154</v>
      </c>
      <c r="K873" t="s">
        <v>170</v>
      </c>
      <c r="L873" s="26">
        <v>45388</v>
      </c>
      <c r="M873" t="s">
        <v>171</v>
      </c>
      <c r="N873" t="s">
        <v>95</v>
      </c>
      <c r="O873" s="27">
        <v>1051000</v>
      </c>
      <c r="P873">
        <v>2</v>
      </c>
      <c r="Q873" t="s">
        <v>172</v>
      </c>
      <c r="R873">
        <v>5</v>
      </c>
      <c r="S873" t="s">
        <v>214</v>
      </c>
      <c r="T873">
        <f t="shared" si="91"/>
        <v>10029</v>
      </c>
      <c r="U873" t="str">
        <f t="shared" si="92"/>
        <v>FIN</v>
      </c>
      <c r="V873" t="str">
        <f t="shared" si="93"/>
        <v>L2</v>
      </c>
      <c r="W873" t="str">
        <f>PROPER(TRIM(VLOOKUP(S873,Employee_Lookups!$I$4:$M$19,2,FALSE())))</f>
        <v>Aditya Gokhale</v>
      </c>
      <c r="X873" t="str">
        <f>VLOOKUP(C873,Employee_Lookups!$A$4:$G$9,4,FALSE())</f>
        <v>CC-404</v>
      </c>
      <c r="Y873" t="str">
        <f>INDEX(Employee_Lookups!$C$13:$C$17,MATCH(F873,Employee_Lookups!$A$13:$A$17,0))</f>
        <v>Band B (Mid)</v>
      </c>
      <c r="Z873" s="27">
        <f>_xlfn.XLOOKUP(F873,Employee_Lookups!$A$13:$A$17,Employee_Lookups!$E$13:$E$17,0)</f>
        <v>1100000</v>
      </c>
      <c r="AA873" s="28">
        <f>ROUND(O873/INDEX(Employee_Lookups!$E$13:$E$17,MATCH(F873,Employee_Lookups!$A$13:$A$17,0)),3)</f>
        <v>0.95499999999999996</v>
      </c>
      <c r="AB873">
        <f t="shared" si="94"/>
        <v>2023</v>
      </c>
      <c r="AC873">
        <f t="shared" si="95"/>
        <v>2024</v>
      </c>
      <c r="AD873" s="28">
        <f>ROUND((IF(ISBLANK(L873),Employee_Lookups!$O$14,L873)-J873)/365.25,2)</f>
        <v>0.64</v>
      </c>
      <c r="AE873" t="str">
        <f t="shared" si="96"/>
        <v>&lt; 1 Yr (New)</v>
      </c>
      <c r="AF873" t="str">
        <f t="shared" si="97"/>
        <v>Exited</v>
      </c>
    </row>
    <row r="874" spans="1:32" x14ac:dyDescent="0.45">
      <c r="A874" t="s">
        <v>1647</v>
      </c>
      <c r="B874" t="s">
        <v>562</v>
      </c>
      <c r="C874" t="s">
        <v>57</v>
      </c>
      <c r="D874" t="s">
        <v>56</v>
      </c>
      <c r="E874" t="s">
        <v>160</v>
      </c>
      <c r="F874" t="s">
        <v>81</v>
      </c>
      <c r="G874" t="s">
        <v>161</v>
      </c>
      <c r="H874" t="s">
        <v>109</v>
      </c>
      <c r="I874" t="s">
        <v>110</v>
      </c>
      <c r="J874" s="26">
        <v>45155</v>
      </c>
      <c r="K874" t="s">
        <v>162</v>
      </c>
      <c r="L874" s="26"/>
      <c r="M874" t="s">
        <v>163</v>
      </c>
      <c r="N874" t="s">
        <v>99</v>
      </c>
      <c r="O874" s="27">
        <v>678000</v>
      </c>
      <c r="P874">
        <v>4</v>
      </c>
      <c r="Q874" t="s">
        <v>164</v>
      </c>
      <c r="R874">
        <v>28</v>
      </c>
      <c r="S874" t="s">
        <v>224</v>
      </c>
      <c r="T874">
        <f t="shared" si="91"/>
        <v>11046</v>
      </c>
      <c r="U874" t="str">
        <f t="shared" si="92"/>
        <v>MKT</v>
      </c>
      <c r="V874" t="str">
        <f t="shared" si="93"/>
        <v>L1</v>
      </c>
      <c r="W874" t="str">
        <f>PROPER(TRIM(VLOOKUP(S874,Employee_Lookups!$I$4:$M$19,2,FALSE())))</f>
        <v>Tanvi Chitnis</v>
      </c>
      <c r="X874" t="str">
        <f>VLOOKUP(C874,Employee_Lookups!$A$4:$G$9,4,FALSE())</f>
        <v>CC-606</v>
      </c>
      <c r="Y874" t="str">
        <f>INDEX(Employee_Lookups!$C$13:$C$17,MATCH(F874,Employee_Lookups!$A$13:$A$17,0))</f>
        <v>Band A (Entry)</v>
      </c>
      <c r="Z874" s="27">
        <f>_xlfn.XLOOKUP(F874,Employee_Lookups!$A$13:$A$17,Employee_Lookups!$E$13:$E$17,0)</f>
        <v>700000</v>
      </c>
      <c r="AA874" s="28">
        <f>ROUND(O874/INDEX(Employee_Lookups!$E$13:$E$17,MATCH(F874,Employee_Lookups!$A$13:$A$17,0)),3)</f>
        <v>0.96899999999999997</v>
      </c>
      <c r="AB874">
        <f t="shared" si="94"/>
        <v>2023</v>
      </c>
      <c r="AC874" t="str">
        <f t="shared" si="95"/>
        <v/>
      </c>
      <c r="AD874" s="28">
        <f>ROUND((IF(ISBLANK(L874),Employee_Lookups!$O$14,L874)-J874)/365.25,2)</f>
        <v>2.37</v>
      </c>
      <c r="AE874" t="str">
        <f t="shared" si="96"/>
        <v>1 - 3 Yrs</v>
      </c>
      <c r="AF874" t="str">
        <f t="shared" si="97"/>
        <v>Low Risk</v>
      </c>
    </row>
    <row r="875" spans="1:32" x14ac:dyDescent="0.45">
      <c r="A875" t="s">
        <v>1648</v>
      </c>
      <c r="B875" t="s">
        <v>528</v>
      </c>
      <c r="C875" t="s">
        <v>53</v>
      </c>
      <c r="D875" t="s">
        <v>52</v>
      </c>
      <c r="E875" t="s">
        <v>200</v>
      </c>
      <c r="F875" t="s">
        <v>84</v>
      </c>
      <c r="G875" t="s">
        <v>201</v>
      </c>
      <c r="H875" t="s">
        <v>106</v>
      </c>
      <c r="I875" t="s">
        <v>107</v>
      </c>
      <c r="J875" s="26">
        <v>45156</v>
      </c>
      <c r="K875" t="s">
        <v>162</v>
      </c>
      <c r="L875" s="26"/>
      <c r="M875" t="s">
        <v>163</v>
      </c>
      <c r="N875" t="s">
        <v>95</v>
      </c>
      <c r="O875" s="27">
        <v>2392000</v>
      </c>
      <c r="P875">
        <v>3</v>
      </c>
      <c r="Q875" t="s">
        <v>164</v>
      </c>
      <c r="R875">
        <v>19</v>
      </c>
      <c r="S875" t="s">
        <v>189</v>
      </c>
      <c r="T875">
        <f t="shared" si="91"/>
        <v>10830</v>
      </c>
      <c r="U875" t="str">
        <f t="shared" si="92"/>
        <v>SAL</v>
      </c>
      <c r="V875" t="str">
        <f t="shared" si="93"/>
        <v>L4</v>
      </c>
      <c r="W875" t="str">
        <f>PROPER(TRIM(VLOOKUP(S875,Employee_Lookups!$I$4:$M$19,2,FALSE())))</f>
        <v>Priya Sharma</v>
      </c>
      <c r="X875" t="str">
        <f>VLOOKUP(C875,Employee_Lookups!$A$4:$G$9,4,FALSE())</f>
        <v>CC-202</v>
      </c>
      <c r="Y875" t="str">
        <f>INDEX(Employee_Lookups!$C$13:$C$17,MATCH(F875,Employee_Lookups!$A$13:$A$17,0))</f>
        <v>Band D (Leadership)</v>
      </c>
      <c r="Z875" s="27">
        <f>_xlfn.XLOOKUP(F875,Employee_Lookups!$A$13:$A$17,Employee_Lookups!$E$13:$E$17,0)</f>
        <v>2750000</v>
      </c>
      <c r="AA875" s="28">
        <f>ROUND(O875/INDEX(Employee_Lookups!$E$13:$E$17,MATCH(F875,Employee_Lookups!$A$13:$A$17,0)),3)</f>
        <v>0.87</v>
      </c>
      <c r="AB875">
        <f t="shared" si="94"/>
        <v>2023</v>
      </c>
      <c r="AC875" t="str">
        <f t="shared" si="95"/>
        <v/>
      </c>
      <c r="AD875" s="28">
        <f>ROUND((IF(ISBLANK(L875),Employee_Lookups!$O$14,L875)-J875)/365.25,2)</f>
        <v>2.37</v>
      </c>
      <c r="AE875" t="str">
        <f t="shared" si="96"/>
        <v>1 - 3 Yrs</v>
      </c>
      <c r="AF875" t="str">
        <f t="shared" si="97"/>
        <v>Low Risk</v>
      </c>
    </row>
    <row r="876" spans="1:32" x14ac:dyDescent="0.45">
      <c r="A876" t="s">
        <v>1649</v>
      </c>
      <c r="B876" t="s">
        <v>410</v>
      </c>
      <c r="C876" t="s">
        <v>51</v>
      </c>
      <c r="D876" t="s">
        <v>50</v>
      </c>
      <c r="E876" t="s">
        <v>181</v>
      </c>
      <c r="F876" t="s">
        <v>81</v>
      </c>
      <c r="G876" t="s">
        <v>182</v>
      </c>
      <c r="H876" t="s">
        <v>106</v>
      </c>
      <c r="I876" t="s">
        <v>107</v>
      </c>
      <c r="J876" s="26">
        <v>45160</v>
      </c>
      <c r="K876" t="s">
        <v>162</v>
      </c>
      <c r="L876" s="26"/>
      <c r="M876" t="s">
        <v>163</v>
      </c>
      <c r="N876" t="s">
        <v>98</v>
      </c>
      <c r="O876" s="27">
        <v>677000</v>
      </c>
      <c r="P876">
        <v>3</v>
      </c>
      <c r="Q876" t="s">
        <v>164</v>
      </c>
      <c r="R876">
        <v>31</v>
      </c>
      <c r="S876" t="s">
        <v>197</v>
      </c>
      <c r="T876">
        <f t="shared" si="91"/>
        <v>10273</v>
      </c>
      <c r="U876" t="str">
        <f t="shared" si="92"/>
        <v>ENG</v>
      </c>
      <c r="V876" t="str">
        <f t="shared" si="93"/>
        <v>L1</v>
      </c>
      <c r="W876" t="str">
        <f>PROPER(TRIM(VLOOKUP(S876,Employee_Lookups!$I$4:$M$19,2,FALSE())))</f>
        <v>Rohan Verma</v>
      </c>
      <c r="X876" t="str">
        <f>VLOOKUP(C876,Employee_Lookups!$A$4:$G$9,4,FALSE())</f>
        <v>CC-101</v>
      </c>
      <c r="Y876" t="str">
        <f>INDEX(Employee_Lookups!$C$13:$C$17,MATCH(F876,Employee_Lookups!$A$13:$A$17,0))</f>
        <v>Band A (Entry)</v>
      </c>
      <c r="Z876" s="27">
        <f>_xlfn.XLOOKUP(F876,Employee_Lookups!$A$13:$A$17,Employee_Lookups!$E$13:$E$17,0)</f>
        <v>700000</v>
      </c>
      <c r="AA876" s="28">
        <f>ROUND(O876/INDEX(Employee_Lookups!$E$13:$E$17,MATCH(F876,Employee_Lookups!$A$13:$A$17,0)),3)</f>
        <v>0.96699999999999997</v>
      </c>
      <c r="AB876">
        <f t="shared" si="94"/>
        <v>2023</v>
      </c>
      <c r="AC876" t="str">
        <f t="shared" si="95"/>
        <v/>
      </c>
      <c r="AD876" s="28">
        <f>ROUND((IF(ISBLANK(L876),Employee_Lookups!$O$14,L876)-J876)/365.25,2)</f>
        <v>2.36</v>
      </c>
      <c r="AE876" t="str">
        <f t="shared" si="96"/>
        <v>1 - 3 Yrs</v>
      </c>
      <c r="AF876" t="str">
        <f t="shared" si="97"/>
        <v>Low Risk</v>
      </c>
    </row>
    <row r="877" spans="1:32" x14ac:dyDescent="0.45">
      <c r="A877" t="s">
        <v>1650</v>
      </c>
      <c r="B877" t="s">
        <v>497</v>
      </c>
      <c r="C877" t="s">
        <v>51</v>
      </c>
      <c r="D877" t="s">
        <v>50</v>
      </c>
      <c r="E877" t="s">
        <v>397</v>
      </c>
      <c r="F877" t="s">
        <v>84</v>
      </c>
      <c r="G877" t="s">
        <v>398</v>
      </c>
      <c r="H877" t="s">
        <v>106</v>
      </c>
      <c r="I877" t="s">
        <v>107</v>
      </c>
      <c r="J877" s="26">
        <v>45160</v>
      </c>
      <c r="K877" t="s">
        <v>162</v>
      </c>
      <c r="L877" s="26"/>
      <c r="M877" t="s">
        <v>163</v>
      </c>
      <c r="N877" t="s">
        <v>97</v>
      </c>
      <c r="O877" s="27">
        <v>2461000</v>
      </c>
      <c r="P877">
        <v>5</v>
      </c>
      <c r="Q877" t="s">
        <v>172</v>
      </c>
      <c r="R877">
        <v>38</v>
      </c>
      <c r="S877" t="s">
        <v>244</v>
      </c>
      <c r="T877">
        <f t="shared" si="91"/>
        <v>10891</v>
      </c>
      <c r="U877" t="str">
        <f t="shared" si="92"/>
        <v>ENG</v>
      </c>
      <c r="V877" t="str">
        <f t="shared" si="93"/>
        <v>L4</v>
      </c>
      <c r="W877" t="str">
        <f>PROPER(TRIM(VLOOKUP(S877,Employee_Lookups!$I$4:$M$19,2,FALSE())))</f>
        <v>Siddharth Nair</v>
      </c>
      <c r="X877" t="str">
        <f>VLOOKUP(C877,Employee_Lookups!$A$4:$G$9,4,FALSE())</f>
        <v>CC-101</v>
      </c>
      <c r="Y877" t="str">
        <f>INDEX(Employee_Lookups!$C$13:$C$17,MATCH(F877,Employee_Lookups!$A$13:$A$17,0))</f>
        <v>Band D (Leadership)</v>
      </c>
      <c r="Z877" s="27">
        <f>_xlfn.XLOOKUP(F877,Employee_Lookups!$A$13:$A$17,Employee_Lookups!$E$13:$E$17,0)</f>
        <v>2750000</v>
      </c>
      <c r="AA877" s="28">
        <f>ROUND(O877/INDEX(Employee_Lookups!$E$13:$E$17,MATCH(F877,Employee_Lookups!$A$13:$A$17,0)),3)</f>
        <v>0.89500000000000002</v>
      </c>
      <c r="AB877">
        <f t="shared" si="94"/>
        <v>2023</v>
      </c>
      <c r="AC877" t="str">
        <f t="shared" si="95"/>
        <v/>
      </c>
      <c r="AD877" s="28">
        <f>ROUND((IF(ISBLANK(L877),Employee_Lookups!$O$14,L877)-J877)/365.25,2)</f>
        <v>2.36</v>
      </c>
      <c r="AE877" t="str">
        <f t="shared" si="96"/>
        <v>1 - 3 Yrs</v>
      </c>
      <c r="AF877" t="str">
        <f t="shared" si="97"/>
        <v>High Risk</v>
      </c>
    </row>
    <row r="878" spans="1:32" x14ac:dyDescent="0.45">
      <c r="A878" t="s">
        <v>1651</v>
      </c>
      <c r="B878" t="s">
        <v>1652</v>
      </c>
      <c r="C878" t="s">
        <v>51</v>
      </c>
      <c r="D878" t="s">
        <v>50</v>
      </c>
      <c r="E878" t="s">
        <v>176</v>
      </c>
      <c r="F878" t="s">
        <v>82</v>
      </c>
      <c r="G878" t="s">
        <v>177</v>
      </c>
      <c r="H878" t="s">
        <v>106</v>
      </c>
      <c r="I878" t="s">
        <v>107</v>
      </c>
      <c r="J878" s="26">
        <v>45160</v>
      </c>
      <c r="K878" t="s">
        <v>162</v>
      </c>
      <c r="L878" s="26"/>
      <c r="M878" t="s">
        <v>163</v>
      </c>
      <c r="N878" t="s">
        <v>97</v>
      </c>
      <c r="O878" s="27">
        <v>1283000</v>
      </c>
      <c r="P878">
        <v>3</v>
      </c>
      <c r="Q878" t="s">
        <v>164</v>
      </c>
      <c r="R878">
        <v>27</v>
      </c>
      <c r="S878" t="s">
        <v>244</v>
      </c>
      <c r="T878">
        <f t="shared" si="91"/>
        <v>10984</v>
      </c>
      <c r="U878" t="str">
        <f t="shared" si="92"/>
        <v>ENG</v>
      </c>
      <c r="V878" t="str">
        <f t="shared" si="93"/>
        <v>L2</v>
      </c>
      <c r="W878" t="str">
        <f>PROPER(TRIM(VLOOKUP(S878,Employee_Lookups!$I$4:$M$19,2,FALSE())))</f>
        <v>Siddharth Nair</v>
      </c>
      <c r="X878" t="str">
        <f>VLOOKUP(C878,Employee_Lookups!$A$4:$G$9,4,FALSE())</f>
        <v>CC-101</v>
      </c>
      <c r="Y878" t="str">
        <f>INDEX(Employee_Lookups!$C$13:$C$17,MATCH(F878,Employee_Lookups!$A$13:$A$17,0))</f>
        <v>Band B (Mid)</v>
      </c>
      <c r="Z878" s="27">
        <f>_xlfn.XLOOKUP(F878,Employee_Lookups!$A$13:$A$17,Employee_Lookups!$E$13:$E$17,0)</f>
        <v>1100000</v>
      </c>
      <c r="AA878" s="28">
        <f>ROUND(O878/INDEX(Employee_Lookups!$E$13:$E$17,MATCH(F878,Employee_Lookups!$A$13:$A$17,0)),3)</f>
        <v>1.1659999999999999</v>
      </c>
      <c r="AB878">
        <f t="shared" si="94"/>
        <v>2023</v>
      </c>
      <c r="AC878" t="str">
        <f t="shared" si="95"/>
        <v/>
      </c>
      <c r="AD878" s="28">
        <f>ROUND((IF(ISBLANK(L878),Employee_Lookups!$O$14,L878)-J878)/365.25,2)</f>
        <v>2.36</v>
      </c>
      <c r="AE878" t="str">
        <f t="shared" si="96"/>
        <v>1 - 3 Yrs</v>
      </c>
      <c r="AF878" t="str">
        <f t="shared" si="97"/>
        <v>Low Risk</v>
      </c>
    </row>
    <row r="879" spans="1:32" x14ac:dyDescent="0.45">
      <c r="A879" t="s">
        <v>1653</v>
      </c>
      <c r="B879" t="s">
        <v>1654</v>
      </c>
      <c r="C879" t="s">
        <v>51</v>
      </c>
      <c r="D879" t="s">
        <v>50</v>
      </c>
      <c r="E879" t="s">
        <v>176</v>
      </c>
      <c r="F879" t="s">
        <v>82</v>
      </c>
      <c r="G879" t="s">
        <v>177</v>
      </c>
      <c r="H879" t="s">
        <v>109</v>
      </c>
      <c r="I879" t="s">
        <v>110</v>
      </c>
      <c r="J879" s="26">
        <v>45161</v>
      </c>
      <c r="K879" t="s">
        <v>162</v>
      </c>
      <c r="L879" s="26"/>
      <c r="M879" t="s">
        <v>163</v>
      </c>
      <c r="N879" t="s">
        <v>97</v>
      </c>
      <c r="O879" s="27">
        <v>1299000</v>
      </c>
      <c r="P879">
        <v>3</v>
      </c>
      <c r="Q879" t="s">
        <v>164</v>
      </c>
      <c r="R879">
        <v>30</v>
      </c>
      <c r="S879" t="s">
        <v>219</v>
      </c>
      <c r="T879">
        <f t="shared" si="91"/>
        <v>11141</v>
      </c>
      <c r="U879" t="str">
        <f t="shared" si="92"/>
        <v>ENG</v>
      </c>
      <c r="V879" t="str">
        <f t="shared" si="93"/>
        <v>L2</v>
      </c>
      <c r="W879" t="str">
        <f>PROPER(TRIM(VLOOKUP(S879,Employee_Lookups!$I$4:$M$19,2,FALSE())))</f>
        <v>Neha Kulkarni</v>
      </c>
      <c r="X879" t="str">
        <f>VLOOKUP(C879,Employee_Lookups!$A$4:$G$9,4,FALSE())</f>
        <v>CC-101</v>
      </c>
      <c r="Y879" t="str">
        <f>INDEX(Employee_Lookups!$C$13:$C$17,MATCH(F879,Employee_Lookups!$A$13:$A$17,0))</f>
        <v>Band B (Mid)</v>
      </c>
      <c r="Z879" s="27">
        <f>_xlfn.XLOOKUP(F879,Employee_Lookups!$A$13:$A$17,Employee_Lookups!$E$13:$E$17,0)</f>
        <v>1100000</v>
      </c>
      <c r="AA879" s="28">
        <f>ROUND(O879/INDEX(Employee_Lookups!$E$13:$E$17,MATCH(F879,Employee_Lookups!$A$13:$A$17,0)),3)</f>
        <v>1.181</v>
      </c>
      <c r="AB879">
        <f t="shared" si="94"/>
        <v>2023</v>
      </c>
      <c r="AC879" t="str">
        <f t="shared" si="95"/>
        <v/>
      </c>
      <c r="AD879" s="28">
        <f>ROUND((IF(ISBLANK(L879),Employee_Lookups!$O$14,L879)-J879)/365.25,2)</f>
        <v>2.36</v>
      </c>
      <c r="AE879" t="str">
        <f t="shared" si="96"/>
        <v>1 - 3 Yrs</v>
      </c>
      <c r="AF879" t="str">
        <f t="shared" si="97"/>
        <v>Low Risk</v>
      </c>
    </row>
    <row r="880" spans="1:32" x14ac:dyDescent="0.45">
      <c r="A880" t="s">
        <v>1655</v>
      </c>
      <c r="B880" t="s">
        <v>799</v>
      </c>
      <c r="C880" t="s">
        <v>51</v>
      </c>
      <c r="D880" t="s">
        <v>50</v>
      </c>
      <c r="E880" t="s">
        <v>217</v>
      </c>
      <c r="F880" t="s">
        <v>83</v>
      </c>
      <c r="G880" t="s">
        <v>218</v>
      </c>
      <c r="H880" t="s">
        <v>106</v>
      </c>
      <c r="I880" t="s">
        <v>107</v>
      </c>
      <c r="J880" s="26">
        <v>45163</v>
      </c>
      <c r="K880" t="s">
        <v>162</v>
      </c>
      <c r="L880" s="26"/>
      <c r="M880" t="s">
        <v>163</v>
      </c>
      <c r="N880" t="s">
        <v>99</v>
      </c>
      <c r="O880" s="27">
        <v>1795000</v>
      </c>
      <c r="P880">
        <v>3</v>
      </c>
      <c r="Q880" t="s">
        <v>164</v>
      </c>
      <c r="R880">
        <v>29</v>
      </c>
      <c r="S880" t="s">
        <v>244</v>
      </c>
      <c r="T880">
        <f t="shared" si="91"/>
        <v>10146</v>
      </c>
      <c r="U880" t="str">
        <f t="shared" si="92"/>
        <v>ENG</v>
      </c>
      <c r="V880" t="str">
        <f t="shared" si="93"/>
        <v>L3</v>
      </c>
      <c r="W880" t="str">
        <f>PROPER(TRIM(VLOOKUP(S880,Employee_Lookups!$I$4:$M$19,2,FALSE())))</f>
        <v>Siddharth Nair</v>
      </c>
      <c r="X880" t="str">
        <f>VLOOKUP(C880,Employee_Lookups!$A$4:$G$9,4,FALSE())</f>
        <v>CC-101</v>
      </c>
      <c r="Y880" t="str">
        <f>INDEX(Employee_Lookups!$C$13:$C$17,MATCH(F880,Employee_Lookups!$A$13:$A$17,0))</f>
        <v>Band C (Senior)</v>
      </c>
      <c r="Z880" s="27">
        <f>_xlfn.XLOOKUP(F880,Employee_Lookups!$A$13:$A$17,Employee_Lookups!$E$13:$E$17,0)</f>
        <v>1725000</v>
      </c>
      <c r="AA880" s="28">
        <f>ROUND(O880/INDEX(Employee_Lookups!$E$13:$E$17,MATCH(F880,Employee_Lookups!$A$13:$A$17,0)),3)</f>
        <v>1.0409999999999999</v>
      </c>
      <c r="AB880">
        <f t="shared" si="94"/>
        <v>2023</v>
      </c>
      <c r="AC880" t="str">
        <f t="shared" si="95"/>
        <v/>
      </c>
      <c r="AD880" s="28">
        <f>ROUND((IF(ISBLANK(L880),Employee_Lookups!$O$14,L880)-J880)/365.25,2)</f>
        <v>2.35</v>
      </c>
      <c r="AE880" t="str">
        <f t="shared" si="96"/>
        <v>1 - 3 Yrs</v>
      </c>
      <c r="AF880" t="str">
        <f t="shared" si="97"/>
        <v>Low Risk</v>
      </c>
    </row>
    <row r="881" spans="1:32" x14ac:dyDescent="0.45">
      <c r="A881" t="s">
        <v>1656</v>
      </c>
      <c r="B881" t="s">
        <v>1657</v>
      </c>
      <c r="C881" t="s">
        <v>59</v>
      </c>
      <c r="D881" t="s">
        <v>58</v>
      </c>
      <c r="E881" t="s">
        <v>206</v>
      </c>
      <c r="F881" t="s">
        <v>81</v>
      </c>
      <c r="G881" t="s">
        <v>207</v>
      </c>
      <c r="H881" t="s">
        <v>112</v>
      </c>
      <c r="I881" t="s">
        <v>113</v>
      </c>
      <c r="J881" s="26">
        <v>45163</v>
      </c>
      <c r="K881" t="s">
        <v>170</v>
      </c>
      <c r="L881" s="26">
        <v>45399</v>
      </c>
      <c r="M881" t="s">
        <v>171</v>
      </c>
      <c r="N881" t="s">
        <v>98</v>
      </c>
      <c r="O881" s="27">
        <v>701000</v>
      </c>
      <c r="P881">
        <v>4</v>
      </c>
      <c r="Q881" t="s">
        <v>164</v>
      </c>
      <c r="R881">
        <v>43</v>
      </c>
      <c r="S881" t="s">
        <v>214</v>
      </c>
      <c r="T881">
        <f t="shared" si="91"/>
        <v>10650</v>
      </c>
      <c r="U881" t="str">
        <f t="shared" si="92"/>
        <v>FIN</v>
      </c>
      <c r="V881" t="str">
        <f t="shared" si="93"/>
        <v>L1</v>
      </c>
      <c r="W881" t="str">
        <f>PROPER(TRIM(VLOOKUP(S881,Employee_Lookups!$I$4:$M$19,2,FALSE())))</f>
        <v>Aditya Gokhale</v>
      </c>
      <c r="X881" t="str">
        <f>VLOOKUP(C881,Employee_Lookups!$A$4:$G$9,4,FALSE())</f>
        <v>CC-404</v>
      </c>
      <c r="Y881" t="str">
        <f>INDEX(Employee_Lookups!$C$13:$C$17,MATCH(F881,Employee_Lookups!$A$13:$A$17,0))</f>
        <v>Band A (Entry)</v>
      </c>
      <c r="Z881" s="27">
        <f>_xlfn.XLOOKUP(F881,Employee_Lookups!$A$13:$A$17,Employee_Lookups!$E$13:$E$17,0)</f>
        <v>700000</v>
      </c>
      <c r="AA881" s="28">
        <f>ROUND(O881/INDEX(Employee_Lookups!$E$13:$E$17,MATCH(F881,Employee_Lookups!$A$13:$A$17,0)),3)</f>
        <v>1.0009999999999999</v>
      </c>
      <c r="AB881">
        <f t="shared" si="94"/>
        <v>2023</v>
      </c>
      <c r="AC881">
        <f t="shared" si="95"/>
        <v>2024</v>
      </c>
      <c r="AD881" s="28">
        <f>ROUND((IF(ISBLANK(L881),Employee_Lookups!$O$14,L881)-J881)/365.25,2)</f>
        <v>0.65</v>
      </c>
      <c r="AE881" t="str">
        <f t="shared" si="96"/>
        <v>&lt; 1 Yr (New)</v>
      </c>
      <c r="AF881" t="str">
        <f t="shared" si="97"/>
        <v>Exited</v>
      </c>
    </row>
    <row r="882" spans="1:32" x14ac:dyDescent="0.45">
      <c r="A882" t="s">
        <v>1658</v>
      </c>
      <c r="B882" t="s">
        <v>526</v>
      </c>
      <c r="C882" t="s">
        <v>51</v>
      </c>
      <c r="D882" t="s">
        <v>50</v>
      </c>
      <c r="E882" t="s">
        <v>181</v>
      </c>
      <c r="F882" t="s">
        <v>81</v>
      </c>
      <c r="G882" t="s">
        <v>182</v>
      </c>
      <c r="H882" t="s">
        <v>108</v>
      </c>
      <c r="I882" t="s">
        <v>107</v>
      </c>
      <c r="J882" s="26">
        <v>45165</v>
      </c>
      <c r="K882" t="s">
        <v>162</v>
      </c>
      <c r="L882" s="26"/>
      <c r="M882" t="s">
        <v>163</v>
      </c>
      <c r="N882" t="s">
        <v>95</v>
      </c>
      <c r="O882" s="27">
        <v>685000</v>
      </c>
      <c r="P882">
        <v>3</v>
      </c>
      <c r="Q882" t="s">
        <v>164</v>
      </c>
      <c r="R882">
        <v>35</v>
      </c>
      <c r="S882" t="s">
        <v>197</v>
      </c>
      <c r="T882">
        <f t="shared" si="91"/>
        <v>10593</v>
      </c>
      <c r="U882" t="str">
        <f t="shared" si="92"/>
        <v>ENG</v>
      </c>
      <c r="V882" t="str">
        <f t="shared" si="93"/>
        <v>L1</v>
      </c>
      <c r="W882" t="str">
        <f>PROPER(TRIM(VLOOKUP(S882,Employee_Lookups!$I$4:$M$19,2,FALSE())))</f>
        <v>Rohan Verma</v>
      </c>
      <c r="X882" t="str">
        <f>VLOOKUP(C882,Employee_Lookups!$A$4:$G$9,4,FALSE())</f>
        <v>CC-101</v>
      </c>
      <c r="Y882" t="str">
        <f>INDEX(Employee_Lookups!$C$13:$C$17,MATCH(F882,Employee_Lookups!$A$13:$A$17,0))</f>
        <v>Band A (Entry)</v>
      </c>
      <c r="Z882" s="27">
        <f>_xlfn.XLOOKUP(F882,Employee_Lookups!$A$13:$A$17,Employee_Lookups!$E$13:$E$17,0)</f>
        <v>700000</v>
      </c>
      <c r="AA882" s="28">
        <f>ROUND(O882/INDEX(Employee_Lookups!$E$13:$E$17,MATCH(F882,Employee_Lookups!$A$13:$A$17,0)),3)</f>
        <v>0.97899999999999998</v>
      </c>
      <c r="AB882">
        <f t="shared" si="94"/>
        <v>2023</v>
      </c>
      <c r="AC882" t="str">
        <f t="shared" si="95"/>
        <v/>
      </c>
      <c r="AD882" s="28">
        <f>ROUND((IF(ISBLANK(L882),Employee_Lookups!$O$14,L882)-J882)/365.25,2)</f>
        <v>2.35</v>
      </c>
      <c r="AE882" t="str">
        <f t="shared" si="96"/>
        <v>1 - 3 Yrs</v>
      </c>
      <c r="AF882" t="str">
        <f t="shared" si="97"/>
        <v>Low Risk</v>
      </c>
    </row>
    <row r="883" spans="1:32" x14ac:dyDescent="0.45">
      <c r="A883" t="s">
        <v>1659</v>
      </c>
      <c r="B883" t="s">
        <v>1099</v>
      </c>
      <c r="C883" t="s">
        <v>51</v>
      </c>
      <c r="D883" t="s">
        <v>50</v>
      </c>
      <c r="E883" t="s">
        <v>176</v>
      </c>
      <c r="F883" t="s">
        <v>82</v>
      </c>
      <c r="G883" t="s">
        <v>177</v>
      </c>
      <c r="H883" t="s">
        <v>109</v>
      </c>
      <c r="I883" t="s">
        <v>110</v>
      </c>
      <c r="J883" s="26">
        <v>45165</v>
      </c>
      <c r="K883" t="s">
        <v>162</v>
      </c>
      <c r="L883" s="26"/>
      <c r="M883" t="s">
        <v>163</v>
      </c>
      <c r="N883" t="s">
        <v>98</v>
      </c>
      <c r="O883" s="27">
        <v>1167000</v>
      </c>
      <c r="P883">
        <v>3</v>
      </c>
      <c r="Q883" t="s">
        <v>164</v>
      </c>
      <c r="R883">
        <v>46</v>
      </c>
      <c r="S883" t="s">
        <v>178</v>
      </c>
      <c r="T883">
        <f t="shared" si="91"/>
        <v>11273</v>
      </c>
      <c r="U883" t="str">
        <f t="shared" si="92"/>
        <v>ENG</v>
      </c>
      <c r="V883" t="str">
        <f t="shared" si="93"/>
        <v>L2</v>
      </c>
      <c r="W883" t="str">
        <f>PROPER(TRIM(VLOOKUP(S883,Employee_Lookups!$I$4:$M$19,2,FALSE())))</f>
        <v>Aarav Deshmukh</v>
      </c>
      <c r="X883" t="str">
        <f>VLOOKUP(C883,Employee_Lookups!$A$4:$G$9,4,FALSE())</f>
        <v>CC-101</v>
      </c>
      <c r="Y883" t="str">
        <f>INDEX(Employee_Lookups!$C$13:$C$17,MATCH(F883,Employee_Lookups!$A$13:$A$17,0))</f>
        <v>Band B (Mid)</v>
      </c>
      <c r="Z883" s="27">
        <f>_xlfn.XLOOKUP(F883,Employee_Lookups!$A$13:$A$17,Employee_Lookups!$E$13:$E$17,0)</f>
        <v>1100000</v>
      </c>
      <c r="AA883" s="28">
        <f>ROUND(O883/INDEX(Employee_Lookups!$E$13:$E$17,MATCH(F883,Employee_Lookups!$A$13:$A$17,0)),3)</f>
        <v>1.0609999999999999</v>
      </c>
      <c r="AB883">
        <f t="shared" si="94"/>
        <v>2023</v>
      </c>
      <c r="AC883" t="str">
        <f t="shared" si="95"/>
        <v/>
      </c>
      <c r="AD883" s="28">
        <f>ROUND((IF(ISBLANK(L883),Employee_Lookups!$O$14,L883)-J883)/365.25,2)</f>
        <v>2.35</v>
      </c>
      <c r="AE883" t="str">
        <f t="shared" si="96"/>
        <v>1 - 3 Yrs</v>
      </c>
      <c r="AF883" t="str">
        <f t="shared" si="97"/>
        <v>Low Risk</v>
      </c>
    </row>
    <row r="884" spans="1:32" x14ac:dyDescent="0.45">
      <c r="A884" t="s">
        <v>1660</v>
      </c>
      <c r="B884" t="s">
        <v>687</v>
      </c>
      <c r="C884" t="s">
        <v>51</v>
      </c>
      <c r="D884" t="s">
        <v>50</v>
      </c>
      <c r="E884" t="s">
        <v>217</v>
      </c>
      <c r="F884" t="s">
        <v>83</v>
      </c>
      <c r="G884" t="s">
        <v>218</v>
      </c>
      <c r="H884" t="s">
        <v>108</v>
      </c>
      <c r="I884" t="s">
        <v>107</v>
      </c>
      <c r="J884" s="26">
        <v>45170</v>
      </c>
      <c r="K884" t="s">
        <v>162</v>
      </c>
      <c r="L884" s="26"/>
      <c r="M884" t="s">
        <v>163</v>
      </c>
      <c r="N884" t="s">
        <v>99</v>
      </c>
      <c r="O884" s="27">
        <v>1504000</v>
      </c>
      <c r="P884">
        <v>3</v>
      </c>
      <c r="Q884" t="s">
        <v>164</v>
      </c>
      <c r="R884">
        <v>15</v>
      </c>
      <c r="S884" t="s">
        <v>178</v>
      </c>
      <c r="T884">
        <f t="shared" si="91"/>
        <v>10562</v>
      </c>
      <c r="U884" t="str">
        <f t="shared" si="92"/>
        <v>ENG</v>
      </c>
      <c r="V884" t="str">
        <f t="shared" si="93"/>
        <v>L3</v>
      </c>
      <c r="W884" t="str">
        <f>PROPER(TRIM(VLOOKUP(S884,Employee_Lookups!$I$4:$M$19,2,FALSE())))</f>
        <v>Aarav Deshmukh</v>
      </c>
      <c r="X884" t="str">
        <f>VLOOKUP(C884,Employee_Lookups!$A$4:$G$9,4,FALSE())</f>
        <v>CC-101</v>
      </c>
      <c r="Y884" t="str">
        <f>INDEX(Employee_Lookups!$C$13:$C$17,MATCH(F884,Employee_Lookups!$A$13:$A$17,0))</f>
        <v>Band C (Senior)</v>
      </c>
      <c r="Z884" s="27">
        <f>_xlfn.XLOOKUP(F884,Employee_Lookups!$A$13:$A$17,Employee_Lookups!$E$13:$E$17,0)</f>
        <v>1725000</v>
      </c>
      <c r="AA884" s="28">
        <f>ROUND(O884/INDEX(Employee_Lookups!$E$13:$E$17,MATCH(F884,Employee_Lookups!$A$13:$A$17,0)),3)</f>
        <v>0.872</v>
      </c>
      <c r="AB884">
        <f t="shared" si="94"/>
        <v>2023</v>
      </c>
      <c r="AC884" t="str">
        <f t="shared" si="95"/>
        <v/>
      </c>
      <c r="AD884" s="28">
        <f>ROUND((IF(ISBLANK(L884),Employee_Lookups!$O$14,L884)-J884)/365.25,2)</f>
        <v>2.33</v>
      </c>
      <c r="AE884" t="str">
        <f t="shared" si="96"/>
        <v>1 - 3 Yrs</v>
      </c>
      <c r="AF884" t="str">
        <f t="shared" si="97"/>
        <v>Low Risk</v>
      </c>
    </row>
    <row r="885" spans="1:32" x14ac:dyDescent="0.45">
      <c r="A885" t="s">
        <v>1661</v>
      </c>
      <c r="B885" t="s">
        <v>250</v>
      </c>
      <c r="C885" t="s">
        <v>53</v>
      </c>
      <c r="D885" t="s">
        <v>52</v>
      </c>
      <c r="E885" t="s">
        <v>192</v>
      </c>
      <c r="F885" t="s">
        <v>83</v>
      </c>
      <c r="G885" t="s">
        <v>193</v>
      </c>
      <c r="H885" t="s">
        <v>106</v>
      </c>
      <c r="I885" t="s">
        <v>107</v>
      </c>
      <c r="J885" s="26">
        <v>45170</v>
      </c>
      <c r="K885" t="s">
        <v>187</v>
      </c>
      <c r="L885" s="26">
        <v>45310</v>
      </c>
      <c r="M885" t="s">
        <v>282</v>
      </c>
      <c r="N885" t="s">
        <v>96</v>
      </c>
      <c r="O885" s="27">
        <v>2052000</v>
      </c>
      <c r="P885">
        <v>3</v>
      </c>
      <c r="Q885" t="s">
        <v>172</v>
      </c>
      <c r="R885">
        <v>48</v>
      </c>
      <c r="S885" t="s">
        <v>189</v>
      </c>
      <c r="T885">
        <f t="shared" si="91"/>
        <v>10988</v>
      </c>
      <c r="U885" t="str">
        <f t="shared" si="92"/>
        <v>SAL</v>
      </c>
      <c r="V885" t="str">
        <f t="shared" si="93"/>
        <v>L3</v>
      </c>
      <c r="W885" t="str">
        <f>PROPER(TRIM(VLOOKUP(S885,Employee_Lookups!$I$4:$M$19,2,FALSE())))</f>
        <v>Priya Sharma</v>
      </c>
      <c r="X885" t="str">
        <f>VLOOKUP(C885,Employee_Lookups!$A$4:$G$9,4,FALSE())</f>
        <v>CC-202</v>
      </c>
      <c r="Y885" t="str">
        <f>INDEX(Employee_Lookups!$C$13:$C$17,MATCH(F885,Employee_Lookups!$A$13:$A$17,0))</f>
        <v>Band C (Senior)</v>
      </c>
      <c r="Z885" s="27">
        <f>_xlfn.XLOOKUP(F885,Employee_Lookups!$A$13:$A$17,Employee_Lookups!$E$13:$E$17,0)</f>
        <v>1725000</v>
      </c>
      <c r="AA885" s="28">
        <f>ROUND(O885/INDEX(Employee_Lookups!$E$13:$E$17,MATCH(F885,Employee_Lookups!$A$13:$A$17,0)),3)</f>
        <v>1.19</v>
      </c>
      <c r="AB885">
        <f t="shared" si="94"/>
        <v>2023</v>
      </c>
      <c r="AC885">
        <f t="shared" si="95"/>
        <v>2024</v>
      </c>
      <c r="AD885" s="28">
        <f>ROUND((IF(ISBLANK(L885),Employee_Lookups!$O$14,L885)-J885)/365.25,2)</f>
        <v>0.38</v>
      </c>
      <c r="AE885" t="str">
        <f t="shared" si="96"/>
        <v>&lt; 1 Yr (New)</v>
      </c>
      <c r="AF885" t="str">
        <f t="shared" si="97"/>
        <v>Exited</v>
      </c>
    </row>
    <row r="886" spans="1:32" x14ac:dyDescent="0.45">
      <c r="A886" t="s">
        <v>1662</v>
      </c>
      <c r="B886" t="s">
        <v>662</v>
      </c>
      <c r="C886" t="s">
        <v>53</v>
      </c>
      <c r="D886" t="s">
        <v>52</v>
      </c>
      <c r="E886" t="s">
        <v>192</v>
      </c>
      <c r="F886" t="s">
        <v>83</v>
      </c>
      <c r="G886" t="s">
        <v>193</v>
      </c>
      <c r="H886" t="s">
        <v>108</v>
      </c>
      <c r="I886" t="s">
        <v>107</v>
      </c>
      <c r="J886" s="26">
        <v>45171</v>
      </c>
      <c r="K886" t="s">
        <v>162</v>
      </c>
      <c r="L886" s="26"/>
      <c r="M886" t="s">
        <v>163</v>
      </c>
      <c r="N886" t="s">
        <v>99</v>
      </c>
      <c r="O886" s="27">
        <v>2007000</v>
      </c>
      <c r="P886">
        <v>4</v>
      </c>
      <c r="Q886" t="s">
        <v>164</v>
      </c>
      <c r="R886">
        <v>31</v>
      </c>
      <c r="S886" t="s">
        <v>237</v>
      </c>
      <c r="T886">
        <f t="shared" si="91"/>
        <v>10183</v>
      </c>
      <c r="U886" t="str">
        <f t="shared" si="92"/>
        <v>SAL</v>
      </c>
      <c r="V886" t="str">
        <f t="shared" si="93"/>
        <v>L3</v>
      </c>
      <c r="W886" t="str">
        <f>PROPER(TRIM(VLOOKUP(S886,Employee_Lookups!$I$4:$M$19,2,FALSE())))</f>
        <v>Karan Malhotra</v>
      </c>
      <c r="X886" t="str">
        <f>VLOOKUP(C886,Employee_Lookups!$A$4:$G$9,4,FALSE())</f>
        <v>CC-202</v>
      </c>
      <c r="Y886" t="str">
        <f>INDEX(Employee_Lookups!$C$13:$C$17,MATCH(F886,Employee_Lookups!$A$13:$A$17,0))</f>
        <v>Band C (Senior)</v>
      </c>
      <c r="Z886" s="27">
        <f>_xlfn.XLOOKUP(F886,Employee_Lookups!$A$13:$A$17,Employee_Lookups!$E$13:$E$17,0)</f>
        <v>1725000</v>
      </c>
      <c r="AA886" s="28">
        <f>ROUND(O886/INDEX(Employee_Lookups!$E$13:$E$17,MATCH(F886,Employee_Lookups!$A$13:$A$17,0)),3)</f>
        <v>1.163</v>
      </c>
      <c r="AB886">
        <f t="shared" si="94"/>
        <v>2023</v>
      </c>
      <c r="AC886" t="str">
        <f t="shared" si="95"/>
        <v/>
      </c>
      <c r="AD886" s="28">
        <f>ROUND((IF(ISBLANK(L886),Employee_Lookups!$O$14,L886)-J886)/365.25,2)</f>
        <v>2.33</v>
      </c>
      <c r="AE886" t="str">
        <f t="shared" si="96"/>
        <v>1 - 3 Yrs</v>
      </c>
      <c r="AF886" t="str">
        <f t="shared" si="97"/>
        <v>Low Risk</v>
      </c>
    </row>
    <row r="887" spans="1:32" x14ac:dyDescent="0.45">
      <c r="A887" t="s">
        <v>1663</v>
      </c>
      <c r="B887" t="s">
        <v>1296</v>
      </c>
      <c r="C887" t="s">
        <v>57</v>
      </c>
      <c r="D887" t="s">
        <v>56</v>
      </c>
      <c r="E887" t="s">
        <v>222</v>
      </c>
      <c r="F887" t="s">
        <v>82</v>
      </c>
      <c r="G887" t="s">
        <v>223</v>
      </c>
      <c r="H887" t="s">
        <v>109</v>
      </c>
      <c r="I887" t="s">
        <v>110</v>
      </c>
      <c r="J887" s="26">
        <v>45171</v>
      </c>
      <c r="K887" t="s">
        <v>162</v>
      </c>
      <c r="L887" s="26"/>
      <c r="M887" t="s">
        <v>163</v>
      </c>
      <c r="N887" t="s">
        <v>99</v>
      </c>
      <c r="O887" s="27">
        <v>1301000</v>
      </c>
      <c r="P887">
        <v>2</v>
      </c>
      <c r="Q887" t="s">
        <v>172</v>
      </c>
      <c r="R887">
        <v>13</v>
      </c>
      <c r="S887" t="s">
        <v>224</v>
      </c>
      <c r="T887">
        <f t="shared" si="91"/>
        <v>10301</v>
      </c>
      <c r="U887" t="str">
        <f t="shared" si="92"/>
        <v>MKT</v>
      </c>
      <c r="V887" t="str">
        <f t="shared" si="93"/>
        <v>L2</v>
      </c>
      <c r="W887" t="str">
        <f>PROPER(TRIM(VLOOKUP(S887,Employee_Lookups!$I$4:$M$19,2,FALSE())))</f>
        <v>Tanvi Chitnis</v>
      </c>
      <c r="X887" t="str">
        <f>VLOOKUP(C887,Employee_Lookups!$A$4:$G$9,4,FALSE())</f>
        <v>CC-606</v>
      </c>
      <c r="Y887" t="str">
        <f>INDEX(Employee_Lookups!$C$13:$C$17,MATCH(F887,Employee_Lookups!$A$13:$A$17,0))</f>
        <v>Band B (Mid)</v>
      </c>
      <c r="Z887" s="27">
        <f>_xlfn.XLOOKUP(F887,Employee_Lookups!$A$13:$A$17,Employee_Lookups!$E$13:$E$17,0)</f>
        <v>1100000</v>
      </c>
      <c r="AA887" s="28">
        <f>ROUND(O887/INDEX(Employee_Lookups!$E$13:$E$17,MATCH(F887,Employee_Lookups!$A$13:$A$17,0)),3)</f>
        <v>1.1830000000000001</v>
      </c>
      <c r="AB887">
        <f t="shared" si="94"/>
        <v>2023</v>
      </c>
      <c r="AC887" t="str">
        <f t="shared" si="95"/>
        <v/>
      </c>
      <c r="AD887" s="28">
        <f>ROUND((IF(ISBLANK(L887),Employee_Lookups!$O$14,L887)-J887)/365.25,2)</f>
        <v>2.33</v>
      </c>
      <c r="AE887" t="str">
        <f t="shared" si="96"/>
        <v>1 - 3 Yrs</v>
      </c>
      <c r="AF887" t="str">
        <f t="shared" si="97"/>
        <v>Moderate Risk</v>
      </c>
    </row>
    <row r="888" spans="1:32" x14ac:dyDescent="0.45">
      <c r="A888" t="s">
        <v>1664</v>
      </c>
      <c r="B888" t="s">
        <v>1445</v>
      </c>
      <c r="C888" t="s">
        <v>55</v>
      </c>
      <c r="D888" t="s">
        <v>54</v>
      </c>
      <c r="E888" t="s">
        <v>229</v>
      </c>
      <c r="F888" t="s">
        <v>82</v>
      </c>
      <c r="G888" t="s">
        <v>230</v>
      </c>
      <c r="H888" t="s">
        <v>106</v>
      </c>
      <c r="I888" t="s">
        <v>107</v>
      </c>
      <c r="J888" s="26">
        <v>45172</v>
      </c>
      <c r="K888" t="s">
        <v>162</v>
      </c>
      <c r="L888" s="26"/>
      <c r="M888" t="s">
        <v>163</v>
      </c>
      <c r="N888" t="s">
        <v>99</v>
      </c>
      <c r="O888" s="27">
        <v>863000</v>
      </c>
      <c r="P888">
        <v>1</v>
      </c>
      <c r="Q888" t="s">
        <v>164</v>
      </c>
      <c r="R888">
        <v>8</v>
      </c>
      <c r="S888" t="s">
        <v>274</v>
      </c>
      <c r="T888">
        <f t="shared" si="91"/>
        <v>11291</v>
      </c>
      <c r="U888" t="str">
        <f t="shared" si="92"/>
        <v>OPS</v>
      </c>
      <c r="V888" t="str">
        <f t="shared" si="93"/>
        <v>L2</v>
      </c>
      <c r="W888" t="str">
        <f>PROPER(TRIM(VLOOKUP(S888,Employee_Lookups!$I$4:$M$19,2,FALSE())))</f>
        <v>Meera Krishnan</v>
      </c>
      <c r="X888" t="str">
        <f>VLOOKUP(C888,Employee_Lookups!$A$4:$G$9,4,FALSE())</f>
        <v>CC-303</v>
      </c>
      <c r="Y888" t="str">
        <f>INDEX(Employee_Lookups!$C$13:$C$17,MATCH(F888,Employee_Lookups!$A$13:$A$17,0))</f>
        <v>Band B (Mid)</v>
      </c>
      <c r="Z888" s="27">
        <f>_xlfn.XLOOKUP(F888,Employee_Lookups!$A$13:$A$17,Employee_Lookups!$E$13:$E$17,0)</f>
        <v>1100000</v>
      </c>
      <c r="AA888" s="28">
        <f>ROUND(O888/INDEX(Employee_Lookups!$E$13:$E$17,MATCH(F888,Employee_Lookups!$A$13:$A$17,0)),3)</f>
        <v>0.78500000000000003</v>
      </c>
      <c r="AB888">
        <f t="shared" si="94"/>
        <v>2023</v>
      </c>
      <c r="AC888" t="str">
        <f t="shared" si="95"/>
        <v/>
      </c>
      <c r="AD888" s="28">
        <f>ROUND((IF(ISBLANK(L888),Employee_Lookups!$O$14,L888)-J888)/365.25,2)</f>
        <v>2.33</v>
      </c>
      <c r="AE888" t="str">
        <f t="shared" si="96"/>
        <v>1 - 3 Yrs</v>
      </c>
      <c r="AF888" t="str">
        <f t="shared" si="97"/>
        <v>Moderate Risk</v>
      </c>
    </row>
    <row r="889" spans="1:32" x14ac:dyDescent="0.45">
      <c r="A889" t="s">
        <v>1665</v>
      </c>
      <c r="B889" t="s">
        <v>996</v>
      </c>
      <c r="C889" t="s">
        <v>55</v>
      </c>
      <c r="D889" t="s">
        <v>54</v>
      </c>
      <c r="E889" t="s">
        <v>229</v>
      </c>
      <c r="F889" t="s">
        <v>82</v>
      </c>
      <c r="G889" t="s">
        <v>230</v>
      </c>
      <c r="H889" t="s">
        <v>106</v>
      </c>
      <c r="I889" t="s">
        <v>107</v>
      </c>
      <c r="J889" s="26">
        <v>45173</v>
      </c>
      <c r="K889" t="s">
        <v>162</v>
      </c>
      <c r="L889" s="26"/>
      <c r="M889" t="s">
        <v>163</v>
      </c>
      <c r="N889" t="s">
        <v>99</v>
      </c>
      <c r="O889" s="27">
        <v>980000</v>
      </c>
      <c r="P889">
        <v>5</v>
      </c>
      <c r="Q889" t="s">
        <v>172</v>
      </c>
      <c r="R889">
        <v>17</v>
      </c>
      <c r="S889" t="s">
        <v>173</v>
      </c>
      <c r="T889">
        <f t="shared" si="91"/>
        <v>10212</v>
      </c>
      <c r="U889" t="str">
        <f t="shared" si="92"/>
        <v>OPS</v>
      </c>
      <c r="V889" t="str">
        <f t="shared" si="93"/>
        <v>L2</v>
      </c>
      <c r="W889" t="str">
        <f>PROPER(TRIM(VLOOKUP(S889,Employee_Lookups!$I$4:$M$19,2,FALSE())))</f>
        <v>Deepak Patil</v>
      </c>
      <c r="X889" t="str">
        <f>VLOOKUP(C889,Employee_Lookups!$A$4:$G$9,4,FALSE())</f>
        <v>CC-303</v>
      </c>
      <c r="Y889" t="str">
        <f>INDEX(Employee_Lookups!$C$13:$C$17,MATCH(F889,Employee_Lookups!$A$13:$A$17,0))</f>
        <v>Band B (Mid)</v>
      </c>
      <c r="Z889" s="27">
        <f>_xlfn.XLOOKUP(F889,Employee_Lookups!$A$13:$A$17,Employee_Lookups!$E$13:$E$17,0)</f>
        <v>1100000</v>
      </c>
      <c r="AA889" s="28">
        <f>ROUND(O889/INDEX(Employee_Lookups!$E$13:$E$17,MATCH(F889,Employee_Lookups!$A$13:$A$17,0)),3)</f>
        <v>0.89100000000000001</v>
      </c>
      <c r="AB889">
        <f t="shared" si="94"/>
        <v>2023</v>
      </c>
      <c r="AC889" t="str">
        <f t="shared" si="95"/>
        <v/>
      </c>
      <c r="AD889" s="28">
        <f>ROUND((IF(ISBLANK(L889),Employee_Lookups!$O$14,L889)-J889)/365.25,2)</f>
        <v>2.3199999999999998</v>
      </c>
      <c r="AE889" t="str">
        <f t="shared" si="96"/>
        <v>1 - 3 Yrs</v>
      </c>
      <c r="AF889" t="str">
        <f t="shared" si="97"/>
        <v>High Risk</v>
      </c>
    </row>
    <row r="890" spans="1:32" x14ac:dyDescent="0.45">
      <c r="A890" t="s">
        <v>1666</v>
      </c>
      <c r="B890" t="s">
        <v>548</v>
      </c>
      <c r="C890" t="s">
        <v>55</v>
      </c>
      <c r="D890" t="s">
        <v>54</v>
      </c>
      <c r="E890" t="s">
        <v>240</v>
      </c>
      <c r="F890" t="s">
        <v>83</v>
      </c>
      <c r="G890" t="s">
        <v>241</v>
      </c>
      <c r="H890" t="s">
        <v>106</v>
      </c>
      <c r="I890" t="s">
        <v>107</v>
      </c>
      <c r="J890" s="26">
        <v>45173</v>
      </c>
      <c r="K890" t="s">
        <v>162</v>
      </c>
      <c r="L890" s="26"/>
      <c r="M890" t="s">
        <v>163</v>
      </c>
      <c r="N890" t="s">
        <v>95</v>
      </c>
      <c r="O890" s="27">
        <v>1805000</v>
      </c>
      <c r="P890">
        <v>3</v>
      </c>
      <c r="Q890" t="s">
        <v>172</v>
      </c>
      <c r="R890">
        <v>44</v>
      </c>
      <c r="S890" t="s">
        <v>173</v>
      </c>
      <c r="T890">
        <f t="shared" si="91"/>
        <v>10537</v>
      </c>
      <c r="U890" t="str">
        <f t="shared" si="92"/>
        <v>OPS</v>
      </c>
      <c r="V890" t="str">
        <f t="shared" si="93"/>
        <v>L3</v>
      </c>
      <c r="W890" t="str">
        <f>PROPER(TRIM(VLOOKUP(S890,Employee_Lookups!$I$4:$M$19,2,FALSE())))</f>
        <v>Deepak Patil</v>
      </c>
      <c r="X890" t="str">
        <f>VLOOKUP(C890,Employee_Lookups!$A$4:$G$9,4,FALSE())</f>
        <v>CC-303</v>
      </c>
      <c r="Y890" t="str">
        <f>INDEX(Employee_Lookups!$C$13:$C$17,MATCH(F890,Employee_Lookups!$A$13:$A$17,0))</f>
        <v>Band C (Senior)</v>
      </c>
      <c r="Z890" s="27">
        <f>_xlfn.XLOOKUP(F890,Employee_Lookups!$A$13:$A$17,Employee_Lookups!$E$13:$E$17,0)</f>
        <v>1725000</v>
      </c>
      <c r="AA890" s="28">
        <f>ROUND(O890/INDEX(Employee_Lookups!$E$13:$E$17,MATCH(F890,Employee_Lookups!$A$13:$A$17,0)),3)</f>
        <v>1.046</v>
      </c>
      <c r="AB890">
        <f t="shared" si="94"/>
        <v>2023</v>
      </c>
      <c r="AC890" t="str">
        <f t="shared" si="95"/>
        <v/>
      </c>
      <c r="AD890" s="28">
        <f>ROUND((IF(ISBLANK(L890),Employee_Lookups!$O$14,L890)-J890)/365.25,2)</f>
        <v>2.3199999999999998</v>
      </c>
      <c r="AE890" t="str">
        <f t="shared" si="96"/>
        <v>1 - 3 Yrs</v>
      </c>
      <c r="AF890" t="str">
        <f t="shared" si="97"/>
        <v>Moderate Risk</v>
      </c>
    </row>
    <row r="891" spans="1:32" x14ac:dyDescent="0.45">
      <c r="A891" t="s">
        <v>1667</v>
      </c>
      <c r="B891" t="s">
        <v>732</v>
      </c>
      <c r="C891" t="s">
        <v>53</v>
      </c>
      <c r="D891" t="s">
        <v>52</v>
      </c>
      <c r="E891" t="s">
        <v>185</v>
      </c>
      <c r="F891" t="s">
        <v>82</v>
      </c>
      <c r="G891" t="s">
        <v>186</v>
      </c>
      <c r="H891" t="s">
        <v>109</v>
      </c>
      <c r="I891" t="s">
        <v>110</v>
      </c>
      <c r="J891" s="26">
        <v>45175</v>
      </c>
      <c r="K891" t="s">
        <v>162</v>
      </c>
      <c r="L891" s="26"/>
      <c r="M891" t="s">
        <v>163</v>
      </c>
      <c r="N891" t="s">
        <v>98</v>
      </c>
      <c r="O891" s="27">
        <v>1266000</v>
      </c>
      <c r="P891">
        <v>4</v>
      </c>
      <c r="Q891" t="s">
        <v>172</v>
      </c>
      <c r="R891">
        <v>45</v>
      </c>
      <c r="S891" t="s">
        <v>194</v>
      </c>
      <c r="T891">
        <f t="shared" si="91"/>
        <v>11241</v>
      </c>
      <c r="U891" t="str">
        <f t="shared" si="92"/>
        <v>SAL</v>
      </c>
      <c r="V891" t="str">
        <f t="shared" si="93"/>
        <v>L2</v>
      </c>
      <c r="W891" t="str">
        <f>PROPER(TRIM(VLOOKUP(S891,Employee_Lookups!$I$4:$M$19,2,FALSE())))</f>
        <v>Vikramaditya Joshi</v>
      </c>
      <c r="X891" t="str">
        <f>VLOOKUP(C891,Employee_Lookups!$A$4:$G$9,4,FALSE())</f>
        <v>CC-202</v>
      </c>
      <c r="Y891" t="str">
        <f>INDEX(Employee_Lookups!$C$13:$C$17,MATCH(F891,Employee_Lookups!$A$13:$A$17,0))</f>
        <v>Band B (Mid)</v>
      </c>
      <c r="Z891" s="27">
        <f>_xlfn.XLOOKUP(F891,Employee_Lookups!$A$13:$A$17,Employee_Lookups!$E$13:$E$17,0)</f>
        <v>1100000</v>
      </c>
      <c r="AA891" s="28">
        <f>ROUND(O891/INDEX(Employee_Lookups!$E$13:$E$17,MATCH(F891,Employee_Lookups!$A$13:$A$17,0)),3)</f>
        <v>1.151</v>
      </c>
      <c r="AB891">
        <f t="shared" si="94"/>
        <v>2023</v>
      </c>
      <c r="AC891" t="str">
        <f t="shared" si="95"/>
        <v/>
      </c>
      <c r="AD891" s="28">
        <f>ROUND((IF(ISBLANK(L891),Employee_Lookups!$O$14,L891)-J891)/365.25,2)</f>
        <v>2.3199999999999998</v>
      </c>
      <c r="AE891" t="str">
        <f t="shared" si="96"/>
        <v>1 - 3 Yrs</v>
      </c>
      <c r="AF891" t="str">
        <f t="shared" si="97"/>
        <v>High Risk</v>
      </c>
    </row>
    <row r="892" spans="1:32" x14ac:dyDescent="0.45">
      <c r="A892" t="s">
        <v>1668</v>
      </c>
      <c r="B892" t="s">
        <v>1669</v>
      </c>
      <c r="C892" t="s">
        <v>57</v>
      </c>
      <c r="D892" t="s">
        <v>56</v>
      </c>
      <c r="E892" t="s">
        <v>160</v>
      </c>
      <c r="F892" t="s">
        <v>81</v>
      </c>
      <c r="G892" t="s">
        <v>161</v>
      </c>
      <c r="H892" t="s">
        <v>111</v>
      </c>
      <c r="I892" t="s">
        <v>110</v>
      </c>
      <c r="J892" s="26">
        <v>45175</v>
      </c>
      <c r="K892" t="s">
        <v>162</v>
      </c>
      <c r="L892" s="26"/>
      <c r="M892" t="s">
        <v>163</v>
      </c>
      <c r="N892" t="s">
        <v>99</v>
      </c>
      <c r="O892" s="27">
        <v>678000</v>
      </c>
      <c r="P892">
        <v>3</v>
      </c>
      <c r="Q892" t="s">
        <v>172</v>
      </c>
      <c r="R892">
        <v>33</v>
      </c>
      <c r="S892" t="s">
        <v>224</v>
      </c>
      <c r="T892">
        <f t="shared" si="91"/>
        <v>10332</v>
      </c>
      <c r="U892" t="str">
        <f t="shared" si="92"/>
        <v>MKT</v>
      </c>
      <c r="V892" t="str">
        <f t="shared" si="93"/>
        <v>L1</v>
      </c>
      <c r="W892" t="str">
        <f>PROPER(TRIM(VLOOKUP(S892,Employee_Lookups!$I$4:$M$19,2,FALSE())))</f>
        <v>Tanvi Chitnis</v>
      </c>
      <c r="X892" t="str">
        <f>VLOOKUP(C892,Employee_Lookups!$A$4:$G$9,4,FALSE())</f>
        <v>CC-606</v>
      </c>
      <c r="Y892" t="str">
        <f>INDEX(Employee_Lookups!$C$13:$C$17,MATCH(F892,Employee_Lookups!$A$13:$A$17,0))</f>
        <v>Band A (Entry)</v>
      </c>
      <c r="Z892" s="27">
        <f>_xlfn.XLOOKUP(F892,Employee_Lookups!$A$13:$A$17,Employee_Lookups!$E$13:$E$17,0)</f>
        <v>700000</v>
      </c>
      <c r="AA892" s="28">
        <f>ROUND(O892/INDEX(Employee_Lookups!$E$13:$E$17,MATCH(F892,Employee_Lookups!$A$13:$A$17,0)),3)</f>
        <v>0.96899999999999997</v>
      </c>
      <c r="AB892">
        <f t="shared" si="94"/>
        <v>2023</v>
      </c>
      <c r="AC892" t="str">
        <f t="shared" si="95"/>
        <v/>
      </c>
      <c r="AD892" s="28">
        <f>ROUND((IF(ISBLANK(L892),Employee_Lookups!$O$14,L892)-J892)/365.25,2)</f>
        <v>2.3199999999999998</v>
      </c>
      <c r="AE892" t="str">
        <f t="shared" si="96"/>
        <v>1 - 3 Yrs</v>
      </c>
      <c r="AF892" t="str">
        <f t="shared" si="97"/>
        <v>Moderate Risk</v>
      </c>
    </row>
    <row r="893" spans="1:32" x14ac:dyDescent="0.45">
      <c r="A893" t="s">
        <v>1670</v>
      </c>
      <c r="B893" t="s">
        <v>1434</v>
      </c>
      <c r="C893" t="s">
        <v>57</v>
      </c>
      <c r="D893" t="s">
        <v>56</v>
      </c>
      <c r="E893" t="s">
        <v>222</v>
      </c>
      <c r="F893" t="s">
        <v>82</v>
      </c>
      <c r="G893" t="s">
        <v>223</v>
      </c>
      <c r="H893" t="s">
        <v>109</v>
      </c>
      <c r="I893" t="s">
        <v>110</v>
      </c>
      <c r="J893" s="26">
        <v>45176</v>
      </c>
      <c r="K893" t="s">
        <v>162</v>
      </c>
      <c r="L893" s="26"/>
      <c r="M893" t="s">
        <v>163</v>
      </c>
      <c r="N893" t="s">
        <v>98</v>
      </c>
      <c r="O893" s="27">
        <v>1210000</v>
      </c>
      <c r="P893">
        <v>2</v>
      </c>
      <c r="Q893" t="s">
        <v>172</v>
      </c>
      <c r="R893">
        <v>9</v>
      </c>
      <c r="S893" t="s">
        <v>224</v>
      </c>
      <c r="T893">
        <f t="shared" si="91"/>
        <v>10084</v>
      </c>
      <c r="U893" t="str">
        <f t="shared" si="92"/>
        <v>MKT</v>
      </c>
      <c r="V893" t="str">
        <f t="shared" si="93"/>
        <v>L2</v>
      </c>
      <c r="W893" t="str">
        <f>PROPER(TRIM(VLOOKUP(S893,Employee_Lookups!$I$4:$M$19,2,FALSE())))</f>
        <v>Tanvi Chitnis</v>
      </c>
      <c r="X893" t="str">
        <f>VLOOKUP(C893,Employee_Lookups!$A$4:$G$9,4,FALSE())</f>
        <v>CC-606</v>
      </c>
      <c r="Y893" t="str">
        <f>INDEX(Employee_Lookups!$C$13:$C$17,MATCH(F893,Employee_Lookups!$A$13:$A$17,0))</f>
        <v>Band B (Mid)</v>
      </c>
      <c r="Z893" s="27">
        <f>_xlfn.XLOOKUP(F893,Employee_Lookups!$A$13:$A$17,Employee_Lookups!$E$13:$E$17,0)</f>
        <v>1100000</v>
      </c>
      <c r="AA893" s="28">
        <f>ROUND(O893/INDEX(Employee_Lookups!$E$13:$E$17,MATCH(F893,Employee_Lookups!$A$13:$A$17,0)),3)</f>
        <v>1.1000000000000001</v>
      </c>
      <c r="AB893">
        <f t="shared" si="94"/>
        <v>2023</v>
      </c>
      <c r="AC893" t="str">
        <f t="shared" si="95"/>
        <v/>
      </c>
      <c r="AD893" s="28">
        <f>ROUND((IF(ISBLANK(L893),Employee_Lookups!$O$14,L893)-J893)/365.25,2)</f>
        <v>2.3199999999999998</v>
      </c>
      <c r="AE893" t="str">
        <f t="shared" si="96"/>
        <v>1 - 3 Yrs</v>
      </c>
      <c r="AF893" t="str">
        <f t="shared" si="97"/>
        <v>Moderate Risk</v>
      </c>
    </row>
    <row r="894" spans="1:32" x14ac:dyDescent="0.45">
      <c r="A894" t="s">
        <v>1671</v>
      </c>
      <c r="B894" t="s">
        <v>548</v>
      </c>
      <c r="C894" t="s">
        <v>51</v>
      </c>
      <c r="D894" t="s">
        <v>50</v>
      </c>
      <c r="E894" t="s">
        <v>181</v>
      </c>
      <c r="F894" t="s">
        <v>81</v>
      </c>
      <c r="G894" t="s">
        <v>182</v>
      </c>
      <c r="H894" t="s">
        <v>108</v>
      </c>
      <c r="I894" t="s">
        <v>107</v>
      </c>
      <c r="J894" s="26">
        <v>45178</v>
      </c>
      <c r="K894" t="s">
        <v>162</v>
      </c>
      <c r="L894" s="26"/>
      <c r="M894" t="s">
        <v>163</v>
      </c>
      <c r="N894" t="s">
        <v>95</v>
      </c>
      <c r="O894" s="27">
        <v>738000</v>
      </c>
      <c r="P894">
        <v>2</v>
      </c>
      <c r="Q894" t="s">
        <v>164</v>
      </c>
      <c r="R894">
        <v>0</v>
      </c>
      <c r="S894" t="s">
        <v>219</v>
      </c>
      <c r="T894">
        <f t="shared" si="91"/>
        <v>10665</v>
      </c>
      <c r="U894" t="str">
        <f t="shared" si="92"/>
        <v>ENG</v>
      </c>
      <c r="V894" t="str">
        <f t="shared" si="93"/>
        <v>L1</v>
      </c>
      <c r="W894" t="str">
        <f>PROPER(TRIM(VLOOKUP(S894,Employee_Lookups!$I$4:$M$19,2,FALSE())))</f>
        <v>Neha Kulkarni</v>
      </c>
      <c r="X894" t="str">
        <f>VLOOKUP(C894,Employee_Lookups!$A$4:$G$9,4,FALSE())</f>
        <v>CC-101</v>
      </c>
      <c r="Y894" t="str">
        <f>INDEX(Employee_Lookups!$C$13:$C$17,MATCH(F894,Employee_Lookups!$A$13:$A$17,0))</f>
        <v>Band A (Entry)</v>
      </c>
      <c r="Z894" s="27">
        <f>_xlfn.XLOOKUP(F894,Employee_Lookups!$A$13:$A$17,Employee_Lookups!$E$13:$E$17,0)</f>
        <v>700000</v>
      </c>
      <c r="AA894" s="28">
        <f>ROUND(O894/INDEX(Employee_Lookups!$E$13:$E$17,MATCH(F894,Employee_Lookups!$A$13:$A$17,0)),3)</f>
        <v>1.054</v>
      </c>
      <c r="AB894">
        <f t="shared" si="94"/>
        <v>2023</v>
      </c>
      <c r="AC894" t="str">
        <f t="shared" si="95"/>
        <v/>
      </c>
      <c r="AD894" s="28">
        <f>ROUND((IF(ISBLANK(L894),Employee_Lookups!$O$14,L894)-J894)/365.25,2)</f>
        <v>2.31</v>
      </c>
      <c r="AE894" t="str">
        <f t="shared" si="96"/>
        <v>1 - 3 Yrs</v>
      </c>
      <c r="AF894" t="str">
        <f t="shared" si="97"/>
        <v>Moderate Risk</v>
      </c>
    </row>
    <row r="895" spans="1:32" x14ac:dyDescent="0.45">
      <c r="A895" t="s">
        <v>1672</v>
      </c>
      <c r="B895" t="s">
        <v>250</v>
      </c>
      <c r="C895" t="s">
        <v>53</v>
      </c>
      <c r="D895" t="s">
        <v>52</v>
      </c>
      <c r="E895" t="s">
        <v>185</v>
      </c>
      <c r="F895" t="s">
        <v>82</v>
      </c>
      <c r="G895" t="s">
        <v>186</v>
      </c>
      <c r="H895" t="s">
        <v>108</v>
      </c>
      <c r="I895" t="s">
        <v>107</v>
      </c>
      <c r="J895" s="26">
        <v>45178</v>
      </c>
      <c r="K895" t="s">
        <v>162</v>
      </c>
      <c r="L895" s="26"/>
      <c r="M895" t="s">
        <v>163</v>
      </c>
      <c r="N895" t="s">
        <v>99</v>
      </c>
      <c r="O895" s="27">
        <v>1323000</v>
      </c>
      <c r="P895">
        <v>3</v>
      </c>
      <c r="Q895" t="s">
        <v>164</v>
      </c>
      <c r="R895">
        <v>38</v>
      </c>
      <c r="S895" t="s">
        <v>194</v>
      </c>
      <c r="T895">
        <f t="shared" si="91"/>
        <v>11310</v>
      </c>
      <c r="U895" t="str">
        <f t="shared" si="92"/>
        <v>SAL</v>
      </c>
      <c r="V895" t="str">
        <f t="shared" si="93"/>
        <v>L2</v>
      </c>
      <c r="W895" t="str">
        <f>PROPER(TRIM(VLOOKUP(S895,Employee_Lookups!$I$4:$M$19,2,FALSE())))</f>
        <v>Vikramaditya Joshi</v>
      </c>
      <c r="X895" t="str">
        <f>VLOOKUP(C895,Employee_Lookups!$A$4:$G$9,4,FALSE())</f>
        <v>CC-202</v>
      </c>
      <c r="Y895" t="str">
        <f>INDEX(Employee_Lookups!$C$13:$C$17,MATCH(F895,Employee_Lookups!$A$13:$A$17,0))</f>
        <v>Band B (Mid)</v>
      </c>
      <c r="Z895" s="27">
        <f>_xlfn.XLOOKUP(F895,Employee_Lookups!$A$13:$A$17,Employee_Lookups!$E$13:$E$17,0)</f>
        <v>1100000</v>
      </c>
      <c r="AA895" s="28">
        <f>ROUND(O895/INDEX(Employee_Lookups!$E$13:$E$17,MATCH(F895,Employee_Lookups!$A$13:$A$17,0)),3)</f>
        <v>1.2030000000000001</v>
      </c>
      <c r="AB895">
        <f t="shared" si="94"/>
        <v>2023</v>
      </c>
      <c r="AC895" t="str">
        <f t="shared" si="95"/>
        <v/>
      </c>
      <c r="AD895" s="28">
        <f>ROUND((IF(ISBLANK(L895),Employee_Lookups!$O$14,L895)-J895)/365.25,2)</f>
        <v>2.31</v>
      </c>
      <c r="AE895" t="str">
        <f t="shared" si="96"/>
        <v>1 - 3 Yrs</v>
      </c>
      <c r="AF895" t="str">
        <f t="shared" si="97"/>
        <v>Low Risk</v>
      </c>
    </row>
    <row r="896" spans="1:32" x14ac:dyDescent="0.45">
      <c r="A896" t="s">
        <v>1673</v>
      </c>
      <c r="B896" t="s">
        <v>1674</v>
      </c>
      <c r="C896" t="s">
        <v>51</v>
      </c>
      <c r="D896" t="s">
        <v>50</v>
      </c>
      <c r="E896" t="s">
        <v>181</v>
      </c>
      <c r="F896" t="s">
        <v>81</v>
      </c>
      <c r="G896" t="s">
        <v>182</v>
      </c>
      <c r="H896" t="s">
        <v>112</v>
      </c>
      <c r="I896" t="s">
        <v>113</v>
      </c>
      <c r="J896" s="26">
        <v>45181</v>
      </c>
      <c r="K896" t="s">
        <v>162</v>
      </c>
      <c r="L896" s="26"/>
      <c r="M896" t="s">
        <v>163</v>
      </c>
      <c r="N896" t="s">
        <v>99</v>
      </c>
      <c r="O896" s="27">
        <v>643000</v>
      </c>
      <c r="P896">
        <v>3</v>
      </c>
      <c r="Q896" t="s">
        <v>172</v>
      </c>
      <c r="R896">
        <v>30</v>
      </c>
      <c r="S896" t="s">
        <v>244</v>
      </c>
      <c r="T896">
        <f t="shared" si="91"/>
        <v>10181</v>
      </c>
      <c r="U896" t="str">
        <f t="shared" si="92"/>
        <v>ENG</v>
      </c>
      <c r="V896" t="str">
        <f t="shared" si="93"/>
        <v>L1</v>
      </c>
      <c r="W896" t="str">
        <f>PROPER(TRIM(VLOOKUP(S896,Employee_Lookups!$I$4:$M$19,2,FALSE())))</f>
        <v>Siddharth Nair</v>
      </c>
      <c r="X896" t="str">
        <f>VLOOKUP(C896,Employee_Lookups!$A$4:$G$9,4,FALSE())</f>
        <v>CC-101</v>
      </c>
      <c r="Y896" t="str">
        <f>INDEX(Employee_Lookups!$C$13:$C$17,MATCH(F896,Employee_Lookups!$A$13:$A$17,0))</f>
        <v>Band A (Entry)</v>
      </c>
      <c r="Z896" s="27">
        <f>_xlfn.XLOOKUP(F896,Employee_Lookups!$A$13:$A$17,Employee_Lookups!$E$13:$E$17,0)</f>
        <v>700000</v>
      </c>
      <c r="AA896" s="28">
        <f>ROUND(O896/INDEX(Employee_Lookups!$E$13:$E$17,MATCH(F896,Employee_Lookups!$A$13:$A$17,0)),3)</f>
        <v>0.91900000000000004</v>
      </c>
      <c r="AB896">
        <f t="shared" si="94"/>
        <v>2023</v>
      </c>
      <c r="AC896" t="str">
        <f t="shared" si="95"/>
        <v/>
      </c>
      <c r="AD896" s="28">
        <f>ROUND((IF(ISBLANK(L896),Employee_Lookups!$O$14,L896)-J896)/365.25,2)</f>
        <v>2.2999999999999998</v>
      </c>
      <c r="AE896" t="str">
        <f t="shared" si="96"/>
        <v>1 - 3 Yrs</v>
      </c>
      <c r="AF896" t="str">
        <f t="shared" si="97"/>
        <v>High Risk</v>
      </c>
    </row>
    <row r="897" spans="1:32" x14ac:dyDescent="0.45">
      <c r="A897" t="s">
        <v>1675</v>
      </c>
      <c r="B897" t="s">
        <v>1172</v>
      </c>
      <c r="C897" t="s">
        <v>55</v>
      </c>
      <c r="D897" t="s">
        <v>54</v>
      </c>
      <c r="E897" t="s">
        <v>229</v>
      </c>
      <c r="F897" t="s">
        <v>82</v>
      </c>
      <c r="G897" t="s">
        <v>230</v>
      </c>
      <c r="H897" t="s">
        <v>109</v>
      </c>
      <c r="I897" t="s">
        <v>110</v>
      </c>
      <c r="J897" s="26">
        <v>45183</v>
      </c>
      <c r="K897" t="s">
        <v>162</v>
      </c>
      <c r="L897" s="26"/>
      <c r="M897" t="s">
        <v>163</v>
      </c>
      <c r="N897" t="s">
        <v>99</v>
      </c>
      <c r="O897" s="27">
        <v>1124000</v>
      </c>
      <c r="P897">
        <v>3</v>
      </c>
      <c r="Q897" t="s">
        <v>164</v>
      </c>
      <c r="R897">
        <v>36</v>
      </c>
      <c r="S897" t="s">
        <v>274</v>
      </c>
      <c r="T897">
        <f t="shared" si="91"/>
        <v>10062</v>
      </c>
      <c r="U897" t="str">
        <f t="shared" si="92"/>
        <v>OPS</v>
      </c>
      <c r="V897" t="str">
        <f t="shared" si="93"/>
        <v>L2</v>
      </c>
      <c r="W897" t="str">
        <f>PROPER(TRIM(VLOOKUP(S897,Employee_Lookups!$I$4:$M$19,2,FALSE())))</f>
        <v>Meera Krishnan</v>
      </c>
      <c r="X897" t="str">
        <f>VLOOKUP(C897,Employee_Lookups!$A$4:$G$9,4,FALSE())</f>
        <v>CC-303</v>
      </c>
      <c r="Y897" t="str">
        <f>INDEX(Employee_Lookups!$C$13:$C$17,MATCH(F897,Employee_Lookups!$A$13:$A$17,0))</f>
        <v>Band B (Mid)</v>
      </c>
      <c r="Z897" s="27">
        <f>_xlfn.XLOOKUP(F897,Employee_Lookups!$A$13:$A$17,Employee_Lookups!$E$13:$E$17,0)</f>
        <v>1100000</v>
      </c>
      <c r="AA897" s="28">
        <f>ROUND(O897/INDEX(Employee_Lookups!$E$13:$E$17,MATCH(F897,Employee_Lookups!$A$13:$A$17,0)),3)</f>
        <v>1.022</v>
      </c>
      <c r="AB897">
        <f t="shared" si="94"/>
        <v>2023</v>
      </c>
      <c r="AC897" t="str">
        <f t="shared" si="95"/>
        <v/>
      </c>
      <c r="AD897" s="28">
        <f>ROUND((IF(ISBLANK(L897),Employee_Lookups!$O$14,L897)-J897)/365.25,2)</f>
        <v>2.2999999999999998</v>
      </c>
      <c r="AE897" t="str">
        <f t="shared" si="96"/>
        <v>1 - 3 Yrs</v>
      </c>
      <c r="AF897" t="str">
        <f t="shared" si="97"/>
        <v>Low Risk</v>
      </c>
    </row>
    <row r="898" spans="1:32" x14ac:dyDescent="0.45">
      <c r="A898" t="s">
        <v>1676</v>
      </c>
      <c r="B898" t="s">
        <v>1677</v>
      </c>
      <c r="C898" t="s">
        <v>51</v>
      </c>
      <c r="D898" t="s">
        <v>50</v>
      </c>
      <c r="E898" t="s">
        <v>176</v>
      </c>
      <c r="F898" t="s">
        <v>82</v>
      </c>
      <c r="G898" t="s">
        <v>177</v>
      </c>
      <c r="H898" t="s">
        <v>106</v>
      </c>
      <c r="I898" t="s">
        <v>107</v>
      </c>
      <c r="J898" s="26">
        <v>45183</v>
      </c>
      <c r="K898" t="s">
        <v>187</v>
      </c>
      <c r="L898" s="26">
        <v>45461</v>
      </c>
      <c r="M898" t="s">
        <v>282</v>
      </c>
      <c r="N898" t="s">
        <v>95</v>
      </c>
      <c r="O898" s="27">
        <v>1278000</v>
      </c>
      <c r="P898">
        <v>5</v>
      </c>
      <c r="Q898" t="s">
        <v>172</v>
      </c>
      <c r="R898">
        <v>27</v>
      </c>
      <c r="S898" t="s">
        <v>219</v>
      </c>
      <c r="T898">
        <f t="shared" ref="T898:T961" si="98">VALUE(MID(A898,5,5))</f>
        <v>10853</v>
      </c>
      <c r="U898" t="str">
        <f t="shared" ref="U898:U961" si="99">LEFT(E898,3)</f>
        <v>ENG</v>
      </c>
      <c r="V898" t="str">
        <f t="shared" ref="V898:V961" si="100">RIGHT(E898,2)</f>
        <v>L2</v>
      </c>
      <c r="W898" t="str">
        <f>PROPER(TRIM(VLOOKUP(S898,Employee_Lookups!$I$4:$M$19,2,FALSE())))</f>
        <v>Neha Kulkarni</v>
      </c>
      <c r="X898" t="str">
        <f>VLOOKUP(C898,Employee_Lookups!$A$4:$G$9,4,FALSE())</f>
        <v>CC-101</v>
      </c>
      <c r="Y898" t="str">
        <f>INDEX(Employee_Lookups!$C$13:$C$17,MATCH(F898,Employee_Lookups!$A$13:$A$17,0))</f>
        <v>Band B (Mid)</v>
      </c>
      <c r="Z898" s="27">
        <f>_xlfn.XLOOKUP(F898,Employee_Lookups!$A$13:$A$17,Employee_Lookups!$E$13:$E$17,0)</f>
        <v>1100000</v>
      </c>
      <c r="AA898" s="28">
        <f>ROUND(O898/INDEX(Employee_Lookups!$E$13:$E$17,MATCH(F898,Employee_Lookups!$A$13:$A$17,0)),3)</f>
        <v>1.1619999999999999</v>
      </c>
      <c r="AB898">
        <f t="shared" ref="AB898:AB961" si="101">YEAR(J898)</f>
        <v>2023</v>
      </c>
      <c r="AC898">
        <f t="shared" ref="AC898:AC961" si="102">IF(ISBLANK(L898),"",YEAR(L898))</f>
        <v>2024</v>
      </c>
      <c r="AD898" s="28">
        <f>ROUND((IF(ISBLANK(L898),Employee_Lookups!$O$14,L898)-J898)/365.25,2)</f>
        <v>0.76</v>
      </c>
      <c r="AE898" t="str">
        <f t="shared" ref="AE898:AE961" si="103">IF(AD898&lt;1,"&lt; 1 Yr (New)",IF(AD898&lt;3,"1 - 3 Yrs",IF(AD898&lt;5,"3 - 5 Yrs","5+ Yrs")))</f>
        <v>&lt; 1 Yr (New)</v>
      </c>
      <c r="AF898" t="str">
        <f t="shared" ref="AF898:AF961" si="104">IF(K898&lt;&gt;"Active","Exited",IF(AND(Q898="Yes",OR(P898&gt;=4,AA898&lt;0.95)),"High Risk",IF(OR(Q898="Yes",AND(NOT(ISBLANK(P898)),P898&lt;=2)),"Moderate Risk","Low Risk")))</f>
        <v>Exited</v>
      </c>
    </row>
    <row r="899" spans="1:32" x14ac:dyDescent="0.45">
      <c r="A899" t="s">
        <v>1678</v>
      </c>
      <c r="B899" t="s">
        <v>433</v>
      </c>
      <c r="C899" t="s">
        <v>59</v>
      </c>
      <c r="D899" t="s">
        <v>58</v>
      </c>
      <c r="E899" t="s">
        <v>206</v>
      </c>
      <c r="F899" t="s">
        <v>81</v>
      </c>
      <c r="G899" t="s">
        <v>207</v>
      </c>
      <c r="H899" t="s">
        <v>106</v>
      </c>
      <c r="I899" t="s">
        <v>107</v>
      </c>
      <c r="J899" s="26">
        <v>45187</v>
      </c>
      <c r="K899" t="s">
        <v>162</v>
      </c>
      <c r="L899" s="26"/>
      <c r="M899" t="s">
        <v>163</v>
      </c>
      <c r="N899" t="s">
        <v>95</v>
      </c>
      <c r="O899" s="27">
        <v>847000</v>
      </c>
      <c r="P899">
        <v>4</v>
      </c>
      <c r="Q899" t="s">
        <v>164</v>
      </c>
      <c r="R899">
        <v>13</v>
      </c>
      <c r="S899" t="s">
        <v>214</v>
      </c>
      <c r="T899">
        <f t="shared" si="98"/>
        <v>10565</v>
      </c>
      <c r="U899" t="str">
        <f t="shared" si="99"/>
        <v>FIN</v>
      </c>
      <c r="V899" t="str">
        <f t="shared" si="100"/>
        <v>L1</v>
      </c>
      <c r="W899" t="str">
        <f>PROPER(TRIM(VLOOKUP(S899,Employee_Lookups!$I$4:$M$19,2,FALSE())))</f>
        <v>Aditya Gokhale</v>
      </c>
      <c r="X899" t="str">
        <f>VLOOKUP(C899,Employee_Lookups!$A$4:$G$9,4,FALSE())</f>
        <v>CC-404</v>
      </c>
      <c r="Y899" t="str">
        <f>INDEX(Employee_Lookups!$C$13:$C$17,MATCH(F899,Employee_Lookups!$A$13:$A$17,0))</f>
        <v>Band A (Entry)</v>
      </c>
      <c r="Z899" s="27">
        <f>_xlfn.XLOOKUP(F899,Employee_Lookups!$A$13:$A$17,Employee_Lookups!$E$13:$E$17,0)</f>
        <v>700000</v>
      </c>
      <c r="AA899" s="28">
        <f>ROUND(O899/INDEX(Employee_Lookups!$E$13:$E$17,MATCH(F899,Employee_Lookups!$A$13:$A$17,0)),3)</f>
        <v>1.21</v>
      </c>
      <c r="AB899">
        <f t="shared" si="101"/>
        <v>2023</v>
      </c>
      <c r="AC899" t="str">
        <f t="shared" si="102"/>
        <v/>
      </c>
      <c r="AD899" s="28">
        <f>ROUND((IF(ISBLANK(L899),Employee_Lookups!$O$14,L899)-J899)/365.25,2)</f>
        <v>2.29</v>
      </c>
      <c r="AE899" t="str">
        <f t="shared" si="103"/>
        <v>1 - 3 Yrs</v>
      </c>
      <c r="AF899" t="str">
        <f t="shared" si="104"/>
        <v>Low Risk</v>
      </c>
    </row>
    <row r="900" spans="1:32" x14ac:dyDescent="0.45">
      <c r="A900" t="s">
        <v>1679</v>
      </c>
      <c r="B900" t="s">
        <v>1054</v>
      </c>
      <c r="C900" t="s">
        <v>59</v>
      </c>
      <c r="D900" t="s">
        <v>58</v>
      </c>
      <c r="E900" t="s">
        <v>206</v>
      </c>
      <c r="F900" t="s">
        <v>81</v>
      </c>
      <c r="G900" t="s">
        <v>207</v>
      </c>
      <c r="H900" t="s">
        <v>106</v>
      </c>
      <c r="I900" t="s">
        <v>107</v>
      </c>
      <c r="J900" s="26">
        <v>45191</v>
      </c>
      <c r="K900" t="s">
        <v>162</v>
      </c>
      <c r="L900" s="26"/>
      <c r="M900" t="s">
        <v>163</v>
      </c>
      <c r="N900" t="s">
        <v>98</v>
      </c>
      <c r="O900" s="27">
        <v>591000</v>
      </c>
      <c r="P900">
        <v>5</v>
      </c>
      <c r="Q900" t="s">
        <v>164</v>
      </c>
      <c r="R900">
        <v>20</v>
      </c>
      <c r="S900" t="s">
        <v>214</v>
      </c>
      <c r="T900">
        <f t="shared" si="98"/>
        <v>10348</v>
      </c>
      <c r="U900" t="str">
        <f t="shared" si="99"/>
        <v>FIN</v>
      </c>
      <c r="V900" t="str">
        <f t="shared" si="100"/>
        <v>L1</v>
      </c>
      <c r="W900" t="str">
        <f>PROPER(TRIM(VLOOKUP(S900,Employee_Lookups!$I$4:$M$19,2,FALSE())))</f>
        <v>Aditya Gokhale</v>
      </c>
      <c r="X900" t="str">
        <f>VLOOKUP(C900,Employee_Lookups!$A$4:$G$9,4,FALSE())</f>
        <v>CC-404</v>
      </c>
      <c r="Y900" t="str">
        <f>INDEX(Employee_Lookups!$C$13:$C$17,MATCH(F900,Employee_Lookups!$A$13:$A$17,0))</f>
        <v>Band A (Entry)</v>
      </c>
      <c r="Z900" s="27">
        <f>_xlfn.XLOOKUP(F900,Employee_Lookups!$A$13:$A$17,Employee_Lookups!$E$13:$E$17,0)</f>
        <v>700000</v>
      </c>
      <c r="AA900" s="28">
        <f>ROUND(O900/INDEX(Employee_Lookups!$E$13:$E$17,MATCH(F900,Employee_Lookups!$A$13:$A$17,0)),3)</f>
        <v>0.84399999999999997</v>
      </c>
      <c r="AB900">
        <f t="shared" si="101"/>
        <v>2023</v>
      </c>
      <c r="AC900" t="str">
        <f t="shared" si="102"/>
        <v/>
      </c>
      <c r="AD900" s="28">
        <f>ROUND((IF(ISBLANK(L900),Employee_Lookups!$O$14,L900)-J900)/365.25,2)</f>
        <v>2.2799999999999998</v>
      </c>
      <c r="AE900" t="str">
        <f t="shared" si="103"/>
        <v>1 - 3 Yrs</v>
      </c>
      <c r="AF900" t="str">
        <f t="shared" si="104"/>
        <v>Low Risk</v>
      </c>
    </row>
    <row r="901" spans="1:32" x14ac:dyDescent="0.45">
      <c r="A901" t="s">
        <v>1680</v>
      </c>
      <c r="B901" t="s">
        <v>526</v>
      </c>
      <c r="C901" t="s">
        <v>57</v>
      </c>
      <c r="D901" t="s">
        <v>56</v>
      </c>
      <c r="E901" t="s">
        <v>160</v>
      </c>
      <c r="F901" t="s">
        <v>81</v>
      </c>
      <c r="G901" t="s">
        <v>161</v>
      </c>
      <c r="H901" t="s">
        <v>111</v>
      </c>
      <c r="I901" t="s">
        <v>110</v>
      </c>
      <c r="J901" s="26">
        <v>45193</v>
      </c>
      <c r="K901" t="s">
        <v>162</v>
      </c>
      <c r="L901" s="26"/>
      <c r="M901" t="s">
        <v>163</v>
      </c>
      <c r="N901" t="s">
        <v>99</v>
      </c>
      <c r="O901" s="27">
        <v>591000</v>
      </c>
      <c r="P901">
        <v>4</v>
      </c>
      <c r="Q901" t="s">
        <v>164</v>
      </c>
      <c r="R901">
        <v>25</v>
      </c>
      <c r="S901" t="s">
        <v>224</v>
      </c>
      <c r="T901">
        <f t="shared" si="98"/>
        <v>11362</v>
      </c>
      <c r="U901" t="str">
        <f t="shared" si="99"/>
        <v>MKT</v>
      </c>
      <c r="V901" t="str">
        <f t="shared" si="100"/>
        <v>L1</v>
      </c>
      <c r="W901" t="str">
        <f>PROPER(TRIM(VLOOKUP(S901,Employee_Lookups!$I$4:$M$19,2,FALSE())))</f>
        <v>Tanvi Chitnis</v>
      </c>
      <c r="X901" t="str">
        <f>VLOOKUP(C901,Employee_Lookups!$A$4:$G$9,4,FALSE())</f>
        <v>CC-606</v>
      </c>
      <c r="Y901" t="str">
        <f>INDEX(Employee_Lookups!$C$13:$C$17,MATCH(F901,Employee_Lookups!$A$13:$A$17,0))</f>
        <v>Band A (Entry)</v>
      </c>
      <c r="Z901" s="27">
        <f>_xlfn.XLOOKUP(F901,Employee_Lookups!$A$13:$A$17,Employee_Lookups!$E$13:$E$17,0)</f>
        <v>700000</v>
      </c>
      <c r="AA901" s="28">
        <f>ROUND(O901/INDEX(Employee_Lookups!$E$13:$E$17,MATCH(F901,Employee_Lookups!$A$13:$A$17,0)),3)</f>
        <v>0.84399999999999997</v>
      </c>
      <c r="AB901">
        <f t="shared" si="101"/>
        <v>2023</v>
      </c>
      <c r="AC901" t="str">
        <f t="shared" si="102"/>
        <v/>
      </c>
      <c r="AD901" s="28">
        <f>ROUND((IF(ISBLANK(L901),Employee_Lookups!$O$14,L901)-J901)/365.25,2)</f>
        <v>2.27</v>
      </c>
      <c r="AE901" t="str">
        <f t="shared" si="103"/>
        <v>1 - 3 Yrs</v>
      </c>
      <c r="AF901" t="str">
        <f t="shared" si="104"/>
        <v>Low Risk</v>
      </c>
    </row>
    <row r="902" spans="1:32" x14ac:dyDescent="0.45">
      <c r="A902" t="s">
        <v>1681</v>
      </c>
      <c r="B902" t="s">
        <v>1682</v>
      </c>
      <c r="C902" t="s">
        <v>55</v>
      </c>
      <c r="D902" t="s">
        <v>54</v>
      </c>
      <c r="E902" t="s">
        <v>229</v>
      </c>
      <c r="F902" t="s">
        <v>82</v>
      </c>
      <c r="G902" t="s">
        <v>230</v>
      </c>
      <c r="H902" t="s">
        <v>109</v>
      </c>
      <c r="I902" t="s">
        <v>110</v>
      </c>
      <c r="J902" s="26">
        <v>45194</v>
      </c>
      <c r="K902" t="s">
        <v>170</v>
      </c>
      <c r="L902" s="26">
        <v>45396</v>
      </c>
      <c r="M902" t="s">
        <v>171</v>
      </c>
      <c r="N902" t="s">
        <v>98</v>
      </c>
      <c r="O902" s="27">
        <v>1283000</v>
      </c>
      <c r="P902">
        <v>5</v>
      </c>
      <c r="Q902" t="s">
        <v>172</v>
      </c>
      <c r="R902">
        <v>32</v>
      </c>
      <c r="S902" t="s">
        <v>274</v>
      </c>
      <c r="T902">
        <f t="shared" si="98"/>
        <v>11300</v>
      </c>
      <c r="U902" t="str">
        <f t="shared" si="99"/>
        <v>OPS</v>
      </c>
      <c r="V902" t="str">
        <f t="shared" si="100"/>
        <v>L2</v>
      </c>
      <c r="W902" t="str">
        <f>PROPER(TRIM(VLOOKUP(S902,Employee_Lookups!$I$4:$M$19,2,FALSE())))</f>
        <v>Meera Krishnan</v>
      </c>
      <c r="X902" t="str">
        <f>VLOOKUP(C902,Employee_Lookups!$A$4:$G$9,4,FALSE())</f>
        <v>CC-303</v>
      </c>
      <c r="Y902" t="str">
        <f>INDEX(Employee_Lookups!$C$13:$C$17,MATCH(F902,Employee_Lookups!$A$13:$A$17,0))</f>
        <v>Band B (Mid)</v>
      </c>
      <c r="Z902" s="27">
        <f>_xlfn.XLOOKUP(F902,Employee_Lookups!$A$13:$A$17,Employee_Lookups!$E$13:$E$17,0)</f>
        <v>1100000</v>
      </c>
      <c r="AA902" s="28">
        <f>ROUND(O902/INDEX(Employee_Lookups!$E$13:$E$17,MATCH(F902,Employee_Lookups!$A$13:$A$17,0)),3)</f>
        <v>1.1659999999999999</v>
      </c>
      <c r="AB902">
        <f t="shared" si="101"/>
        <v>2023</v>
      </c>
      <c r="AC902">
        <f t="shared" si="102"/>
        <v>2024</v>
      </c>
      <c r="AD902" s="28">
        <f>ROUND((IF(ISBLANK(L902),Employee_Lookups!$O$14,L902)-J902)/365.25,2)</f>
        <v>0.55000000000000004</v>
      </c>
      <c r="AE902" t="str">
        <f t="shared" si="103"/>
        <v>&lt; 1 Yr (New)</v>
      </c>
      <c r="AF902" t="str">
        <f t="shared" si="104"/>
        <v>Exited</v>
      </c>
    </row>
    <row r="903" spans="1:32" x14ac:dyDescent="0.45">
      <c r="A903" t="s">
        <v>1683</v>
      </c>
      <c r="B903" t="s">
        <v>509</v>
      </c>
      <c r="C903" t="s">
        <v>51</v>
      </c>
      <c r="D903" t="s">
        <v>50</v>
      </c>
      <c r="E903" t="s">
        <v>217</v>
      </c>
      <c r="F903" t="s">
        <v>83</v>
      </c>
      <c r="G903" t="s">
        <v>218</v>
      </c>
      <c r="H903" t="s">
        <v>106</v>
      </c>
      <c r="I903" t="s">
        <v>107</v>
      </c>
      <c r="J903" s="26">
        <v>45194</v>
      </c>
      <c r="K903" t="s">
        <v>162</v>
      </c>
      <c r="L903" s="26"/>
      <c r="M903" t="s">
        <v>163</v>
      </c>
      <c r="N903" t="s">
        <v>99</v>
      </c>
      <c r="O903" s="27">
        <v>2062000</v>
      </c>
      <c r="P903">
        <v>3</v>
      </c>
      <c r="Q903" t="s">
        <v>164</v>
      </c>
      <c r="R903">
        <v>40</v>
      </c>
      <c r="S903" t="s">
        <v>244</v>
      </c>
      <c r="T903">
        <f t="shared" si="98"/>
        <v>10994</v>
      </c>
      <c r="U903" t="str">
        <f t="shared" si="99"/>
        <v>ENG</v>
      </c>
      <c r="V903" t="str">
        <f t="shared" si="100"/>
        <v>L3</v>
      </c>
      <c r="W903" t="str">
        <f>PROPER(TRIM(VLOOKUP(S903,Employee_Lookups!$I$4:$M$19,2,FALSE())))</f>
        <v>Siddharth Nair</v>
      </c>
      <c r="X903" t="str">
        <f>VLOOKUP(C903,Employee_Lookups!$A$4:$G$9,4,FALSE())</f>
        <v>CC-101</v>
      </c>
      <c r="Y903" t="str">
        <f>INDEX(Employee_Lookups!$C$13:$C$17,MATCH(F903,Employee_Lookups!$A$13:$A$17,0))</f>
        <v>Band C (Senior)</v>
      </c>
      <c r="Z903" s="27">
        <f>_xlfn.XLOOKUP(F903,Employee_Lookups!$A$13:$A$17,Employee_Lookups!$E$13:$E$17,0)</f>
        <v>1725000</v>
      </c>
      <c r="AA903" s="28">
        <f>ROUND(O903/INDEX(Employee_Lookups!$E$13:$E$17,MATCH(F903,Employee_Lookups!$A$13:$A$17,0)),3)</f>
        <v>1.1950000000000001</v>
      </c>
      <c r="AB903">
        <f t="shared" si="101"/>
        <v>2023</v>
      </c>
      <c r="AC903" t="str">
        <f t="shared" si="102"/>
        <v/>
      </c>
      <c r="AD903" s="28">
        <f>ROUND((IF(ISBLANK(L903),Employee_Lookups!$O$14,L903)-J903)/365.25,2)</f>
        <v>2.27</v>
      </c>
      <c r="AE903" t="str">
        <f t="shared" si="103"/>
        <v>1 - 3 Yrs</v>
      </c>
      <c r="AF903" t="str">
        <f t="shared" si="104"/>
        <v>Low Risk</v>
      </c>
    </row>
    <row r="904" spans="1:32" x14ac:dyDescent="0.45">
      <c r="A904" t="s">
        <v>1684</v>
      </c>
      <c r="B904" t="s">
        <v>1685</v>
      </c>
      <c r="C904" t="s">
        <v>55</v>
      </c>
      <c r="D904" t="s">
        <v>54</v>
      </c>
      <c r="E904" t="s">
        <v>229</v>
      </c>
      <c r="F904" t="s">
        <v>82</v>
      </c>
      <c r="G904" t="s">
        <v>230</v>
      </c>
      <c r="H904" t="s">
        <v>106</v>
      </c>
      <c r="I904" t="s">
        <v>107</v>
      </c>
      <c r="J904" s="26">
        <v>45195</v>
      </c>
      <c r="K904" t="s">
        <v>162</v>
      </c>
      <c r="L904" s="26"/>
      <c r="M904" t="s">
        <v>163</v>
      </c>
      <c r="N904" t="s">
        <v>96</v>
      </c>
      <c r="O904" s="27">
        <v>1127000</v>
      </c>
      <c r="P904">
        <v>3</v>
      </c>
      <c r="Q904" t="s">
        <v>164</v>
      </c>
      <c r="R904">
        <v>19</v>
      </c>
      <c r="S904" t="s">
        <v>274</v>
      </c>
      <c r="T904">
        <f t="shared" si="98"/>
        <v>10197</v>
      </c>
      <c r="U904" t="str">
        <f t="shared" si="99"/>
        <v>OPS</v>
      </c>
      <c r="V904" t="str">
        <f t="shared" si="100"/>
        <v>L2</v>
      </c>
      <c r="W904" t="str">
        <f>PROPER(TRIM(VLOOKUP(S904,Employee_Lookups!$I$4:$M$19,2,FALSE())))</f>
        <v>Meera Krishnan</v>
      </c>
      <c r="X904" t="str">
        <f>VLOOKUP(C904,Employee_Lookups!$A$4:$G$9,4,FALSE())</f>
        <v>CC-303</v>
      </c>
      <c r="Y904" t="str">
        <f>INDEX(Employee_Lookups!$C$13:$C$17,MATCH(F904,Employee_Lookups!$A$13:$A$17,0))</f>
        <v>Band B (Mid)</v>
      </c>
      <c r="Z904" s="27">
        <f>_xlfn.XLOOKUP(F904,Employee_Lookups!$A$13:$A$17,Employee_Lookups!$E$13:$E$17,0)</f>
        <v>1100000</v>
      </c>
      <c r="AA904" s="28">
        <f>ROUND(O904/INDEX(Employee_Lookups!$E$13:$E$17,MATCH(F904,Employee_Lookups!$A$13:$A$17,0)),3)</f>
        <v>1.0249999999999999</v>
      </c>
      <c r="AB904">
        <f t="shared" si="101"/>
        <v>2023</v>
      </c>
      <c r="AC904" t="str">
        <f t="shared" si="102"/>
        <v/>
      </c>
      <c r="AD904" s="28">
        <f>ROUND((IF(ISBLANK(L904),Employee_Lookups!$O$14,L904)-J904)/365.25,2)</f>
        <v>2.2599999999999998</v>
      </c>
      <c r="AE904" t="str">
        <f t="shared" si="103"/>
        <v>1 - 3 Yrs</v>
      </c>
      <c r="AF904" t="str">
        <f t="shared" si="104"/>
        <v>Low Risk</v>
      </c>
    </row>
    <row r="905" spans="1:32" x14ac:dyDescent="0.45">
      <c r="A905" t="s">
        <v>1686</v>
      </c>
      <c r="B905" t="s">
        <v>568</v>
      </c>
      <c r="C905" t="s">
        <v>51</v>
      </c>
      <c r="D905" t="s">
        <v>50</v>
      </c>
      <c r="E905" t="s">
        <v>181</v>
      </c>
      <c r="F905" t="s">
        <v>81</v>
      </c>
      <c r="G905" t="s">
        <v>182</v>
      </c>
      <c r="H905" t="s">
        <v>111</v>
      </c>
      <c r="I905" t="s">
        <v>110</v>
      </c>
      <c r="J905" s="26">
        <v>45195</v>
      </c>
      <c r="K905" t="s">
        <v>162</v>
      </c>
      <c r="L905" s="26"/>
      <c r="M905" t="s">
        <v>163</v>
      </c>
      <c r="N905" t="s">
        <v>95</v>
      </c>
      <c r="O905" s="27">
        <v>652000</v>
      </c>
      <c r="P905">
        <v>3</v>
      </c>
      <c r="Q905" t="s">
        <v>164</v>
      </c>
      <c r="R905">
        <v>49</v>
      </c>
      <c r="S905" t="s">
        <v>244</v>
      </c>
      <c r="T905">
        <f t="shared" si="98"/>
        <v>10873</v>
      </c>
      <c r="U905" t="str">
        <f t="shared" si="99"/>
        <v>ENG</v>
      </c>
      <c r="V905" t="str">
        <f t="shared" si="100"/>
        <v>L1</v>
      </c>
      <c r="W905" t="str">
        <f>PROPER(TRIM(VLOOKUP(S905,Employee_Lookups!$I$4:$M$19,2,FALSE())))</f>
        <v>Siddharth Nair</v>
      </c>
      <c r="X905" t="str">
        <f>VLOOKUP(C905,Employee_Lookups!$A$4:$G$9,4,FALSE())</f>
        <v>CC-101</v>
      </c>
      <c r="Y905" t="str">
        <f>INDEX(Employee_Lookups!$C$13:$C$17,MATCH(F905,Employee_Lookups!$A$13:$A$17,0))</f>
        <v>Band A (Entry)</v>
      </c>
      <c r="Z905" s="27">
        <f>_xlfn.XLOOKUP(F905,Employee_Lookups!$A$13:$A$17,Employee_Lookups!$E$13:$E$17,0)</f>
        <v>700000</v>
      </c>
      <c r="AA905" s="28">
        <f>ROUND(O905/INDEX(Employee_Lookups!$E$13:$E$17,MATCH(F905,Employee_Lookups!$A$13:$A$17,0)),3)</f>
        <v>0.93100000000000005</v>
      </c>
      <c r="AB905">
        <f t="shared" si="101"/>
        <v>2023</v>
      </c>
      <c r="AC905" t="str">
        <f t="shared" si="102"/>
        <v/>
      </c>
      <c r="AD905" s="28">
        <f>ROUND((IF(ISBLANK(L905),Employee_Lookups!$O$14,L905)-J905)/365.25,2)</f>
        <v>2.2599999999999998</v>
      </c>
      <c r="AE905" t="str">
        <f t="shared" si="103"/>
        <v>1 - 3 Yrs</v>
      </c>
      <c r="AF905" t="str">
        <f t="shared" si="104"/>
        <v>Low Risk</v>
      </c>
    </row>
    <row r="906" spans="1:32" x14ac:dyDescent="0.45">
      <c r="A906" t="s">
        <v>1687</v>
      </c>
      <c r="B906" t="s">
        <v>464</v>
      </c>
      <c r="C906" t="s">
        <v>51</v>
      </c>
      <c r="D906" t="s">
        <v>50</v>
      </c>
      <c r="E906" t="s">
        <v>181</v>
      </c>
      <c r="F906" t="s">
        <v>81</v>
      </c>
      <c r="G906" t="s">
        <v>182</v>
      </c>
      <c r="H906" t="s">
        <v>108</v>
      </c>
      <c r="I906" t="s">
        <v>107</v>
      </c>
      <c r="J906" s="26">
        <v>45202</v>
      </c>
      <c r="K906" t="s">
        <v>162</v>
      </c>
      <c r="L906" s="26"/>
      <c r="M906" t="s">
        <v>163</v>
      </c>
      <c r="N906" t="s">
        <v>99</v>
      </c>
      <c r="O906" s="27">
        <v>582000</v>
      </c>
      <c r="P906">
        <v>1</v>
      </c>
      <c r="Q906" t="s">
        <v>164</v>
      </c>
      <c r="R906">
        <v>15</v>
      </c>
      <c r="S906" t="s">
        <v>219</v>
      </c>
      <c r="T906">
        <f t="shared" si="98"/>
        <v>10776</v>
      </c>
      <c r="U906" t="str">
        <f t="shared" si="99"/>
        <v>ENG</v>
      </c>
      <c r="V906" t="str">
        <f t="shared" si="100"/>
        <v>L1</v>
      </c>
      <c r="W906" t="str">
        <f>PROPER(TRIM(VLOOKUP(S906,Employee_Lookups!$I$4:$M$19,2,FALSE())))</f>
        <v>Neha Kulkarni</v>
      </c>
      <c r="X906" t="str">
        <f>VLOOKUP(C906,Employee_Lookups!$A$4:$G$9,4,FALSE())</f>
        <v>CC-101</v>
      </c>
      <c r="Y906" t="str">
        <f>INDEX(Employee_Lookups!$C$13:$C$17,MATCH(F906,Employee_Lookups!$A$13:$A$17,0))</f>
        <v>Band A (Entry)</v>
      </c>
      <c r="Z906" s="27">
        <f>_xlfn.XLOOKUP(F906,Employee_Lookups!$A$13:$A$17,Employee_Lookups!$E$13:$E$17,0)</f>
        <v>700000</v>
      </c>
      <c r="AA906" s="28">
        <f>ROUND(O906/INDEX(Employee_Lookups!$E$13:$E$17,MATCH(F906,Employee_Lookups!$A$13:$A$17,0)),3)</f>
        <v>0.83099999999999996</v>
      </c>
      <c r="AB906">
        <f t="shared" si="101"/>
        <v>2023</v>
      </c>
      <c r="AC906" t="str">
        <f t="shared" si="102"/>
        <v/>
      </c>
      <c r="AD906" s="28">
        <f>ROUND((IF(ISBLANK(L906),Employee_Lookups!$O$14,L906)-J906)/365.25,2)</f>
        <v>2.25</v>
      </c>
      <c r="AE906" t="str">
        <f t="shared" si="103"/>
        <v>1 - 3 Yrs</v>
      </c>
      <c r="AF906" t="str">
        <f t="shared" si="104"/>
        <v>Moderate Risk</v>
      </c>
    </row>
    <row r="907" spans="1:32" x14ac:dyDescent="0.45">
      <c r="A907" t="s">
        <v>1688</v>
      </c>
      <c r="B907" t="s">
        <v>520</v>
      </c>
      <c r="C907" t="s">
        <v>57</v>
      </c>
      <c r="D907" t="s">
        <v>56</v>
      </c>
      <c r="E907" t="s">
        <v>391</v>
      </c>
      <c r="F907" t="s">
        <v>83</v>
      </c>
      <c r="G907" t="s">
        <v>392</v>
      </c>
      <c r="H907" t="s">
        <v>109</v>
      </c>
      <c r="I907" t="s">
        <v>110</v>
      </c>
      <c r="J907" s="26">
        <v>45203</v>
      </c>
      <c r="K907" t="s">
        <v>162</v>
      </c>
      <c r="L907" s="26"/>
      <c r="M907" t="s">
        <v>163</v>
      </c>
      <c r="N907" t="s">
        <v>99</v>
      </c>
      <c r="O907" s="27">
        <v>2100000</v>
      </c>
      <c r="P907">
        <v>2</v>
      </c>
      <c r="Q907" t="s">
        <v>172</v>
      </c>
      <c r="R907">
        <v>18</v>
      </c>
      <c r="S907" t="s">
        <v>165</v>
      </c>
      <c r="T907">
        <f t="shared" si="98"/>
        <v>10448</v>
      </c>
      <c r="U907" t="str">
        <f t="shared" si="99"/>
        <v>MKT</v>
      </c>
      <c r="V907" t="str">
        <f t="shared" si="100"/>
        <v>L3</v>
      </c>
      <c r="W907" t="str">
        <f>PROPER(TRIM(VLOOKUP(S907,Employee_Lookups!$I$4:$M$19,2,FALSE())))</f>
        <v>Arjun Sengupta</v>
      </c>
      <c r="X907" t="str">
        <f>VLOOKUP(C907,Employee_Lookups!$A$4:$G$9,4,FALSE())</f>
        <v>CC-606</v>
      </c>
      <c r="Y907" t="str">
        <f>INDEX(Employee_Lookups!$C$13:$C$17,MATCH(F907,Employee_Lookups!$A$13:$A$17,0))</f>
        <v>Band C (Senior)</v>
      </c>
      <c r="Z907" s="27">
        <f>_xlfn.XLOOKUP(F907,Employee_Lookups!$A$13:$A$17,Employee_Lookups!$E$13:$E$17,0)</f>
        <v>1725000</v>
      </c>
      <c r="AA907" s="28">
        <f>ROUND(O907/INDEX(Employee_Lookups!$E$13:$E$17,MATCH(F907,Employee_Lookups!$A$13:$A$17,0)),3)</f>
        <v>1.2170000000000001</v>
      </c>
      <c r="AB907">
        <f t="shared" si="101"/>
        <v>2023</v>
      </c>
      <c r="AC907" t="str">
        <f t="shared" si="102"/>
        <v/>
      </c>
      <c r="AD907" s="28">
        <f>ROUND((IF(ISBLANK(L907),Employee_Lookups!$O$14,L907)-J907)/365.25,2)</f>
        <v>2.2400000000000002</v>
      </c>
      <c r="AE907" t="str">
        <f t="shared" si="103"/>
        <v>1 - 3 Yrs</v>
      </c>
      <c r="AF907" t="str">
        <f t="shared" si="104"/>
        <v>Moderate Risk</v>
      </c>
    </row>
    <row r="908" spans="1:32" x14ac:dyDescent="0.45">
      <c r="A908" t="s">
        <v>1689</v>
      </c>
      <c r="B908" t="s">
        <v>1141</v>
      </c>
      <c r="C908" t="s">
        <v>51</v>
      </c>
      <c r="D908" t="s">
        <v>50</v>
      </c>
      <c r="E908" t="s">
        <v>181</v>
      </c>
      <c r="F908" t="s">
        <v>81</v>
      </c>
      <c r="G908" t="s">
        <v>182</v>
      </c>
      <c r="H908" t="s">
        <v>109</v>
      </c>
      <c r="I908" t="s">
        <v>110</v>
      </c>
      <c r="J908" s="26">
        <v>45204</v>
      </c>
      <c r="K908" t="s">
        <v>162</v>
      </c>
      <c r="L908" s="26"/>
      <c r="M908" t="s">
        <v>163</v>
      </c>
      <c r="N908" t="s">
        <v>97</v>
      </c>
      <c r="O908" s="27">
        <v>766000</v>
      </c>
      <c r="P908">
        <v>5</v>
      </c>
      <c r="Q908" t="s">
        <v>172</v>
      </c>
      <c r="R908">
        <v>31</v>
      </c>
      <c r="S908" t="s">
        <v>197</v>
      </c>
      <c r="T908">
        <f t="shared" si="98"/>
        <v>10226</v>
      </c>
      <c r="U908" t="str">
        <f t="shared" si="99"/>
        <v>ENG</v>
      </c>
      <c r="V908" t="str">
        <f t="shared" si="100"/>
        <v>L1</v>
      </c>
      <c r="W908" t="str">
        <f>PROPER(TRIM(VLOOKUP(S908,Employee_Lookups!$I$4:$M$19,2,FALSE())))</f>
        <v>Rohan Verma</v>
      </c>
      <c r="X908" t="str">
        <f>VLOOKUP(C908,Employee_Lookups!$A$4:$G$9,4,FALSE())</f>
        <v>CC-101</v>
      </c>
      <c r="Y908" t="str">
        <f>INDEX(Employee_Lookups!$C$13:$C$17,MATCH(F908,Employee_Lookups!$A$13:$A$17,0))</f>
        <v>Band A (Entry)</v>
      </c>
      <c r="Z908" s="27">
        <f>_xlfn.XLOOKUP(F908,Employee_Lookups!$A$13:$A$17,Employee_Lookups!$E$13:$E$17,0)</f>
        <v>700000</v>
      </c>
      <c r="AA908" s="28">
        <f>ROUND(O908/INDEX(Employee_Lookups!$E$13:$E$17,MATCH(F908,Employee_Lookups!$A$13:$A$17,0)),3)</f>
        <v>1.0940000000000001</v>
      </c>
      <c r="AB908">
        <f t="shared" si="101"/>
        <v>2023</v>
      </c>
      <c r="AC908" t="str">
        <f t="shared" si="102"/>
        <v/>
      </c>
      <c r="AD908" s="28">
        <f>ROUND((IF(ISBLANK(L908),Employee_Lookups!$O$14,L908)-J908)/365.25,2)</f>
        <v>2.2400000000000002</v>
      </c>
      <c r="AE908" t="str">
        <f t="shared" si="103"/>
        <v>1 - 3 Yrs</v>
      </c>
      <c r="AF908" t="str">
        <f t="shared" si="104"/>
        <v>High Risk</v>
      </c>
    </row>
    <row r="909" spans="1:32" x14ac:dyDescent="0.45">
      <c r="A909" t="s">
        <v>1690</v>
      </c>
      <c r="B909" t="s">
        <v>1691</v>
      </c>
      <c r="C909" t="s">
        <v>55</v>
      </c>
      <c r="D909" t="s">
        <v>54</v>
      </c>
      <c r="E909" t="s">
        <v>229</v>
      </c>
      <c r="F909" t="s">
        <v>82</v>
      </c>
      <c r="G909" t="s">
        <v>230</v>
      </c>
      <c r="H909" t="s">
        <v>109</v>
      </c>
      <c r="I909" t="s">
        <v>110</v>
      </c>
      <c r="J909" s="26">
        <v>45206</v>
      </c>
      <c r="K909" t="s">
        <v>162</v>
      </c>
      <c r="L909" s="26"/>
      <c r="M909" t="s">
        <v>163</v>
      </c>
      <c r="N909" t="s">
        <v>96</v>
      </c>
      <c r="O909" s="27">
        <v>1336000</v>
      </c>
      <c r="P909">
        <v>3</v>
      </c>
      <c r="Q909" t="s">
        <v>164</v>
      </c>
      <c r="R909">
        <v>37</v>
      </c>
      <c r="S909" t="s">
        <v>274</v>
      </c>
      <c r="T909">
        <f t="shared" si="98"/>
        <v>10921</v>
      </c>
      <c r="U909" t="str">
        <f t="shared" si="99"/>
        <v>OPS</v>
      </c>
      <c r="V909" t="str">
        <f t="shared" si="100"/>
        <v>L2</v>
      </c>
      <c r="W909" t="str">
        <f>PROPER(TRIM(VLOOKUP(S909,Employee_Lookups!$I$4:$M$19,2,FALSE())))</f>
        <v>Meera Krishnan</v>
      </c>
      <c r="X909" t="str">
        <f>VLOOKUP(C909,Employee_Lookups!$A$4:$G$9,4,FALSE())</f>
        <v>CC-303</v>
      </c>
      <c r="Y909" t="str">
        <f>INDEX(Employee_Lookups!$C$13:$C$17,MATCH(F909,Employee_Lookups!$A$13:$A$17,0))</f>
        <v>Band B (Mid)</v>
      </c>
      <c r="Z909" s="27">
        <f>_xlfn.XLOOKUP(F909,Employee_Lookups!$A$13:$A$17,Employee_Lookups!$E$13:$E$17,0)</f>
        <v>1100000</v>
      </c>
      <c r="AA909" s="28">
        <f>ROUND(O909/INDEX(Employee_Lookups!$E$13:$E$17,MATCH(F909,Employee_Lookups!$A$13:$A$17,0)),3)</f>
        <v>1.2150000000000001</v>
      </c>
      <c r="AB909">
        <f t="shared" si="101"/>
        <v>2023</v>
      </c>
      <c r="AC909" t="str">
        <f t="shared" si="102"/>
        <v/>
      </c>
      <c r="AD909" s="28">
        <f>ROUND((IF(ISBLANK(L909),Employee_Lookups!$O$14,L909)-J909)/365.25,2)</f>
        <v>2.23</v>
      </c>
      <c r="AE909" t="str">
        <f t="shared" si="103"/>
        <v>1 - 3 Yrs</v>
      </c>
      <c r="AF909" t="str">
        <f t="shared" si="104"/>
        <v>Low Risk</v>
      </c>
    </row>
    <row r="910" spans="1:32" x14ac:dyDescent="0.45">
      <c r="A910" t="s">
        <v>1692</v>
      </c>
      <c r="B910" t="s">
        <v>899</v>
      </c>
      <c r="C910" t="s">
        <v>59</v>
      </c>
      <c r="D910" t="s">
        <v>58</v>
      </c>
      <c r="E910" t="s">
        <v>206</v>
      </c>
      <c r="F910" t="s">
        <v>81</v>
      </c>
      <c r="G910" t="s">
        <v>207</v>
      </c>
      <c r="H910" t="s">
        <v>106</v>
      </c>
      <c r="I910" t="s">
        <v>107</v>
      </c>
      <c r="J910" s="26">
        <v>45206</v>
      </c>
      <c r="K910" t="s">
        <v>162</v>
      </c>
      <c r="L910" s="26"/>
      <c r="M910" t="s">
        <v>163</v>
      </c>
      <c r="N910" t="s">
        <v>97</v>
      </c>
      <c r="O910" s="27">
        <v>715000</v>
      </c>
      <c r="P910">
        <v>4</v>
      </c>
      <c r="Q910" t="s">
        <v>164</v>
      </c>
      <c r="R910">
        <v>0</v>
      </c>
      <c r="S910" t="s">
        <v>214</v>
      </c>
      <c r="T910">
        <f t="shared" si="98"/>
        <v>10539</v>
      </c>
      <c r="U910" t="str">
        <f t="shared" si="99"/>
        <v>FIN</v>
      </c>
      <c r="V910" t="str">
        <f t="shared" si="100"/>
        <v>L1</v>
      </c>
      <c r="W910" t="str">
        <f>PROPER(TRIM(VLOOKUP(S910,Employee_Lookups!$I$4:$M$19,2,FALSE())))</f>
        <v>Aditya Gokhale</v>
      </c>
      <c r="X910" t="str">
        <f>VLOOKUP(C910,Employee_Lookups!$A$4:$G$9,4,FALSE())</f>
        <v>CC-404</v>
      </c>
      <c r="Y910" t="str">
        <f>INDEX(Employee_Lookups!$C$13:$C$17,MATCH(F910,Employee_Lookups!$A$13:$A$17,0))</f>
        <v>Band A (Entry)</v>
      </c>
      <c r="Z910" s="27">
        <f>_xlfn.XLOOKUP(F910,Employee_Lookups!$A$13:$A$17,Employee_Lookups!$E$13:$E$17,0)</f>
        <v>700000</v>
      </c>
      <c r="AA910" s="28">
        <f>ROUND(O910/INDEX(Employee_Lookups!$E$13:$E$17,MATCH(F910,Employee_Lookups!$A$13:$A$17,0)),3)</f>
        <v>1.0209999999999999</v>
      </c>
      <c r="AB910">
        <f t="shared" si="101"/>
        <v>2023</v>
      </c>
      <c r="AC910" t="str">
        <f t="shared" si="102"/>
        <v/>
      </c>
      <c r="AD910" s="28">
        <f>ROUND((IF(ISBLANK(L910),Employee_Lookups!$O$14,L910)-J910)/365.25,2)</f>
        <v>2.23</v>
      </c>
      <c r="AE910" t="str">
        <f t="shared" si="103"/>
        <v>1 - 3 Yrs</v>
      </c>
      <c r="AF910" t="str">
        <f t="shared" si="104"/>
        <v>Low Risk</v>
      </c>
    </row>
    <row r="911" spans="1:32" x14ac:dyDescent="0.45">
      <c r="A911" t="s">
        <v>1693</v>
      </c>
      <c r="B911" t="s">
        <v>1079</v>
      </c>
      <c r="C911" t="s">
        <v>55</v>
      </c>
      <c r="D911" t="s">
        <v>54</v>
      </c>
      <c r="E911" t="s">
        <v>240</v>
      </c>
      <c r="F911" t="s">
        <v>83</v>
      </c>
      <c r="G911" t="s">
        <v>241</v>
      </c>
      <c r="H911" t="s">
        <v>106</v>
      </c>
      <c r="I911" t="s">
        <v>107</v>
      </c>
      <c r="J911" s="26">
        <v>45209</v>
      </c>
      <c r="K911" t="s">
        <v>187</v>
      </c>
      <c r="L911" s="26">
        <v>45478</v>
      </c>
      <c r="M911" t="s">
        <v>188</v>
      </c>
      <c r="N911" t="s">
        <v>98</v>
      </c>
      <c r="O911" s="27">
        <v>1783000</v>
      </c>
      <c r="P911">
        <v>5</v>
      </c>
      <c r="Q911" t="s">
        <v>172</v>
      </c>
      <c r="R911">
        <v>50</v>
      </c>
      <c r="S911" t="s">
        <v>173</v>
      </c>
      <c r="T911">
        <f t="shared" si="98"/>
        <v>10155</v>
      </c>
      <c r="U911" t="str">
        <f t="shared" si="99"/>
        <v>OPS</v>
      </c>
      <c r="V911" t="str">
        <f t="shared" si="100"/>
        <v>L3</v>
      </c>
      <c r="W911" t="str">
        <f>PROPER(TRIM(VLOOKUP(S911,Employee_Lookups!$I$4:$M$19,2,FALSE())))</f>
        <v>Deepak Patil</v>
      </c>
      <c r="X911" t="str">
        <f>VLOOKUP(C911,Employee_Lookups!$A$4:$G$9,4,FALSE())</f>
        <v>CC-303</v>
      </c>
      <c r="Y911" t="str">
        <f>INDEX(Employee_Lookups!$C$13:$C$17,MATCH(F911,Employee_Lookups!$A$13:$A$17,0))</f>
        <v>Band C (Senior)</v>
      </c>
      <c r="Z911" s="27">
        <f>_xlfn.XLOOKUP(F911,Employee_Lookups!$A$13:$A$17,Employee_Lookups!$E$13:$E$17,0)</f>
        <v>1725000</v>
      </c>
      <c r="AA911" s="28">
        <f>ROUND(O911/INDEX(Employee_Lookups!$E$13:$E$17,MATCH(F911,Employee_Lookups!$A$13:$A$17,0)),3)</f>
        <v>1.034</v>
      </c>
      <c r="AB911">
        <f t="shared" si="101"/>
        <v>2023</v>
      </c>
      <c r="AC911">
        <f t="shared" si="102"/>
        <v>2024</v>
      </c>
      <c r="AD911" s="28">
        <f>ROUND((IF(ISBLANK(L911),Employee_Lookups!$O$14,L911)-J911)/365.25,2)</f>
        <v>0.74</v>
      </c>
      <c r="AE911" t="str">
        <f t="shared" si="103"/>
        <v>&lt; 1 Yr (New)</v>
      </c>
      <c r="AF911" t="str">
        <f t="shared" si="104"/>
        <v>Exited</v>
      </c>
    </row>
    <row r="912" spans="1:32" x14ac:dyDescent="0.45">
      <c r="A912" t="s">
        <v>1694</v>
      </c>
      <c r="B912" t="s">
        <v>261</v>
      </c>
      <c r="C912" t="s">
        <v>51</v>
      </c>
      <c r="D912" t="s">
        <v>50</v>
      </c>
      <c r="E912" t="s">
        <v>181</v>
      </c>
      <c r="F912" t="s">
        <v>81</v>
      </c>
      <c r="G912" t="s">
        <v>182</v>
      </c>
      <c r="H912" t="s">
        <v>106</v>
      </c>
      <c r="I912" t="s">
        <v>107</v>
      </c>
      <c r="J912" s="26">
        <v>45214</v>
      </c>
      <c r="K912" t="s">
        <v>162</v>
      </c>
      <c r="L912" s="26"/>
      <c r="M912" t="s">
        <v>163</v>
      </c>
      <c r="N912" t="s">
        <v>97</v>
      </c>
      <c r="O912" s="27">
        <v>752000</v>
      </c>
      <c r="P912">
        <v>3</v>
      </c>
      <c r="Q912" t="s">
        <v>164</v>
      </c>
      <c r="R912">
        <v>35</v>
      </c>
      <c r="S912" t="s">
        <v>178</v>
      </c>
      <c r="T912">
        <f t="shared" si="98"/>
        <v>11175</v>
      </c>
      <c r="U912" t="str">
        <f t="shared" si="99"/>
        <v>ENG</v>
      </c>
      <c r="V912" t="str">
        <f t="shared" si="100"/>
        <v>L1</v>
      </c>
      <c r="W912" t="str">
        <f>PROPER(TRIM(VLOOKUP(S912,Employee_Lookups!$I$4:$M$19,2,FALSE())))</f>
        <v>Aarav Deshmukh</v>
      </c>
      <c r="X912" t="str">
        <f>VLOOKUP(C912,Employee_Lookups!$A$4:$G$9,4,FALSE())</f>
        <v>CC-101</v>
      </c>
      <c r="Y912" t="str">
        <f>INDEX(Employee_Lookups!$C$13:$C$17,MATCH(F912,Employee_Lookups!$A$13:$A$17,0))</f>
        <v>Band A (Entry)</v>
      </c>
      <c r="Z912" s="27">
        <f>_xlfn.XLOOKUP(F912,Employee_Lookups!$A$13:$A$17,Employee_Lookups!$E$13:$E$17,0)</f>
        <v>700000</v>
      </c>
      <c r="AA912" s="28">
        <f>ROUND(O912/INDEX(Employee_Lookups!$E$13:$E$17,MATCH(F912,Employee_Lookups!$A$13:$A$17,0)),3)</f>
        <v>1.0740000000000001</v>
      </c>
      <c r="AB912">
        <f t="shared" si="101"/>
        <v>2023</v>
      </c>
      <c r="AC912" t="str">
        <f t="shared" si="102"/>
        <v/>
      </c>
      <c r="AD912" s="28">
        <f>ROUND((IF(ISBLANK(L912),Employee_Lookups!$O$14,L912)-J912)/365.25,2)</f>
        <v>2.21</v>
      </c>
      <c r="AE912" t="str">
        <f t="shared" si="103"/>
        <v>1 - 3 Yrs</v>
      </c>
      <c r="AF912" t="str">
        <f t="shared" si="104"/>
        <v>Low Risk</v>
      </c>
    </row>
    <row r="913" spans="1:32" x14ac:dyDescent="0.45">
      <c r="A913" t="s">
        <v>1695</v>
      </c>
      <c r="B913" t="s">
        <v>1696</v>
      </c>
      <c r="C913" t="s">
        <v>61</v>
      </c>
      <c r="D913" t="s">
        <v>60</v>
      </c>
      <c r="E913" t="s">
        <v>356</v>
      </c>
      <c r="F913" t="s">
        <v>81</v>
      </c>
      <c r="G913" t="s">
        <v>357</v>
      </c>
      <c r="H913" t="s">
        <v>106</v>
      </c>
      <c r="I913" t="s">
        <v>107</v>
      </c>
      <c r="J913" s="26">
        <v>45214</v>
      </c>
      <c r="K913" t="s">
        <v>162</v>
      </c>
      <c r="L913" s="26"/>
      <c r="M913" t="s">
        <v>163</v>
      </c>
      <c r="N913" t="s">
        <v>99</v>
      </c>
      <c r="O913" s="27">
        <v>594000</v>
      </c>
      <c r="P913">
        <v>4</v>
      </c>
      <c r="Q913" t="s">
        <v>164</v>
      </c>
      <c r="R913">
        <v>53</v>
      </c>
      <c r="S913" t="s">
        <v>253</v>
      </c>
      <c r="T913">
        <f t="shared" si="98"/>
        <v>11105</v>
      </c>
      <c r="U913" t="str">
        <f t="shared" si="99"/>
        <v>-HR</v>
      </c>
      <c r="V913" t="str">
        <f t="shared" si="100"/>
        <v>L1</v>
      </c>
      <c r="W913" t="str">
        <f>PROPER(TRIM(VLOOKUP(S913,Employee_Lookups!$I$4:$M$19,2,FALSE())))</f>
        <v>Nikhil Chatterjee</v>
      </c>
      <c r="X913" t="str">
        <f>VLOOKUP(C913,Employee_Lookups!$A$4:$G$9,4,FALSE())</f>
        <v>CC-505</v>
      </c>
      <c r="Y913" t="str">
        <f>INDEX(Employee_Lookups!$C$13:$C$17,MATCH(F913,Employee_Lookups!$A$13:$A$17,0))</f>
        <v>Band A (Entry)</v>
      </c>
      <c r="Z913" s="27">
        <f>_xlfn.XLOOKUP(F913,Employee_Lookups!$A$13:$A$17,Employee_Lookups!$E$13:$E$17,0)</f>
        <v>700000</v>
      </c>
      <c r="AA913" s="28">
        <f>ROUND(O913/INDEX(Employee_Lookups!$E$13:$E$17,MATCH(F913,Employee_Lookups!$A$13:$A$17,0)),3)</f>
        <v>0.84899999999999998</v>
      </c>
      <c r="AB913">
        <f t="shared" si="101"/>
        <v>2023</v>
      </c>
      <c r="AC913" t="str">
        <f t="shared" si="102"/>
        <v/>
      </c>
      <c r="AD913" s="28">
        <f>ROUND((IF(ISBLANK(L913),Employee_Lookups!$O$14,L913)-J913)/365.25,2)</f>
        <v>2.21</v>
      </c>
      <c r="AE913" t="str">
        <f t="shared" si="103"/>
        <v>1 - 3 Yrs</v>
      </c>
      <c r="AF913" t="str">
        <f t="shared" si="104"/>
        <v>Low Risk</v>
      </c>
    </row>
    <row r="914" spans="1:32" x14ac:dyDescent="0.45">
      <c r="A914" t="s">
        <v>1697</v>
      </c>
      <c r="B914" t="s">
        <v>184</v>
      </c>
      <c r="C914" t="s">
        <v>57</v>
      </c>
      <c r="D914" t="s">
        <v>56</v>
      </c>
      <c r="E914" t="s">
        <v>222</v>
      </c>
      <c r="F914" t="s">
        <v>82</v>
      </c>
      <c r="G914" t="s">
        <v>223</v>
      </c>
      <c r="H914" t="s">
        <v>106</v>
      </c>
      <c r="I914" t="s">
        <v>107</v>
      </c>
      <c r="J914" s="26">
        <v>45217</v>
      </c>
      <c r="K914" t="s">
        <v>162</v>
      </c>
      <c r="L914" s="26"/>
      <c r="M914" t="s">
        <v>163</v>
      </c>
      <c r="N914" t="s">
        <v>95</v>
      </c>
      <c r="O914" s="27">
        <v>1047000</v>
      </c>
      <c r="P914">
        <v>3</v>
      </c>
      <c r="Q914" t="s">
        <v>172</v>
      </c>
      <c r="R914">
        <v>34</v>
      </c>
      <c r="S914" t="s">
        <v>224</v>
      </c>
      <c r="T914">
        <f t="shared" si="98"/>
        <v>10070</v>
      </c>
      <c r="U914" t="str">
        <f t="shared" si="99"/>
        <v>MKT</v>
      </c>
      <c r="V914" t="str">
        <f t="shared" si="100"/>
        <v>L2</v>
      </c>
      <c r="W914" t="str">
        <f>PROPER(TRIM(VLOOKUP(S914,Employee_Lookups!$I$4:$M$19,2,FALSE())))</f>
        <v>Tanvi Chitnis</v>
      </c>
      <c r="X914" t="str">
        <f>VLOOKUP(C914,Employee_Lookups!$A$4:$G$9,4,FALSE())</f>
        <v>CC-606</v>
      </c>
      <c r="Y914" t="str">
        <f>INDEX(Employee_Lookups!$C$13:$C$17,MATCH(F914,Employee_Lookups!$A$13:$A$17,0))</f>
        <v>Band B (Mid)</v>
      </c>
      <c r="Z914" s="27">
        <f>_xlfn.XLOOKUP(F914,Employee_Lookups!$A$13:$A$17,Employee_Lookups!$E$13:$E$17,0)</f>
        <v>1100000</v>
      </c>
      <c r="AA914" s="28">
        <f>ROUND(O914/INDEX(Employee_Lookups!$E$13:$E$17,MATCH(F914,Employee_Lookups!$A$13:$A$17,0)),3)</f>
        <v>0.95199999999999996</v>
      </c>
      <c r="AB914">
        <f t="shared" si="101"/>
        <v>2023</v>
      </c>
      <c r="AC914" t="str">
        <f t="shared" si="102"/>
        <v/>
      </c>
      <c r="AD914" s="28">
        <f>ROUND((IF(ISBLANK(L914),Employee_Lookups!$O$14,L914)-J914)/365.25,2)</f>
        <v>2.2000000000000002</v>
      </c>
      <c r="AE914" t="str">
        <f t="shared" si="103"/>
        <v>1 - 3 Yrs</v>
      </c>
      <c r="AF914" t="str">
        <f t="shared" si="104"/>
        <v>Moderate Risk</v>
      </c>
    </row>
    <row r="915" spans="1:32" x14ac:dyDescent="0.45">
      <c r="A915" t="s">
        <v>1698</v>
      </c>
      <c r="B915" t="s">
        <v>1699</v>
      </c>
      <c r="C915" t="s">
        <v>57</v>
      </c>
      <c r="D915" t="s">
        <v>56</v>
      </c>
      <c r="E915" t="s">
        <v>160</v>
      </c>
      <c r="F915" t="s">
        <v>81</v>
      </c>
      <c r="G915" t="s">
        <v>161</v>
      </c>
      <c r="H915" t="s">
        <v>109</v>
      </c>
      <c r="I915" t="s">
        <v>110</v>
      </c>
      <c r="J915" s="26">
        <v>45218</v>
      </c>
      <c r="K915" t="s">
        <v>162</v>
      </c>
      <c r="L915" s="26"/>
      <c r="M915" t="s">
        <v>163</v>
      </c>
      <c r="N915" t="s">
        <v>98</v>
      </c>
      <c r="O915" s="27">
        <v>835000</v>
      </c>
      <c r="P915">
        <v>3</v>
      </c>
      <c r="Q915" t="s">
        <v>172</v>
      </c>
      <c r="R915">
        <v>43</v>
      </c>
      <c r="S915" t="s">
        <v>165</v>
      </c>
      <c r="T915">
        <f t="shared" si="98"/>
        <v>10405</v>
      </c>
      <c r="U915" t="str">
        <f t="shared" si="99"/>
        <v>MKT</v>
      </c>
      <c r="V915" t="str">
        <f t="shared" si="100"/>
        <v>L1</v>
      </c>
      <c r="W915" t="str">
        <f>PROPER(TRIM(VLOOKUP(S915,Employee_Lookups!$I$4:$M$19,2,FALSE())))</f>
        <v>Arjun Sengupta</v>
      </c>
      <c r="X915" t="str">
        <f>VLOOKUP(C915,Employee_Lookups!$A$4:$G$9,4,FALSE())</f>
        <v>CC-606</v>
      </c>
      <c r="Y915" t="str">
        <f>INDEX(Employee_Lookups!$C$13:$C$17,MATCH(F915,Employee_Lookups!$A$13:$A$17,0))</f>
        <v>Band A (Entry)</v>
      </c>
      <c r="Z915" s="27">
        <f>_xlfn.XLOOKUP(F915,Employee_Lookups!$A$13:$A$17,Employee_Lookups!$E$13:$E$17,0)</f>
        <v>700000</v>
      </c>
      <c r="AA915" s="28">
        <f>ROUND(O915/INDEX(Employee_Lookups!$E$13:$E$17,MATCH(F915,Employee_Lookups!$A$13:$A$17,0)),3)</f>
        <v>1.1930000000000001</v>
      </c>
      <c r="AB915">
        <f t="shared" si="101"/>
        <v>2023</v>
      </c>
      <c r="AC915" t="str">
        <f t="shared" si="102"/>
        <v/>
      </c>
      <c r="AD915" s="28">
        <f>ROUND((IF(ISBLANK(L915),Employee_Lookups!$O$14,L915)-J915)/365.25,2)</f>
        <v>2.2000000000000002</v>
      </c>
      <c r="AE915" t="str">
        <f t="shared" si="103"/>
        <v>1 - 3 Yrs</v>
      </c>
      <c r="AF915" t="str">
        <f t="shared" si="104"/>
        <v>Moderate Risk</v>
      </c>
    </row>
    <row r="916" spans="1:32" x14ac:dyDescent="0.45">
      <c r="A916" t="s">
        <v>1700</v>
      </c>
      <c r="B916" t="s">
        <v>601</v>
      </c>
      <c r="C916" t="s">
        <v>51</v>
      </c>
      <c r="D916" t="s">
        <v>50</v>
      </c>
      <c r="E916" t="s">
        <v>181</v>
      </c>
      <c r="F916" t="s">
        <v>81</v>
      </c>
      <c r="G916" t="s">
        <v>182</v>
      </c>
      <c r="H916" t="s">
        <v>106</v>
      </c>
      <c r="I916" t="s">
        <v>107</v>
      </c>
      <c r="J916" s="26">
        <v>45219</v>
      </c>
      <c r="K916" t="s">
        <v>170</v>
      </c>
      <c r="L916" s="26">
        <v>45685</v>
      </c>
      <c r="M916" t="s">
        <v>171</v>
      </c>
      <c r="N916" t="s">
        <v>97</v>
      </c>
      <c r="O916" s="27">
        <v>780000</v>
      </c>
      <c r="P916">
        <v>2</v>
      </c>
      <c r="Q916" t="s">
        <v>164</v>
      </c>
      <c r="R916">
        <v>34</v>
      </c>
      <c r="S916" t="s">
        <v>178</v>
      </c>
      <c r="T916">
        <f t="shared" si="98"/>
        <v>11390</v>
      </c>
      <c r="U916" t="str">
        <f t="shared" si="99"/>
        <v>ENG</v>
      </c>
      <c r="V916" t="str">
        <f t="shared" si="100"/>
        <v>L1</v>
      </c>
      <c r="W916" t="str">
        <f>PROPER(TRIM(VLOOKUP(S916,Employee_Lookups!$I$4:$M$19,2,FALSE())))</f>
        <v>Aarav Deshmukh</v>
      </c>
      <c r="X916" t="str">
        <f>VLOOKUP(C916,Employee_Lookups!$A$4:$G$9,4,FALSE())</f>
        <v>CC-101</v>
      </c>
      <c r="Y916" t="str">
        <f>INDEX(Employee_Lookups!$C$13:$C$17,MATCH(F916,Employee_Lookups!$A$13:$A$17,0))</f>
        <v>Band A (Entry)</v>
      </c>
      <c r="Z916" s="27">
        <f>_xlfn.XLOOKUP(F916,Employee_Lookups!$A$13:$A$17,Employee_Lookups!$E$13:$E$17,0)</f>
        <v>700000</v>
      </c>
      <c r="AA916" s="28">
        <f>ROUND(O916/INDEX(Employee_Lookups!$E$13:$E$17,MATCH(F916,Employee_Lookups!$A$13:$A$17,0)),3)</f>
        <v>1.1140000000000001</v>
      </c>
      <c r="AB916">
        <f t="shared" si="101"/>
        <v>2023</v>
      </c>
      <c r="AC916">
        <f t="shared" si="102"/>
        <v>2025</v>
      </c>
      <c r="AD916" s="28">
        <f>ROUND((IF(ISBLANK(L916),Employee_Lookups!$O$14,L916)-J916)/365.25,2)</f>
        <v>1.28</v>
      </c>
      <c r="AE916" t="str">
        <f t="shared" si="103"/>
        <v>1 - 3 Yrs</v>
      </c>
      <c r="AF916" t="str">
        <f t="shared" si="104"/>
        <v>Exited</v>
      </c>
    </row>
    <row r="917" spans="1:32" x14ac:dyDescent="0.45">
      <c r="A917" t="s">
        <v>1701</v>
      </c>
      <c r="B917" t="s">
        <v>1597</v>
      </c>
      <c r="C917" t="s">
        <v>51</v>
      </c>
      <c r="D917" t="s">
        <v>50</v>
      </c>
      <c r="E917" t="s">
        <v>176</v>
      </c>
      <c r="F917" t="s">
        <v>82</v>
      </c>
      <c r="G917" t="s">
        <v>177</v>
      </c>
      <c r="H917" t="s">
        <v>109</v>
      </c>
      <c r="I917" t="s">
        <v>110</v>
      </c>
      <c r="J917" s="26">
        <v>45220</v>
      </c>
      <c r="K917" t="s">
        <v>162</v>
      </c>
      <c r="L917" s="26"/>
      <c r="M917" t="s">
        <v>163</v>
      </c>
      <c r="N917" t="s">
        <v>99</v>
      </c>
      <c r="O917" s="27">
        <v>1175000</v>
      </c>
      <c r="P917">
        <v>4</v>
      </c>
      <c r="Q917" t="s">
        <v>164</v>
      </c>
      <c r="R917">
        <v>38</v>
      </c>
      <c r="S917" t="s">
        <v>244</v>
      </c>
      <c r="T917">
        <f t="shared" si="98"/>
        <v>10371</v>
      </c>
      <c r="U917" t="str">
        <f t="shared" si="99"/>
        <v>ENG</v>
      </c>
      <c r="V917" t="str">
        <f t="shared" si="100"/>
        <v>L2</v>
      </c>
      <c r="W917" t="str">
        <f>PROPER(TRIM(VLOOKUP(S917,Employee_Lookups!$I$4:$M$19,2,FALSE())))</f>
        <v>Siddharth Nair</v>
      </c>
      <c r="X917" t="str">
        <f>VLOOKUP(C917,Employee_Lookups!$A$4:$G$9,4,FALSE())</f>
        <v>CC-101</v>
      </c>
      <c r="Y917" t="str">
        <f>INDEX(Employee_Lookups!$C$13:$C$17,MATCH(F917,Employee_Lookups!$A$13:$A$17,0))</f>
        <v>Band B (Mid)</v>
      </c>
      <c r="Z917" s="27">
        <f>_xlfn.XLOOKUP(F917,Employee_Lookups!$A$13:$A$17,Employee_Lookups!$E$13:$E$17,0)</f>
        <v>1100000</v>
      </c>
      <c r="AA917" s="28">
        <f>ROUND(O917/INDEX(Employee_Lookups!$E$13:$E$17,MATCH(F917,Employee_Lookups!$A$13:$A$17,0)),3)</f>
        <v>1.0680000000000001</v>
      </c>
      <c r="AB917">
        <f t="shared" si="101"/>
        <v>2023</v>
      </c>
      <c r="AC917" t="str">
        <f t="shared" si="102"/>
        <v/>
      </c>
      <c r="AD917" s="28">
        <f>ROUND((IF(ISBLANK(L917),Employee_Lookups!$O$14,L917)-J917)/365.25,2)</f>
        <v>2.2000000000000002</v>
      </c>
      <c r="AE917" t="str">
        <f t="shared" si="103"/>
        <v>1 - 3 Yrs</v>
      </c>
      <c r="AF917" t="str">
        <f t="shared" si="104"/>
        <v>Low Risk</v>
      </c>
    </row>
    <row r="918" spans="1:32" x14ac:dyDescent="0.45">
      <c r="A918" t="s">
        <v>1702</v>
      </c>
      <c r="B918" t="s">
        <v>1156</v>
      </c>
      <c r="C918" t="s">
        <v>51</v>
      </c>
      <c r="D918" t="s">
        <v>50</v>
      </c>
      <c r="E918" t="s">
        <v>176</v>
      </c>
      <c r="F918" t="s">
        <v>82</v>
      </c>
      <c r="G918" t="s">
        <v>177</v>
      </c>
      <c r="H918" t="s">
        <v>111</v>
      </c>
      <c r="I918" t="s">
        <v>110</v>
      </c>
      <c r="J918" s="26">
        <v>45223</v>
      </c>
      <c r="K918" t="s">
        <v>162</v>
      </c>
      <c r="L918" s="26"/>
      <c r="M918" t="s">
        <v>163</v>
      </c>
      <c r="N918" t="s">
        <v>95</v>
      </c>
      <c r="O918" s="27">
        <v>1210000</v>
      </c>
      <c r="P918">
        <v>3</v>
      </c>
      <c r="Q918" t="s">
        <v>164</v>
      </c>
      <c r="R918">
        <v>47</v>
      </c>
      <c r="S918" t="s">
        <v>178</v>
      </c>
      <c r="T918">
        <f t="shared" si="98"/>
        <v>10677</v>
      </c>
      <c r="U918" t="str">
        <f t="shared" si="99"/>
        <v>ENG</v>
      </c>
      <c r="V918" t="str">
        <f t="shared" si="100"/>
        <v>L2</v>
      </c>
      <c r="W918" t="str">
        <f>PROPER(TRIM(VLOOKUP(S918,Employee_Lookups!$I$4:$M$19,2,FALSE())))</f>
        <v>Aarav Deshmukh</v>
      </c>
      <c r="X918" t="str">
        <f>VLOOKUP(C918,Employee_Lookups!$A$4:$G$9,4,FALSE())</f>
        <v>CC-101</v>
      </c>
      <c r="Y918" t="str">
        <f>INDEX(Employee_Lookups!$C$13:$C$17,MATCH(F918,Employee_Lookups!$A$13:$A$17,0))</f>
        <v>Band B (Mid)</v>
      </c>
      <c r="Z918" s="27">
        <f>_xlfn.XLOOKUP(F918,Employee_Lookups!$A$13:$A$17,Employee_Lookups!$E$13:$E$17,0)</f>
        <v>1100000</v>
      </c>
      <c r="AA918" s="28">
        <f>ROUND(O918/INDEX(Employee_Lookups!$E$13:$E$17,MATCH(F918,Employee_Lookups!$A$13:$A$17,0)),3)</f>
        <v>1.1000000000000001</v>
      </c>
      <c r="AB918">
        <f t="shared" si="101"/>
        <v>2023</v>
      </c>
      <c r="AC918" t="str">
        <f t="shared" si="102"/>
        <v/>
      </c>
      <c r="AD918" s="28">
        <f>ROUND((IF(ISBLANK(L918),Employee_Lookups!$O$14,L918)-J918)/365.25,2)</f>
        <v>2.19</v>
      </c>
      <c r="AE918" t="str">
        <f t="shared" si="103"/>
        <v>1 - 3 Yrs</v>
      </c>
      <c r="AF918" t="str">
        <f t="shared" si="104"/>
        <v>Low Risk</v>
      </c>
    </row>
    <row r="919" spans="1:32" x14ac:dyDescent="0.45">
      <c r="A919" t="s">
        <v>1703</v>
      </c>
      <c r="B919" t="s">
        <v>1287</v>
      </c>
      <c r="C919" t="s">
        <v>53</v>
      </c>
      <c r="D919" t="s">
        <v>52</v>
      </c>
      <c r="E919" t="s">
        <v>185</v>
      </c>
      <c r="F919" t="s">
        <v>82</v>
      </c>
      <c r="G919" t="s">
        <v>186</v>
      </c>
      <c r="H919" t="s">
        <v>106</v>
      </c>
      <c r="I919" t="s">
        <v>107</v>
      </c>
      <c r="J919" s="26">
        <v>45223</v>
      </c>
      <c r="K919" t="s">
        <v>162</v>
      </c>
      <c r="L919" s="26"/>
      <c r="M919" t="s">
        <v>163</v>
      </c>
      <c r="N919" t="s">
        <v>97</v>
      </c>
      <c r="O919" s="27">
        <v>1339000</v>
      </c>
      <c r="P919">
        <v>3</v>
      </c>
      <c r="Q919" t="s">
        <v>164</v>
      </c>
      <c r="R919">
        <v>32</v>
      </c>
      <c r="S919" t="s">
        <v>237</v>
      </c>
      <c r="T919">
        <f t="shared" si="98"/>
        <v>10483</v>
      </c>
      <c r="U919" t="str">
        <f t="shared" si="99"/>
        <v>SAL</v>
      </c>
      <c r="V919" t="str">
        <f t="shared" si="100"/>
        <v>L2</v>
      </c>
      <c r="W919" t="str">
        <f>PROPER(TRIM(VLOOKUP(S919,Employee_Lookups!$I$4:$M$19,2,FALSE())))</f>
        <v>Karan Malhotra</v>
      </c>
      <c r="X919" t="str">
        <f>VLOOKUP(C919,Employee_Lookups!$A$4:$G$9,4,FALSE())</f>
        <v>CC-202</v>
      </c>
      <c r="Y919" t="str">
        <f>INDEX(Employee_Lookups!$C$13:$C$17,MATCH(F919,Employee_Lookups!$A$13:$A$17,0))</f>
        <v>Band B (Mid)</v>
      </c>
      <c r="Z919" s="27">
        <f>_xlfn.XLOOKUP(F919,Employee_Lookups!$A$13:$A$17,Employee_Lookups!$E$13:$E$17,0)</f>
        <v>1100000</v>
      </c>
      <c r="AA919" s="28">
        <f>ROUND(O919/INDEX(Employee_Lookups!$E$13:$E$17,MATCH(F919,Employee_Lookups!$A$13:$A$17,0)),3)</f>
        <v>1.2170000000000001</v>
      </c>
      <c r="AB919">
        <f t="shared" si="101"/>
        <v>2023</v>
      </c>
      <c r="AC919" t="str">
        <f t="shared" si="102"/>
        <v/>
      </c>
      <c r="AD919" s="28">
        <f>ROUND((IF(ISBLANK(L919),Employee_Lookups!$O$14,L919)-J919)/365.25,2)</f>
        <v>2.19</v>
      </c>
      <c r="AE919" t="str">
        <f t="shared" si="103"/>
        <v>1 - 3 Yrs</v>
      </c>
      <c r="AF919" t="str">
        <f t="shared" si="104"/>
        <v>Low Risk</v>
      </c>
    </row>
    <row r="920" spans="1:32" x14ac:dyDescent="0.45">
      <c r="A920" t="s">
        <v>1704</v>
      </c>
      <c r="B920" t="s">
        <v>261</v>
      </c>
      <c r="C920" t="s">
        <v>57</v>
      </c>
      <c r="D920" t="s">
        <v>56</v>
      </c>
      <c r="E920" t="s">
        <v>160</v>
      </c>
      <c r="F920" t="s">
        <v>81</v>
      </c>
      <c r="G920" t="s">
        <v>161</v>
      </c>
      <c r="H920" t="s">
        <v>106</v>
      </c>
      <c r="I920" t="s">
        <v>107</v>
      </c>
      <c r="J920" s="26">
        <v>45223</v>
      </c>
      <c r="K920" t="s">
        <v>162</v>
      </c>
      <c r="L920" s="26"/>
      <c r="M920" t="s">
        <v>163</v>
      </c>
      <c r="N920" t="s">
        <v>97</v>
      </c>
      <c r="O920" s="27">
        <v>590000</v>
      </c>
      <c r="P920">
        <v>4</v>
      </c>
      <c r="Q920" t="s">
        <v>164</v>
      </c>
      <c r="R920">
        <v>37</v>
      </c>
      <c r="S920" t="s">
        <v>224</v>
      </c>
      <c r="T920">
        <f t="shared" si="98"/>
        <v>10199</v>
      </c>
      <c r="U920" t="str">
        <f t="shared" si="99"/>
        <v>MKT</v>
      </c>
      <c r="V920" t="str">
        <f t="shared" si="100"/>
        <v>L1</v>
      </c>
      <c r="W920" t="str">
        <f>PROPER(TRIM(VLOOKUP(S920,Employee_Lookups!$I$4:$M$19,2,FALSE())))</f>
        <v>Tanvi Chitnis</v>
      </c>
      <c r="X920" t="str">
        <f>VLOOKUP(C920,Employee_Lookups!$A$4:$G$9,4,FALSE())</f>
        <v>CC-606</v>
      </c>
      <c r="Y920" t="str">
        <f>INDEX(Employee_Lookups!$C$13:$C$17,MATCH(F920,Employee_Lookups!$A$13:$A$17,0))</f>
        <v>Band A (Entry)</v>
      </c>
      <c r="Z920" s="27">
        <f>_xlfn.XLOOKUP(F920,Employee_Lookups!$A$13:$A$17,Employee_Lookups!$E$13:$E$17,0)</f>
        <v>700000</v>
      </c>
      <c r="AA920" s="28">
        <f>ROUND(O920/INDEX(Employee_Lookups!$E$13:$E$17,MATCH(F920,Employee_Lookups!$A$13:$A$17,0)),3)</f>
        <v>0.84299999999999997</v>
      </c>
      <c r="AB920">
        <f t="shared" si="101"/>
        <v>2023</v>
      </c>
      <c r="AC920" t="str">
        <f t="shared" si="102"/>
        <v/>
      </c>
      <c r="AD920" s="28">
        <f>ROUND((IF(ISBLANK(L920),Employee_Lookups!$O$14,L920)-J920)/365.25,2)</f>
        <v>2.19</v>
      </c>
      <c r="AE920" t="str">
        <f t="shared" si="103"/>
        <v>1 - 3 Yrs</v>
      </c>
      <c r="AF920" t="str">
        <f t="shared" si="104"/>
        <v>Low Risk</v>
      </c>
    </row>
    <row r="921" spans="1:32" x14ac:dyDescent="0.45">
      <c r="A921" t="s">
        <v>1705</v>
      </c>
      <c r="B921" t="s">
        <v>666</v>
      </c>
      <c r="C921" t="s">
        <v>57</v>
      </c>
      <c r="D921" t="s">
        <v>56</v>
      </c>
      <c r="E921" t="s">
        <v>222</v>
      </c>
      <c r="F921" t="s">
        <v>82</v>
      </c>
      <c r="G921" t="s">
        <v>223</v>
      </c>
      <c r="H921" t="s">
        <v>108</v>
      </c>
      <c r="I921" t="s">
        <v>107</v>
      </c>
      <c r="J921" s="26">
        <v>45224</v>
      </c>
      <c r="K921" t="s">
        <v>162</v>
      </c>
      <c r="L921" s="26"/>
      <c r="M921" t="s">
        <v>163</v>
      </c>
      <c r="N921" t="s">
        <v>97</v>
      </c>
      <c r="O921" s="27">
        <v>1295000</v>
      </c>
      <c r="P921">
        <v>4</v>
      </c>
      <c r="Q921" t="s">
        <v>164</v>
      </c>
      <c r="R921">
        <v>51</v>
      </c>
      <c r="S921" t="s">
        <v>165</v>
      </c>
      <c r="T921">
        <f t="shared" si="98"/>
        <v>10275</v>
      </c>
      <c r="U921" t="str">
        <f t="shared" si="99"/>
        <v>MKT</v>
      </c>
      <c r="V921" t="str">
        <f t="shared" si="100"/>
        <v>L2</v>
      </c>
      <c r="W921" t="str">
        <f>PROPER(TRIM(VLOOKUP(S921,Employee_Lookups!$I$4:$M$19,2,FALSE())))</f>
        <v>Arjun Sengupta</v>
      </c>
      <c r="X921" t="str">
        <f>VLOOKUP(C921,Employee_Lookups!$A$4:$G$9,4,FALSE())</f>
        <v>CC-606</v>
      </c>
      <c r="Y921" t="str">
        <f>INDEX(Employee_Lookups!$C$13:$C$17,MATCH(F921,Employee_Lookups!$A$13:$A$17,0))</f>
        <v>Band B (Mid)</v>
      </c>
      <c r="Z921" s="27">
        <f>_xlfn.XLOOKUP(F921,Employee_Lookups!$A$13:$A$17,Employee_Lookups!$E$13:$E$17,0)</f>
        <v>1100000</v>
      </c>
      <c r="AA921" s="28">
        <f>ROUND(O921/INDEX(Employee_Lookups!$E$13:$E$17,MATCH(F921,Employee_Lookups!$A$13:$A$17,0)),3)</f>
        <v>1.177</v>
      </c>
      <c r="AB921">
        <f t="shared" si="101"/>
        <v>2023</v>
      </c>
      <c r="AC921" t="str">
        <f t="shared" si="102"/>
        <v/>
      </c>
      <c r="AD921" s="28">
        <f>ROUND((IF(ISBLANK(L921),Employee_Lookups!$O$14,L921)-J921)/365.25,2)</f>
        <v>2.1800000000000002</v>
      </c>
      <c r="AE921" t="str">
        <f t="shared" si="103"/>
        <v>1 - 3 Yrs</v>
      </c>
      <c r="AF921" t="str">
        <f t="shared" si="104"/>
        <v>Low Risk</v>
      </c>
    </row>
    <row r="922" spans="1:32" x14ac:dyDescent="0.45">
      <c r="A922" t="s">
        <v>1706</v>
      </c>
      <c r="B922" t="s">
        <v>587</v>
      </c>
      <c r="C922" t="s">
        <v>55</v>
      </c>
      <c r="D922" t="s">
        <v>54</v>
      </c>
      <c r="E922" t="s">
        <v>229</v>
      </c>
      <c r="F922" t="s">
        <v>82</v>
      </c>
      <c r="G922" t="s">
        <v>230</v>
      </c>
      <c r="H922" t="s">
        <v>108</v>
      </c>
      <c r="I922" t="s">
        <v>107</v>
      </c>
      <c r="J922" s="26">
        <v>45226</v>
      </c>
      <c r="K922" t="s">
        <v>162</v>
      </c>
      <c r="L922" s="26"/>
      <c r="M922" t="s">
        <v>163</v>
      </c>
      <c r="N922" t="s">
        <v>98</v>
      </c>
      <c r="O922" s="27">
        <v>1095000</v>
      </c>
      <c r="P922">
        <v>4</v>
      </c>
      <c r="Q922" t="s">
        <v>164</v>
      </c>
      <c r="R922">
        <v>55</v>
      </c>
      <c r="S922" t="s">
        <v>274</v>
      </c>
      <c r="T922">
        <f t="shared" si="98"/>
        <v>10513</v>
      </c>
      <c r="U922" t="str">
        <f t="shared" si="99"/>
        <v>OPS</v>
      </c>
      <c r="V922" t="str">
        <f t="shared" si="100"/>
        <v>L2</v>
      </c>
      <c r="W922" t="str">
        <f>PROPER(TRIM(VLOOKUP(S922,Employee_Lookups!$I$4:$M$19,2,FALSE())))</f>
        <v>Meera Krishnan</v>
      </c>
      <c r="X922" t="str">
        <f>VLOOKUP(C922,Employee_Lookups!$A$4:$G$9,4,FALSE())</f>
        <v>CC-303</v>
      </c>
      <c r="Y922" t="str">
        <f>INDEX(Employee_Lookups!$C$13:$C$17,MATCH(F922,Employee_Lookups!$A$13:$A$17,0))</f>
        <v>Band B (Mid)</v>
      </c>
      <c r="Z922" s="27">
        <f>_xlfn.XLOOKUP(F922,Employee_Lookups!$A$13:$A$17,Employee_Lookups!$E$13:$E$17,0)</f>
        <v>1100000</v>
      </c>
      <c r="AA922" s="28">
        <f>ROUND(O922/INDEX(Employee_Lookups!$E$13:$E$17,MATCH(F922,Employee_Lookups!$A$13:$A$17,0)),3)</f>
        <v>0.995</v>
      </c>
      <c r="AB922">
        <f t="shared" si="101"/>
        <v>2023</v>
      </c>
      <c r="AC922" t="str">
        <f t="shared" si="102"/>
        <v/>
      </c>
      <c r="AD922" s="28">
        <f>ROUND((IF(ISBLANK(L922),Employee_Lookups!$O$14,L922)-J922)/365.25,2)</f>
        <v>2.1800000000000002</v>
      </c>
      <c r="AE922" t="str">
        <f t="shared" si="103"/>
        <v>1 - 3 Yrs</v>
      </c>
      <c r="AF922" t="str">
        <f t="shared" si="104"/>
        <v>Low Risk</v>
      </c>
    </row>
    <row r="923" spans="1:32" x14ac:dyDescent="0.45">
      <c r="A923" t="s">
        <v>1707</v>
      </c>
      <c r="B923" t="s">
        <v>1708</v>
      </c>
      <c r="C923" t="s">
        <v>53</v>
      </c>
      <c r="D923" t="s">
        <v>52</v>
      </c>
      <c r="E923" t="s">
        <v>322</v>
      </c>
      <c r="F923" t="s">
        <v>81</v>
      </c>
      <c r="G923" t="s">
        <v>323</v>
      </c>
      <c r="H923" t="s">
        <v>108</v>
      </c>
      <c r="I923" t="s">
        <v>107</v>
      </c>
      <c r="J923" s="26">
        <v>45232</v>
      </c>
      <c r="K923" t="s">
        <v>170</v>
      </c>
      <c r="L923" s="26">
        <v>45481</v>
      </c>
      <c r="M923" t="s">
        <v>171</v>
      </c>
      <c r="N923" t="s">
        <v>99</v>
      </c>
      <c r="O923" s="27">
        <v>631000</v>
      </c>
      <c r="P923">
        <v>2</v>
      </c>
      <c r="Q923" t="s">
        <v>172</v>
      </c>
      <c r="R923">
        <v>32</v>
      </c>
      <c r="S923" t="s">
        <v>189</v>
      </c>
      <c r="T923">
        <f t="shared" si="98"/>
        <v>11194</v>
      </c>
      <c r="U923" t="str">
        <f t="shared" si="99"/>
        <v>SAL</v>
      </c>
      <c r="V923" t="str">
        <f t="shared" si="100"/>
        <v>L1</v>
      </c>
      <c r="W923" t="str">
        <f>PROPER(TRIM(VLOOKUP(S923,Employee_Lookups!$I$4:$M$19,2,FALSE())))</f>
        <v>Priya Sharma</v>
      </c>
      <c r="X923" t="str">
        <f>VLOOKUP(C923,Employee_Lookups!$A$4:$G$9,4,FALSE())</f>
        <v>CC-202</v>
      </c>
      <c r="Y923" t="str">
        <f>INDEX(Employee_Lookups!$C$13:$C$17,MATCH(F923,Employee_Lookups!$A$13:$A$17,0))</f>
        <v>Band A (Entry)</v>
      </c>
      <c r="Z923" s="27">
        <f>_xlfn.XLOOKUP(F923,Employee_Lookups!$A$13:$A$17,Employee_Lookups!$E$13:$E$17,0)</f>
        <v>700000</v>
      </c>
      <c r="AA923" s="28">
        <f>ROUND(O923/INDEX(Employee_Lookups!$E$13:$E$17,MATCH(F923,Employee_Lookups!$A$13:$A$17,0)),3)</f>
        <v>0.90100000000000002</v>
      </c>
      <c r="AB923">
        <f t="shared" si="101"/>
        <v>2023</v>
      </c>
      <c r="AC923">
        <f t="shared" si="102"/>
        <v>2024</v>
      </c>
      <c r="AD923" s="28">
        <f>ROUND((IF(ISBLANK(L923),Employee_Lookups!$O$14,L923)-J923)/365.25,2)</f>
        <v>0.68</v>
      </c>
      <c r="AE923" t="str">
        <f t="shared" si="103"/>
        <v>&lt; 1 Yr (New)</v>
      </c>
      <c r="AF923" t="str">
        <f t="shared" si="104"/>
        <v>Exited</v>
      </c>
    </row>
    <row r="924" spans="1:32" x14ac:dyDescent="0.45">
      <c r="A924" t="s">
        <v>1709</v>
      </c>
      <c r="B924" t="s">
        <v>1416</v>
      </c>
      <c r="C924" t="s">
        <v>51</v>
      </c>
      <c r="D924" t="s">
        <v>50</v>
      </c>
      <c r="E924" t="s">
        <v>397</v>
      </c>
      <c r="F924" t="s">
        <v>84</v>
      </c>
      <c r="G924" t="s">
        <v>398</v>
      </c>
      <c r="H924" t="s">
        <v>112</v>
      </c>
      <c r="I924" t="s">
        <v>113</v>
      </c>
      <c r="J924" s="26">
        <v>45243</v>
      </c>
      <c r="K924" t="s">
        <v>162</v>
      </c>
      <c r="L924" s="26"/>
      <c r="M924" t="s">
        <v>163</v>
      </c>
      <c r="N924" t="s">
        <v>95</v>
      </c>
      <c r="O924" s="27">
        <v>3274000</v>
      </c>
      <c r="P924">
        <v>3</v>
      </c>
      <c r="Q924" t="s">
        <v>164</v>
      </c>
      <c r="R924">
        <v>23</v>
      </c>
      <c r="S924" t="s">
        <v>244</v>
      </c>
      <c r="T924">
        <f t="shared" si="98"/>
        <v>10053</v>
      </c>
      <c r="U924" t="str">
        <f t="shared" si="99"/>
        <v>ENG</v>
      </c>
      <c r="V924" t="str">
        <f t="shared" si="100"/>
        <v>L4</v>
      </c>
      <c r="W924" t="str">
        <f>PROPER(TRIM(VLOOKUP(S924,Employee_Lookups!$I$4:$M$19,2,FALSE())))</f>
        <v>Siddharth Nair</v>
      </c>
      <c r="X924" t="str">
        <f>VLOOKUP(C924,Employee_Lookups!$A$4:$G$9,4,FALSE())</f>
        <v>CC-101</v>
      </c>
      <c r="Y924" t="str">
        <f>INDEX(Employee_Lookups!$C$13:$C$17,MATCH(F924,Employee_Lookups!$A$13:$A$17,0))</f>
        <v>Band D (Leadership)</v>
      </c>
      <c r="Z924" s="27">
        <f>_xlfn.XLOOKUP(F924,Employee_Lookups!$A$13:$A$17,Employee_Lookups!$E$13:$E$17,0)</f>
        <v>2750000</v>
      </c>
      <c r="AA924" s="28">
        <f>ROUND(O924/INDEX(Employee_Lookups!$E$13:$E$17,MATCH(F924,Employee_Lookups!$A$13:$A$17,0)),3)</f>
        <v>1.1910000000000001</v>
      </c>
      <c r="AB924">
        <f t="shared" si="101"/>
        <v>2023</v>
      </c>
      <c r="AC924" t="str">
        <f t="shared" si="102"/>
        <v/>
      </c>
      <c r="AD924" s="28">
        <f>ROUND((IF(ISBLANK(L924),Employee_Lookups!$O$14,L924)-J924)/365.25,2)</f>
        <v>2.13</v>
      </c>
      <c r="AE924" t="str">
        <f t="shared" si="103"/>
        <v>1 - 3 Yrs</v>
      </c>
      <c r="AF924" t="str">
        <f t="shared" si="104"/>
        <v>Low Risk</v>
      </c>
    </row>
    <row r="925" spans="1:32" x14ac:dyDescent="0.45">
      <c r="A925" t="s">
        <v>1710</v>
      </c>
      <c r="B925" t="s">
        <v>1711</v>
      </c>
      <c r="C925" t="s">
        <v>51</v>
      </c>
      <c r="D925" t="s">
        <v>50</v>
      </c>
      <c r="E925" t="s">
        <v>181</v>
      </c>
      <c r="F925" t="s">
        <v>81</v>
      </c>
      <c r="G925" t="s">
        <v>182</v>
      </c>
      <c r="H925" t="s">
        <v>108</v>
      </c>
      <c r="I925" t="s">
        <v>107</v>
      </c>
      <c r="J925" s="26">
        <v>45245</v>
      </c>
      <c r="K925" t="s">
        <v>162</v>
      </c>
      <c r="L925" s="26"/>
      <c r="M925" t="s">
        <v>163</v>
      </c>
      <c r="N925" t="s">
        <v>96</v>
      </c>
      <c r="O925" s="27">
        <v>592000</v>
      </c>
      <c r="P925">
        <v>4</v>
      </c>
      <c r="Q925" t="s">
        <v>164</v>
      </c>
      <c r="R925">
        <v>57</v>
      </c>
      <c r="S925" t="s">
        <v>178</v>
      </c>
      <c r="T925">
        <f t="shared" si="98"/>
        <v>10771</v>
      </c>
      <c r="U925" t="str">
        <f t="shared" si="99"/>
        <v>ENG</v>
      </c>
      <c r="V925" t="str">
        <f t="shared" si="100"/>
        <v>L1</v>
      </c>
      <c r="W925" t="str">
        <f>PROPER(TRIM(VLOOKUP(S925,Employee_Lookups!$I$4:$M$19,2,FALSE())))</f>
        <v>Aarav Deshmukh</v>
      </c>
      <c r="X925" t="str">
        <f>VLOOKUP(C925,Employee_Lookups!$A$4:$G$9,4,FALSE())</f>
        <v>CC-101</v>
      </c>
      <c r="Y925" t="str">
        <f>INDEX(Employee_Lookups!$C$13:$C$17,MATCH(F925,Employee_Lookups!$A$13:$A$17,0))</f>
        <v>Band A (Entry)</v>
      </c>
      <c r="Z925" s="27">
        <f>_xlfn.XLOOKUP(F925,Employee_Lookups!$A$13:$A$17,Employee_Lookups!$E$13:$E$17,0)</f>
        <v>700000</v>
      </c>
      <c r="AA925" s="28">
        <f>ROUND(O925/INDEX(Employee_Lookups!$E$13:$E$17,MATCH(F925,Employee_Lookups!$A$13:$A$17,0)),3)</f>
        <v>0.84599999999999997</v>
      </c>
      <c r="AB925">
        <f t="shared" si="101"/>
        <v>2023</v>
      </c>
      <c r="AC925" t="str">
        <f t="shared" si="102"/>
        <v/>
      </c>
      <c r="AD925" s="28">
        <f>ROUND((IF(ISBLANK(L925),Employee_Lookups!$O$14,L925)-J925)/365.25,2)</f>
        <v>2.13</v>
      </c>
      <c r="AE925" t="str">
        <f t="shared" si="103"/>
        <v>1 - 3 Yrs</v>
      </c>
      <c r="AF925" t="str">
        <f t="shared" si="104"/>
        <v>Low Risk</v>
      </c>
    </row>
    <row r="926" spans="1:32" x14ac:dyDescent="0.45">
      <c r="A926" t="s">
        <v>1712</v>
      </c>
      <c r="B926" t="s">
        <v>650</v>
      </c>
      <c r="C926" t="s">
        <v>53</v>
      </c>
      <c r="D926" t="s">
        <v>52</v>
      </c>
      <c r="E926" t="s">
        <v>322</v>
      </c>
      <c r="F926" t="s">
        <v>81</v>
      </c>
      <c r="G926" t="s">
        <v>323</v>
      </c>
      <c r="H926" t="s">
        <v>111</v>
      </c>
      <c r="I926" t="s">
        <v>110</v>
      </c>
      <c r="J926" s="26">
        <v>45245</v>
      </c>
      <c r="K926" t="s">
        <v>162</v>
      </c>
      <c r="L926" s="26"/>
      <c r="M926" t="s">
        <v>163</v>
      </c>
      <c r="N926" t="s">
        <v>96</v>
      </c>
      <c r="O926" s="27">
        <v>681000</v>
      </c>
      <c r="P926">
        <v>3</v>
      </c>
      <c r="Q926" t="s">
        <v>164</v>
      </c>
      <c r="R926">
        <v>27</v>
      </c>
      <c r="S926" t="s">
        <v>189</v>
      </c>
      <c r="T926">
        <f t="shared" si="98"/>
        <v>11434</v>
      </c>
      <c r="U926" t="str">
        <f t="shared" si="99"/>
        <v>SAL</v>
      </c>
      <c r="V926" t="str">
        <f t="shared" si="100"/>
        <v>L1</v>
      </c>
      <c r="W926" t="str">
        <f>PROPER(TRIM(VLOOKUP(S926,Employee_Lookups!$I$4:$M$19,2,FALSE())))</f>
        <v>Priya Sharma</v>
      </c>
      <c r="X926" t="str">
        <f>VLOOKUP(C926,Employee_Lookups!$A$4:$G$9,4,FALSE())</f>
        <v>CC-202</v>
      </c>
      <c r="Y926" t="str">
        <f>INDEX(Employee_Lookups!$C$13:$C$17,MATCH(F926,Employee_Lookups!$A$13:$A$17,0))</f>
        <v>Band A (Entry)</v>
      </c>
      <c r="Z926" s="27">
        <f>_xlfn.XLOOKUP(F926,Employee_Lookups!$A$13:$A$17,Employee_Lookups!$E$13:$E$17,0)</f>
        <v>700000</v>
      </c>
      <c r="AA926" s="28">
        <f>ROUND(O926/INDEX(Employee_Lookups!$E$13:$E$17,MATCH(F926,Employee_Lookups!$A$13:$A$17,0)),3)</f>
        <v>0.97299999999999998</v>
      </c>
      <c r="AB926">
        <f t="shared" si="101"/>
        <v>2023</v>
      </c>
      <c r="AC926" t="str">
        <f t="shared" si="102"/>
        <v/>
      </c>
      <c r="AD926" s="28">
        <f>ROUND((IF(ISBLANK(L926),Employee_Lookups!$O$14,L926)-J926)/365.25,2)</f>
        <v>2.13</v>
      </c>
      <c r="AE926" t="str">
        <f t="shared" si="103"/>
        <v>1 - 3 Yrs</v>
      </c>
      <c r="AF926" t="str">
        <f t="shared" si="104"/>
        <v>Low Risk</v>
      </c>
    </row>
    <row r="927" spans="1:32" x14ac:dyDescent="0.45">
      <c r="A927" t="s">
        <v>1713</v>
      </c>
      <c r="B927" t="s">
        <v>1622</v>
      </c>
      <c r="C927" t="s">
        <v>51</v>
      </c>
      <c r="D927" t="s">
        <v>50</v>
      </c>
      <c r="E927" t="s">
        <v>181</v>
      </c>
      <c r="F927" t="s">
        <v>81</v>
      </c>
      <c r="G927" t="s">
        <v>182</v>
      </c>
      <c r="H927" t="s">
        <v>112</v>
      </c>
      <c r="I927" t="s">
        <v>113</v>
      </c>
      <c r="J927" s="26">
        <v>45246</v>
      </c>
      <c r="K927" t="s">
        <v>162</v>
      </c>
      <c r="L927" s="26"/>
      <c r="M927" t="s">
        <v>163</v>
      </c>
      <c r="N927" t="s">
        <v>99</v>
      </c>
      <c r="O927" s="27">
        <v>727000</v>
      </c>
      <c r="P927">
        <v>4</v>
      </c>
      <c r="Q927" t="s">
        <v>164</v>
      </c>
      <c r="R927">
        <v>28</v>
      </c>
      <c r="S927" t="s">
        <v>244</v>
      </c>
      <c r="T927">
        <f t="shared" si="98"/>
        <v>10550</v>
      </c>
      <c r="U927" t="str">
        <f t="shared" si="99"/>
        <v>ENG</v>
      </c>
      <c r="V927" t="str">
        <f t="shared" si="100"/>
        <v>L1</v>
      </c>
      <c r="W927" t="str">
        <f>PROPER(TRIM(VLOOKUP(S927,Employee_Lookups!$I$4:$M$19,2,FALSE())))</f>
        <v>Siddharth Nair</v>
      </c>
      <c r="X927" t="str">
        <f>VLOOKUP(C927,Employee_Lookups!$A$4:$G$9,4,FALSE())</f>
        <v>CC-101</v>
      </c>
      <c r="Y927" t="str">
        <f>INDEX(Employee_Lookups!$C$13:$C$17,MATCH(F927,Employee_Lookups!$A$13:$A$17,0))</f>
        <v>Band A (Entry)</v>
      </c>
      <c r="Z927" s="27">
        <f>_xlfn.XLOOKUP(F927,Employee_Lookups!$A$13:$A$17,Employee_Lookups!$E$13:$E$17,0)</f>
        <v>700000</v>
      </c>
      <c r="AA927" s="28">
        <f>ROUND(O927/INDEX(Employee_Lookups!$E$13:$E$17,MATCH(F927,Employee_Lookups!$A$13:$A$17,0)),3)</f>
        <v>1.0389999999999999</v>
      </c>
      <c r="AB927">
        <f t="shared" si="101"/>
        <v>2023</v>
      </c>
      <c r="AC927" t="str">
        <f t="shared" si="102"/>
        <v/>
      </c>
      <c r="AD927" s="28">
        <f>ROUND((IF(ISBLANK(L927),Employee_Lookups!$O$14,L927)-J927)/365.25,2)</f>
        <v>2.12</v>
      </c>
      <c r="AE927" t="str">
        <f t="shared" si="103"/>
        <v>1 - 3 Yrs</v>
      </c>
      <c r="AF927" t="str">
        <f t="shared" si="104"/>
        <v>Low Risk</v>
      </c>
    </row>
    <row r="928" spans="1:32" x14ac:dyDescent="0.45">
      <c r="A928" t="s">
        <v>1714</v>
      </c>
      <c r="B928" t="s">
        <v>1715</v>
      </c>
      <c r="C928" t="s">
        <v>53</v>
      </c>
      <c r="D928" t="s">
        <v>52</v>
      </c>
      <c r="E928" t="s">
        <v>200</v>
      </c>
      <c r="F928" t="s">
        <v>84</v>
      </c>
      <c r="G928" t="s">
        <v>201</v>
      </c>
      <c r="H928" t="s">
        <v>106</v>
      </c>
      <c r="I928" t="s">
        <v>107</v>
      </c>
      <c r="J928" s="26">
        <v>45246</v>
      </c>
      <c r="K928" t="s">
        <v>162</v>
      </c>
      <c r="L928" s="26"/>
      <c r="M928" t="s">
        <v>163</v>
      </c>
      <c r="N928" t="s">
        <v>95</v>
      </c>
      <c r="O928" s="27">
        <v>3377000</v>
      </c>
      <c r="P928">
        <v>3</v>
      </c>
      <c r="Q928" t="s">
        <v>164</v>
      </c>
      <c r="R928">
        <v>44</v>
      </c>
      <c r="S928" t="s">
        <v>194</v>
      </c>
      <c r="T928">
        <f t="shared" si="98"/>
        <v>11030</v>
      </c>
      <c r="U928" t="str">
        <f t="shared" si="99"/>
        <v>SAL</v>
      </c>
      <c r="V928" t="str">
        <f t="shared" si="100"/>
        <v>L4</v>
      </c>
      <c r="W928" t="str">
        <f>PROPER(TRIM(VLOOKUP(S928,Employee_Lookups!$I$4:$M$19,2,FALSE())))</f>
        <v>Vikramaditya Joshi</v>
      </c>
      <c r="X928" t="str">
        <f>VLOOKUP(C928,Employee_Lookups!$A$4:$G$9,4,FALSE())</f>
        <v>CC-202</v>
      </c>
      <c r="Y928" t="str">
        <f>INDEX(Employee_Lookups!$C$13:$C$17,MATCH(F928,Employee_Lookups!$A$13:$A$17,0))</f>
        <v>Band D (Leadership)</v>
      </c>
      <c r="Z928" s="27">
        <f>_xlfn.XLOOKUP(F928,Employee_Lookups!$A$13:$A$17,Employee_Lookups!$E$13:$E$17,0)</f>
        <v>2750000</v>
      </c>
      <c r="AA928" s="28">
        <f>ROUND(O928/INDEX(Employee_Lookups!$E$13:$E$17,MATCH(F928,Employee_Lookups!$A$13:$A$17,0)),3)</f>
        <v>1.228</v>
      </c>
      <c r="AB928">
        <f t="shared" si="101"/>
        <v>2023</v>
      </c>
      <c r="AC928" t="str">
        <f t="shared" si="102"/>
        <v/>
      </c>
      <c r="AD928" s="28">
        <f>ROUND((IF(ISBLANK(L928),Employee_Lookups!$O$14,L928)-J928)/365.25,2)</f>
        <v>2.12</v>
      </c>
      <c r="AE928" t="str">
        <f t="shared" si="103"/>
        <v>1 - 3 Yrs</v>
      </c>
      <c r="AF928" t="str">
        <f t="shared" si="104"/>
        <v>Low Risk</v>
      </c>
    </row>
    <row r="929" spans="1:32" x14ac:dyDescent="0.45">
      <c r="A929" t="s">
        <v>1716</v>
      </c>
      <c r="B929" t="s">
        <v>205</v>
      </c>
      <c r="C929" t="s">
        <v>51</v>
      </c>
      <c r="D929" t="s">
        <v>50</v>
      </c>
      <c r="E929" t="s">
        <v>217</v>
      </c>
      <c r="F929" t="s">
        <v>83</v>
      </c>
      <c r="G929" t="s">
        <v>218</v>
      </c>
      <c r="H929" t="s">
        <v>108</v>
      </c>
      <c r="I929" t="s">
        <v>107</v>
      </c>
      <c r="J929" s="26">
        <v>45247</v>
      </c>
      <c r="K929" t="s">
        <v>162</v>
      </c>
      <c r="L929" s="26"/>
      <c r="M929" t="s">
        <v>163</v>
      </c>
      <c r="N929" t="s">
        <v>96</v>
      </c>
      <c r="O929" s="27">
        <v>1366000</v>
      </c>
      <c r="P929">
        <v>4</v>
      </c>
      <c r="Q929" t="s">
        <v>164</v>
      </c>
      <c r="R929">
        <v>27</v>
      </c>
      <c r="S929" t="s">
        <v>197</v>
      </c>
      <c r="T929">
        <f t="shared" si="98"/>
        <v>11343</v>
      </c>
      <c r="U929" t="str">
        <f t="shared" si="99"/>
        <v>ENG</v>
      </c>
      <c r="V929" t="str">
        <f t="shared" si="100"/>
        <v>L3</v>
      </c>
      <c r="W929" t="str">
        <f>PROPER(TRIM(VLOOKUP(S929,Employee_Lookups!$I$4:$M$19,2,FALSE())))</f>
        <v>Rohan Verma</v>
      </c>
      <c r="X929" t="str">
        <f>VLOOKUP(C929,Employee_Lookups!$A$4:$G$9,4,FALSE())</f>
        <v>CC-101</v>
      </c>
      <c r="Y929" t="str">
        <f>INDEX(Employee_Lookups!$C$13:$C$17,MATCH(F929,Employee_Lookups!$A$13:$A$17,0))</f>
        <v>Band C (Senior)</v>
      </c>
      <c r="Z929" s="27">
        <f>_xlfn.XLOOKUP(F929,Employee_Lookups!$A$13:$A$17,Employee_Lookups!$E$13:$E$17,0)</f>
        <v>1725000</v>
      </c>
      <c r="AA929" s="28">
        <f>ROUND(O929/INDEX(Employee_Lookups!$E$13:$E$17,MATCH(F929,Employee_Lookups!$A$13:$A$17,0)),3)</f>
        <v>0.79200000000000004</v>
      </c>
      <c r="AB929">
        <f t="shared" si="101"/>
        <v>2023</v>
      </c>
      <c r="AC929" t="str">
        <f t="shared" si="102"/>
        <v/>
      </c>
      <c r="AD929" s="28">
        <f>ROUND((IF(ISBLANK(L929),Employee_Lookups!$O$14,L929)-J929)/365.25,2)</f>
        <v>2.12</v>
      </c>
      <c r="AE929" t="str">
        <f t="shared" si="103"/>
        <v>1 - 3 Yrs</v>
      </c>
      <c r="AF929" t="str">
        <f t="shared" si="104"/>
        <v>Low Risk</v>
      </c>
    </row>
    <row r="930" spans="1:32" x14ac:dyDescent="0.45">
      <c r="A930" t="s">
        <v>1717</v>
      </c>
      <c r="B930" t="s">
        <v>1289</v>
      </c>
      <c r="C930" t="s">
        <v>53</v>
      </c>
      <c r="D930" t="s">
        <v>52</v>
      </c>
      <c r="E930" t="s">
        <v>322</v>
      </c>
      <c r="F930" t="s">
        <v>81</v>
      </c>
      <c r="G930" t="s">
        <v>323</v>
      </c>
      <c r="H930" t="s">
        <v>111</v>
      </c>
      <c r="I930" t="s">
        <v>110</v>
      </c>
      <c r="J930" s="26">
        <v>45249</v>
      </c>
      <c r="K930" t="s">
        <v>162</v>
      </c>
      <c r="L930" s="26"/>
      <c r="M930" t="s">
        <v>163</v>
      </c>
      <c r="N930" t="s">
        <v>99</v>
      </c>
      <c r="O930" s="27">
        <v>830000</v>
      </c>
      <c r="P930">
        <v>4</v>
      </c>
      <c r="Q930" t="s">
        <v>164</v>
      </c>
      <c r="R930">
        <v>25</v>
      </c>
      <c r="S930" t="s">
        <v>189</v>
      </c>
      <c r="T930">
        <f t="shared" si="98"/>
        <v>10097</v>
      </c>
      <c r="U930" t="str">
        <f t="shared" si="99"/>
        <v>SAL</v>
      </c>
      <c r="V930" t="str">
        <f t="shared" si="100"/>
        <v>L1</v>
      </c>
      <c r="W930" t="str">
        <f>PROPER(TRIM(VLOOKUP(S930,Employee_Lookups!$I$4:$M$19,2,FALSE())))</f>
        <v>Priya Sharma</v>
      </c>
      <c r="X930" t="str">
        <f>VLOOKUP(C930,Employee_Lookups!$A$4:$G$9,4,FALSE())</f>
        <v>CC-202</v>
      </c>
      <c r="Y930" t="str">
        <f>INDEX(Employee_Lookups!$C$13:$C$17,MATCH(F930,Employee_Lookups!$A$13:$A$17,0))</f>
        <v>Band A (Entry)</v>
      </c>
      <c r="Z930" s="27">
        <f>_xlfn.XLOOKUP(F930,Employee_Lookups!$A$13:$A$17,Employee_Lookups!$E$13:$E$17,0)</f>
        <v>700000</v>
      </c>
      <c r="AA930" s="28">
        <f>ROUND(O930/INDEX(Employee_Lookups!$E$13:$E$17,MATCH(F930,Employee_Lookups!$A$13:$A$17,0)),3)</f>
        <v>1.1859999999999999</v>
      </c>
      <c r="AB930">
        <f t="shared" si="101"/>
        <v>2023</v>
      </c>
      <c r="AC930" t="str">
        <f t="shared" si="102"/>
        <v/>
      </c>
      <c r="AD930" s="28">
        <f>ROUND((IF(ISBLANK(L930),Employee_Lookups!$O$14,L930)-J930)/365.25,2)</f>
        <v>2.12</v>
      </c>
      <c r="AE930" t="str">
        <f t="shared" si="103"/>
        <v>1 - 3 Yrs</v>
      </c>
      <c r="AF930" t="str">
        <f t="shared" si="104"/>
        <v>Low Risk</v>
      </c>
    </row>
    <row r="931" spans="1:32" x14ac:dyDescent="0.45">
      <c r="A931" t="s">
        <v>1718</v>
      </c>
      <c r="B931" t="s">
        <v>1037</v>
      </c>
      <c r="C931" t="s">
        <v>55</v>
      </c>
      <c r="D931" t="s">
        <v>54</v>
      </c>
      <c r="E931" t="s">
        <v>277</v>
      </c>
      <c r="F931" t="s">
        <v>81</v>
      </c>
      <c r="G931" t="s">
        <v>278</v>
      </c>
      <c r="H931" t="s">
        <v>106</v>
      </c>
      <c r="I931" t="s">
        <v>107</v>
      </c>
      <c r="J931" s="26">
        <v>45251</v>
      </c>
      <c r="K931" t="s">
        <v>162</v>
      </c>
      <c r="L931" s="26"/>
      <c r="M931" t="s">
        <v>163</v>
      </c>
      <c r="N931" t="s">
        <v>95</v>
      </c>
      <c r="O931" s="27">
        <v>704000</v>
      </c>
      <c r="P931">
        <v>5</v>
      </c>
      <c r="Q931" t="s">
        <v>172</v>
      </c>
      <c r="R931">
        <v>55</v>
      </c>
      <c r="S931" t="s">
        <v>262</v>
      </c>
      <c r="T931">
        <f t="shared" si="98"/>
        <v>10208</v>
      </c>
      <c r="U931" t="str">
        <f t="shared" si="99"/>
        <v>OPS</v>
      </c>
      <c r="V931" t="str">
        <f t="shared" si="100"/>
        <v>L1</v>
      </c>
      <c r="W931" t="str">
        <f>PROPER(TRIM(VLOOKUP(S931,Employee_Lookups!$I$4:$M$19,2,FALSE())))</f>
        <v>Ananya Iyer</v>
      </c>
      <c r="X931" t="str">
        <f>VLOOKUP(C931,Employee_Lookups!$A$4:$G$9,4,FALSE())</f>
        <v>CC-303</v>
      </c>
      <c r="Y931" t="str">
        <f>INDEX(Employee_Lookups!$C$13:$C$17,MATCH(F931,Employee_Lookups!$A$13:$A$17,0))</f>
        <v>Band A (Entry)</v>
      </c>
      <c r="Z931" s="27">
        <f>_xlfn.XLOOKUP(F931,Employee_Lookups!$A$13:$A$17,Employee_Lookups!$E$13:$E$17,0)</f>
        <v>700000</v>
      </c>
      <c r="AA931" s="28">
        <f>ROUND(O931/INDEX(Employee_Lookups!$E$13:$E$17,MATCH(F931,Employee_Lookups!$A$13:$A$17,0)),3)</f>
        <v>1.006</v>
      </c>
      <c r="AB931">
        <f t="shared" si="101"/>
        <v>2023</v>
      </c>
      <c r="AC931" t="str">
        <f t="shared" si="102"/>
        <v/>
      </c>
      <c r="AD931" s="28">
        <f>ROUND((IF(ISBLANK(L931),Employee_Lookups!$O$14,L931)-J931)/365.25,2)</f>
        <v>2.11</v>
      </c>
      <c r="AE931" t="str">
        <f t="shared" si="103"/>
        <v>1 - 3 Yrs</v>
      </c>
      <c r="AF931" t="str">
        <f t="shared" si="104"/>
        <v>High Risk</v>
      </c>
    </row>
    <row r="932" spans="1:32" x14ac:dyDescent="0.45">
      <c r="A932" t="s">
        <v>1719</v>
      </c>
      <c r="B932" t="s">
        <v>444</v>
      </c>
      <c r="C932" t="s">
        <v>61</v>
      </c>
      <c r="D932" t="s">
        <v>60</v>
      </c>
      <c r="E932" t="s">
        <v>356</v>
      </c>
      <c r="F932" t="s">
        <v>81</v>
      </c>
      <c r="G932" t="s">
        <v>357</v>
      </c>
      <c r="H932" t="s">
        <v>111</v>
      </c>
      <c r="I932" t="s">
        <v>110</v>
      </c>
      <c r="J932" s="26">
        <v>45251</v>
      </c>
      <c r="K932" t="s">
        <v>162</v>
      </c>
      <c r="L932" s="26"/>
      <c r="M932" t="s">
        <v>163</v>
      </c>
      <c r="N932" t="s">
        <v>99</v>
      </c>
      <c r="O932" s="27">
        <v>694000</v>
      </c>
      <c r="P932">
        <v>5</v>
      </c>
      <c r="Q932" t="s">
        <v>172</v>
      </c>
      <c r="R932">
        <v>25</v>
      </c>
      <c r="S932" t="s">
        <v>319</v>
      </c>
      <c r="T932">
        <f t="shared" si="98"/>
        <v>11017</v>
      </c>
      <c r="U932" t="str">
        <f t="shared" si="99"/>
        <v>-HR</v>
      </c>
      <c r="V932" t="str">
        <f t="shared" si="100"/>
        <v>L1</v>
      </c>
      <c r="W932" t="str">
        <f>PROPER(TRIM(VLOOKUP(S932,Employee_Lookups!$I$4:$M$19,2,FALSE())))</f>
        <v>Kavita Menon</v>
      </c>
      <c r="X932" t="str">
        <f>VLOOKUP(C932,Employee_Lookups!$A$4:$G$9,4,FALSE())</f>
        <v>CC-505</v>
      </c>
      <c r="Y932" t="str">
        <f>INDEX(Employee_Lookups!$C$13:$C$17,MATCH(F932,Employee_Lookups!$A$13:$A$17,0))</f>
        <v>Band A (Entry)</v>
      </c>
      <c r="Z932" s="27">
        <f>_xlfn.XLOOKUP(F932,Employee_Lookups!$A$13:$A$17,Employee_Lookups!$E$13:$E$17,0)</f>
        <v>700000</v>
      </c>
      <c r="AA932" s="28">
        <f>ROUND(O932/INDEX(Employee_Lookups!$E$13:$E$17,MATCH(F932,Employee_Lookups!$A$13:$A$17,0)),3)</f>
        <v>0.99099999999999999</v>
      </c>
      <c r="AB932">
        <f t="shared" si="101"/>
        <v>2023</v>
      </c>
      <c r="AC932" t="str">
        <f t="shared" si="102"/>
        <v/>
      </c>
      <c r="AD932" s="28">
        <f>ROUND((IF(ISBLANK(L932),Employee_Lookups!$O$14,L932)-J932)/365.25,2)</f>
        <v>2.11</v>
      </c>
      <c r="AE932" t="str">
        <f t="shared" si="103"/>
        <v>1 - 3 Yrs</v>
      </c>
      <c r="AF932" t="str">
        <f t="shared" si="104"/>
        <v>High Risk</v>
      </c>
    </row>
    <row r="933" spans="1:32" x14ac:dyDescent="0.45">
      <c r="A933" t="s">
        <v>1720</v>
      </c>
      <c r="B933" t="s">
        <v>1643</v>
      </c>
      <c r="C933" t="s">
        <v>51</v>
      </c>
      <c r="D933" t="s">
        <v>50</v>
      </c>
      <c r="E933" t="s">
        <v>181</v>
      </c>
      <c r="F933" t="s">
        <v>81</v>
      </c>
      <c r="G933" t="s">
        <v>182</v>
      </c>
      <c r="H933" t="s">
        <v>106</v>
      </c>
      <c r="I933" t="s">
        <v>107</v>
      </c>
      <c r="J933" s="26">
        <v>45253</v>
      </c>
      <c r="K933" t="s">
        <v>187</v>
      </c>
      <c r="L933" s="26">
        <v>45539</v>
      </c>
      <c r="M933" t="s">
        <v>269</v>
      </c>
      <c r="N933" t="s">
        <v>98</v>
      </c>
      <c r="O933" s="27">
        <v>745000</v>
      </c>
      <c r="P933">
        <v>3</v>
      </c>
      <c r="Q933" t="s">
        <v>164</v>
      </c>
      <c r="R933">
        <v>29</v>
      </c>
      <c r="S933" t="s">
        <v>197</v>
      </c>
      <c r="T933">
        <f t="shared" si="98"/>
        <v>10450</v>
      </c>
      <c r="U933" t="str">
        <f t="shared" si="99"/>
        <v>ENG</v>
      </c>
      <c r="V933" t="str">
        <f t="shared" si="100"/>
        <v>L1</v>
      </c>
      <c r="W933" t="str">
        <f>PROPER(TRIM(VLOOKUP(S933,Employee_Lookups!$I$4:$M$19,2,FALSE())))</f>
        <v>Rohan Verma</v>
      </c>
      <c r="X933" t="str">
        <f>VLOOKUP(C933,Employee_Lookups!$A$4:$G$9,4,FALSE())</f>
        <v>CC-101</v>
      </c>
      <c r="Y933" t="str">
        <f>INDEX(Employee_Lookups!$C$13:$C$17,MATCH(F933,Employee_Lookups!$A$13:$A$17,0))</f>
        <v>Band A (Entry)</v>
      </c>
      <c r="Z933" s="27">
        <f>_xlfn.XLOOKUP(F933,Employee_Lookups!$A$13:$A$17,Employee_Lookups!$E$13:$E$17,0)</f>
        <v>700000</v>
      </c>
      <c r="AA933" s="28">
        <f>ROUND(O933/INDEX(Employee_Lookups!$E$13:$E$17,MATCH(F933,Employee_Lookups!$A$13:$A$17,0)),3)</f>
        <v>1.0640000000000001</v>
      </c>
      <c r="AB933">
        <f t="shared" si="101"/>
        <v>2023</v>
      </c>
      <c r="AC933">
        <f t="shared" si="102"/>
        <v>2024</v>
      </c>
      <c r="AD933" s="28">
        <f>ROUND((IF(ISBLANK(L933),Employee_Lookups!$O$14,L933)-J933)/365.25,2)</f>
        <v>0.78</v>
      </c>
      <c r="AE933" t="str">
        <f t="shared" si="103"/>
        <v>&lt; 1 Yr (New)</v>
      </c>
      <c r="AF933" t="str">
        <f t="shared" si="104"/>
        <v>Exited</v>
      </c>
    </row>
    <row r="934" spans="1:32" x14ac:dyDescent="0.45">
      <c r="A934" t="s">
        <v>1721</v>
      </c>
      <c r="B934" t="s">
        <v>1643</v>
      </c>
      <c r="C934" t="s">
        <v>57</v>
      </c>
      <c r="D934" t="s">
        <v>56</v>
      </c>
      <c r="E934" t="s">
        <v>222</v>
      </c>
      <c r="F934" t="s">
        <v>82</v>
      </c>
      <c r="G934" t="s">
        <v>223</v>
      </c>
      <c r="H934" t="s">
        <v>108</v>
      </c>
      <c r="I934" t="s">
        <v>107</v>
      </c>
      <c r="J934" s="26">
        <v>45253</v>
      </c>
      <c r="K934" t="s">
        <v>187</v>
      </c>
      <c r="L934" s="26">
        <v>45761</v>
      </c>
      <c r="M934" t="s">
        <v>213</v>
      </c>
      <c r="N934" t="s">
        <v>97</v>
      </c>
      <c r="O934" s="27">
        <v>983000</v>
      </c>
      <c r="P934">
        <v>5</v>
      </c>
      <c r="Q934" t="s">
        <v>172</v>
      </c>
      <c r="R934">
        <v>29</v>
      </c>
      <c r="S934" t="s">
        <v>224</v>
      </c>
      <c r="T934">
        <f t="shared" si="98"/>
        <v>10034</v>
      </c>
      <c r="U934" t="str">
        <f t="shared" si="99"/>
        <v>MKT</v>
      </c>
      <c r="V934" t="str">
        <f t="shared" si="100"/>
        <v>L2</v>
      </c>
      <c r="W934" t="str">
        <f>PROPER(TRIM(VLOOKUP(S934,Employee_Lookups!$I$4:$M$19,2,FALSE())))</f>
        <v>Tanvi Chitnis</v>
      </c>
      <c r="X934" t="str">
        <f>VLOOKUP(C934,Employee_Lookups!$A$4:$G$9,4,FALSE())</f>
        <v>CC-606</v>
      </c>
      <c r="Y934" t="str">
        <f>INDEX(Employee_Lookups!$C$13:$C$17,MATCH(F934,Employee_Lookups!$A$13:$A$17,0))</f>
        <v>Band B (Mid)</v>
      </c>
      <c r="Z934" s="27">
        <f>_xlfn.XLOOKUP(F934,Employee_Lookups!$A$13:$A$17,Employee_Lookups!$E$13:$E$17,0)</f>
        <v>1100000</v>
      </c>
      <c r="AA934" s="28">
        <f>ROUND(O934/INDEX(Employee_Lookups!$E$13:$E$17,MATCH(F934,Employee_Lookups!$A$13:$A$17,0)),3)</f>
        <v>0.89400000000000002</v>
      </c>
      <c r="AB934">
        <f t="shared" si="101"/>
        <v>2023</v>
      </c>
      <c r="AC934">
        <f t="shared" si="102"/>
        <v>2025</v>
      </c>
      <c r="AD934" s="28">
        <f>ROUND((IF(ISBLANK(L934),Employee_Lookups!$O$14,L934)-J934)/365.25,2)</f>
        <v>1.39</v>
      </c>
      <c r="AE934" t="str">
        <f t="shared" si="103"/>
        <v>1 - 3 Yrs</v>
      </c>
      <c r="AF934" t="str">
        <f t="shared" si="104"/>
        <v>Exited</v>
      </c>
    </row>
    <row r="935" spans="1:32" x14ac:dyDescent="0.45">
      <c r="A935" t="s">
        <v>1722</v>
      </c>
      <c r="B935" t="s">
        <v>1164</v>
      </c>
      <c r="C935" t="s">
        <v>51</v>
      </c>
      <c r="D935" t="s">
        <v>50</v>
      </c>
      <c r="E935" t="s">
        <v>176</v>
      </c>
      <c r="F935" t="s">
        <v>82</v>
      </c>
      <c r="G935" t="s">
        <v>177</v>
      </c>
      <c r="H935" t="s">
        <v>106</v>
      </c>
      <c r="I935" t="s">
        <v>107</v>
      </c>
      <c r="J935" s="26">
        <v>45254</v>
      </c>
      <c r="K935" t="s">
        <v>162</v>
      </c>
      <c r="L935" s="26"/>
      <c r="M935" t="s">
        <v>163</v>
      </c>
      <c r="N935" t="s">
        <v>99</v>
      </c>
      <c r="O935" s="27">
        <v>1132000</v>
      </c>
      <c r="P935">
        <v>4</v>
      </c>
      <c r="Q935" t="s">
        <v>164</v>
      </c>
      <c r="R935">
        <v>55</v>
      </c>
      <c r="S935" t="s">
        <v>244</v>
      </c>
      <c r="T935">
        <f t="shared" si="98"/>
        <v>10606</v>
      </c>
      <c r="U935" t="str">
        <f t="shared" si="99"/>
        <v>ENG</v>
      </c>
      <c r="V935" t="str">
        <f t="shared" si="100"/>
        <v>L2</v>
      </c>
      <c r="W935" t="str">
        <f>PROPER(TRIM(VLOOKUP(S935,Employee_Lookups!$I$4:$M$19,2,FALSE())))</f>
        <v>Siddharth Nair</v>
      </c>
      <c r="X935" t="str">
        <f>VLOOKUP(C935,Employee_Lookups!$A$4:$G$9,4,FALSE())</f>
        <v>CC-101</v>
      </c>
      <c r="Y935" t="str">
        <f>INDEX(Employee_Lookups!$C$13:$C$17,MATCH(F935,Employee_Lookups!$A$13:$A$17,0))</f>
        <v>Band B (Mid)</v>
      </c>
      <c r="Z935" s="27">
        <f>_xlfn.XLOOKUP(F935,Employee_Lookups!$A$13:$A$17,Employee_Lookups!$E$13:$E$17,0)</f>
        <v>1100000</v>
      </c>
      <c r="AA935" s="28">
        <f>ROUND(O935/INDEX(Employee_Lookups!$E$13:$E$17,MATCH(F935,Employee_Lookups!$A$13:$A$17,0)),3)</f>
        <v>1.0289999999999999</v>
      </c>
      <c r="AB935">
        <f t="shared" si="101"/>
        <v>2023</v>
      </c>
      <c r="AC935" t="str">
        <f t="shared" si="102"/>
        <v/>
      </c>
      <c r="AD935" s="28">
        <f>ROUND((IF(ISBLANK(L935),Employee_Lookups!$O$14,L935)-J935)/365.25,2)</f>
        <v>2.1</v>
      </c>
      <c r="AE935" t="str">
        <f t="shared" si="103"/>
        <v>1 - 3 Yrs</v>
      </c>
      <c r="AF935" t="str">
        <f t="shared" si="104"/>
        <v>Low Risk</v>
      </c>
    </row>
    <row r="936" spans="1:32" x14ac:dyDescent="0.45">
      <c r="A936" t="s">
        <v>1723</v>
      </c>
      <c r="B936" t="s">
        <v>1231</v>
      </c>
      <c r="C936" t="s">
        <v>51</v>
      </c>
      <c r="D936" t="s">
        <v>50</v>
      </c>
      <c r="E936" t="s">
        <v>328</v>
      </c>
      <c r="F936" t="s">
        <v>85</v>
      </c>
      <c r="G936" t="s">
        <v>329</v>
      </c>
      <c r="H936" t="s">
        <v>109</v>
      </c>
      <c r="I936" t="s">
        <v>110</v>
      </c>
      <c r="J936" s="26">
        <v>45257</v>
      </c>
      <c r="K936" t="s">
        <v>170</v>
      </c>
      <c r="L936" s="26">
        <v>45352</v>
      </c>
      <c r="M936" t="s">
        <v>171</v>
      </c>
      <c r="N936" t="s">
        <v>99</v>
      </c>
      <c r="O936" s="27">
        <v>4026000</v>
      </c>
      <c r="P936">
        <v>2</v>
      </c>
      <c r="Q936" t="s">
        <v>164</v>
      </c>
      <c r="R936">
        <v>4</v>
      </c>
      <c r="S936" t="s">
        <v>178</v>
      </c>
      <c r="T936">
        <f t="shared" si="98"/>
        <v>10784</v>
      </c>
      <c r="U936" t="str">
        <f t="shared" si="99"/>
        <v>ENG</v>
      </c>
      <c r="V936" t="str">
        <f t="shared" si="100"/>
        <v>L5</v>
      </c>
      <c r="W936" t="str">
        <f>PROPER(TRIM(VLOOKUP(S936,Employee_Lookups!$I$4:$M$19,2,FALSE())))</f>
        <v>Aarav Deshmukh</v>
      </c>
      <c r="X936" t="str">
        <f>VLOOKUP(C936,Employee_Lookups!$A$4:$G$9,4,FALSE())</f>
        <v>CC-101</v>
      </c>
      <c r="Y936" t="str">
        <f>INDEX(Employee_Lookups!$C$13:$C$17,MATCH(F936,Employee_Lookups!$A$13:$A$17,0))</f>
        <v>Band E (Executive)</v>
      </c>
      <c r="Z936" s="27">
        <f>_xlfn.XLOOKUP(F936,Employee_Lookups!$A$13:$A$17,Employee_Lookups!$E$13:$E$17,0)</f>
        <v>4300000</v>
      </c>
      <c r="AA936" s="28">
        <f>ROUND(O936/INDEX(Employee_Lookups!$E$13:$E$17,MATCH(F936,Employee_Lookups!$A$13:$A$17,0)),3)</f>
        <v>0.93600000000000005</v>
      </c>
      <c r="AB936">
        <f t="shared" si="101"/>
        <v>2023</v>
      </c>
      <c r="AC936">
        <f t="shared" si="102"/>
        <v>2024</v>
      </c>
      <c r="AD936" s="28">
        <f>ROUND((IF(ISBLANK(L936),Employee_Lookups!$O$14,L936)-J936)/365.25,2)</f>
        <v>0.26</v>
      </c>
      <c r="AE936" t="str">
        <f t="shared" si="103"/>
        <v>&lt; 1 Yr (New)</v>
      </c>
      <c r="AF936" t="str">
        <f t="shared" si="104"/>
        <v>Exited</v>
      </c>
    </row>
    <row r="937" spans="1:32" x14ac:dyDescent="0.45">
      <c r="A937" t="s">
        <v>1724</v>
      </c>
      <c r="B937" t="s">
        <v>1725</v>
      </c>
      <c r="C937" t="s">
        <v>61</v>
      </c>
      <c r="D937" t="s">
        <v>60</v>
      </c>
      <c r="E937" t="s">
        <v>484</v>
      </c>
      <c r="F937" t="s">
        <v>83</v>
      </c>
      <c r="G937" t="s">
        <v>485</v>
      </c>
      <c r="H937" t="s">
        <v>108</v>
      </c>
      <c r="I937" t="s">
        <v>107</v>
      </c>
      <c r="J937" s="26">
        <v>45257</v>
      </c>
      <c r="K937" t="s">
        <v>162</v>
      </c>
      <c r="L937" s="26"/>
      <c r="M937" t="s">
        <v>163</v>
      </c>
      <c r="N937" t="s">
        <v>95</v>
      </c>
      <c r="O937" s="27">
        <v>1392000</v>
      </c>
      <c r="P937">
        <v>4</v>
      </c>
      <c r="Q937" t="s">
        <v>172</v>
      </c>
      <c r="R937">
        <v>16</v>
      </c>
      <c r="S937" t="s">
        <v>253</v>
      </c>
      <c r="T937">
        <f t="shared" si="98"/>
        <v>11143</v>
      </c>
      <c r="U937" t="str">
        <f t="shared" si="99"/>
        <v>-HR</v>
      </c>
      <c r="V937" t="str">
        <f t="shared" si="100"/>
        <v>L3</v>
      </c>
      <c r="W937" t="str">
        <f>PROPER(TRIM(VLOOKUP(S937,Employee_Lookups!$I$4:$M$19,2,FALSE())))</f>
        <v>Nikhil Chatterjee</v>
      </c>
      <c r="X937" t="str">
        <f>VLOOKUP(C937,Employee_Lookups!$A$4:$G$9,4,FALSE())</f>
        <v>CC-505</v>
      </c>
      <c r="Y937" t="str">
        <f>INDEX(Employee_Lookups!$C$13:$C$17,MATCH(F937,Employee_Lookups!$A$13:$A$17,0))</f>
        <v>Band C (Senior)</v>
      </c>
      <c r="Z937" s="27">
        <f>_xlfn.XLOOKUP(F937,Employee_Lookups!$A$13:$A$17,Employee_Lookups!$E$13:$E$17,0)</f>
        <v>1725000</v>
      </c>
      <c r="AA937" s="28">
        <f>ROUND(O937/INDEX(Employee_Lookups!$E$13:$E$17,MATCH(F937,Employee_Lookups!$A$13:$A$17,0)),3)</f>
        <v>0.80700000000000005</v>
      </c>
      <c r="AB937">
        <f t="shared" si="101"/>
        <v>2023</v>
      </c>
      <c r="AC937" t="str">
        <f t="shared" si="102"/>
        <v/>
      </c>
      <c r="AD937" s="28">
        <f>ROUND((IF(ISBLANK(L937),Employee_Lookups!$O$14,L937)-J937)/365.25,2)</f>
        <v>2.09</v>
      </c>
      <c r="AE937" t="str">
        <f t="shared" si="103"/>
        <v>1 - 3 Yrs</v>
      </c>
      <c r="AF937" t="str">
        <f t="shared" si="104"/>
        <v>High Risk</v>
      </c>
    </row>
    <row r="938" spans="1:32" x14ac:dyDescent="0.45">
      <c r="A938" t="s">
        <v>1726</v>
      </c>
      <c r="B938" t="s">
        <v>851</v>
      </c>
      <c r="C938" t="s">
        <v>51</v>
      </c>
      <c r="D938" t="s">
        <v>50</v>
      </c>
      <c r="E938" t="s">
        <v>181</v>
      </c>
      <c r="F938" t="s">
        <v>81</v>
      </c>
      <c r="G938" t="s">
        <v>182</v>
      </c>
      <c r="H938" t="s">
        <v>108</v>
      </c>
      <c r="I938" t="s">
        <v>107</v>
      </c>
      <c r="J938" s="26">
        <v>45261</v>
      </c>
      <c r="K938" t="s">
        <v>162</v>
      </c>
      <c r="L938" s="26"/>
      <c r="M938" t="s">
        <v>163</v>
      </c>
      <c r="N938" t="s">
        <v>98</v>
      </c>
      <c r="O938" s="27">
        <v>835000</v>
      </c>
      <c r="P938">
        <v>4</v>
      </c>
      <c r="Q938" t="s">
        <v>164</v>
      </c>
      <c r="R938">
        <v>25</v>
      </c>
      <c r="S938" t="s">
        <v>219</v>
      </c>
      <c r="T938">
        <f t="shared" si="98"/>
        <v>10412</v>
      </c>
      <c r="U938" t="str">
        <f t="shared" si="99"/>
        <v>ENG</v>
      </c>
      <c r="V938" t="str">
        <f t="shared" si="100"/>
        <v>L1</v>
      </c>
      <c r="W938" t="str">
        <f>PROPER(TRIM(VLOOKUP(S938,Employee_Lookups!$I$4:$M$19,2,FALSE())))</f>
        <v>Neha Kulkarni</v>
      </c>
      <c r="X938" t="str">
        <f>VLOOKUP(C938,Employee_Lookups!$A$4:$G$9,4,FALSE())</f>
        <v>CC-101</v>
      </c>
      <c r="Y938" t="str">
        <f>INDEX(Employee_Lookups!$C$13:$C$17,MATCH(F938,Employee_Lookups!$A$13:$A$17,0))</f>
        <v>Band A (Entry)</v>
      </c>
      <c r="Z938" s="27">
        <f>_xlfn.XLOOKUP(F938,Employee_Lookups!$A$13:$A$17,Employee_Lookups!$E$13:$E$17,0)</f>
        <v>700000</v>
      </c>
      <c r="AA938" s="28">
        <f>ROUND(O938/INDEX(Employee_Lookups!$E$13:$E$17,MATCH(F938,Employee_Lookups!$A$13:$A$17,0)),3)</f>
        <v>1.1930000000000001</v>
      </c>
      <c r="AB938">
        <f t="shared" si="101"/>
        <v>2023</v>
      </c>
      <c r="AC938" t="str">
        <f t="shared" si="102"/>
        <v/>
      </c>
      <c r="AD938" s="28">
        <f>ROUND((IF(ISBLANK(L938),Employee_Lookups!$O$14,L938)-J938)/365.25,2)</f>
        <v>2.08</v>
      </c>
      <c r="AE938" t="str">
        <f t="shared" si="103"/>
        <v>1 - 3 Yrs</v>
      </c>
      <c r="AF938" t="str">
        <f t="shared" si="104"/>
        <v>Low Risk</v>
      </c>
    </row>
    <row r="939" spans="1:32" x14ac:dyDescent="0.45">
      <c r="A939" t="s">
        <v>1727</v>
      </c>
      <c r="B939" t="s">
        <v>1553</v>
      </c>
      <c r="C939" t="s">
        <v>61</v>
      </c>
      <c r="D939" t="s">
        <v>60</v>
      </c>
      <c r="E939" t="s">
        <v>251</v>
      </c>
      <c r="F939" t="s">
        <v>82</v>
      </c>
      <c r="G939" t="s">
        <v>252</v>
      </c>
      <c r="H939" t="s">
        <v>108</v>
      </c>
      <c r="I939" t="s">
        <v>107</v>
      </c>
      <c r="J939" s="26">
        <v>45262</v>
      </c>
      <c r="K939" t="s">
        <v>162</v>
      </c>
      <c r="L939" s="26"/>
      <c r="M939" t="s">
        <v>163</v>
      </c>
      <c r="N939" t="s">
        <v>99</v>
      </c>
      <c r="O939" s="27">
        <v>1061000</v>
      </c>
      <c r="P939">
        <v>4</v>
      </c>
      <c r="Q939" t="s">
        <v>164</v>
      </c>
      <c r="R939">
        <v>57</v>
      </c>
      <c r="S939" t="s">
        <v>319</v>
      </c>
      <c r="T939">
        <f t="shared" si="98"/>
        <v>10947</v>
      </c>
      <c r="U939" t="str">
        <f t="shared" si="99"/>
        <v>-HR</v>
      </c>
      <c r="V939" t="str">
        <f t="shared" si="100"/>
        <v>L2</v>
      </c>
      <c r="W939" t="str">
        <f>PROPER(TRIM(VLOOKUP(S939,Employee_Lookups!$I$4:$M$19,2,FALSE())))</f>
        <v>Kavita Menon</v>
      </c>
      <c r="X939" t="str">
        <f>VLOOKUP(C939,Employee_Lookups!$A$4:$G$9,4,FALSE())</f>
        <v>CC-505</v>
      </c>
      <c r="Y939" t="str">
        <f>INDEX(Employee_Lookups!$C$13:$C$17,MATCH(F939,Employee_Lookups!$A$13:$A$17,0))</f>
        <v>Band B (Mid)</v>
      </c>
      <c r="Z939" s="27">
        <f>_xlfn.XLOOKUP(F939,Employee_Lookups!$A$13:$A$17,Employee_Lookups!$E$13:$E$17,0)</f>
        <v>1100000</v>
      </c>
      <c r="AA939" s="28">
        <f>ROUND(O939/INDEX(Employee_Lookups!$E$13:$E$17,MATCH(F939,Employee_Lookups!$A$13:$A$17,0)),3)</f>
        <v>0.96499999999999997</v>
      </c>
      <c r="AB939">
        <f t="shared" si="101"/>
        <v>2023</v>
      </c>
      <c r="AC939" t="str">
        <f t="shared" si="102"/>
        <v/>
      </c>
      <c r="AD939" s="28">
        <f>ROUND((IF(ISBLANK(L939),Employee_Lookups!$O$14,L939)-J939)/365.25,2)</f>
        <v>2.08</v>
      </c>
      <c r="AE939" t="str">
        <f t="shared" si="103"/>
        <v>1 - 3 Yrs</v>
      </c>
      <c r="AF939" t="str">
        <f t="shared" si="104"/>
        <v>Low Risk</v>
      </c>
    </row>
    <row r="940" spans="1:32" x14ac:dyDescent="0.45">
      <c r="A940" t="s">
        <v>1728</v>
      </c>
      <c r="B940" t="s">
        <v>1729</v>
      </c>
      <c r="C940" t="s">
        <v>51</v>
      </c>
      <c r="D940" t="s">
        <v>50</v>
      </c>
      <c r="E940" t="s">
        <v>176</v>
      </c>
      <c r="F940" t="s">
        <v>82</v>
      </c>
      <c r="G940" t="s">
        <v>177</v>
      </c>
      <c r="H940" t="s">
        <v>109</v>
      </c>
      <c r="I940" t="s">
        <v>110</v>
      </c>
      <c r="J940" s="26">
        <v>45263</v>
      </c>
      <c r="K940" t="s">
        <v>162</v>
      </c>
      <c r="L940" s="26"/>
      <c r="M940" t="s">
        <v>163</v>
      </c>
      <c r="N940" t="s">
        <v>99</v>
      </c>
      <c r="O940" s="27">
        <v>995000</v>
      </c>
      <c r="P940">
        <v>4</v>
      </c>
      <c r="Q940" t="s">
        <v>164</v>
      </c>
      <c r="R940">
        <v>43</v>
      </c>
      <c r="S940" t="s">
        <v>197</v>
      </c>
      <c r="T940">
        <f t="shared" si="98"/>
        <v>10214</v>
      </c>
      <c r="U940" t="str">
        <f t="shared" si="99"/>
        <v>ENG</v>
      </c>
      <c r="V940" t="str">
        <f t="shared" si="100"/>
        <v>L2</v>
      </c>
      <c r="W940" t="str">
        <f>PROPER(TRIM(VLOOKUP(S940,Employee_Lookups!$I$4:$M$19,2,FALSE())))</f>
        <v>Rohan Verma</v>
      </c>
      <c r="X940" t="str">
        <f>VLOOKUP(C940,Employee_Lookups!$A$4:$G$9,4,FALSE())</f>
        <v>CC-101</v>
      </c>
      <c r="Y940" t="str">
        <f>INDEX(Employee_Lookups!$C$13:$C$17,MATCH(F940,Employee_Lookups!$A$13:$A$17,0))</f>
        <v>Band B (Mid)</v>
      </c>
      <c r="Z940" s="27">
        <f>_xlfn.XLOOKUP(F940,Employee_Lookups!$A$13:$A$17,Employee_Lookups!$E$13:$E$17,0)</f>
        <v>1100000</v>
      </c>
      <c r="AA940" s="28">
        <f>ROUND(O940/INDEX(Employee_Lookups!$E$13:$E$17,MATCH(F940,Employee_Lookups!$A$13:$A$17,0)),3)</f>
        <v>0.90500000000000003</v>
      </c>
      <c r="AB940">
        <f t="shared" si="101"/>
        <v>2023</v>
      </c>
      <c r="AC940" t="str">
        <f t="shared" si="102"/>
        <v/>
      </c>
      <c r="AD940" s="28">
        <f>ROUND((IF(ISBLANK(L940),Employee_Lookups!$O$14,L940)-J940)/365.25,2)</f>
        <v>2.08</v>
      </c>
      <c r="AE940" t="str">
        <f t="shared" si="103"/>
        <v>1 - 3 Yrs</v>
      </c>
      <c r="AF940" t="str">
        <f t="shared" si="104"/>
        <v>Low Risk</v>
      </c>
    </row>
    <row r="941" spans="1:32" x14ac:dyDescent="0.45">
      <c r="A941" t="s">
        <v>1730</v>
      </c>
      <c r="B941" t="s">
        <v>507</v>
      </c>
      <c r="C941" t="s">
        <v>57</v>
      </c>
      <c r="D941" t="s">
        <v>56</v>
      </c>
      <c r="E941" t="s">
        <v>391</v>
      </c>
      <c r="F941" t="s">
        <v>83</v>
      </c>
      <c r="G941" t="s">
        <v>392</v>
      </c>
      <c r="H941" t="s">
        <v>106</v>
      </c>
      <c r="I941" t="s">
        <v>107</v>
      </c>
      <c r="J941" s="26">
        <v>45264</v>
      </c>
      <c r="K941" t="s">
        <v>162</v>
      </c>
      <c r="L941" s="26"/>
      <c r="M941" t="s">
        <v>163</v>
      </c>
      <c r="N941" t="s">
        <v>95</v>
      </c>
      <c r="O941" s="27">
        <v>1804000</v>
      </c>
      <c r="P941">
        <v>4</v>
      </c>
      <c r="Q941" t="s">
        <v>172</v>
      </c>
      <c r="R941">
        <v>48</v>
      </c>
      <c r="S941" t="s">
        <v>224</v>
      </c>
      <c r="T941">
        <f t="shared" si="98"/>
        <v>10759</v>
      </c>
      <c r="U941" t="str">
        <f t="shared" si="99"/>
        <v>MKT</v>
      </c>
      <c r="V941" t="str">
        <f t="shared" si="100"/>
        <v>L3</v>
      </c>
      <c r="W941" t="str">
        <f>PROPER(TRIM(VLOOKUP(S941,Employee_Lookups!$I$4:$M$19,2,FALSE())))</f>
        <v>Tanvi Chitnis</v>
      </c>
      <c r="X941" t="str">
        <f>VLOOKUP(C941,Employee_Lookups!$A$4:$G$9,4,FALSE())</f>
        <v>CC-606</v>
      </c>
      <c r="Y941" t="str">
        <f>INDEX(Employee_Lookups!$C$13:$C$17,MATCH(F941,Employee_Lookups!$A$13:$A$17,0))</f>
        <v>Band C (Senior)</v>
      </c>
      <c r="Z941" s="27">
        <f>_xlfn.XLOOKUP(F941,Employee_Lookups!$A$13:$A$17,Employee_Lookups!$E$13:$E$17,0)</f>
        <v>1725000</v>
      </c>
      <c r="AA941" s="28">
        <f>ROUND(O941/INDEX(Employee_Lookups!$E$13:$E$17,MATCH(F941,Employee_Lookups!$A$13:$A$17,0)),3)</f>
        <v>1.046</v>
      </c>
      <c r="AB941">
        <f t="shared" si="101"/>
        <v>2023</v>
      </c>
      <c r="AC941" t="str">
        <f t="shared" si="102"/>
        <v/>
      </c>
      <c r="AD941" s="28">
        <f>ROUND((IF(ISBLANK(L941),Employee_Lookups!$O$14,L941)-J941)/365.25,2)</f>
        <v>2.08</v>
      </c>
      <c r="AE941" t="str">
        <f t="shared" si="103"/>
        <v>1 - 3 Yrs</v>
      </c>
      <c r="AF941" t="str">
        <f t="shared" si="104"/>
        <v>High Risk</v>
      </c>
    </row>
    <row r="942" spans="1:32" x14ac:dyDescent="0.45">
      <c r="A942" t="s">
        <v>1731</v>
      </c>
      <c r="B942" t="s">
        <v>1597</v>
      </c>
      <c r="C942" t="s">
        <v>51</v>
      </c>
      <c r="D942" t="s">
        <v>50</v>
      </c>
      <c r="E942" t="s">
        <v>176</v>
      </c>
      <c r="F942" t="s">
        <v>82</v>
      </c>
      <c r="G942" t="s">
        <v>177</v>
      </c>
      <c r="H942" t="s">
        <v>106</v>
      </c>
      <c r="I942" t="s">
        <v>107</v>
      </c>
      <c r="J942" s="26">
        <v>45265</v>
      </c>
      <c r="K942" t="s">
        <v>187</v>
      </c>
      <c r="L942" s="26">
        <v>45659</v>
      </c>
      <c r="M942" t="s">
        <v>188</v>
      </c>
      <c r="N942" t="s">
        <v>99</v>
      </c>
      <c r="O942" s="27">
        <v>1195000</v>
      </c>
      <c r="P942">
        <v>4</v>
      </c>
      <c r="Q942" t="s">
        <v>164</v>
      </c>
      <c r="R942">
        <v>58</v>
      </c>
      <c r="S942" t="s">
        <v>244</v>
      </c>
      <c r="T942">
        <f t="shared" si="98"/>
        <v>10305</v>
      </c>
      <c r="U942" t="str">
        <f t="shared" si="99"/>
        <v>ENG</v>
      </c>
      <c r="V942" t="str">
        <f t="shared" si="100"/>
        <v>L2</v>
      </c>
      <c r="W942" t="str">
        <f>PROPER(TRIM(VLOOKUP(S942,Employee_Lookups!$I$4:$M$19,2,FALSE())))</f>
        <v>Siddharth Nair</v>
      </c>
      <c r="X942" t="str">
        <f>VLOOKUP(C942,Employee_Lookups!$A$4:$G$9,4,FALSE())</f>
        <v>CC-101</v>
      </c>
      <c r="Y942" t="str">
        <f>INDEX(Employee_Lookups!$C$13:$C$17,MATCH(F942,Employee_Lookups!$A$13:$A$17,0))</f>
        <v>Band B (Mid)</v>
      </c>
      <c r="Z942" s="27">
        <f>_xlfn.XLOOKUP(F942,Employee_Lookups!$A$13:$A$17,Employee_Lookups!$E$13:$E$17,0)</f>
        <v>1100000</v>
      </c>
      <c r="AA942" s="28">
        <f>ROUND(O942/INDEX(Employee_Lookups!$E$13:$E$17,MATCH(F942,Employee_Lookups!$A$13:$A$17,0)),3)</f>
        <v>1.0860000000000001</v>
      </c>
      <c r="AB942">
        <f t="shared" si="101"/>
        <v>2023</v>
      </c>
      <c r="AC942">
        <f t="shared" si="102"/>
        <v>2025</v>
      </c>
      <c r="AD942" s="28">
        <f>ROUND((IF(ISBLANK(L942),Employee_Lookups!$O$14,L942)-J942)/365.25,2)</f>
        <v>1.08</v>
      </c>
      <c r="AE942" t="str">
        <f t="shared" si="103"/>
        <v>1 - 3 Yrs</v>
      </c>
      <c r="AF942" t="str">
        <f t="shared" si="104"/>
        <v>Exited</v>
      </c>
    </row>
    <row r="943" spans="1:32" x14ac:dyDescent="0.45">
      <c r="A943" t="s">
        <v>1732</v>
      </c>
      <c r="B943" t="s">
        <v>499</v>
      </c>
      <c r="C943" t="s">
        <v>51</v>
      </c>
      <c r="D943" t="s">
        <v>50</v>
      </c>
      <c r="E943" t="s">
        <v>181</v>
      </c>
      <c r="F943" t="s">
        <v>81</v>
      </c>
      <c r="G943" t="s">
        <v>182</v>
      </c>
      <c r="H943" t="s">
        <v>108</v>
      </c>
      <c r="I943" t="s">
        <v>107</v>
      </c>
      <c r="J943" s="26">
        <v>45266</v>
      </c>
      <c r="K943" t="s">
        <v>162</v>
      </c>
      <c r="L943" s="26"/>
      <c r="M943" t="s">
        <v>163</v>
      </c>
      <c r="N943" t="s">
        <v>97</v>
      </c>
      <c r="O943" s="27">
        <v>696000</v>
      </c>
      <c r="P943">
        <v>4</v>
      </c>
      <c r="Q943" t="s">
        <v>164</v>
      </c>
      <c r="R943">
        <v>49</v>
      </c>
      <c r="S943" t="s">
        <v>197</v>
      </c>
      <c r="T943">
        <f t="shared" si="98"/>
        <v>10460</v>
      </c>
      <c r="U943" t="str">
        <f t="shared" si="99"/>
        <v>ENG</v>
      </c>
      <c r="V943" t="str">
        <f t="shared" si="100"/>
        <v>L1</v>
      </c>
      <c r="W943" t="str">
        <f>PROPER(TRIM(VLOOKUP(S943,Employee_Lookups!$I$4:$M$19,2,FALSE())))</f>
        <v>Rohan Verma</v>
      </c>
      <c r="X943" t="str">
        <f>VLOOKUP(C943,Employee_Lookups!$A$4:$G$9,4,FALSE())</f>
        <v>CC-101</v>
      </c>
      <c r="Y943" t="str">
        <f>INDEX(Employee_Lookups!$C$13:$C$17,MATCH(F943,Employee_Lookups!$A$13:$A$17,0))</f>
        <v>Band A (Entry)</v>
      </c>
      <c r="Z943" s="27">
        <f>_xlfn.XLOOKUP(F943,Employee_Lookups!$A$13:$A$17,Employee_Lookups!$E$13:$E$17,0)</f>
        <v>700000</v>
      </c>
      <c r="AA943" s="28">
        <f>ROUND(O943/INDEX(Employee_Lookups!$E$13:$E$17,MATCH(F943,Employee_Lookups!$A$13:$A$17,0)),3)</f>
        <v>0.99399999999999999</v>
      </c>
      <c r="AB943">
        <f t="shared" si="101"/>
        <v>2023</v>
      </c>
      <c r="AC943" t="str">
        <f t="shared" si="102"/>
        <v/>
      </c>
      <c r="AD943" s="28">
        <f>ROUND((IF(ISBLANK(L943),Employee_Lookups!$O$14,L943)-J943)/365.25,2)</f>
        <v>2.0699999999999998</v>
      </c>
      <c r="AE943" t="str">
        <f t="shared" si="103"/>
        <v>1 - 3 Yrs</v>
      </c>
      <c r="AF943" t="str">
        <f t="shared" si="104"/>
        <v>Low Risk</v>
      </c>
    </row>
    <row r="944" spans="1:32" x14ac:dyDescent="0.45">
      <c r="A944" t="s">
        <v>1733</v>
      </c>
      <c r="B944" t="s">
        <v>1441</v>
      </c>
      <c r="C944" t="s">
        <v>51</v>
      </c>
      <c r="D944" t="s">
        <v>50</v>
      </c>
      <c r="E944" t="s">
        <v>181</v>
      </c>
      <c r="F944" t="s">
        <v>81</v>
      </c>
      <c r="G944" t="s">
        <v>182</v>
      </c>
      <c r="H944" t="s">
        <v>108</v>
      </c>
      <c r="I944" t="s">
        <v>107</v>
      </c>
      <c r="J944" s="26">
        <v>45266</v>
      </c>
      <c r="K944" t="s">
        <v>162</v>
      </c>
      <c r="L944" s="26"/>
      <c r="M944" t="s">
        <v>163</v>
      </c>
      <c r="N944" t="s">
        <v>96</v>
      </c>
      <c r="O944" s="27">
        <v>690000</v>
      </c>
      <c r="P944">
        <v>4</v>
      </c>
      <c r="Q944" t="s">
        <v>172</v>
      </c>
      <c r="R944">
        <v>53</v>
      </c>
      <c r="S944" t="s">
        <v>178</v>
      </c>
      <c r="T944">
        <f t="shared" si="98"/>
        <v>10760</v>
      </c>
      <c r="U944" t="str">
        <f t="shared" si="99"/>
        <v>ENG</v>
      </c>
      <c r="V944" t="str">
        <f t="shared" si="100"/>
        <v>L1</v>
      </c>
      <c r="W944" t="str">
        <f>PROPER(TRIM(VLOOKUP(S944,Employee_Lookups!$I$4:$M$19,2,FALSE())))</f>
        <v>Aarav Deshmukh</v>
      </c>
      <c r="X944" t="str">
        <f>VLOOKUP(C944,Employee_Lookups!$A$4:$G$9,4,FALSE())</f>
        <v>CC-101</v>
      </c>
      <c r="Y944" t="str">
        <f>INDEX(Employee_Lookups!$C$13:$C$17,MATCH(F944,Employee_Lookups!$A$13:$A$17,0))</f>
        <v>Band A (Entry)</v>
      </c>
      <c r="Z944" s="27">
        <f>_xlfn.XLOOKUP(F944,Employee_Lookups!$A$13:$A$17,Employee_Lookups!$E$13:$E$17,0)</f>
        <v>700000</v>
      </c>
      <c r="AA944" s="28">
        <f>ROUND(O944/INDEX(Employee_Lookups!$E$13:$E$17,MATCH(F944,Employee_Lookups!$A$13:$A$17,0)),3)</f>
        <v>0.98599999999999999</v>
      </c>
      <c r="AB944">
        <f t="shared" si="101"/>
        <v>2023</v>
      </c>
      <c r="AC944" t="str">
        <f t="shared" si="102"/>
        <v/>
      </c>
      <c r="AD944" s="28">
        <f>ROUND((IF(ISBLANK(L944),Employee_Lookups!$O$14,L944)-J944)/365.25,2)</f>
        <v>2.0699999999999998</v>
      </c>
      <c r="AE944" t="str">
        <f t="shared" si="103"/>
        <v>1 - 3 Yrs</v>
      </c>
      <c r="AF944" t="str">
        <f t="shared" si="104"/>
        <v>High Risk</v>
      </c>
    </row>
    <row r="945" spans="1:32" x14ac:dyDescent="0.45">
      <c r="A945" t="s">
        <v>1734</v>
      </c>
      <c r="B945" t="s">
        <v>1553</v>
      </c>
      <c r="C945" t="s">
        <v>57</v>
      </c>
      <c r="D945" t="s">
        <v>56</v>
      </c>
      <c r="E945" t="s">
        <v>222</v>
      </c>
      <c r="F945" t="s">
        <v>82</v>
      </c>
      <c r="G945" t="s">
        <v>223</v>
      </c>
      <c r="H945" t="s">
        <v>108</v>
      </c>
      <c r="I945" t="s">
        <v>107</v>
      </c>
      <c r="J945" s="26">
        <v>45268</v>
      </c>
      <c r="K945" t="s">
        <v>170</v>
      </c>
      <c r="L945" s="26">
        <v>45536</v>
      </c>
      <c r="M945" t="s">
        <v>171</v>
      </c>
      <c r="N945" t="s">
        <v>95</v>
      </c>
      <c r="O945" s="27">
        <v>1191000</v>
      </c>
      <c r="P945">
        <v>1</v>
      </c>
      <c r="Q945" t="s">
        <v>172</v>
      </c>
      <c r="R945">
        <v>40</v>
      </c>
      <c r="S945" t="s">
        <v>165</v>
      </c>
      <c r="T945">
        <f t="shared" si="98"/>
        <v>11337</v>
      </c>
      <c r="U945" t="str">
        <f t="shared" si="99"/>
        <v>MKT</v>
      </c>
      <c r="V945" t="str">
        <f t="shared" si="100"/>
        <v>L2</v>
      </c>
      <c r="W945" t="str">
        <f>PROPER(TRIM(VLOOKUP(S945,Employee_Lookups!$I$4:$M$19,2,FALSE())))</f>
        <v>Arjun Sengupta</v>
      </c>
      <c r="X945" t="str">
        <f>VLOOKUP(C945,Employee_Lookups!$A$4:$G$9,4,FALSE())</f>
        <v>CC-606</v>
      </c>
      <c r="Y945" t="str">
        <f>INDEX(Employee_Lookups!$C$13:$C$17,MATCH(F945,Employee_Lookups!$A$13:$A$17,0))</f>
        <v>Band B (Mid)</v>
      </c>
      <c r="Z945" s="27">
        <f>_xlfn.XLOOKUP(F945,Employee_Lookups!$A$13:$A$17,Employee_Lookups!$E$13:$E$17,0)</f>
        <v>1100000</v>
      </c>
      <c r="AA945" s="28">
        <f>ROUND(O945/INDEX(Employee_Lookups!$E$13:$E$17,MATCH(F945,Employee_Lookups!$A$13:$A$17,0)),3)</f>
        <v>1.083</v>
      </c>
      <c r="AB945">
        <f t="shared" si="101"/>
        <v>2023</v>
      </c>
      <c r="AC945">
        <f t="shared" si="102"/>
        <v>2024</v>
      </c>
      <c r="AD945" s="28">
        <f>ROUND((IF(ISBLANK(L945),Employee_Lookups!$O$14,L945)-J945)/365.25,2)</f>
        <v>0.73</v>
      </c>
      <c r="AE945" t="str">
        <f t="shared" si="103"/>
        <v>&lt; 1 Yr (New)</v>
      </c>
      <c r="AF945" t="str">
        <f t="shared" si="104"/>
        <v>Exited</v>
      </c>
    </row>
    <row r="946" spans="1:32" x14ac:dyDescent="0.45">
      <c r="A946" t="s">
        <v>1735</v>
      </c>
      <c r="B946" t="s">
        <v>1736</v>
      </c>
      <c r="C946" t="s">
        <v>51</v>
      </c>
      <c r="D946" t="s">
        <v>50</v>
      </c>
      <c r="E946" t="s">
        <v>181</v>
      </c>
      <c r="F946" t="s">
        <v>81</v>
      </c>
      <c r="G946" t="s">
        <v>182</v>
      </c>
      <c r="H946" t="s">
        <v>106</v>
      </c>
      <c r="I946" t="s">
        <v>107</v>
      </c>
      <c r="J946" s="26">
        <v>45269</v>
      </c>
      <c r="K946" t="s">
        <v>162</v>
      </c>
      <c r="L946" s="26"/>
      <c r="M946" t="s">
        <v>163</v>
      </c>
      <c r="N946" t="s">
        <v>95</v>
      </c>
      <c r="O946" s="27">
        <v>721000</v>
      </c>
      <c r="P946">
        <v>3</v>
      </c>
      <c r="Q946" t="s">
        <v>164</v>
      </c>
      <c r="R946">
        <v>49</v>
      </c>
      <c r="S946" t="s">
        <v>197</v>
      </c>
      <c r="T946">
        <f t="shared" si="98"/>
        <v>10545</v>
      </c>
      <c r="U946" t="str">
        <f t="shared" si="99"/>
        <v>ENG</v>
      </c>
      <c r="V946" t="str">
        <f t="shared" si="100"/>
        <v>L1</v>
      </c>
      <c r="W946" t="str">
        <f>PROPER(TRIM(VLOOKUP(S946,Employee_Lookups!$I$4:$M$19,2,FALSE())))</f>
        <v>Rohan Verma</v>
      </c>
      <c r="X946" t="str">
        <f>VLOOKUP(C946,Employee_Lookups!$A$4:$G$9,4,FALSE())</f>
        <v>CC-101</v>
      </c>
      <c r="Y946" t="str">
        <f>INDEX(Employee_Lookups!$C$13:$C$17,MATCH(F946,Employee_Lookups!$A$13:$A$17,0))</f>
        <v>Band A (Entry)</v>
      </c>
      <c r="Z946" s="27">
        <f>_xlfn.XLOOKUP(F946,Employee_Lookups!$A$13:$A$17,Employee_Lookups!$E$13:$E$17,0)</f>
        <v>700000</v>
      </c>
      <c r="AA946" s="28">
        <f>ROUND(O946/INDEX(Employee_Lookups!$E$13:$E$17,MATCH(F946,Employee_Lookups!$A$13:$A$17,0)),3)</f>
        <v>1.03</v>
      </c>
      <c r="AB946">
        <f t="shared" si="101"/>
        <v>2023</v>
      </c>
      <c r="AC946" t="str">
        <f t="shared" si="102"/>
        <v/>
      </c>
      <c r="AD946" s="28">
        <f>ROUND((IF(ISBLANK(L946),Employee_Lookups!$O$14,L946)-J946)/365.25,2)</f>
        <v>2.06</v>
      </c>
      <c r="AE946" t="str">
        <f t="shared" si="103"/>
        <v>1 - 3 Yrs</v>
      </c>
      <c r="AF946" t="str">
        <f t="shared" si="104"/>
        <v>Low Risk</v>
      </c>
    </row>
    <row r="947" spans="1:32" x14ac:dyDescent="0.45">
      <c r="A947" t="s">
        <v>1737</v>
      </c>
      <c r="B947" t="s">
        <v>1418</v>
      </c>
      <c r="C947" t="s">
        <v>51</v>
      </c>
      <c r="D947" t="s">
        <v>50</v>
      </c>
      <c r="E947" t="s">
        <v>181</v>
      </c>
      <c r="F947" t="s">
        <v>81</v>
      </c>
      <c r="G947" t="s">
        <v>182</v>
      </c>
      <c r="H947" t="s">
        <v>106</v>
      </c>
      <c r="I947" t="s">
        <v>107</v>
      </c>
      <c r="J947" s="26">
        <v>45269</v>
      </c>
      <c r="K947" t="s">
        <v>162</v>
      </c>
      <c r="L947" s="26"/>
      <c r="M947" t="s">
        <v>163</v>
      </c>
      <c r="N947" t="s">
        <v>96</v>
      </c>
      <c r="O947" s="27">
        <v>572000</v>
      </c>
      <c r="P947">
        <v>4</v>
      </c>
      <c r="Q947" t="s">
        <v>172</v>
      </c>
      <c r="R947">
        <v>43</v>
      </c>
      <c r="S947" t="s">
        <v>244</v>
      </c>
      <c r="T947">
        <f t="shared" si="98"/>
        <v>10764</v>
      </c>
      <c r="U947" t="str">
        <f t="shared" si="99"/>
        <v>ENG</v>
      </c>
      <c r="V947" t="str">
        <f t="shared" si="100"/>
        <v>L1</v>
      </c>
      <c r="W947" t="str">
        <f>PROPER(TRIM(VLOOKUP(S947,Employee_Lookups!$I$4:$M$19,2,FALSE())))</f>
        <v>Siddharth Nair</v>
      </c>
      <c r="X947" t="str">
        <f>VLOOKUP(C947,Employee_Lookups!$A$4:$G$9,4,FALSE())</f>
        <v>CC-101</v>
      </c>
      <c r="Y947" t="str">
        <f>INDEX(Employee_Lookups!$C$13:$C$17,MATCH(F947,Employee_Lookups!$A$13:$A$17,0))</f>
        <v>Band A (Entry)</v>
      </c>
      <c r="Z947" s="27">
        <f>_xlfn.XLOOKUP(F947,Employee_Lookups!$A$13:$A$17,Employee_Lookups!$E$13:$E$17,0)</f>
        <v>700000</v>
      </c>
      <c r="AA947" s="28">
        <f>ROUND(O947/INDEX(Employee_Lookups!$E$13:$E$17,MATCH(F947,Employee_Lookups!$A$13:$A$17,0)),3)</f>
        <v>0.81699999999999995</v>
      </c>
      <c r="AB947">
        <f t="shared" si="101"/>
        <v>2023</v>
      </c>
      <c r="AC947" t="str">
        <f t="shared" si="102"/>
        <v/>
      </c>
      <c r="AD947" s="28">
        <f>ROUND((IF(ISBLANK(L947),Employee_Lookups!$O$14,L947)-J947)/365.25,2)</f>
        <v>2.06</v>
      </c>
      <c r="AE947" t="str">
        <f t="shared" si="103"/>
        <v>1 - 3 Yrs</v>
      </c>
      <c r="AF947" t="str">
        <f t="shared" si="104"/>
        <v>High Risk</v>
      </c>
    </row>
    <row r="948" spans="1:32" x14ac:dyDescent="0.45">
      <c r="A948" t="s">
        <v>1738</v>
      </c>
      <c r="B948" t="s">
        <v>1617</v>
      </c>
      <c r="C948" t="s">
        <v>51</v>
      </c>
      <c r="D948" t="s">
        <v>50</v>
      </c>
      <c r="E948" t="s">
        <v>328</v>
      </c>
      <c r="F948" t="s">
        <v>85</v>
      </c>
      <c r="G948" t="s">
        <v>329</v>
      </c>
      <c r="H948" t="s">
        <v>106</v>
      </c>
      <c r="I948" t="s">
        <v>107</v>
      </c>
      <c r="J948" s="26">
        <v>45271</v>
      </c>
      <c r="K948" t="s">
        <v>170</v>
      </c>
      <c r="L948" s="26">
        <v>45854</v>
      </c>
      <c r="M948" t="s">
        <v>171</v>
      </c>
      <c r="N948" t="s">
        <v>99</v>
      </c>
      <c r="O948" s="27">
        <v>4802000</v>
      </c>
      <c r="P948">
        <v>4</v>
      </c>
      <c r="Q948" t="s">
        <v>172</v>
      </c>
      <c r="R948">
        <v>35</v>
      </c>
      <c r="S948" t="s">
        <v>197</v>
      </c>
      <c r="T948">
        <f t="shared" si="98"/>
        <v>10168</v>
      </c>
      <c r="U948" t="str">
        <f t="shared" si="99"/>
        <v>ENG</v>
      </c>
      <c r="V948" t="str">
        <f t="shared" si="100"/>
        <v>L5</v>
      </c>
      <c r="W948" t="str">
        <f>PROPER(TRIM(VLOOKUP(S948,Employee_Lookups!$I$4:$M$19,2,FALSE())))</f>
        <v>Rohan Verma</v>
      </c>
      <c r="X948" t="str">
        <f>VLOOKUP(C948,Employee_Lookups!$A$4:$G$9,4,FALSE())</f>
        <v>CC-101</v>
      </c>
      <c r="Y948" t="str">
        <f>INDEX(Employee_Lookups!$C$13:$C$17,MATCH(F948,Employee_Lookups!$A$13:$A$17,0))</f>
        <v>Band E (Executive)</v>
      </c>
      <c r="Z948" s="27">
        <f>_xlfn.XLOOKUP(F948,Employee_Lookups!$A$13:$A$17,Employee_Lookups!$E$13:$E$17,0)</f>
        <v>4300000</v>
      </c>
      <c r="AA948" s="28">
        <f>ROUND(O948/INDEX(Employee_Lookups!$E$13:$E$17,MATCH(F948,Employee_Lookups!$A$13:$A$17,0)),3)</f>
        <v>1.117</v>
      </c>
      <c r="AB948">
        <f t="shared" si="101"/>
        <v>2023</v>
      </c>
      <c r="AC948">
        <f t="shared" si="102"/>
        <v>2025</v>
      </c>
      <c r="AD948" s="28">
        <f>ROUND((IF(ISBLANK(L948),Employee_Lookups!$O$14,L948)-J948)/365.25,2)</f>
        <v>1.6</v>
      </c>
      <c r="AE948" t="str">
        <f t="shared" si="103"/>
        <v>1 - 3 Yrs</v>
      </c>
      <c r="AF948" t="str">
        <f t="shared" si="104"/>
        <v>Exited</v>
      </c>
    </row>
    <row r="949" spans="1:32" x14ac:dyDescent="0.45">
      <c r="A949" t="s">
        <v>1739</v>
      </c>
      <c r="B949" t="s">
        <v>531</v>
      </c>
      <c r="C949" t="s">
        <v>59</v>
      </c>
      <c r="D949" t="s">
        <v>58</v>
      </c>
      <c r="E949" t="s">
        <v>287</v>
      </c>
      <c r="F949" t="s">
        <v>83</v>
      </c>
      <c r="G949" t="s">
        <v>288</v>
      </c>
      <c r="H949" t="s">
        <v>111</v>
      </c>
      <c r="I949" t="s">
        <v>110</v>
      </c>
      <c r="J949" s="26">
        <v>45271</v>
      </c>
      <c r="K949" t="s">
        <v>170</v>
      </c>
      <c r="L949" s="26">
        <v>45454</v>
      </c>
      <c r="M949" t="s">
        <v>171</v>
      </c>
      <c r="N949" t="s">
        <v>98</v>
      </c>
      <c r="O949" s="27">
        <v>1432000</v>
      </c>
      <c r="P949">
        <v>2</v>
      </c>
      <c r="Q949" t="s">
        <v>164</v>
      </c>
      <c r="R949">
        <v>36</v>
      </c>
      <c r="S949" t="s">
        <v>214</v>
      </c>
      <c r="T949">
        <f t="shared" si="98"/>
        <v>10026</v>
      </c>
      <c r="U949" t="str">
        <f t="shared" si="99"/>
        <v>FIN</v>
      </c>
      <c r="V949" t="str">
        <f t="shared" si="100"/>
        <v>L3</v>
      </c>
      <c r="W949" t="str">
        <f>PROPER(TRIM(VLOOKUP(S949,Employee_Lookups!$I$4:$M$19,2,FALSE())))</f>
        <v>Aditya Gokhale</v>
      </c>
      <c r="X949" t="str">
        <f>VLOOKUP(C949,Employee_Lookups!$A$4:$G$9,4,FALSE())</f>
        <v>CC-404</v>
      </c>
      <c r="Y949" t="str">
        <f>INDEX(Employee_Lookups!$C$13:$C$17,MATCH(F949,Employee_Lookups!$A$13:$A$17,0))</f>
        <v>Band C (Senior)</v>
      </c>
      <c r="Z949" s="27">
        <f>_xlfn.XLOOKUP(F949,Employee_Lookups!$A$13:$A$17,Employee_Lookups!$E$13:$E$17,0)</f>
        <v>1725000</v>
      </c>
      <c r="AA949" s="28">
        <f>ROUND(O949/INDEX(Employee_Lookups!$E$13:$E$17,MATCH(F949,Employee_Lookups!$A$13:$A$17,0)),3)</f>
        <v>0.83</v>
      </c>
      <c r="AB949">
        <f t="shared" si="101"/>
        <v>2023</v>
      </c>
      <c r="AC949">
        <f t="shared" si="102"/>
        <v>2024</v>
      </c>
      <c r="AD949" s="28">
        <f>ROUND((IF(ISBLANK(L949),Employee_Lookups!$O$14,L949)-J949)/365.25,2)</f>
        <v>0.5</v>
      </c>
      <c r="AE949" t="str">
        <f t="shared" si="103"/>
        <v>&lt; 1 Yr (New)</v>
      </c>
      <c r="AF949" t="str">
        <f t="shared" si="104"/>
        <v>Exited</v>
      </c>
    </row>
    <row r="950" spans="1:32" x14ac:dyDescent="0.45">
      <c r="A950" t="s">
        <v>1740</v>
      </c>
      <c r="B950" t="s">
        <v>671</v>
      </c>
      <c r="C950" t="s">
        <v>51</v>
      </c>
      <c r="D950" t="s">
        <v>50</v>
      </c>
      <c r="E950" t="s">
        <v>181</v>
      </c>
      <c r="F950" t="s">
        <v>81</v>
      </c>
      <c r="G950" t="s">
        <v>182</v>
      </c>
      <c r="H950" t="s">
        <v>109</v>
      </c>
      <c r="I950" t="s">
        <v>110</v>
      </c>
      <c r="J950" s="26">
        <v>45273</v>
      </c>
      <c r="K950" t="s">
        <v>162</v>
      </c>
      <c r="L950" s="26"/>
      <c r="M950" t="s">
        <v>163</v>
      </c>
      <c r="N950" t="s">
        <v>97</v>
      </c>
      <c r="O950" s="27">
        <v>805000</v>
      </c>
      <c r="P950">
        <v>3</v>
      </c>
      <c r="Q950" t="s">
        <v>164</v>
      </c>
      <c r="R950">
        <v>23</v>
      </c>
      <c r="S950" t="s">
        <v>219</v>
      </c>
      <c r="T950">
        <f t="shared" si="98"/>
        <v>10527</v>
      </c>
      <c r="U950" t="str">
        <f t="shared" si="99"/>
        <v>ENG</v>
      </c>
      <c r="V950" t="str">
        <f t="shared" si="100"/>
        <v>L1</v>
      </c>
      <c r="W950" t="str">
        <f>PROPER(TRIM(VLOOKUP(S950,Employee_Lookups!$I$4:$M$19,2,FALSE())))</f>
        <v>Neha Kulkarni</v>
      </c>
      <c r="X950" t="str">
        <f>VLOOKUP(C950,Employee_Lookups!$A$4:$G$9,4,FALSE())</f>
        <v>CC-101</v>
      </c>
      <c r="Y950" t="str">
        <f>INDEX(Employee_Lookups!$C$13:$C$17,MATCH(F950,Employee_Lookups!$A$13:$A$17,0))</f>
        <v>Band A (Entry)</v>
      </c>
      <c r="Z950" s="27">
        <f>_xlfn.XLOOKUP(F950,Employee_Lookups!$A$13:$A$17,Employee_Lookups!$E$13:$E$17,0)</f>
        <v>700000</v>
      </c>
      <c r="AA950" s="28">
        <f>ROUND(O950/INDEX(Employee_Lookups!$E$13:$E$17,MATCH(F950,Employee_Lookups!$A$13:$A$17,0)),3)</f>
        <v>1.1499999999999999</v>
      </c>
      <c r="AB950">
        <f t="shared" si="101"/>
        <v>2023</v>
      </c>
      <c r="AC950" t="str">
        <f t="shared" si="102"/>
        <v/>
      </c>
      <c r="AD950" s="28">
        <f>ROUND((IF(ISBLANK(L950),Employee_Lookups!$O$14,L950)-J950)/365.25,2)</f>
        <v>2.0499999999999998</v>
      </c>
      <c r="AE950" t="str">
        <f t="shared" si="103"/>
        <v>1 - 3 Yrs</v>
      </c>
      <c r="AF950" t="str">
        <f t="shared" si="104"/>
        <v>Low Risk</v>
      </c>
    </row>
    <row r="951" spans="1:32" x14ac:dyDescent="0.45">
      <c r="A951" t="s">
        <v>1741</v>
      </c>
      <c r="B951" t="s">
        <v>830</v>
      </c>
      <c r="C951" t="s">
        <v>55</v>
      </c>
      <c r="D951" t="s">
        <v>54</v>
      </c>
      <c r="E951" t="s">
        <v>240</v>
      </c>
      <c r="F951" t="s">
        <v>83</v>
      </c>
      <c r="G951" t="s">
        <v>241</v>
      </c>
      <c r="H951" t="s">
        <v>108</v>
      </c>
      <c r="I951" t="s">
        <v>107</v>
      </c>
      <c r="J951" s="26">
        <v>45274</v>
      </c>
      <c r="K951" t="s">
        <v>187</v>
      </c>
      <c r="L951" s="26">
        <v>45801</v>
      </c>
      <c r="M951" t="s">
        <v>213</v>
      </c>
      <c r="N951" t="s">
        <v>99</v>
      </c>
      <c r="O951" s="27">
        <v>1411000</v>
      </c>
      <c r="P951">
        <v>3</v>
      </c>
      <c r="Q951" t="s">
        <v>164</v>
      </c>
      <c r="R951">
        <v>49</v>
      </c>
      <c r="S951" t="s">
        <v>262</v>
      </c>
      <c r="T951">
        <f t="shared" si="98"/>
        <v>10975</v>
      </c>
      <c r="U951" t="str">
        <f t="shared" si="99"/>
        <v>OPS</v>
      </c>
      <c r="V951" t="str">
        <f t="shared" si="100"/>
        <v>L3</v>
      </c>
      <c r="W951" t="str">
        <f>PROPER(TRIM(VLOOKUP(S951,Employee_Lookups!$I$4:$M$19,2,FALSE())))</f>
        <v>Ananya Iyer</v>
      </c>
      <c r="X951" t="str">
        <f>VLOOKUP(C951,Employee_Lookups!$A$4:$G$9,4,FALSE())</f>
        <v>CC-303</v>
      </c>
      <c r="Y951" t="str">
        <f>INDEX(Employee_Lookups!$C$13:$C$17,MATCH(F951,Employee_Lookups!$A$13:$A$17,0))</f>
        <v>Band C (Senior)</v>
      </c>
      <c r="Z951" s="27">
        <f>_xlfn.XLOOKUP(F951,Employee_Lookups!$A$13:$A$17,Employee_Lookups!$E$13:$E$17,0)</f>
        <v>1725000</v>
      </c>
      <c r="AA951" s="28">
        <f>ROUND(O951/INDEX(Employee_Lookups!$E$13:$E$17,MATCH(F951,Employee_Lookups!$A$13:$A$17,0)),3)</f>
        <v>0.81799999999999995</v>
      </c>
      <c r="AB951">
        <f t="shared" si="101"/>
        <v>2023</v>
      </c>
      <c r="AC951">
        <f t="shared" si="102"/>
        <v>2025</v>
      </c>
      <c r="AD951" s="28">
        <f>ROUND((IF(ISBLANK(L951),Employee_Lookups!$O$14,L951)-J951)/365.25,2)</f>
        <v>1.44</v>
      </c>
      <c r="AE951" t="str">
        <f t="shared" si="103"/>
        <v>1 - 3 Yrs</v>
      </c>
      <c r="AF951" t="str">
        <f t="shared" si="104"/>
        <v>Exited</v>
      </c>
    </row>
    <row r="952" spans="1:32" x14ac:dyDescent="0.45">
      <c r="A952" t="s">
        <v>1742</v>
      </c>
      <c r="B952" t="s">
        <v>1743</v>
      </c>
      <c r="C952" t="s">
        <v>51</v>
      </c>
      <c r="D952" t="s">
        <v>50</v>
      </c>
      <c r="E952" t="s">
        <v>217</v>
      </c>
      <c r="F952" t="s">
        <v>83</v>
      </c>
      <c r="G952" t="s">
        <v>218</v>
      </c>
      <c r="H952" t="s">
        <v>108</v>
      </c>
      <c r="I952" t="s">
        <v>107</v>
      </c>
      <c r="J952" s="26">
        <v>45275</v>
      </c>
      <c r="K952" t="s">
        <v>162</v>
      </c>
      <c r="L952" s="26"/>
      <c r="M952" t="s">
        <v>163</v>
      </c>
      <c r="N952" t="s">
        <v>96</v>
      </c>
      <c r="O952" s="27">
        <v>1636000</v>
      </c>
      <c r="P952">
        <v>4</v>
      </c>
      <c r="Q952" t="s">
        <v>164</v>
      </c>
      <c r="R952">
        <v>36</v>
      </c>
      <c r="S952" t="s">
        <v>244</v>
      </c>
      <c r="T952">
        <f t="shared" si="98"/>
        <v>10596</v>
      </c>
      <c r="U952" t="str">
        <f t="shared" si="99"/>
        <v>ENG</v>
      </c>
      <c r="V952" t="str">
        <f t="shared" si="100"/>
        <v>L3</v>
      </c>
      <c r="W952" t="str">
        <f>PROPER(TRIM(VLOOKUP(S952,Employee_Lookups!$I$4:$M$19,2,FALSE())))</f>
        <v>Siddharth Nair</v>
      </c>
      <c r="X952" t="str">
        <f>VLOOKUP(C952,Employee_Lookups!$A$4:$G$9,4,FALSE())</f>
        <v>CC-101</v>
      </c>
      <c r="Y952" t="str">
        <f>INDEX(Employee_Lookups!$C$13:$C$17,MATCH(F952,Employee_Lookups!$A$13:$A$17,0))</f>
        <v>Band C (Senior)</v>
      </c>
      <c r="Z952" s="27">
        <f>_xlfn.XLOOKUP(F952,Employee_Lookups!$A$13:$A$17,Employee_Lookups!$E$13:$E$17,0)</f>
        <v>1725000</v>
      </c>
      <c r="AA952" s="28">
        <f>ROUND(O952/INDEX(Employee_Lookups!$E$13:$E$17,MATCH(F952,Employee_Lookups!$A$13:$A$17,0)),3)</f>
        <v>0.94799999999999995</v>
      </c>
      <c r="AB952">
        <f t="shared" si="101"/>
        <v>2023</v>
      </c>
      <c r="AC952" t="str">
        <f t="shared" si="102"/>
        <v/>
      </c>
      <c r="AD952" s="28">
        <f>ROUND((IF(ISBLANK(L952),Employee_Lookups!$O$14,L952)-J952)/365.25,2)</f>
        <v>2.0499999999999998</v>
      </c>
      <c r="AE952" t="str">
        <f t="shared" si="103"/>
        <v>1 - 3 Yrs</v>
      </c>
      <c r="AF952" t="str">
        <f t="shared" si="104"/>
        <v>Low Risk</v>
      </c>
    </row>
    <row r="953" spans="1:32" x14ac:dyDescent="0.45">
      <c r="A953" t="s">
        <v>1744</v>
      </c>
      <c r="B953" t="s">
        <v>1745</v>
      </c>
      <c r="C953" t="s">
        <v>55</v>
      </c>
      <c r="D953" t="s">
        <v>54</v>
      </c>
      <c r="E953" t="s">
        <v>277</v>
      </c>
      <c r="F953" t="s">
        <v>81</v>
      </c>
      <c r="G953" t="s">
        <v>278</v>
      </c>
      <c r="H953" t="s">
        <v>111</v>
      </c>
      <c r="I953" t="s">
        <v>110</v>
      </c>
      <c r="J953" s="26">
        <v>45277</v>
      </c>
      <c r="K953" t="s">
        <v>162</v>
      </c>
      <c r="L953" s="26"/>
      <c r="M953" t="s">
        <v>163</v>
      </c>
      <c r="N953" t="s">
        <v>96</v>
      </c>
      <c r="O953" s="27">
        <v>679000</v>
      </c>
      <c r="P953">
        <v>3</v>
      </c>
      <c r="Q953" t="s">
        <v>164</v>
      </c>
      <c r="R953">
        <v>11</v>
      </c>
      <c r="S953" t="s">
        <v>274</v>
      </c>
      <c r="T953">
        <f t="shared" si="98"/>
        <v>10669</v>
      </c>
      <c r="U953" t="str">
        <f t="shared" si="99"/>
        <v>OPS</v>
      </c>
      <c r="V953" t="str">
        <f t="shared" si="100"/>
        <v>L1</v>
      </c>
      <c r="W953" t="str">
        <f>PROPER(TRIM(VLOOKUP(S953,Employee_Lookups!$I$4:$M$19,2,FALSE())))</f>
        <v>Meera Krishnan</v>
      </c>
      <c r="X953" t="str">
        <f>VLOOKUP(C953,Employee_Lookups!$A$4:$G$9,4,FALSE())</f>
        <v>CC-303</v>
      </c>
      <c r="Y953" t="str">
        <f>INDEX(Employee_Lookups!$C$13:$C$17,MATCH(F953,Employee_Lookups!$A$13:$A$17,0))</f>
        <v>Band A (Entry)</v>
      </c>
      <c r="Z953" s="27">
        <f>_xlfn.XLOOKUP(F953,Employee_Lookups!$A$13:$A$17,Employee_Lookups!$E$13:$E$17,0)</f>
        <v>700000</v>
      </c>
      <c r="AA953" s="28">
        <f>ROUND(O953/INDEX(Employee_Lookups!$E$13:$E$17,MATCH(F953,Employee_Lookups!$A$13:$A$17,0)),3)</f>
        <v>0.97</v>
      </c>
      <c r="AB953">
        <f t="shared" si="101"/>
        <v>2023</v>
      </c>
      <c r="AC953" t="str">
        <f t="shared" si="102"/>
        <v/>
      </c>
      <c r="AD953" s="28">
        <f>ROUND((IF(ISBLANK(L953),Employee_Lookups!$O$14,L953)-J953)/365.25,2)</f>
        <v>2.04</v>
      </c>
      <c r="AE953" t="str">
        <f t="shared" si="103"/>
        <v>1 - 3 Yrs</v>
      </c>
      <c r="AF953" t="str">
        <f t="shared" si="104"/>
        <v>Low Risk</v>
      </c>
    </row>
    <row r="954" spans="1:32" x14ac:dyDescent="0.45">
      <c r="A954" t="s">
        <v>1746</v>
      </c>
      <c r="B954" t="s">
        <v>658</v>
      </c>
      <c r="C954" t="s">
        <v>55</v>
      </c>
      <c r="D954" t="s">
        <v>54</v>
      </c>
      <c r="E954" t="s">
        <v>277</v>
      </c>
      <c r="F954" t="s">
        <v>81</v>
      </c>
      <c r="G954" t="s">
        <v>278</v>
      </c>
      <c r="H954" t="s">
        <v>108</v>
      </c>
      <c r="I954" t="s">
        <v>107</v>
      </c>
      <c r="J954" s="26">
        <v>45278</v>
      </c>
      <c r="K954" t="s">
        <v>162</v>
      </c>
      <c r="L954" s="26"/>
      <c r="M954" t="s">
        <v>163</v>
      </c>
      <c r="N954" t="s">
        <v>99</v>
      </c>
      <c r="O954" s="27">
        <v>553000</v>
      </c>
      <c r="P954">
        <v>4</v>
      </c>
      <c r="Q954" t="s">
        <v>164</v>
      </c>
      <c r="R954">
        <v>23</v>
      </c>
      <c r="S954" t="s">
        <v>274</v>
      </c>
      <c r="T954">
        <f t="shared" si="98"/>
        <v>11050</v>
      </c>
      <c r="U954" t="str">
        <f t="shared" si="99"/>
        <v>OPS</v>
      </c>
      <c r="V954" t="str">
        <f t="shared" si="100"/>
        <v>L1</v>
      </c>
      <c r="W954" t="str">
        <f>PROPER(TRIM(VLOOKUP(S954,Employee_Lookups!$I$4:$M$19,2,FALSE())))</f>
        <v>Meera Krishnan</v>
      </c>
      <c r="X954" t="str">
        <f>VLOOKUP(C954,Employee_Lookups!$A$4:$G$9,4,FALSE())</f>
        <v>CC-303</v>
      </c>
      <c r="Y954" t="str">
        <f>INDEX(Employee_Lookups!$C$13:$C$17,MATCH(F954,Employee_Lookups!$A$13:$A$17,0))</f>
        <v>Band A (Entry)</v>
      </c>
      <c r="Z954" s="27">
        <f>_xlfn.XLOOKUP(F954,Employee_Lookups!$A$13:$A$17,Employee_Lookups!$E$13:$E$17,0)</f>
        <v>700000</v>
      </c>
      <c r="AA954" s="28">
        <f>ROUND(O954/INDEX(Employee_Lookups!$E$13:$E$17,MATCH(F954,Employee_Lookups!$A$13:$A$17,0)),3)</f>
        <v>0.79</v>
      </c>
      <c r="AB954">
        <f t="shared" si="101"/>
        <v>2023</v>
      </c>
      <c r="AC954" t="str">
        <f t="shared" si="102"/>
        <v/>
      </c>
      <c r="AD954" s="28">
        <f>ROUND((IF(ISBLANK(L954),Employee_Lookups!$O$14,L954)-J954)/365.25,2)</f>
        <v>2.04</v>
      </c>
      <c r="AE954" t="str">
        <f t="shared" si="103"/>
        <v>1 - 3 Yrs</v>
      </c>
      <c r="AF954" t="str">
        <f t="shared" si="104"/>
        <v>Low Risk</v>
      </c>
    </row>
    <row r="955" spans="1:32" x14ac:dyDescent="0.45">
      <c r="A955" t="s">
        <v>1747</v>
      </c>
      <c r="B955" t="s">
        <v>942</v>
      </c>
      <c r="C955" t="s">
        <v>51</v>
      </c>
      <c r="D955" t="s">
        <v>50</v>
      </c>
      <c r="E955" t="s">
        <v>181</v>
      </c>
      <c r="F955" t="s">
        <v>81</v>
      </c>
      <c r="G955" t="s">
        <v>182</v>
      </c>
      <c r="H955" t="s">
        <v>112</v>
      </c>
      <c r="I955" t="s">
        <v>113</v>
      </c>
      <c r="J955" s="26">
        <v>45279</v>
      </c>
      <c r="K955" t="s">
        <v>162</v>
      </c>
      <c r="L955" s="26"/>
      <c r="M955" t="s">
        <v>163</v>
      </c>
      <c r="N955" t="s">
        <v>99</v>
      </c>
      <c r="O955" s="27">
        <v>561000</v>
      </c>
      <c r="P955">
        <v>4</v>
      </c>
      <c r="Q955" t="s">
        <v>164</v>
      </c>
      <c r="R955">
        <v>43</v>
      </c>
      <c r="S955" t="s">
        <v>244</v>
      </c>
      <c r="T955">
        <f t="shared" si="98"/>
        <v>10693</v>
      </c>
      <c r="U955" t="str">
        <f t="shared" si="99"/>
        <v>ENG</v>
      </c>
      <c r="V955" t="str">
        <f t="shared" si="100"/>
        <v>L1</v>
      </c>
      <c r="W955" t="str">
        <f>PROPER(TRIM(VLOOKUP(S955,Employee_Lookups!$I$4:$M$19,2,FALSE())))</f>
        <v>Siddharth Nair</v>
      </c>
      <c r="X955" t="str">
        <f>VLOOKUP(C955,Employee_Lookups!$A$4:$G$9,4,FALSE())</f>
        <v>CC-101</v>
      </c>
      <c r="Y955" t="str">
        <f>INDEX(Employee_Lookups!$C$13:$C$17,MATCH(F955,Employee_Lookups!$A$13:$A$17,0))</f>
        <v>Band A (Entry)</v>
      </c>
      <c r="Z955" s="27">
        <f>_xlfn.XLOOKUP(F955,Employee_Lookups!$A$13:$A$17,Employee_Lookups!$E$13:$E$17,0)</f>
        <v>700000</v>
      </c>
      <c r="AA955" s="28">
        <f>ROUND(O955/INDEX(Employee_Lookups!$E$13:$E$17,MATCH(F955,Employee_Lookups!$A$13:$A$17,0)),3)</f>
        <v>0.80100000000000005</v>
      </c>
      <c r="AB955">
        <f t="shared" si="101"/>
        <v>2023</v>
      </c>
      <c r="AC955" t="str">
        <f t="shared" si="102"/>
        <v/>
      </c>
      <c r="AD955" s="28">
        <f>ROUND((IF(ISBLANK(L955),Employee_Lookups!$O$14,L955)-J955)/365.25,2)</f>
        <v>2.0299999999999998</v>
      </c>
      <c r="AE955" t="str">
        <f t="shared" si="103"/>
        <v>1 - 3 Yrs</v>
      </c>
      <c r="AF955" t="str">
        <f t="shared" si="104"/>
        <v>Low Risk</v>
      </c>
    </row>
    <row r="956" spans="1:32" x14ac:dyDescent="0.45">
      <c r="A956" t="s">
        <v>1748</v>
      </c>
      <c r="B956" t="s">
        <v>1749</v>
      </c>
      <c r="C956" t="s">
        <v>55</v>
      </c>
      <c r="D956" t="s">
        <v>54</v>
      </c>
      <c r="E956" t="s">
        <v>277</v>
      </c>
      <c r="F956" t="s">
        <v>81</v>
      </c>
      <c r="G956" t="s">
        <v>278</v>
      </c>
      <c r="H956" t="s">
        <v>108</v>
      </c>
      <c r="I956" t="s">
        <v>107</v>
      </c>
      <c r="J956" s="26">
        <v>45281</v>
      </c>
      <c r="K956" t="s">
        <v>170</v>
      </c>
      <c r="L956" s="26">
        <v>45579</v>
      </c>
      <c r="M956" t="s">
        <v>171</v>
      </c>
      <c r="N956" t="s">
        <v>99</v>
      </c>
      <c r="O956" s="27">
        <v>570000</v>
      </c>
      <c r="P956">
        <v>2</v>
      </c>
      <c r="Q956" t="s">
        <v>172</v>
      </c>
      <c r="R956">
        <v>10</v>
      </c>
      <c r="S956" t="s">
        <v>262</v>
      </c>
      <c r="T956">
        <f t="shared" si="98"/>
        <v>10023</v>
      </c>
      <c r="U956" t="str">
        <f t="shared" si="99"/>
        <v>OPS</v>
      </c>
      <c r="V956" t="str">
        <f t="shared" si="100"/>
        <v>L1</v>
      </c>
      <c r="W956" t="str">
        <f>PROPER(TRIM(VLOOKUP(S956,Employee_Lookups!$I$4:$M$19,2,FALSE())))</f>
        <v>Ananya Iyer</v>
      </c>
      <c r="X956" t="str">
        <f>VLOOKUP(C956,Employee_Lookups!$A$4:$G$9,4,FALSE())</f>
        <v>CC-303</v>
      </c>
      <c r="Y956" t="str">
        <f>INDEX(Employee_Lookups!$C$13:$C$17,MATCH(F956,Employee_Lookups!$A$13:$A$17,0))</f>
        <v>Band A (Entry)</v>
      </c>
      <c r="Z956" s="27">
        <f>_xlfn.XLOOKUP(F956,Employee_Lookups!$A$13:$A$17,Employee_Lookups!$E$13:$E$17,0)</f>
        <v>700000</v>
      </c>
      <c r="AA956" s="28">
        <f>ROUND(O956/INDEX(Employee_Lookups!$E$13:$E$17,MATCH(F956,Employee_Lookups!$A$13:$A$17,0)),3)</f>
        <v>0.81399999999999995</v>
      </c>
      <c r="AB956">
        <f t="shared" si="101"/>
        <v>2023</v>
      </c>
      <c r="AC956">
        <f t="shared" si="102"/>
        <v>2024</v>
      </c>
      <c r="AD956" s="28">
        <f>ROUND((IF(ISBLANK(L956),Employee_Lookups!$O$14,L956)-J956)/365.25,2)</f>
        <v>0.82</v>
      </c>
      <c r="AE956" t="str">
        <f t="shared" si="103"/>
        <v>&lt; 1 Yr (New)</v>
      </c>
      <c r="AF956" t="str">
        <f t="shared" si="104"/>
        <v>Exited</v>
      </c>
    </row>
    <row r="957" spans="1:32" x14ac:dyDescent="0.45">
      <c r="A957" t="s">
        <v>1750</v>
      </c>
      <c r="B957" t="s">
        <v>691</v>
      </c>
      <c r="C957" t="s">
        <v>53</v>
      </c>
      <c r="D957" t="s">
        <v>52</v>
      </c>
      <c r="E957" t="s">
        <v>200</v>
      </c>
      <c r="F957" t="s">
        <v>84</v>
      </c>
      <c r="G957" t="s">
        <v>201</v>
      </c>
      <c r="H957" t="s">
        <v>106</v>
      </c>
      <c r="I957" t="s">
        <v>107</v>
      </c>
      <c r="J957" s="26">
        <v>45281</v>
      </c>
      <c r="K957" t="s">
        <v>162</v>
      </c>
      <c r="L957" s="26"/>
      <c r="M957" t="s">
        <v>163</v>
      </c>
      <c r="N957" t="s">
        <v>99</v>
      </c>
      <c r="O957" s="27">
        <v>3020000</v>
      </c>
      <c r="P957">
        <v>5</v>
      </c>
      <c r="Q957" t="s">
        <v>164</v>
      </c>
      <c r="R957">
        <v>37</v>
      </c>
      <c r="S957" t="s">
        <v>194</v>
      </c>
      <c r="T957">
        <f t="shared" si="98"/>
        <v>11169</v>
      </c>
      <c r="U957" t="str">
        <f t="shared" si="99"/>
        <v>SAL</v>
      </c>
      <c r="V957" t="str">
        <f t="shared" si="100"/>
        <v>L4</v>
      </c>
      <c r="W957" t="str">
        <f>PROPER(TRIM(VLOOKUP(S957,Employee_Lookups!$I$4:$M$19,2,FALSE())))</f>
        <v>Vikramaditya Joshi</v>
      </c>
      <c r="X957" t="str">
        <f>VLOOKUP(C957,Employee_Lookups!$A$4:$G$9,4,FALSE())</f>
        <v>CC-202</v>
      </c>
      <c r="Y957" t="str">
        <f>INDEX(Employee_Lookups!$C$13:$C$17,MATCH(F957,Employee_Lookups!$A$13:$A$17,0))</f>
        <v>Band D (Leadership)</v>
      </c>
      <c r="Z957" s="27">
        <f>_xlfn.XLOOKUP(F957,Employee_Lookups!$A$13:$A$17,Employee_Lookups!$E$13:$E$17,0)</f>
        <v>2750000</v>
      </c>
      <c r="AA957" s="28">
        <f>ROUND(O957/INDEX(Employee_Lookups!$E$13:$E$17,MATCH(F957,Employee_Lookups!$A$13:$A$17,0)),3)</f>
        <v>1.0980000000000001</v>
      </c>
      <c r="AB957">
        <f t="shared" si="101"/>
        <v>2023</v>
      </c>
      <c r="AC957" t="str">
        <f t="shared" si="102"/>
        <v/>
      </c>
      <c r="AD957" s="28">
        <f>ROUND((IF(ISBLANK(L957),Employee_Lookups!$O$14,L957)-J957)/365.25,2)</f>
        <v>2.0299999999999998</v>
      </c>
      <c r="AE957" t="str">
        <f t="shared" si="103"/>
        <v>1 - 3 Yrs</v>
      </c>
      <c r="AF957" t="str">
        <f t="shared" si="104"/>
        <v>Low Risk</v>
      </c>
    </row>
    <row r="958" spans="1:32" x14ac:dyDescent="0.45">
      <c r="A958" t="s">
        <v>1751</v>
      </c>
      <c r="B958" t="s">
        <v>755</v>
      </c>
      <c r="C958" t="s">
        <v>55</v>
      </c>
      <c r="D958" t="s">
        <v>54</v>
      </c>
      <c r="E958" t="s">
        <v>229</v>
      </c>
      <c r="F958" t="s">
        <v>82</v>
      </c>
      <c r="G958" t="s">
        <v>230</v>
      </c>
      <c r="H958" t="s">
        <v>108</v>
      </c>
      <c r="I958" t="s">
        <v>107</v>
      </c>
      <c r="J958" s="26">
        <v>45282</v>
      </c>
      <c r="K958" t="s">
        <v>162</v>
      </c>
      <c r="L958" s="26"/>
      <c r="M958" t="s">
        <v>163</v>
      </c>
      <c r="N958" t="s">
        <v>99</v>
      </c>
      <c r="O958" s="27">
        <v>1116000</v>
      </c>
      <c r="P958">
        <v>3</v>
      </c>
      <c r="Q958" t="s">
        <v>164</v>
      </c>
      <c r="R958">
        <v>31</v>
      </c>
      <c r="S958" t="s">
        <v>173</v>
      </c>
      <c r="T958">
        <f t="shared" si="98"/>
        <v>11167</v>
      </c>
      <c r="U958" t="str">
        <f t="shared" si="99"/>
        <v>OPS</v>
      </c>
      <c r="V958" t="str">
        <f t="shared" si="100"/>
        <v>L2</v>
      </c>
      <c r="W958" t="str">
        <f>PROPER(TRIM(VLOOKUP(S958,Employee_Lookups!$I$4:$M$19,2,FALSE())))</f>
        <v>Deepak Patil</v>
      </c>
      <c r="X958" t="str">
        <f>VLOOKUP(C958,Employee_Lookups!$A$4:$G$9,4,FALSE())</f>
        <v>CC-303</v>
      </c>
      <c r="Y958" t="str">
        <f>INDEX(Employee_Lookups!$C$13:$C$17,MATCH(F958,Employee_Lookups!$A$13:$A$17,0))</f>
        <v>Band B (Mid)</v>
      </c>
      <c r="Z958" s="27">
        <f>_xlfn.XLOOKUP(F958,Employee_Lookups!$A$13:$A$17,Employee_Lookups!$E$13:$E$17,0)</f>
        <v>1100000</v>
      </c>
      <c r="AA958" s="28">
        <f>ROUND(O958/INDEX(Employee_Lookups!$E$13:$E$17,MATCH(F958,Employee_Lookups!$A$13:$A$17,0)),3)</f>
        <v>1.0149999999999999</v>
      </c>
      <c r="AB958">
        <f t="shared" si="101"/>
        <v>2023</v>
      </c>
      <c r="AC958" t="str">
        <f t="shared" si="102"/>
        <v/>
      </c>
      <c r="AD958" s="28">
        <f>ROUND((IF(ISBLANK(L958),Employee_Lookups!$O$14,L958)-J958)/365.25,2)</f>
        <v>2.0299999999999998</v>
      </c>
      <c r="AE958" t="str">
        <f t="shared" si="103"/>
        <v>1 - 3 Yrs</v>
      </c>
      <c r="AF958" t="str">
        <f t="shared" si="104"/>
        <v>Low Risk</v>
      </c>
    </row>
    <row r="959" spans="1:32" x14ac:dyDescent="0.45">
      <c r="A959" t="s">
        <v>1752</v>
      </c>
      <c r="B959" t="s">
        <v>698</v>
      </c>
      <c r="C959" t="s">
        <v>51</v>
      </c>
      <c r="D959" t="s">
        <v>50</v>
      </c>
      <c r="E959" t="s">
        <v>181</v>
      </c>
      <c r="F959" t="s">
        <v>81</v>
      </c>
      <c r="G959" t="s">
        <v>182</v>
      </c>
      <c r="H959" t="s">
        <v>106</v>
      </c>
      <c r="I959" t="s">
        <v>107</v>
      </c>
      <c r="J959" s="26">
        <v>45283</v>
      </c>
      <c r="K959" t="s">
        <v>187</v>
      </c>
      <c r="L959" s="26">
        <v>45427</v>
      </c>
      <c r="M959" t="s">
        <v>282</v>
      </c>
      <c r="N959" t="s">
        <v>98</v>
      </c>
      <c r="O959" s="27">
        <v>679000</v>
      </c>
      <c r="P959">
        <v>3</v>
      </c>
      <c r="Q959" t="s">
        <v>164</v>
      </c>
      <c r="R959">
        <v>38</v>
      </c>
      <c r="S959" t="s">
        <v>197</v>
      </c>
      <c r="T959">
        <f t="shared" si="98"/>
        <v>10358</v>
      </c>
      <c r="U959" t="str">
        <f t="shared" si="99"/>
        <v>ENG</v>
      </c>
      <c r="V959" t="str">
        <f t="shared" si="100"/>
        <v>L1</v>
      </c>
      <c r="W959" t="str">
        <f>PROPER(TRIM(VLOOKUP(S959,Employee_Lookups!$I$4:$M$19,2,FALSE())))</f>
        <v>Rohan Verma</v>
      </c>
      <c r="X959" t="str">
        <f>VLOOKUP(C959,Employee_Lookups!$A$4:$G$9,4,FALSE())</f>
        <v>CC-101</v>
      </c>
      <c r="Y959" t="str">
        <f>INDEX(Employee_Lookups!$C$13:$C$17,MATCH(F959,Employee_Lookups!$A$13:$A$17,0))</f>
        <v>Band A (Entry)</v>
      </c>
      <c r="Z959" s="27">
        <f>_xlfn.XLOOKUP(F959,Employee_Lookups!$A$13:$A$17,Employee_Lookups!$E$13:$E$17,0)</f>
        <v>700000</v>
      </c>
      <c r="AA959" s="28">
        <f>ROUND(O959/INDEX(Employee_Lookups!$E$13:$E$17,MATCH(F959,Employee_Lookups!$A$13:$A$17,0)),3)</f>
        <v>0.97</v>
      </c>
      <c r="AB959">
        <f t="shared" si="101"/>
        <v>2023</v>
      </c>
      <c r="AC959">
        <f t="shared" si="102"/>
        <v>2024</v>
      </c>
      <c r="AD959" s="28">
        <f>ROUND((IF(ISBLANK(L959),Employee_Lookups!$O$14,L959)-J959)/365.25,2)</f>
        <v>0.39</v>
      </c>
      <c r="AE959" t="str">
        <f t="shared" si="103"/>
        <v>&lt; 1 Yr (New)</v>
      </c>
      <c r="AF959" t="str">
        <f t="shared" si="104"/>
        <v>Exited</v>
      </c>
    </row>
    <row r="960" spans="1:32" x14ac:dyDescent="0.45">
      <c r="A960" t="s">
        <v>1753</v>
      </c>
      <c r="B960" t="s">
        <v>1754</v>
      </c>
      <c r="C960" t="s">
        <v>53</v>
      </c>
      <c r="D960" t="s">
        <v>52</v>
      </c>
      <c r="E960" t="s">
        <v>322</v>
      </c>
      <c r="F960" t="s">
        <v>81</v>
      </c>
      <c r="G960" t="s">
        <v>323</v>
      </c>
      <c r="H960" t="s">
        <v>106</v>
      </c>
      <c r="I960" t="s">
        <v>107</v>
      </c>
      <c r="J960" s="26">
        <v>45283</v>
      </c>
      <c r="K960" t="s">
        <v>187</v>
      </c>
      <c r="L960" s="26">
        <v>45388</v>
      </c>
      <c r="M960" t="s">
        <v>213</v>
      </c>
      <c r="N960" t="s">
        <v>98</v>
      </c>
      <c r="O960" s="27">
        <v>710000</v>
      </c>
      <c r="P960">
        <v>3</v>
      </c>
      <c r="Q960" t="s">
        <v>172</v>
      </c>
      <c r="R960">
        <v>42</v>
      </c>
      <c r="S960" t="s">
        <v>237</v>
      </c>
      <c r="T960">
        <f t="shared" si="98"/>
        <v>10838</v>
      </c>
      <c r="U960" t="str">
        <f t="shared" si="99"/>
        <v>SAL</v>
      </c>
      <c r="V960" t="str">
        <f t="shared" si="100"/>
        <v>L1</v>
      </c>
      <c r="W960" t="str">
        <f>PROPER(TRIM(VLOOKUP(S960,Employee_Lookups!$I$4:$M$19,2,FALSE())))</f>
        <v>Karan Malhotra</v>
      </c>
      <c r="X960" t="str">
        <f>VLOOKUP(C960,Employee_Lookups!$A$4:$G$9,4,FALSE())</f>
        <v>CC-202</v>
      </c>
      <c r="Y960" t="str">
        <f>INDEX(Employee_Lookups!$C$13:$C$17,MATCH(F960,Employee_Lookups!$A$13:$A$17,0))</f>
        <v>Band A (Entry)</v>
      </c>
      <c r="Z960" s="27">
        <f>_xlfn.XLOOKUP(F960,Employee_Lookups!$A$13:$A$17,Employee_Lookups!$E$13:$E$17,0)</f>
        <v>700000</v>
      </c>
      <c r="AA960" s="28">
        <f>ROUND(O960/INDEX(Employee_Lookups!$E$13:$E$17,MATCH(F960,Employee_Lookups!$A$13:$A$17,0)),3)</f>
        <v>1.014</v>
      </c>
      <c r="AB960">
        <f t="shared" si="101"/>
        <v>2023</v>
      </c>
      <c r="AC960">
        <f t="shared" si="102"/>
        <v>2024</v>
      </c>
      <c r="AD960" s="28">
        <f>ROUND((IF(ISBLANK(L960),Employee_Lookups!$O$14,L960)-J960)/365.25,2)</f>
        <v>0.28999999999999998</v>
      </c>
      <c r="AE960" t="str">
        <f t="shared" si="103"/>
        <v>&lt; 1 Yr (New)</v>
      </c>
      <c r="AF960" t="str">
        <f t="shared" si="104"/>
        <v>Exited</v>
      </c>
    </row>
    <row r="961" spans="1:32" x14ac:dyDescent="0.45">
      <c r="A961" t="s">
        <v>1755</v>
      </c>
      <c r="B961" t="s">
        <v>1439</v>
      </c>
      <c r="C961" t="s">
        <v>51</v>
      </c>
      <c r="D961" t="s">
        <v>50</v>
      </c>
      <c r="E961" t="s">
        <v>181</v>
      </c>
      <c r="F961" t="s">
        <v>81</v>
      </c>
      <c r="G961" t="s">
        <v>182</v>
      </c>
      <c r="H961" t="s">
        <v>106</v>
      </c>
      <c r="I961" t="s">
        <v>107</v>
      </c>
      <c r="J961" s="26">
        <v>45285</v>
      </c>
      <c r="K961" t="s">
        <v>162</v>
      </c>
      <c r="L961" s="26"/>
      <c r="M961" t="s">
        <v>163</v>
      </c>
      <c r="N961" t="s">
        <v>99</v>
      </c>
      <c r="O961" s="27">
        <v>846000</v>
      </c>
      <c r="P961">
        <v>2</v>
      </c>
      <c r="Q961" t="s">
        <v>164</v>
      </c>
      <c r="R961">
        <v>9</v>
      </c>
      <c r="S961" t="s">
        <v>219</v>
      </c>
      <c r="T961">
        <f t="shared" si="98"/>
        <v>11257</v>
      </c>
      <c r="U961" t="str">
        <f t="shared" si="99"/>
        <v>ENG</v>
      </c>
      <c r="V961" t="str">
        <f t="shared" si="100"/>
        <v>L1</v>
      </c>
      <c r="W961" t="str">
        <f>PROPER(TRIM(VLOOKUP(S961,Employee_Lookups!$I$4:$M$19,2,FALSE())))</f>
        <v>Neha Kulkarni</v>
      </c>
      <c r="X961" t="str">
        <f>VLOOKUP(C961,Employee_Lookups!$A$4:$G$9,4,FALSE())</f>
        <v>CC-101</v>
      </c>
      <c r="Y961" t="str">
        <f>INDEX(Employee_Lookups!$C$13:$C$17,MATCH(F961,Employee_Lookups!$A$13:$A$17,0))</f>
        <v>Band A (Entry)</v>
      </c>
      <c r="Z961" s="27">
        <f>_xlfn.XLOOKUP(F961,Employee_Lookups!$A$13:$A$17,Employee_Lookups!$E$13:$E$17,0)</f>
        <v>700000</v>
      </c>
      <c r="AA961" s="28">
        <f>ROUND(O961/INDEX(Employee_Lookups!$E$13:$E$17,MATCH(F961,Employee_Lookups!$A$13:$A$17,0)),3)</f>
        <v>1.2090000000000001</v>
      </c>
      <c r="AB961">
        <f t="shared" si="101"/>
        <v>2023</v>
      </c>
      <c r="AC961" t="str">
        <f t="shared" si="102"/>
        <v/>
      </c>
      <c r="AD961" s="28">
        <f>ROUND((IF(ISBLANK(L961),Employee_Lookups!$O$14,L961)-J961)/365.25,2)</f>
        <v>2.02</v>
      </c>
      <c r="AE961" t="str">
        <f t="shared" si="103"/>
        <v>1 - 3 Yrs</v>
      </c>
      <c r="AF961" t="str">
        <f t="shared" si="104"/>
        <v>Moderate Risk</v>
      </c>
    </row>
    <row r="962" spans="1:32" x14ac:dyDescent="0.45">
      <c r="A962" t="s">
        <v>1756</v>
      </c>
      <c r="B962" t="s">
        <v>1757</v>
      </c>
      <c r="C962" t="s">
        <v>55</v>
      </c>
      <c r="D962" t="s">
        <v>54</v>
      </c>
      <c r="E962" t="s">
        <v>277</v>
      </c>
      <c r="F962" t="s">
        <v>81</v>
      </c>
      <c r="G962" t="s">
        <v>278</v>
      </c>
      <c r="H962" t="s">
        <v>106</v>
      </c>
      <c r="I962" t="s">
        <v>107</v>
      </c>
      <c r="J962" s="26">
        <v>45286</v>
      </c>
      <c r="K962" t="s">
        <v>162</v>
      </c>
      <c r="L962" s="26"/>
      <c r="M962" t="s">
        <v>163</v>
      </c>
      <c r="N962" t="s">
        <v>95</v>
      </c>
      <c r="O962" s="27">
        <v>598000</v>
      </c>
      <c r="P962">
        <v>4</v>
      </c>
      <c r="Q962" t="s">
        <v>172</v>
      </c>
      <c r="R962">
        <v>24</v>
      </c>
      <c r="S962" t="s">
        <v>274</v>
      </c>
      <c r="T962">
        <f t="shared" ref="T962:T1025" si="105">VALUE(MID(A962,5,5))</f>
        <v>10045</v>
      </c>
      <c r="U962" t="str">
        <f t="shared" ref="U962:U1025" si="106">LEFT(E962,3)</f>
        <v>OPS</v>
      </c>
      <c r="V962" t="str">
        <f t="shared" ref="V962:V1025" si="107">RIGHT(E962,2)</f>
        <v>L1</v>
      </c>
      <c r="W962" t="str">
        <f>PROPER(TRIM(VLOOKUP(S962,Employee_Lookups!$I$4:$M$19,2,FALSE())))</f>
        <v>Meera Krishnan</v>
      </c>
      <c r="X962" t="str">
        <f>VLOOKUP(C962,Employee_Lookups!$A$4:$G$9,4,FALSE())</f>
        <v>CC-303</v>
      </c>
      <c r="Y962" t="str">
        <f>INDEX(Employee_Lookups!$C$13:$C$17,MATCH(F962,Employee_Lookups!$A$13:$A$17,0))</f>
        <v>Band A (Entry)</v>
      </c>
      <c r="Z962" s="27">
        <f>_xlfn.XLOOKUP(F962,Employee_Lookups!$A$13:$A$17,Employee_Lookups!$E$13:$E$17,0)</f>
        <v>700000</v>
      </c>
      <c r="AA962" s="28">
        <f>ROUND(O962/INDEX(Employee_Lookups!$E$13:$E$17,MATCH(F962,Employee_Lookups!$A$13:$A$17,0)),3)</f>
        <v>0.85399999999999998</v>
      </c>
      <c r="AB962">
        <f t="shared" ref="AB962:AB1025" si="108">YEAR(J962)</f>
        <v>2023</v>
      </c>
      <c r="AC962" t="str">
        <f t="shared" ref="AC962:AC1025" si="109">IF(ISBLANK(L962),"",YEAR(L962))</f>
        <v/>
      </c>
      <c r="AD962" s="28">
        <f>ROUND((IF(ISBLANK(L962),Employee_Lookups!$O$14,L962)-J962)/365.25,2)</f>
        <v>2.02</v>
      </c>
      <c r="AE962" t="str">
        <f t="shared" ref="AE962:AE1025" si="110">IF(AD962&lt;1,"&lt; 1 Yr (New)",IF(AD962&lt;3,"1 - 3 Yrs",IF(AD962&lt;5,"3 - 5 Yrs","5+ Yrs")))</f>
        <v>1 - 3 Yrs</v>
      </c>
      <c r="AF962" t="str">
        <f t="shared" ref="AF962:AF1025" si="111">IF(K962&lt;&gt;"Active","Exited",IF(AND(Q962="Yes",OR(P962&gt;=4,AA962&lt;0.95)),"High Risk",IF(OR(Q962="Yes",AND(NOT(ISBLANK(P962)),P962&lt;=2)),"Moderate Risk","Low Risk")))</f>
        <v>High Risk</v>
      </c>
    </row>
    <row r="963" spans="1:32" x14ac:dyDescent="0.45">
      <c r="A963" t="s">
        <v>1758</v>
      </c>
      <c r="B963" t="s">
        <v>1759</v>
      </c>
      <c r="C963" t="s">
        <v>53</v>
      </c>
      <c r="D963" t="s">
        <v>52</v>
      </c>
      <c r="E963" t="s">
        <v>192</v>
      </c>
      <c r="F963" t="s">
        <v>83</v>
      </c>
      <c r="G963" t="s">
        <v>193</v>
      </c>
      <c r="H963" t="s">
        <v>106</v>
      </c>
      <c r="I963" t="s">
        <v>107</v>
      </c>
      <c r="J963" s="26">
        <v>45286</v>
      </c>
      <c r="K963" t="s">
        <v>187</v>
      </c>
      <c r="L963" s="26">
        <v>45553</v>
      </c>
      <c r="M963" t="s">
        <v>213</v>
      </c>
      <c r="N963" t="s">
        <v>97</v>
      </c>
      <c r="O963" s="27">
        <v>1406000</v>
      </c>
      <c r="P963">
        <v>3</v>
      </c>
      <c r="Q963" t="s">
        <v>172</v>
      </c>
      <c r="R963">
        <v>65</v>
      </c>
      <c r="S963" t="s">
        <v>194</v>
      </c>
      <c r="T963">
        <f t="shared" si="105"/>
        <v>11445</v>
      </c>
      <c r="U963" t="str">
        <f t="shared" si="106"/>
        <v>SAL</v>
      </c>
      <c r="V963" t="str">
        <f t="shared" si="107"/>
        <v>L3</v>
      </c>
      <c r="W963" t="str">
        <f>PROPER(TRIM(VLOOKUP(S963,Employee_Lookups!$I$4:$M$19,2,FALSE())))</f>
        <v>Vikramaditya Joshi</v>
      </c>
      <c r="X963" t="str">
        <f>VLOOKUP(C963,Employee_Lookups!$A$4:$G$9,4,FALSE())</f>
        <v>CC-202</v>
      </c>
      <c r="Y963" t="str">
        <f>INDEX(Employee_Lookups!$C$13:$C$17,MATCH(F963,Employee_Lookups!$A$13:$A$17,0))</f>
        <v>Band C (Senior)</v>
      </c>
      <c r="Z963" s="27">
        <f>_xlfn.XLOOKUP(F963,Employee_Lookups!$A$13:$A$17,Employee_Lookups!$E$13:$E$17,0)</f>
        <v>1725000</v>
      </c>
      <c r="AA963" s="28">
        <f>ROUND(O963/INDEX(Employee_Lookups!$E$13:$E$17,MATCH(F963,Employee_Lookups!$A$13:$A$17,0)),3)</f>
        <v>0.81499999999999995</v>
      </c>
      <c r="AB963">
        <f t="shared" si="108"/>
        <v>2023</v>
      </c>
      <c r="AC963">
        <f t="shared" si="109"/>
        <v>2024</v>
      </c>
      <c r="AD963" s="28">
        <f>ROUND((IF(ISBLANK(L963),Employee_Lookups!$O$14,L963)-J963)/365.25,2)</f>
        <v>0.73</v>
      </c>
      <c r="AE963" t="str">
        <f t="shared" si="110"/>
        <v>&lt; 1 Yr (New)</v>
      </c>
      <c r="AF963" t="str">
        <f t="shared" si="111"/>
        <v>Exited</v>
      </c>
    </row>
    <row r="964" spans="1:32" x14ac:dyDescent="0.45">
      <c r="A964" t="s">
        <v>1760</v>
      </c>
      <c r="B964" t="s">
        <v>1186</v>
      </c>
      <c r="C964" t="s">
        <v>61</v>
      </c>
      <c r="D964" t="s">
        <v>60</v>
      </c>
      <c r="E964" t="s">
        <v>356</v>
      </c>
      <c r="F964" t="s">
        <v>81</v>
      </c>
      <c r="G964" t="s">
        <v>357</v>
      </c>
      <c r="H964" t="s">
        <v>106</v>
      </c>
      <c r="I964" t="s">
        <v>107</v>
      </c>
      <c r="J964" s="26">
        <v>45286</v>
      </c>
      <c r="K964" t="s">
        <v>162</v>
      </c>
      <c r="L964" s="26"/>
      <c r="M964" t="s">
        <v>163</v>
      </c>
      <c r="N964" t="s">
        <v>98</v>
      </c>
      <c r="O964" s="27">
        <v>571000</v>
      </c>
      <c r="P964">
        <v>3</v>
      </c>
      <c r="Q964" t="s">
        <v>164</v>
      </c>
      <c r="R964">
        <v>21</v>
      </c>
      <c r="S964" t="s">
        <v>319</v>
      </c>
      <c r="T964">
        <f t="shared" si="105"/>
        <v>10963</v>
      </c>
      <c r="U964" t="str">
        <f t="shared" si="106"/>
        <v>-HR</v>
      </c>
      <c r="V964" t="str">
        <f t="shared" si="107"/>
        <v>L1</v>
      </c>
      <c r="W964" t="str">
        <f>PROPER(TRIM(VLOOKUP(S964,Employee_Lookups!$I$4:$M$19,2,FALSE())))</f>
        <v>Kavita Menon</v>
      </c>
      <c r="X964" t="str">
        <f>VLOOKUP(C964,Employee_Lookups!$A$4:$G$9,4,FALSE())</f>
        <v>CC-505</v>
      </c>
      <c r="Y964" t="str">
        <f>INDEX(Employee_Lookups!$C$13:$C$17,MATCH(F964,Employee_Lookups!$A$13:$A$17,0))</f>
        <v>Band A (Entry)</v>
      </c>
      <c r="Z964" s="27">
        <f>_xlfn.XLOOKUP(F964,Employee_Lookups!$A$13:$A$17,Employee_Lookups!$E$13:$E$17,0)</f>
        <v>700000</v>
      </c>
      <c r="AA964" s="28">
        <f>ROUND(O964/INDEX(Employee_Lookups!$E$13:$E$17,MATCH(F964,Employee_Lookups!$A$13:$A$17,0)),3)</f>
        <v>0.81599999999999995</v>
      </c>
      <c r="AB964">
        <f t="shared" si="108"/>
        <v>2023</v>
      </c>
      <c r="AC964" t="str">
        <f t="shared" si="109"/>
        <v/>
      </c>
      <c r="AD964" s="28">
        <f>ROUND((IF(ISBLANK(L964),Employee_Lookups!$O$14,L964)-J964)/365.25,2)</f>
        <v>2.02</v>
      </c>
      <c r="AE964" t="str">
        <f t="shared" si="110"/>
        <v>1 - 3 Yrs</v>
      </c>
      <c r="AF964" t="str">
        <f t="shared" si="111"/>
        <v>Low Risk</v>
      </c>
    </row>
    <row r="965" spans="1:32" x14ac:dyDescent="0.45">
      <c r="A965" t="s">
        <v>1761</v>
      </c>
      <c r="B965" t="s">
        <v>1609</v>
      </c>
      <c r="C965" t="s">
        <v>53</v>
      </c>
      <c r="D965" t="s">
        <v>52</v>
      </c>
      <c r="E965" t="s">
        <v>322</v>
      </c>
      <c r="F965" t="s">
        <v>81</v>
      </c>
      <c r="G965" t="s">
        <v>323</v>
      </c>
      <c r="H965" t="s">
        <v>106</v>
      </c>
      <c r="I965" t="s">
        <v>107</v>
      </c>
      <c r="J965" s="26">
        <v>45287</v>
      </c>
      <c r="K965" t="s">
        <v>162</v>
      </c>
      <c r="L965" s="26"/>
      <c r="M965" t="s">
        <v>163</v>
      </c>
      <c r="N965" t="s">
        <v>96</v>
      </c>
      <c r="O965" s="27">
        <v>804000</v>
      </c>
      <c r="P965">
        <v>4</v>
      </c>
      <c r="Q965" t="s">
        <v>164</v>
      </c>
      <c r="R965">
        <v>51</v>
      </c>
      <c r="S965" t="s">
        <v>237</v>
      </c>
      <c r="T965">
        <f t="shared" si="105"/>
        <v>10840</v>
      </c>
      <c r="U965" t="str">
        <f t="shared" si="106"/>
        <v>SAL</v>
      </c>
      <c r="V965" t="str">
        <f t="shared" si="107"/>
        <v>L1</v>
      </c>
      <c r="W965" t="str">
        <f>PROPER(TRIM(VLOOKUP(S965,Employee_Lookups!$I$4:$M$19,2,FALSE())))</f>
        <v>Karan Malhotra</v>
      </c>
      <c r="X965" t="str">
        <f>VLOOKUP(C965,Employee_Lookups!$A$4:$G$9,4,FALSE())</f>
        <v>CC-202</v>
      </c>
      <c r="Y965" t="str">
        <f>INDEX(Employee_Lookups!$C$13:$C$17,MATCH(F965,Employee_Lookups!$A$13:$A$17,0))</f>
        <v>Band A (Entry)</v>
      </c>
      <c r="Z965" s="27">
        <f>_xlfn.XLOOKUP(F965,Employee_Lookups!$A$13:$A$17,Employee_Lookups!$E$13:$E$17,0)</f>
        <v>700000</v>
      </c>
      <c r="AA965" s="28">
        <f>ROUND(O965/INDEX(Employee_Lookups!$E$13:$E$17,MATCH(F965,Employee_Lookups!$A$13:$A$17,0)),3)</f>
        <v>1.149</v>
      </c>
      <c r="AB965">
        <f t="shared" si="108"/>
        <v>2023</v>
      </c>
      <c r="AC965" t="str">
        <f t="shared" si="109"/>
        <v/>
      </c>
      <c r="AD965" s="28">
        <f>ROUND((IF(ISBLANK(L965),Employee_Lookups!$O$14,L965)-J965)/365.25,2)</f>
        <v>2.0099999999999998</v>
      </c>
      <c r="AE965" t="str">
        <f t="shared" si="110"/>
        <v>1 - 3 Yrs</v>
      </c>
      <c r="AF965" t="str">
        <f t="shared" si="111"/>
        <v>Low Risk</v>
      </c>
    </row>
    <row r="966" spans="1:32" x14ac:dyDescent="0.45">
      <c r="A966" t="s">
        <v>1762</v>
      </c>
      <c r="B966" t="s">
        <v>1763</v>
      </c>
      <c r="C966" t="s">
        <v>55</v>
      </c>
      <c r="D966" t="s">
        <v>54</v>
      </c>
      <c r="E966" t="s">
        <v>277</v>
      </c>
      <c r="F966" t="s">
        <v>81</v>
      </c>
      <c r="G966" t="s">
        <v>278</v>
      </c>
      <c r="H966" t="s">
        <v>108</v>
      </c>
      <c r="I966" t="s">
        <v>107</v>
      </c>
      <c r="J966" s="26">
        <v>45288</v>
      </c>
      <c r="K966" t="s">
        <v>187</v>
      </c>
      <c r="L966" s="26">
        <v>45508</v>
      </c>
      <c r="M966" t="s">
        <v>269</v>
      </c>
      <c r="N966" t="s">
        <v>95</v>
      </c>
      <c r="O966" s="27">
        <v>824000</v>
      </c>
      <c r="P966">
        <v>3</v>
      </c>
      <c r="Q966" t="s">
        <v>164</v>
      </c>
      <c r="R966">
        <v>66</v>
      </c>
      <c r="S966" t="s">
        <v>274</v>
      </c>
      <c r="T966">
        <f t="shared" si="105"/>
        <v>10254</v>
      </c>
      <c r="U966" t="str">
        <f t="shared" si="106"/>
        <v>OPS</v>
      </c>
      <c r="V966" t="str">
        <f t="shared" si="107"/>
        <v>L1</v>
      </c>
      <c r="W966" t="str">
        <f>PROPER(TRIM(VLOOKUP(S966,Employee_Lookups!$I$4:$M$19,2,FALSE())))</f>
        <v>Meera Krishnan</v>
      </c>
      <c r="X966" t="str">
        <f>VLOOKUP(C966,Employee_Lookups!$A$4:$G$9,4,FALSE())</f>
        <v>CC-303</v>
      </c>
      <c r="Y966" t="str">
        <f>INDEX(Employee_Lookups!$C$13:$C$17,MATCH(F966,Employee_Lookups!$A$13:$A$17,0))</f>
        <v>Band A (Entry)</v>
      </c>
      <c r="Z966" s="27">
        <f>_xlfn.XLOOKUP(F966,Employee_Lookups!$A$13:$A$17,Employee_Lookups!$E$13:$E$17,0)</f>
        <v>700000</v>
      </c>
      <c r="AA966" s="28">
        <f>ROUND(O966/INDEX(Employee_Lookups!$E$13:$E$17,MATCH(F966,Employee_Lookups!$A$13:$A$17,0)),3)</f>
        <v>1.177</v>
      </c>
      <c r="AB966">
        <f t="shared" si="108"/>
        <v>2023</v>
      </c>
      <c r="AC966">
        <f t="shared" si="109"/>
        <v>2024</v>
      </c>
      <c r="AD966" s="28">
        <f>ROUND((IF(ISBLANK(L966),Employee_Lookups!$O$14,L966)-J966)/365.25,2)</f>
        <v>0.6</v>
      </c>
      <c r="AE966" t="str">
        <f t="shared" si="110"/>
        <v>&lt; 1 Yr (New)</v>
      </c>
      <c r="AF966" t="str">
        <f t="shared" si="111"/>
        <v>Exited</v>
      </c>
    </row>
    <row r="967" spans="1:32" x14ac:dyDescent="0.45">
      <c r="A967" t="s">
        <v>1764</v>
      </c>
      <c r="B967" t="s">
        <v>612</v>
      </c>
      <c r="C967" t="s">
        <v>51</v>
      </c>
      <c r="D967" t="s">
        <v>50</v>
      </c>
      <c r="E967" t="s">
        <v>176</v>
      </c>
      <c r="F967" t="s">
        <v>82</v>
      </c>
      <c r="G967" t="s">
        <v>177</v>
      </c>
      <c r="H967" t="s">
        <v>112</v>
      </c>
      <c r="I967" t="s">
        <v>113</v>
      </c>
      <c r="J967" s="26">
        <v>45288</v>
      </c>
      <c r="K967" t="s">
        <v>162</v>
      </c>
      <c r="L967" s="26"/>
      <c r="M967" t="s">
        <v>163</v>
      </c>
      <c r="N967" t="s">
        <v>99</v>
      </c>
      <c r="O967" s="27">
        <v>1168000</v>
      </c>
      <c r="P967">
        <v>2</v>
      </c>
      <c r="Q967" t="s">
        <v>172</v>
      </c>
      <c r="R967">
        <v>10</v>
      </c>
      <c r="S967" t="s">
        <v>244</v>
      </c>
      <c r="T967">
        <f t="shared" si="105"/>
        <v>11108</v>
      </c>
      <c r="U967" t="str">
        <f t="shared" si="106"/>
        <v>ENG</v>
      </c>
      <c r="V967" t="str">
        <f t="shared" si="107"/>
        <v>L2</v>
      </c>
      <c r="W967" t="str">
        <f>PROPER(TRIM(VLOOKUP(S967,Employee_Lookups!$I$4:$M$19,2,FALSE())))</f>
        <v>Siddharth Nair</v>
      </c>
      <c r="X967" t="str">
        <f>VLOOKUP(C967,Employee_Lookups!$A$4:$G$9,4,FALSE())</f>
        <v>CC-101</v>
      </c>
      <c r="Y967" t="str">
        <f>INDEX(Employee_Lookups!$C$13:$C$17,MATCH(F967,Employee_Lookups!$A$13:$A$17,0))</f>
        <v>Band B (Mid)</v>
      </c>
      <c r="Z967" s="27">
        <f>_xlfn.XLOOKUP(F967,Employee_Lookups!$A$13:$A$17,Employee_Lookups!$E$13:$E$17,0)</f>
        <v>1100000</v>
      </c>
      <c r="AA967" s="28">
        <f>ROUND(O967/INDEX(Employee_Lookups!$E$13:$E$17,MATCH(F967,Employee_Lookups!$A$13:$A$17,0)),3)</f>
        <v>1.0620000000000001</v>
      </c>
      <c r="AB967">
        <f t="shared" si="108"/>
        <v>2023</v>
      </c>
      <c r="AC967" t="str">
        <f t="shared" si="109"/>
        <v/>
      </c>
      <c r="AD967" s="28">
        <f>ROUND((IF(ISBLANK(L967),Employee_Lookups!$O$14,L967)-J967)/365.25,2)</f>
        <v>2.0099999999999998</v>
      </c>
      <c r="AE967" t="str">
        <f t="shared" si="110"/>
        <v>1 - 3 Yrs</v>
      </c>
      <c r="AF967" t="str">
        <f t="shared" si="111"/>
        <v>Moderate Risk</v>
      </c>
    </row>
    <row r="968" spans="1:32" x14ac:dyDescent="0.45">
      <c r="A968" t="s">
        <v>1765</v>
      </c>
      <c r="B968" t="s">
        <v>343</v>
      </c>
      <c r="C968" t="s">
        <v>57</v>
      </c>
      <c r="D968" t="s">
        <v>56</v>
      </c>
      <c r="E968" t="s">
        <v>222</v>
      </c>
      <c r="F968" t="s">
        <v>82</v>
      </c>
      <c r="G968" t="s">
        <v>223</v>
      </c>
      <c r="H968" t="s">
        <v>108</v>
      </c>
      <c r="I968" t="s">
        <v>107</v>
      </c>
      <c r="J968" s="26">
        <v>45288</v>
      </c>
      <c r="K968" t="s">
        <v>170</v>
      </c>
      <c r="L968" s="26">
        <v>45479</v>
      </c>
      <c r="M968" t="s">
        <v>171</v>
      </c>
      <c r="N968" t="s">
        <v>96</v>
      </c>
      <c r="O968" s="27">
        <v>1220000</v>
      </c>
      <c r="P968">
        <v>4</v>
      </c>
      <c r="Q968" t="s">
        <v>172</v>
      </c>
      <c r="R968">
        <v>31</v>
      </c>
      <c r="S968" t="s">
        <v>224</v>
      </c>
      <c r="T968">
        <f t="shared" si="105"/>
        <v>10657</v>
      </c>
      <c r="U968" t="str">
        <f t="shared" si="106"/>
        <v>MKT</v>
      </c>
      <c r="V968" t="str">
        <f t="shared" si="107"/>
        <v>L2</v>
      </c>
      <c r="W968" t="str">
        <f>PROPER(TRIM(VLOOKUP(S968,Employee_Lookups!$I$4:$M$19,2,FALSE())))</f>
        <v>Tanvi Chitnis</v>
      </c>
      <c r="X968" t="str">
        <f>VLOOKUP(C968,Employee_Lookups!$A$4:$G$9,4,FALSE())</f>
        <v>CC-606</v>
      </c>
      <c r="Y968" t="str">
        <f>INDEX(Employee_Lookups!$C$13:$C$17,MATCH(F968,Employee_Lookups!$A$13:$A$17,0))</f>
        <v>Band B (Mid)</v>
      </c>
      <c r="Z968" s="27">
        <f>_xlfn.XLOOKUP(F968,Employee_Lookups!$A$13:$A$17,Employee_Lookups!$E$13:$E$17,0)</f>
        <v>1100000</v>
      </c>
      <c r="AA968" s="28">
        <f>ROUND(O968/INDEX(Employee_Lookups!$E$13:$E$17,MATCH(F968,Employee_Lookups!$A$13:$A$17,0)),3)</f>
        <v>1.109</v>
      </c>
      <c r="AB968">
        <f t="shared" si="108"/>
        <v>2023</v>
      </c>
      <c r="AC968">
        <f t="shared" si="109"/>
        <v>2024</v>
      </c>
      <c r="AD968" s="28">
        <f>ROUND((IF(ISBLANK(L968),Employee_Lookups!$O$14,L968)-J968)/365.25,2)</f>
        <v>0.52</v>
      </c>
      <c r="AE968" t="str">
        <f t="shared" si="110"/>
        <v>&lt; 1 Yr (New)</v>
      </c>
      <c r="AF968" t="str">
        <f t="shared" si="111"/>
        <v>Exited</v>
      </c>
    </row>
    <row r="969" spans="1:32" x14ac:dyDescent="0.45">
      <c r="A969" t="s">
        <v>1766</v>
      </c>
      <c r="B969" t="s">
        <v>572</v>
      </c>
      <c r="C969" t="s">
        <v>53</v>
      </c>
      <c r="D969" t="s">
        <v>52</v>
      </c>
      <c r="E969" t="s">
        <v>200</v>
      </c>
      <c r="F969" t="s">
        <v>84</v>
      </c>
      <c r="G969" t="s">
        <v>201</v>
      </c>
      <c r="H969" t="s">
        <v>106</v>
      </c>
      <c r="I969" t="s">
        <v>107</v>
      </c>
      <c r="J969" s="26">
        <v>45292</v>
      </c>
      <c r="K969" t="s">
        <v>162</v>
      </c>
      <c r="L969" s="26"/>
      <c r="M969" t="s">
        <v>163</v>
      </c>
      <c r="N969" t="s">
        <v>96</v>
      </c>
      <c r="O969" s="27">
        <v>3329000</v>
      </c>
      <c r="P969">
        <v>4</v>
      </c>
      <c r="Q969" t="s">
        <v>172</v>
      </c>
      <c r="R969">
        <v>41</v>
      </c>
      <c r="S969" t="s">
        <v>237</v>
      </c>
      <c r="T969">
        <f t="shared" si="105"/>
        <v>10163</v>
      </c>
      <c r="U969" t="str">
        <f t="shared" si="106"/>
        <v>SAL</v>
      </c>
      <c r="V969" t="str">
        <f t="shared" si="107"/>
        <v>L4</v>
      </c>
      <c r="W969" t="str">
        <f>PROPER(TRIM(VLOOKUP(S969,Employee_Lookups!$I$4:$M$19,2,FALSE())))</f>
        <v>Karan Malhotra</v>
      </c>
      <c r="X969" t="str">
        <f>VLOOKUP(C969,Employee_Lookups!$A$4:$G$9,4,FALSE())</f>
        <v>CC-202</v>
      </c>
      <c r="Y969" t="str">
        <f>INDEX(Employee_Lookups!$C$13:$C$17,MATCH(F969,Employee_Lookups!$A$13:$A$17,0))</f>
        <v>Band D (Leadership)</v>
      </c>
      <c r="Z969" s="27">
        <f>_xlfn.XLOOKUP(F969,Employee_Lookups!$A$13:$A$17,Employee_Lookups!$E$13:$E$17,0)</f>
        <v>2750000</v>
      </c>
      <c r="AA969" s="28">
        <f>ROUND(O969/INDEX(Employee_Lookups!$E$13:$E$17,MATCH(F969,Employee_Lookups!$A$13:$A$17,0)),3)</f>
        <v>1.2110000000000001</v>
      </c>
      <c r="AB969">
        <f t="shared" si="108"/>
        <v>2024</v>
      </c>
      <c r="AC969" t="str">
        <f t="shared" si="109"/>
        <v/>
      </c>
      <c r="AD969" s="28">
        <f>ROUND((IF(ISBLANK(L969),Employee_Lookups!$O$14,L969)-J969)/365.25,2)</f>
        <v>2</v>
      </c>
      <c r="AE969" t="str">
        <f t="shared" si="110"/>
        <v>1 - 3 Yrs</v>
      </c>
      <c r="AF969" t="str">
        <f t="shared" si="111"/>
        <v>High Risk</v>
      </c>
    </row>
    <row r="970" spans="1:32" x14ac:dyDescent="0.45">
      <c r="A970" t="s">
        <v>1767</v>
      </c>
      <c r="B970" t="s">
        <v>1768</v>
      </c>
      <c r="C970" t="s">
        <v>59</v>
      </c>
      <c r="D970" t="s">
        <v>58</v>
      </c>
      <c r="E970" t="s">
        <v>206</v>
      </c>
      <c r="F970" t="s">
        <v>81</v>
      </c>
      <c r="G970" t="s">
        <v>207</v>
      </c>
      <c r="H970" t="s">
        <v>106</v>
      </c>
      <c r="I970" t="s">
        <v>107</v>
      </c>
      <c r="J970" s="26">
        <v>45293</v>
      </c>
      <c r="K970" t="s">
        <v>187</v>
      </c>
      <c r="L970" s="26">
        <v>45471</v>
      </c>
      <c r="M970" t="s">
        <v>269</v>
      </c>
      <c r="N970" t="s">
        <v>95</v>
      </c>
      <c r="O970" s="27">
        <v>698000</v>
      </c>
      <c r="P970">
        <v>3</v>
      </c>
      <c r="Q970" t="s">
        <v>172</v>
      </c>
      <c r="R970">
        <v>46</v>
      </c>
      <c r="S970" t="s">
        <v>208</v>
      </c>
      <c r="T970">
        <f t="shared" si="105"/>
        <v>10137</v>
      </c>
      <c r="U970" t="str">
        <f t="shared" si="106"/>
        <v>FIN</v>
      </c>
      <c r="V970" t="str">
        <f t="shared" si="107"/>
        <v>L1</v>
      </c>
      <c r="W970" t="str">
        <f>PROPER(TRIM(VLOOKUP(S970,Employee_Lookups!$I$4:$M$19,2,FALSE())))</f>
        <v>Rajeshwari Rao</v>
      </c>
      <c r="X970" t="str">
        <f>VLOOKUP(C970,Employee_Lookups!$A$4:$G$9,4,FALSE())</f>
        <v>CC-404</v>
      </c>
      <c r="Y970" t="str">
        <f>INDEX(Employee_Lookups!$C$13:$C$17,MATCH(F970,Employee_Lookups!$A$13:$A$17,0))</f>
        <v>Band A (Entry)</v>
      </c>
      <c r="Z970" s="27">
        <f>_xlfn.XLOOKUP(F970,Employee_Lookups!$A$13:$A$17,Employee_Lookups!$E$13:$E$17,0)</f>
        <v>700000</v>
      </c>
      <c r="AA970" s="28">
        <f>ROUND(O970/INDEX(Employee_Lookups!$E$13:$E$17,MATCH(F970,Employee_Lookups!$A$13:$A$17,0)),3)</f>
        <v>0.997</v>
      </c>
      <c r="AB970">
        <f t="shared" si="108"/>
        <v>2024</v>
      </c>
      <c r="AC970">
        <f t="shared" si="109"/>
        <v>2024</v>
      </c>
      <c r="AD970" s="28">
        <f>ROUND((IF(ISBLANK(L970),Employee_Lookups!$O$14,L970)-J970)/365.25,2)</f>
        <v>0.49</v>
      </c>
      <c r="AE970" t="str">
        <f t="shared" si="110"/>
        <v>&lt; 1 Yr (New)</v>
      </c>
      <c r="AF970" t="str">
        <f t="shared" si="111"/>
        <v>Exited</v>
      </c>
    </row>
    <row r="971" spans="1:32" x14ac:dyDescent="0.45">
      <c r="A971" t="s">
        <v>1769</v>
      </c>
      <c r="B971" t="s">
        <v>1452</v>
      </c>
      <c r="C971" t="s">
        <v>51</v>
      </c>
      <c r="D971" t="s">
        <v>50</v>
      </c>
      <c r="E971" t="s">
        <v>181</v>
      </c>
      <c r="F971" t="s">
        <v>81</v>
      </c>
      <c r="G971" t="s">
        <v>182</v>
      </c>
      <c r="H971" t="s">
        <v>106</v>
      </c>
      <c r="I971" t="s">
        <v>107</v>
      </c>
      <c r="J971" s="26">
        <v>45294</v>
      </c>
      <c r="K971" t="s">
        <v>162</v>
      </c>
      <c r="L971" s="26"/>
      <c r="M971" t="s">
        <v>163</v>
      </c>
      <c r="N971" t="s">
        <v>99</v>
      </c>
      <c r="O971" s="27">
        <v>655000</v>
      </c>
      <c r="P971">
        <v>4</v>
      </c>
      <c r="Q971" t="s">
        <v>164</v>
      </c>
      <c r="R971">
        <v>31</v>
      </c>
      <c r="S971" t="s">
        <v>244</v>
      </c>
      <c r="T971">
        <f t="shared" si="105"/>
        <v>10723</v>
      </c>
      <c r="U971" t="str">
        <f t="shared" si="106"/>
        <v>ENG</v>
      </c>
      <c r="V971" t="str">
        <f t="shared" si="107"/>
        <v>L1</v>
      </c>
      <c r="W971" t="str">
        <f>PROPER(TRIM(VLOOKUP(S971,Employee_Lookups!$I$4:$M$19,2,FALSE())))</f>
        <v>Siddharth Nair</v>
      </c>
      <c r="X971" t="str">
        <f>VLOOKUP(C971,Employee_Lookups!$A$4:$G$9,4,FALSE())</f>
        <v>CC-101</v>
      </c>
      <c r="Y971" t="str">
        <f>INDEX(Employee_Lookups!$C$13:$C$17,MATCH(F971,Employee_Lookups!$A$13:$A$17,0))</f>
        <v>Band A (Entry)</v>
      </c>
      <c r="Z971" s="27">
        <f>_xlfn.XLOOKUP(F971,Employee_Lookups!$A$13:$A$17,Employee_Lookups!$E$13:$E$17,0)</f>
        <v>700000</v>
      </c>
      <c r="AA971" s="28">
        <f>ROUND(O971/INDEX(Employee_Lookups!$E$13:$E$17,MATCH(F971,Employee_Lookups!$A$13:$A$17,0)),3)</f>
        <v>0.93600000000000005</v>
      </c>
      <c r="AB971">
        <f t="shared" si="108"/>
        <v>2024</v>
      </c>
      <c r="AC971" t="str">
        <f t="shared" si="109"/>
        <v/>
      </c>
      <c r="AD971" s="28">
        <f>ROUND((IF(ISBLANK(L971),Employee_Lookups!$O$14,L971)-J971)/365.25,2)</f>
        <v>1.99</v>
      </c>
      <c r="AE971" t="str">
        <f t="shared" si="110"/>
        <v>1 - 3 Yrs</v>
      </c>
      <c r="AF971" t="str">
        <f t="shared" si="111"/>
        <v>Low Risk</v>
      </c>
    </row>
    <row r="972" spans="1:32" x14ac:dyDescent="0.45">
      <c r="A972" t="s">
        <v>1770</v>
      </c>
      <c r="B972" t="s">
        <v>1771</v>
      </c>
      <c r="C972" t="s">
        <v>53</v>
      </c>
      <c r="D972" t="s">
        <v>52</v>
      </c>
      <c r="E972" t="s">
        <v>192</v>
      </c>
      <c r="F972" t="s">
        <v>83</v>
      </c>
      <c r="G972" t="s">
        <v>193</v>
      </c>
      <c r="H972" t="s">
        <v>106</v>
      </c>
      <c r="I972" t="s">
        <v>107</v>
      </c>
      <c r="J972" s="26">
        <v>45294</v>
      </c>
      <c r="K972" t="s">
        <v>162</v>
      </c>
      <c r="L972" s="26"/>
      <c r="M972" t="s">
        <v>163</v>
      </c>
      <c r="N972" t="s">
        <v>98</v>
      </c>
      <c r="O972" s="27">
        <v>1972000</v>
      </c>
      <c r="P972">
        <v>4</v>
      </c>
      <c r="Q972" t="s">
        <v>172</v>
      </c>
      <c r="R972">
        <v>33</v>
      </c>
      <c r="S972" t="s">
        <v>189</v>
      </c>
      <c r="T972">
        <f t="shared" si="105"/>
        <v>11360</v>
      </c>
      <c r="U972" t="str">
        <f t="shared" si="106"/>
        <v>SAL</v>
      </c>
      <c r="V972" t="str">
        <f t="shared" si="107"/>
        <v>L3</v>
      </c>
      <c r="W972" t="str">
        <f>PROPER(TRIM(VLOOKUP(S972,Employee_Lookups!$I$4:$M$19,2,FALSE())))</f>
        <v>Priya Sharma</v>
      </c>
      <c r="X972" t="str">
        <f>VLOOKUP(C972,Employee_Lookups!$A$4:$G$9,4,FALSE())</f>
        <v>CC-202</v>
      </c>
      <c r="Y972" t="str">
        <f>INDEX(Employee_Lookups!$C$13:$C$17,MATCH(F972,Employee_Lookups!$A$13:$A$17,0))</f>
        <v>Band C (Senior)</v>
      </c>
      <c r="Z972" s="27">
        <f>_xlfn.XLOOKUP(F972,Employee_Lookups!$A$13:$A$17,Employee_Lookups!$E$13:$E$17,0)</f>
        <v>1725000</v>
      </c>
      <c r="AA972" s="28">
        <f>ROUND(O972/INDEX(Employee_Lookups!$E$13:$E$17,MATCH(F972,Employee_Lookups!$A$13:$A$17,0)),3)</f>
        <v>1.143</v>
      </c>
      <c r="AB972">
        <f t="shared" si="108"/>
        <v>2024</v>
      </c>
      <c r="AC972" t="str">
        <f t="shared" si="109"/>
        <v/>
      </c>
      <c r="AD972" s="28">
        <f>ROUND((IF(ISBLANK(L972),Employee_Lookups!$O$14,L972)-J972)/365.25,2)</f>
        <v>1.99</v>
      </c>
      <c r="AE972" t="str">
        <f t="shared" si="110"/>
        <v>1 - 3 Yrs</v>
      </c>
      <c r="AF972" t="str">
        <f t="shared" si="111"/>
        <v>High Risk</v>
      </c>
    </row>
    <row r="973" spans="1:32" x14ac:dyDescent="0.45">
      <c r="A973" t="s">
        <v>1772</v>
      </c>
      <c r="B973" t="s">
        <v>1166</v>
      </c>
      <c r="C973" t="s">
        <v>51</v>
      </c>
      <c r="D973" t="s">
        <v>50</v>
      </c>
      <c r="E973" t="s">
        <v>217</v>
      </c>
      <c r="F973" t="s">
        <v>83</v>
      </c>
      <c r="G973" t="s">
        <v>218</v>
      </c>
      <c r="H973" t="s">
        <v>106</v>
      </c>
      <c r="I973" t="s">
        <v>107</v>
      </c>
      <c r="J973" s="26">
        <v>45295</v>
      </c>
      <c r="K973" t="s">
        <v>162</v>
      </c>
      <c r="L973" s="26"/>
      <c r="M973" t="s">
        <v>163</v>
      </c>
      <c r="N973" t="s">
        <v>96</v>
      </c>
      <c r="O973" s="27">
        <v>1885000</v>
      </c>
      <c r="P973">
        <v>4</v>
      </c>
      <c r="Q973" t="s">
        <v>164</v>
      </c>
      <c r="R973">
        <v>32</v>
      </c>
      <c r="S973" t="s">
        <v>197</v>
      </c>
      <c r="T973">
        <f t="shared" si="105"/>
        <v>10945</v>
      </c>
      <c r="U973" t="str">
        <f t="shared" si="106"/>
        <v>ENG</v>
      </c>
      <c r="V973" t="str">
        <f t="shared" si="107"/>
        <v>L3</v>
      </c>
      <c r="W973" t="str">
        <f>PROPER(TRIM(VLOOKUP(S973,Employee_Lookups!$I$4:$M$19,2,FALSE())))</f>
        <v>Rohan Verma</v>
      </c>
      <c r="X973" t="str">
        <f>VLOOKUP(C973,Employee_Lookups!$A$4:$G$9,4,FALSE())</f>
        <v>CC-101</v>
      </c>
      <c r="Y973" t="str">
        <f>INDEX(Employee_Lookups!$C$13:$C$17,MATCH(F973,Employee_Lookups!$A$13:$A$17,0))</f>
        <v>Band C (Senior)</v>
      </c>
      <c r="Z973" s="27">
        <f>_xlfn.XLOOKUP(F973,Employee_Lookups!$A$13:$A$17,Employee_Lookups!$E$13:$E$17,0)</f>
        <v>1725000</v>
      </c>
      <c r="AA973" s="28">
        <f>ROUND(O973/INDEX(Employee_Lookups!$E$13:$E$17,MATCH(F973,Employee_Lookups!$A$13:$A$17,0)),3)</f>
        <v>1.093</v>
      </c>
      <c r="AB973">
        <f t="shared" si="108"/>
        <v>2024</v>
      </c>
      <c r="AC973" t="str">
        <f t="shared" si="109"/>
        <v/>
      </c>
      <c r="AD973" s="28">
        <f>ROUND((IF(ISBLANK(L973),Employee_Lookups!$O$14,L973)-J973)/365.25,2)</f>
        <v>1.99</v>
      </c>
      <c r="AE973" t="str">
        <f t="shared" si="110"/>
        <v>1 - 3 Yrs</v>
      </c>
      <c r="AF973" t="str">
        <f t="shared" si="111"/>
        <v>Low Risk</v>
      </c>
    </row>
    <row r="974" spans="1:32" x14ac:dyDescent="0.45">
      <c r="A974" t="s">
        <v>1773</v>
      </c>
      <c r="B974" t="s">
        <v>629</v>
      </c>
      <c r="C974" t="s">
        <v>55</v>
      </c>
      <c r="D974" t="s">
        <v>54</v>
      </c>
      <c r="E974" t="s">
        <v>240</v>
      </c>
      <c r="F974" t="s">
        <v>83</v>
      </c>
      <c r="G974" t="s">
        <v>241</v>
      </c>
      <c r="H974" t="s">
        <v>106</v>
      </c>
      <c r="I974" t="s">
        <v>107</v>
      </c>
      <c r="J974" s="26">
        <v>45296</v>
      </c>
      <c r="K974" t="s">
        <v>162</v>
      </c>
      <c r="L974" s="26"/>
      <c r="M974" t="s">
        <v>163</v>
      </c>
      <c r="N974" t="s">
        <v>96</v>
      </c>
      <c r="O974" s="27">
        <v>1582000</v>
      </c>
      <c r="P974">
        <v>5</v>
      </c>
      <c r="Q974" t="s">
        <v>164</v>
      </c>
      <c r="R974">
        <v>31</v>
      </c>
      <c r="S974" t="s">
        <v>262</v>
      </c>
      <c r="T974">
        <f t="shared" si="105"/>
        <v>11255</v>
      </c>
      <c r="U974" t="str">
        <f t="shared" si="106"/>
        <v>OPS</v>
      </c>
      <c r="V974" t="str">
        <f t="shared" si="107"/>
        <v>L3</v>
      </c>
      <c r="W974" t="str">
        <f>PROPER(TRIM(VLOOKUP(S974,Employee_Lookups!$I$4:$M$19,2,FALSE())))</f>
        <v>Ananya Iyer</v>
      </c>
      <c r="X974" t="str">
        <f>VLOOKUP(C974,Employee_Lookups!$A$4:$G$9,4,FALSE())</f>
        <v>CC-303</v>
      </c>
      <c r="Y974" t="str">
        <f>INDEX(Employee_Lookups!$C$13:$C$17,MATCH(F974,Employee_Lookups!$A$13:$A$17,0))</f>
        <v>Band C (Senior)</v>
      </c>
      <c r="Z974" s="27">
        <f>_xlfn.XLOOKUP(F974,Employee_Lookups!$A$13:$A$17,Employee_Lookups!$E$13:$E$17,0)</f>
        <v>1725000</v>
      </c>
      <c r="AA974" s="28">
        <f>ROUND(O974/INDEX(Employee_Lookups!$E$13:$E$17,MATCH(F974,Employee_Lookups!$A$13:$A$17,0)),3)</f>
        <v>0.91700000000000004</v>
      </c>
      <c r="AB974">
        <f t="shared" si="108"/>
        <v>2024</v>
      </c>
      <c r="AC974" t="str">
        <f t="shared" si="109"/>
        <v/>
      </c>
      <c r="AD974" s="28">
        <f>ROUND((IF(ISBLANK(L974),Employee_Lookups!$O$14,L974)-J974)/365.25,2)</f>
        <v>1.99</v>
      </c>
      <c r="AE974" t="str">
        <f t="shared" si="110"/>
        <v>1 - 3 Yrs</v>
      </c>
      <c r="AF974" t="str">
        <f t="shared" si="111"/>
        <v>Low Risk</v>
      </c>
    </row>
    <row r="975" spans="1:32" x14ac:dyDescent="0.45">
      <c r="A975" t="s">
        <v>1774</v>
      </c>
      <c r="B975" t="s">
        <v>1775</v>
      </c>
      <c r="C975" t="s">
        <v>51</v>
      </c>
      <c r="D975" t="s">
        <v>50</v>
      </c>
      <c r="E975" t="s">
        <v>176</v>
      </c>
      <c r="F975" t="s">
        <v>82</v>
      </c>
      <c r="G975" t="s">
        <v>177</v>
      </c>
      <c r="H975" t="s">
        <v>106</v>
      </c>
      <c r="I975" t="s">
        <v>107</v>
      </c>
      <c r="J975" s="26">
        <v>45297</v>
      </c>
      <c r="K975" t="s">
        <v>162</v>
      </c>
      <c r="L975" s="26"/>
      <c r="M975" t="s">
        <v>163</v>
      </c>
      <c r="N975" t="s">
        <v>99</v>
      </c>
      <c r="O975" s="27">
        <v>922000</v>
      </c>
      <c r="P975">
        <v>3</v>
      </c>
      <c r="Q975" t="s">
        <v>172</v>
      </c>
      <c r="R975">
        <v>23</v>
      </c>
      <c r="S975" t="s">
        <v>244</v>
      </c>
      <c r="T975">
        <f t="shared" si="105"/>
        <v>10435</v>
      </c>
      <c r="U975" t="str">
        <f t="shared" si="106"/>
        <v>ENG</v>
      </c>
      <c r="V975" t="str">
        <f t="shared" si="107"/>
        <v>L2</v>
      </c>
      <c r="W975" t="str">
        <f>PROPER(TRIM(VLOOKUP(S975,Employee_Lookups!$I$4:$M$19,2,FALSE())))</f>
        <v>Siddharth Nair</v>
      </c>
      <c r="X975" t="str">
        <f>VLOOKUP(C975,Employee_Lookups!$A$4:$G$9,4,FALSE())</f>
        <v>CC-101</v>
      </c>
      <c r="Y975" t="str">
        <f>INDEX(Employee_Lookups!$C$13:$C$17,MATCH(F975,Employee_Lookups!$A$13:$A$17,0))</f>
        <v>Band B (Mid)</v>
      </c>
      <c r="Z975" s="27">
        <f>_xlfn.XLOOKUP(F975,Employee_Lookups!$A$13:$A$17,Employee_Lookups!$E$13:$E$17,0)</f>
        <v>1100000</v>
      </c>
      <c r="AA975" s="28">
        <f>ROUND(O975/INDEX(Employee_Lookups!$E$13:$E$17,MATCH(F975,Employee_Lookups!$A$13:$A$17,0)),3)</f>
        <v>0.83799999999999997</v>
      </c>
      <c r="AB975">
        <f t="shared" si="108"/>
        <v>2024</v>
      </c>
      <c r="AC975" t="str">
        <f t="shared" si="109"/>
        <v/>
      </c>
      <c r="AD975" s="28">
        <f>ROUND((IF(ISBLANK(L975),Employee_Lookups!$O$14,L975)-J975)/365.25,2)</f>
        <v>1.98</v>
      </c>
      <c r="AE975" t="str">
        <f t="shared" si="110"/>
        <v>1 - 3 Yrs</v>
      </c>
      <c r="AF975" t="str">
        <f t="shared" si="111"/>
        <v>High Risk</v>
      </c>
    </row>
    <row r="976" spans="1:32" x14ac:dyDescent="0.45">
      <c r="A976" t="s">
        <v>1776</v>
      </c>
      <c r="B976" t="s">
        <v>243</v>
      </c>
      <c r="C976" t="s">
        <v>55</v>
      </c>
      <c r="D976" t="s">
        <v>54</v>
      </c>
      <c r="E976" t="s">
        <v>240</v>
      </c>
      <c r="F976" t="s">
        <v>83</v>
      </c>
      <c r="G976" t="s">
        <v>241</v>
      </c>
      <c r="H976" t="s">
        <v>106</v>
      </c>
      <c r="I976" t="s">
        <v>107</v>
      </c>
      <c r="J976" s="26">
        <v>45298</v>
      </c>
      <c r="K976" t="s">
        <v>162</v>
      </c>
      <c r="L976" s="26"/>
      <c r="M976" t="s">
        <v>163</v>
      </c>
      <c r="N976" t="s">
        <v>99</v>
      </c>
      <c r="O976" s="27">
        <v>2064000</v>
      </c>
      <c r="P976">
        <v>3</v>
      </c>
      <c r="Q976" t="s">
        <v>164</v>
      </c>
      <c r="R976">
        <v>52</v>
      </c>
      <c r="S976" t="s">
        <v>262</v>
      </c>
      <c r="T976">
        <f t="shared" si="105"/>
        <v>11266</v>
      </c>
      <c r="U976" t="str">
        <f t="shared" si="106"/>
        <v>OPS</v>
      </c>
      <c r="V976" t="str">
        <f t="shared" si="107"/>
        <v>L3</v>
      </c>
      <c r="W976" t="str">
        <f>PROPER(TRIM(VLOOKUP(S976,Employee_Lookups!$I$4:$M$19,2,FALSE())))</f>
        <v>Ananya Iyer</v>
      </c>
      <c r="X976" t="str">
        <f>VLOOKUP(C976,Employee_Lookups!$A$4:$G$9,4,FALSE())</f>
        <v>CC-303</v>
      </c>
      <c r="Y976" t="str">
        <f>INDEX(Employee_Lookups!$C$13:$C$17,MATCH(F976,Employee_Lookups!$A$13:$A$17,0))</f>
        <v>Band C (Senior)</v>
      </c>
      <c r="Z976" s="27">
        <f>_xlfn.XLOOKUP(F976,Employee_Lookups!$A$13:$A$17,Employee_Lookups!$E$13:$E$17,0)</f>
        <v>1725000</v>
      </c>
      <c r="AA976" s="28">
        <f>ROUND(O976/INDEX(Employee_Lookups!$E$13:$E$17,MATCH(F976,Employee_Lookups!$A$13:$A$17,0)),3)</f>
        <v>1.1970000000000001</v>
      </c>
      <c r="AB976">
        <f t="shared" si="108"/>
        <v>2024</v>
      </c>
      <c r="AC976" t="str">
        <f t="shared" si="109"/>
        <v/>
      </c>
      <c r="AD976" s="28">
        <f>ROUND((IF(ISBLANK(L976),Employee_Lookups!$O$14,L976)-J976)/365.25,2)</f>
        <v>1.98</v>
      </c>
      <c r="AE976" t="str">
        <f t="shared" si="110"/>
        <v>1 - 3 Yrs</v>
      </c>
      <c r="AF976" t="str">
        <f t="shared" si="111"/>
        <v>Low Risk</v>
      </c>
    </row>
    <row r="977" spans="1:32" x14ac:dyDescent="0.45">
      <c r="A977" t="s">
        <v>1777</v>
      </c>
      <c r="B977" t="s">
        <v>1129</v>
      </c>
      <c r="C977" t="s">
        <v>57</v>
      </c>
      <c r="D977" t="s">
        <v>56</v>
      </c>
      <c r="E977" t="s">
        <v>160</v>
      </c>
      <c r="F977" t="s">
        <v>81</v>
      </c>
      <c r="G977" t="s">
        <v>161</v>
      </c>
      <c r="H977" t="s">
        <v>112</v>
      </c>
      <c r="I977" t="s">
        <v>113</v>
      </c>
      <c r="J977" s="26">
        <v>45298</v>
      </c>
      <c r="K977" t="s">
        <v>162</v>
      </c>
      <c r="L977" s="26"/>
      <c r="M977" t="s">
        <v>163</v>
      </c>
      <c r="N977" t="s">
        <v>97</v>
      </c>
      <c r="O977" s="27">
        <v>829000</v>
      </c>
      <c r="P977">
        <v>3</v>
      </c>
      <c r="Q977" t="s">
        <v>164</v>
      </c>
      <c r="R977">
        <v>33</v>
      </c>
      <c r="S977" t="s">
        <v>165</v>
      </c>
      <c r="T977">
        <f t="shared" si="105"/>
        <v>10571</v>
      </c>
      <c r="U977" t="str">
        <f t="shared" si="106"/>
        <v>MKT</v>
      </c>
      <c r="V977" t="str">
        <f t="shared" si="107"/>
        <v>L1</v>
      </c>
      <c r="W977" t="str">
        <f>PROPER(TRIM(VLOOKUP(S977,Employee_Lookups!$I$4:$M$19,2,FALSE())))</f>
        <v>Arjun Sengupta</v>
      </c>
      <c r="X977" t="str">
        <f>VLOOKUP(C977,Employee_Lookups!$A$4:$G$9,4,FALSE())</f>
        <v>CC-606</v>
      </c>
      <c r="Y977" t="str">
        <f>INDEX(Employee_Lookups!$C$13:$C$17,MATCH(F977,Employee_Lookups!$A$13:$A$17,0))</f>
        <v>Band A (Entry)</v>
      </c>
      <c r="Z977" s="27">
        <f>_xlfn.XLOOKUP(F977,Employee_Lookups!$A$13:$A$17,Employee_Lookups!$E$13:$E$17,0)</f>
        <v>700000</v>
      </c>
      <c r="AA977" s="28">
        <f>ROUND(O977/INDEX(Employee_Lookups!$E$13:$E$17,MATCH(F977,Employee_Lookups!$A$13:$A$17,0)),3)</f>
        <v>1.1839999999999999</v>
      </c>
      <c r="AB977">
        <f t="shared" si="108"/>
        <v>2024</v>
      </c>
      <c r="AC977" t="str">
        <f t="shared" si="109"/>
        <v/>
      </c>
      <c r="AD977" s="28">
        <f>ROUND((IF(ISBLANK(L977),Employee_Lookups!$O$14,L977)-J977)/365.25,2)</f>
        <v>1.98</v>
      </c>
      <c r="AE977" t="str">
        <f t="shared" si="110"/>
        <v>1 - 3 Yrs</v>
      </c>
      <c r="AF977" t="str">
        <f t="shared" si="111"/>
        <v>Low Risk</v>
      </c>
    </row>
    <row r="978" spans="1:32" x14ac:dyDescent="0.45">
      <c r="A978" t="s">
        <v>1778</v>
      </c>
      <c r="B978" t="s">
        <v>606</v>
      </c>
      <c r="C978" t="s">
        <v>51</v>
      </c>
      <c r="D978" t="s">
        <v>50</v>
      </c>
      <c r="E978" t="s">
        <v>176</v>
      </c>
      <c r="F978" t="s">
        <v>82</v>
      </c>
      <c r="G978" t="s">
        <v>177</v>
      </c>
      <c r="H978" t="s">
        <v>111</v>
      </c>
      <c r="I978" t="s">
        <v>110</v>
      </c>
      <c r="J978" s="26">
        <v>45300</v>
      </c>
      <c r="K978" t="s">
        <v>162</v>
      </c>
      <c r="L978" s="26"/>
      <c r="M978" t="s">
        <v>163</v>
      </c>
      <c r="N978" t="s">
        <v>97</v>
      </c>
      <c r="O978" s="27">
        <v>1077000</v>
      </c>
      <c r="P978">
        <v>3</v>
      </c>
      <c r="Q978" t="s">
        <v>164</v>
      </c>
      <c r="R978">
        <v>38</v>
      </c>
      <c r="S978" t="s">
        <v>244</v>
      </c>
      <c r="T978">
        <f t="shared" si="105"/>
        <v>10134</v>
      </c>
      <c r="U978" t="str">
        <f t="shared" si="106"/>
        <v>ENG</v>
      </c>
      <c r="V978" t="str">
        <f t="shared" si="107"/>
        <v>L2</v>
      </c>
      <c r="W978" t="str">
        <f>PROPER(TRIM(VLOOKUP(S978,Employee_Lookups!$I$4:$M$19,2,FALSE())))</f>
        <v>Siddharth Nair</v>
      </c>
      <c r="X978" t="str">
        <f>VLOOKUP(C978,Employee_Lookups!$A$4:$G$9,4,FALSE())</f>
        <v>CC-101</v>
      </c>
      <c r="Y978" t="str">
        <f>INDEX(Employee_Lookups!$C$13:$C$17,MATCH(F978,Employee_Lookups!$A$13:$A$17,0))</f>
        <v>Band B (Mid)</v>
      </c>
      <c r="Z978" s="27">
        <f>_xlfn.XLOOKUP(F978,Employee_Lookups!$A$13:$A$17,Employee_Lookups!$E$13:$E$17,0)</f>
        <v>1100000</v>
      </c>
      <c r="AA978" s="28">
        <f>ROUND(O978/INDEX(Employee_Lookups!$E$13:$E$17,MATCH(F978,Employee_Lookups!$A$13:$A$17,0)),3)</f>
        <v>0.97899999999999998</v>
      </c>
      <c r="AB978">
        <f t="shared" si="108"/>
        <v>2024</v>
      </c>
      <c r="AC978" t="str">
        <f t="shared" si="109"/>
        <v/>
      </c>
      <c r="AD978" s="28">
        <f>ROUND((IF(ISBLANK(L978),Employee_Lookups!$O$14,L978)-J978)/365.25,2)</f>
        <v>1.98</v>
      </c>
      <c r="AE978" t="str">
        <f t="shared" si="110"/>
        <v>1 - 3 Yrs</v>
      </c>
      <c r="AF978" t="str">
        <f t="shared" si="111"/>
        <v>Low Risk</v>
      </c>
    </row>
    <row r="979" spans="1:32" x14ac:dyDescent="0.45">
      <c r="A979" t="s">
        <v>1779</v>
      </c>
      <c r="B979" t="s">
        <v>599</v>
      </c>
      <c r="C979" t="s">
        <v>51</v>
      </c>
      <c r="D979" t="s">
        <v>50</v>
      </c>
      <c r="E979" t="s">
        <v>176</v>
      </c>
      <c r="F979" t="s">
        <v>82</v>
      </c>
      <c r="G979" t="s">
        <v>177</v>
      </c>
      <c r="H979" t="s">
        <v>106</v>
      </c>
      <c r="I979" t="s">
        <v>107</v>
      </c>
      <c r="J979" s="26">
        <v>45301</v>
      </c>
      <c r="K979" t="s">
        <v>162</v>
      </c>
      <c r="L979" s="26"/>
      <c r="M979" t="s">
        <v>163</v>
      </c>
      <c r="N979" t="s">
        <v>99</v>
      </c>
      <c r="O979" s="27">
        <v>890000</v>
      </c>
      <c r="P979">
        <v>5</v>
      </c>
      <c r="Q979" t="s">
        <v>164</v>
      </c>
      <c r="R979">
        <v>0</v>
      </c>
      <c r="S979" t="s">
        <v>197</v>
      </c>
      <c r="T979">
        <f t="shared" si="105"/>
        <v>10248</v>
      </c>
      <c r="U979" t="str">
        <f t="shared" si="106"/>
        <v>ENG</v>
      </c>
      <c r="V979" t="str">
        <f t="shared" si="107"/>
        <v>L2</v>
      </c>
      <c r="W979" t="str">
        <f>PROPER(TRIM(VLOOKUP(S979,Employee_Lookups!$I$4:$M$19,2,FALSE())))</f>
        <v>Rohan Verma</v>
      </c>
      <c r="X979" t="str">
        <f>VLOOKUP(C979,Employee_Lookups!$A$4:$G$9,4,FALSE())</f>
        <v>CC-101</v>
      </c>
      <c r="Y979" t="str">
        <f>INDEX(Employee_Lookups!$C$13:$C$17,MATCH(F979,Employee_Lookups!$A$13:$A$17,0))</f>
        <v>Band B (Mid)</v>
      </c>
      <c r="Z979" s="27">
        <f>_xlfn.XLOOKUP(F979,Employee_Lookups!$A$13:$A$17,Employee_Lookups!$E$13:$E$17,0)</f>
        <v>1100000</v>
      </c>
      <c r="AA979" s="28">
        <f>ROUND(O979/INDEX(Employee_Lookups!$E$13:$E$17,MATCH(F979,Employee_Lookups!$A$13:$A$17,0)),3)</f>
        <v>0.80900000000000005</v>
      </c>
      <c r="AB979">
        <f t="shared" si="108"/>
        <v>2024</v>
      </c>
      <c r="AC979" t="str">
        <f t="shared" si="109"/>
        <v/>
      </c>
      <c r="AD979" s="28">
        <f>ROUND((IF(ISBLANK(L979),Employee_Lookups!$O$14,L979)-J979)/365.25,2)</f>
        <v>1.97</v>
      </c>
      <c r="AE979" t="str">
        <f t="shared" si="110"/>
        <v>1 - 3 Yrs</v>
      </c>
      <c r="AF979" t="str">
        <f t="shared" si="111"/>
        <v>Low Risk</v>
      </c>
    </row>
    <row r="980" spans="1:32" x14ac:dyDescent="0.45">
      <c r="A980" t="s">
        <v>1780</v>
      </c>
      <c r="B980" t="s">
        <v>363</v>
      </c>
      <c r="C980" t="s">
        <v>57</v>
      </c>
      <c r="D980" t="s">
        <v>56</v>
      </c>
      <c r="E980" t="s">
        <v>160</v>
      </c>
      <c r="F980" t="s">
        <v>81</v>
      </c>
      <c r="G980" t="s">
        <v>161</v>
      </c>
      <c r="H980" t="s">
        <v>108</v>
      </c>
      <c r="I980" t="s">
        <v>107</v>
      </c>
      <c r="J980" s="26">
        <v>45302</v>
      </c>
      <c r="K980" t="s">
        <v>187</v>
      </c>
      <c r="L980" s="26">
        <v>45673</v>
      </c>
      <c r="M980" t="s">
        <v>213</v>
      </c>
      <c r="N980" t="s">
        <v>98</v>
      </c>
      <c r="O980" s="27">
        <v>610000</v>
      </c>
      <c r="P980">
        <v>3</v>
      </c>
      <c r="Q980" t="s">
        <v>164</v>
      </c>
      <c r="R980">
        <v>36</v>
      </c>
      <c r="S980" t="s">
        <v>165</v>
      </c>
      <c r="T980">
        <f t="shared" si="105"/>
        <v>10407</v>
      </c>
      <c r="U980" t="str">
        <f t="shared" si="106"/>
        <v>MKT</v>
      </c>
      <c r="V980" t="str">
        <f t="shared" si="107"/>
        <v>L1</v>
      </c>
      <c r="W980" t="str">
        <f>PROPER(TRIM(VLOOKUP(S980,Employee_Lookups!$I$4:$M$19,2,FALSE())))</f>
        <v>Arjun Sengupta</v>
      </c>
      <c r="X980" t="str">
        <f>VLOOKUP(C980,Employee_Lookups!$A$4:$G$9,4,FALSE())</f>
        <v>CC-606</v>
      </c>
      <c r="Y980" t="str">
        <f>INDEX(Employee_Lookups!$C$13:$C$17,MATCH(F980,Employee_Lookups!$A$13:$A$17,0))</f>
        <v>Band A (Entry)</v>
      </c>
      <c r="Z980" s="27">
        <f>_xlfn.XLOOKUP(F980,Employee_Lookups!$A$13:$A$17,Employee_Lookups!$E$13:$E$17,0)</f>
        <v>700000</v>
      </c>
      <c r="AA980" s="28">
        <f>ROUND(O980/INDEX(Employee_Lookups!$E$13:$E$17,MATCH(F980,Employee_Lookups!$A$13:$A$17,0)),3)</f>
        <v>0.871</v>
      </c>
      <c r="AB980">
        <f t="shared" si="108"/>
        <v>2024</v>
      </c>
      <c r="AC980">
        <f t="shared" si="109"/>
        <v>2025</v>
      </c>
      <c r="AD980" s="28">
        <f>ROUND((IF(ISBLANK(L980),Employee_Lookups!$O$14,L980)-J980)/365.25,2)</f>
        <v>1.02</v>
      </c>
      <c r="AE980" t="str">
        <f t="shared" si="110"/>
        <v>1 - 3 Yrs</v>
      </c>
      <c r="AF980" t="str">
        <f t="shared" si="111"/>
        <v>Exited</v>
      </c>
    </row>
    <row r="981" spans="1:32" x14ac:dyDescent="0.45">
      <c r="A981" t="s">
        <v>1781</v>
      </c>
      <c r="B981" t="s">
        <v>1782</v>
      </c>
      <c r="C981" t="s">
        <v>57</v>
      </c>
      <c r="D981" t="s">
        <v>56</v>
      </c>
      <c r="E981" t="s">
        <v>222</v>
      </c>
      <c r="F981" t="s">
        <v>82</v>
      </c>
      <c r="G981" t="s">
        <v>223</v>
      </c>
      <c r="H981" t="s">
        <v>108</v>
      </c>
      <c r="I981" t="s">
        <v>107</v>
      </c>
      <c r="J981" s="26">
        <v>45303</v>
      </c>
      <c r="K981" t="s">
        <v>162</v>
      </c>
      <c r="L981" s="26"/>
      <c r="M981" t="s">
        <v>163</v>
      </c>
      <c r="N981" t="s">
        <v>98</v>
      </c>
      <c r="O981" s="27">
        <v>1132000</v>
      </c>
      <c r="P981">
        <v>3</v>
      </c>
      <c r="Q981" t="s">
        <v>172</v>
      </c>
      <c r="R981">
        <v>48</v>
      </c>
      <c r="S981" t="s">
        <v>165</v>
      </c>
      <c r="T981">
        <f t="shared" si="105"/>
        <v>10381</v>
      </c>
      <c r="U981" t="str">
        <f t="shared" si="106"/>
        <v>MKT</v>
      </c>
      <c r="V981" t="str">
        <f t="shared" si="107"/>
        <v>L2</v>
      </c>
      <c r="W981" t="str">
        <f>PROPER(TRIM(VLOOKUP(S981,Employee_Lookups!$I$4:$M$19,2,FALSE())))</f>
        <v>Arjun Sengupta</v>
      </c>
      <c r="X981" t="str">
        <f>VLOOKUP(C981,Employee_Lookups!$A$4:$G$9,4,FALSE())</f>
        <v>CC-606</v>
      </c>
      <c r="Y981" t="str">
        <f>INDEX(Employee_Lookups!$C$13:$C$17,MATCH(F981,Employee_Lookups!$A$13:$A$17,0))</f>
        <v>Band B (Mid)</v>
      </c>
      <c r="Z981" s="27">
        <f>_xlfn.XLOOKUP(F981,Employee_Lookups!$A$13:$A$17,Employee_Lookups!$E$13:$E$17,0)</f>
        <v>1100000</v>
      </c>
      <c r="AA981" s="28">
        <f>ROUND(O981/INDEX(Employee_Lookups!$E$13:$E$17,MATCH(F981,Employee_Lookups!$A$13:$A$17,0)),3)</f>
        <v>1.0289999999999999</v>
      </c>
      <c r="AB981">
        <f t="shared" si="108"/>
        <v>2024</v>
      </c>
      <c r="AC981" t="str">
        <f t="shared" si="109"/>
        <v/>
      </c>
      <c r="AD981" s="28">
        <f>ROUND((IF(ISBLANK(L981),Employee_Lookups!$O$14,L981)-J981)/365.25,2)</f>
        <v>1.97</v>
      </c>
      <c r="AE981" t="str">
        <f t="shared" si="110"/>
        <v>1 - 3 Yrs</v>
      </c>
      <c r="AF981" t="str">
        <f t="shared" si="111"/>
        <v>Moderate Risk</v>
      </c>
    </row>
    <row r="982" spans="1:32" x14ac:dyDescent="0.45">
      <c r="A982" t="s">
        <v>1783</v>
      </c>
      <c r="B982" t="s">
        <v>1784</v>
      </c>
      <c r="C982" t="s">
        <v>53</v>
      </c>
      <c r="D982" t="s">
        <v>52</v>
      </c>
      <c r="E982" t="s">
        <v>280</v>
      </c>
      <c r="F982" t="s">
        <v>85</v>
      </c>
      <c r="G982" t="s">
        <v>281</v>
      </c>
      <c r="H982" t="s">
        <v>108</v>
      </c>
      <c r="I982" t="s">
        <v>107</v>
      </c>
      <c r="J982" s="26">
        <v>45304</v>
      </c>
      <c r="K982" t="s">
        <v>162</v>
      </c>
      <c r="L982" s="26"/>
      <c r="M982" t="s">
        <v>163</v>
      </c>
      <c r="N982" t="s">
        <v>99</v>
      </c>
      <c r="O982" s="27">
        <v>4363000</v>
      </c>
      <c r="P982">
        <v>3</v>
      </c>
      <c r="Q982" t="s">
        <v>164</v>
      </c>
      <c r="R982">
        <v>29</v>
      </c>
      <c r="S982" t="s">
        <v>189</v>
      </c>
      <c r="T982">
        <f t="shared" si="105"/>
        <v>10524</v>
      </c>
      <c r="U982" t="str">
        <f t="shared" si="106"/>
        <v>SAL</v>
      </c>
      <c r="V982" t="str">
        <f t="shared" si="107"/>
        <v>L5</v>
      </c>
      <c r="W982" t="str">
        <f>PROPER(TRIM(VLOOKUP(S982,Employee_Lookups!$I$4:$M$19,2,FALSE())))</f>
        <v>Priya Sharma</v>
      </c>
      <c r="X982" t="str">
        <f>VLOOKUP(C982,Employee_Lookups!$A$4:$G$9,4,FALSE())</f>
        <v>CC-202</v>
      </c>
      <c r="Y982" t="str">
        <f>INDEX(Employee_Lookups!$C$13:$C$17,MATCH(F982,Employee_Lookups!$A$13:$A$17,0))</f>
        <v>Band E (Executive)</v>
      </c>
      <c r="Z982" s="27">
        <f>_xlfn.XLOOKUP(F982,Employee_Lookups!$A$13:$A$17,Employee_Lookups!$E$13:$E$17,0)</f>
        <v>4300000</v>
      </c>
      <c r="AA982" s="28">
        <f>ROUND(O982/INDEX(Employee_Lookups!$E$13:$E$17,MATCH(F982,Employee_Lookups!$A$13:$A$17,0)),3)</f>
        <v>1.0149999999999999</v>
      </c>
      <c r="AB982">
        <f t="shared" si="108"/>
        <v>2024</v>
      </c>
      <c r="AC982" t="str">
        <f t="shared" si="109"/>
        <v/>
      </c>
      <c r="AD982" s="28">
        <f>ROUND((IF(ISBLANK(L982),Employee_Lookups!$O$14,L982)-J982)/365.25,2)</f>
        <v>1.97</v>
      </c>
      <c r="AE982" t="str">
        <f t="shared" si="110"/>
        <v>1 - 3 Yrs</v>
      </c>
      <c r="AF982" t="str">
        <f t="shared" si="111"/>
        <v>Low Risk</v>
      </c>
    </row>
    <row r="983" spans="1:32" x14ac:dyDescent="0.45">
      <c r="A983" t="s">
        <v>1785</v>
      </c>
      <c r="B983" t="s">
        <v>394</v>
      </c>
      <c r="C983" t="s">
        <v>53</v>
      </c>
      <c r="D983" t="s">
        <v>52</v>
      </c>
      <c r="E983" t="s">
        <v>185</v>
      </c>
      <c r="F983" t="s">
        <v>82</v>
      </c>
      <c r="G983" t="s">
        <v>186</v>
      </c>
      <c r="H983" t="s">
        <v>106</v>
      </c>
      <c r="I983" t="s">
        <v>107</v>
      </c>
      <c r="J983" s="26">
        <v>45304</v>
      </c>
      <c r="K983" t="s">
        <v>162</v>
      </c>
      <c r="L983" s="26"/>
      <c r="M983" t="s">
        <v>163</v>
      </c>
      <c r="N983" t="s">
        <v>96</v>
      </c>
      <c r="O983" s="27">
        <v>1180000</v>
      </c>
      <c r="P983">
        <v>4</v>
      </c>
      <c r="Q983" t="s">
        <v>164</v>
      </c>
      <c r="R983">
        <v>42</v>
      </c>
      <c r="S983" t="s">
        <v>189</v>
      </c>
      <c r="T983">
        <f t="shared" si="105"/>
        <v>10964</v>
      </c>
      <c r="U983" t="str">
        <f t="shared" si="106"/>
        <v>SAL</v>
      </c>
      <c r="V983" t="str">
        <f t="shared" si="107"/>
        <v>L2</v>
      </c>
      <c r="W983" t="str">
        <f>PROPER(TRIM(VLOOKUP(S983,Employee_Lookups!$I$4:$M$19,2,FALSE())))</f>
        <v>Priya Sharma</v>
      </c>
      <c r="X983" t="str">
        <f>VLOOKUP(C983,Employee_Lookups!$A$4:$G$9,4,FALSE())</f>
        <v>CC-202</v>
      </c>
      <c r="Y983" t="str">
        <f>INDEX(Employee_Lookups!$C$13:$C$17,MATCH(F983,Employee_Lookups!$A$13:$A$17,0))</f>
        <v>Band B (Mid)</v>
      </c>
      <c r="Z983" s="27">
        <f>_xlfn.XLOOKUP(F983,Employee_Lookups!$A$13:$A$17,Employee_Lookups!$E$13:$E$17,0)</f>
        <v>1100000</v>
      </c>
      <c r="AA983" s="28">
        <f>ROUND(O983/INDEX(Employee_Lookups!$E$13:$E$17,MATCH(F983,Employee_Lookups!$A$13:$A$17,0)),3)</f>
        <v>1.073</v>
      </c>
      <c r="AB983">
        <f t="shared" si="108"/>
        <v>2024</v>
      </c>
      <c r="AC983" t="str">
        <f t="shared" si="109"/>
        <v/>
      </c>
      <c r="AD983" s="28">
        <f>ROUND((IF(ISBLANK(L983),Employee_Lookups!$O$14,L983)-J983)/365.25,2)</f>
        <v>1.97</v>
      </c>
      <c r="AE983" t="str">
        <f t="shared" si="110"/>
        <v>1 - 3 Yrs</v>
      </c>
      <c r="AF983" t="str">
        <f t="shared" si="111"/>
        <v>Low Risk</v>
      </c>
    </row>
    <row r="984" spans="1:32" x14ac:dyDescent="0.45">
      <c r="A984" t="s">
        <v>1786</v>
      </c>
      <c r="B984" t="s">
        <v>1387</v>
      </c>
      <c r="C984" t="s">
        <v>57</v>
      </c>
      <c r="D984" t="s">
        <v>56</v>
      </c>
      <c r="E984" t="s">
        <v>222</v>
      </c>
      <c r="F984" t="s">
        <v>82</v>
      </c>
      <c r="G984" t="s">
        <v>223</v>
      </c>
      <c r="H984" t="s">
        <v>109</v>
      </c>
      <c r="I984" t="s">
        <v>110</v>
      </c>
      <c r="J984" s="26">
        <v>45304</v>
      </c>
      <c r="K984" t="s">
        <v>162</v>
      </c>
      <c r="L984" s="26"/>
      <c r="M984" t="s">
        <v>163</v>
      </c>
      <c r="N984" t="s">
        <v>96</v>
      </c>
      <c r="O984" s="27">
        <v>1190000</v>
      </c>
      <c r="P984">
        <v>3</v>
      </c>
      <c r="Q984" t="s">
        <v>172</v>
      </c>
      <c r="R984">
        <v>23</v>
      </c>
      <c r="S984" t="s">
        <v>165</v>
      </c>
      <c r="T984">
        <f t="shared" si="105"/>
        <v>10069</v>
      </c>
      <c r="U984" t="str">
        <f t="shared" si="106"/>
        <v>MKT</v>
      </c>
      <c r="V984" t="str">
        <f t="shared" si="107"/>
        <v>L2</v>
      </c>
      <c r="W984" t="str">
        <f>PROPER(TRIM(VLOOKUP(S984,Employee_Lookups!$I$4:$M$19,2,FALSE())))</f>
        <v>Arjun Sengupta</v>
      </c>
      <c r="X984" t="str">
        <f>VLOOKUP(C984,Employee_Lookups!$A$4:$G$9,4,FALSE())</f>
        <v>CC-606</v>
      </c>
      <c r="Y984" t="str">
        <f>INDEX(Employee_Lookups!$C$13:$C$17,MATCH(F984,Employee_Lookups!$A$13:$A$17,0))</f>
        <v>Band B (Mid)</v>
      </c>
      <c r="Z984" s="27">
        <f>_xlfn.XLOOKUP(F984,Employee_Lookups!$A$13:$A$17,Employee_Lookups!$E$13:$E$17,0)</f>
        <v>1100000</v>
      </c>
      <c r="AA984" s="28">
        <f>ROUND(O984/INDEX(Employee_Lookups!$E$13:$E$17,MATCH(F984,Employee_Lookups!$A$13:$A$17,0)),3)</f>
        <v>1.0820000000000001</v>
      </c>
      <c r="AB984">
        <f t="shared" si="108"/>
        <v>2024</v>
      </c>
      <c r="AC984" t="str">
        <f t="shared" si="109"/>
        <v/>
      </c>
      <c r="AD984" s="28">
        <f>ROUND((IF(ISBLANK(L984),Employee_Lookups!$O$14,L984)-J984)/365.25,2)</f>
        <v>1.97</v>
      </c>
      <c r="AE984" t="str">
        <f t="shared" si="110"/>
        <v>1 - 3 Yrs</v>
      </c>
      <c r="AF984" t="str">
        <f t="shared" si="111"/>
        <v>Moderate Risk</v>
      </c>
    </row>
    <row r="985" spans="1:32" x14ac:dyDescent="0.45">
      <c r="A985" t="s">
        <v>1787</v>
      </c>
      <c r="B985" t="s">
        <v>468</v>
      </c>
      <c r="C985" t="s">
        <v>59</v>
      </c>
      <c r="D985" t="s">
        <v>58</v>
      </c>
      <c r="E985" t="s">
        <v>211</v>
      </c>
      <c r="F985" t="s">
        <v>82</v>
      </c>
      <c r="G985" t="s">
        <v>212</v>
      </c>
      <c r="H985" t="s">
        <v>106</v>
      </c>
      <c r="I985" t="s">
        <v>107</v>
      </c>
      <c r="J985" s="26">
        <v>45305</v>
      </c>
      <c r="K985" t="s">
        <v>162</v>
      </c>
      <c r="L985" s="26"/>
      <c r="M985" t="s">
        <v>163</v>
      </c>
      <c r="N985" t="s">
        <v>97</v>
      </c>
      <c r="O985" s="27">
        <v>1203000</v>
      </c>
      <c r="P985">
        <v>3</v>
      </c>
      <c r="Q985" t="s">
        <v>172</v>
      </c>
      <c r="R985">
        <v>34</v>
      </c>
      <c r="S985" t="s">
        <v>214</v>
      </c>
      <c r="T985">
        <f t="shared" si="105"/>
        <v>11446</v>
      </c>
      <c r="U985" t="str">
        <f t="shared" si="106"/>
        <v>FIN</v>
      </c>
      <c r="V985" t="str">
        <f t="shared" si="107"/>
        <v>L2</v>
      </c>
      <c r="W985" t="str">
        <f>PROPER(TRIM(VLOOKUP(S985,Employee_Lookups!$I$4:$M$19,2,FALSE())))</f>
        <v>Aditya Gokhale</v>
      </c>
      <c r="X985" t="str">
        <f>VLOOKUP(C985,Employee_Lookups!$A$4:$G$9,4,FALSE())</f>
        <v>CC-404</v>
      </c>
      <c r="Y985" t="str">
        <f>INDEX(Employee_Lookups!$C$13:$C$17,MATCH(F985,Employee_Lookups!$A$13:$A$17,0))</f>
        <v>Band B (Mid)</v>
      </c>
      <c r="Z985" s="27">
        <f>_xlfn.XLOOKUP(F985,Employee_Lookups!$A$13:$A$17,Employee_Lookups!$E$13:$E$17,0)</f>
        <v>1100000</v>
      </c>
      <c r="AA985" s="28">
        <f>ROUND(O985/INDEX(Employee_Lookups!$E$13:$E$17,MATCH(F985,Employee_Lookups!$A$13:$A$17,0)),3)</f>
        <v>1.0940000000000001</v>
      </c>
      <c r="AB985">
        <f t="shared" si="108"/>
        <v>2024</v>
      </c>
      <c r="AC985" t="str">
        <f t="shared" si="109"/>
        <v/>
      </c>
      <c r="AD985" s="28">
        <f>ROUND((IF(ISBLANK(L985),Employee_Lookups!$O$14,L985)-J985)/365.25,2)</f>
        <v>1.96</v>
      </c>
      <c r="AE985" t="str">
        <f t="shared" si="110"/>
        <v>1 - 3 Yrs</v>
      </c>
      <c r="AF985" t="str">
        <f t="shared" si="111"/>
        <v>Moderate Risk</v>
      </c>
    </row>
    <row r="986" spans="1:32" x14ac:dyDescent="0.45">
      <c r="A986" t="s">
        <v>1788</v>
      </c>
      <c r="B986" t="s">
        <v>619</v>
      </c>
      <c r="C986" t="s">
        <v>61</v>
      </c>
      <c r="D986" t="s">
        <v>60</v>
      </c>
      <c r="E986" t="s">
        <v>251</v>
      </c>
      <c r="F986" t="s">
        <v>82</v>
      </c>
      <c r="G986" t="s">
        <v>252</v>
      </c>
      <c r="H986" t="s">
        <v>106</v>
      </c>
      <c r="I986" t="s">
        <v>107</v>
      </c>
      <c r="J986" s="26">
        <v>45306</v>
      </c>
      <c r="K986" t="s">
        <v>162</v>
      </c>
      <c r="L986" s="26"/>
      <c r="M986" t="s">
        <v>163</v>
      </c>
      <c r="N986" t="s">
        <v>95</v>
      </c>
      <c r="O986" s="27">
        <v>1205000</v>
      </c>
      <c r="P986">
        <v>2</v>
      </c>
      <c r="Q986" t="s">
        <v>172</v>
      </c>
      <c r="R986">
        <v>26</v>
      </c>
      <c r="S986" t="s">
        <v>253</v>
      </c>
      <c r="T986">
        <f t="shared" si="105"/>
        <v>10919</v>
      </c>
      <c r="U986" t="str">
        <f t="shared" si="106"/>
        <v>-HR</v>
      </c>
      <c r="V986" t="str">
        <f t="shared" si="107"/>
        <v>L2</v>
      </c>
      <c r="W986" t="str">
        <f>PROPER(TRIM(VLOOKUP(S986,Employee_Lookups!$I$4:$M$19,2,FALSE())))</f>
        <v>Nikhil Chatterjee</v>
      </c>
      <c r="X986" t="str">
        <f>VLOOKUP(C986,Employee_Lookups!$A$4:$G$9,4,FALSE())</f>
        <v>CC-505</v>
      </c>
      <c r="Y986" t="str">
        <f>INDEX(Employee_Lookups!$C$13:$C$17,MATCH(F986,Employee_Lookups!$A$13:$A$17,0))</f>
        <v>Band B (Mid)</v>
      </c>
      <c r="Z986" s="27">
        <f>_xlfn.XLOOKUP(F986,Employee_Lookups!$A$13:$A$17,Employee_Lookups!$E$13:$E$17,0)</f>
        <v>1100000</v>
      </c>
      <c r="AA986" s="28">
        <f>ROUND(O986/INDEX(Employee_Lookups!$E$13:$E$17,MATCH(F986,Employee_Lookups!$A$13:$A$17,0)),3)</f>
        <v>1.095</v>
      </c>
      <c r="AB986">
        <f t="shared" si="108"/>
        <v>2024</v>
      </c>
      <c r="AC986" t="str">
        <f t="shared" si="109"/>
        <v/>
      </c>
      <c r="AD986" s="28">
        <f>ROUND((IF(ISBLANK(L986),Employee_Lookups!$O$14,L986)-J986)/365.25,2)</f>
        <v>1.96</v>
      </c>
      <c r="AE986" t="str">
        <f t="shared" si="110"/>
        <v>1 - 3 Yrs</v>
      </c>
      <c r="AF986" t="str">
        <f t="shared" si="111"/>
        <v>Moderate Risk</v>
      </c>
    </row>
    <row r="987" spans="1:32" x14ac:dyDescent="0.45">
      <c r="A987" t="s">
        <v>1789</v>
      </c>
      <c r="B987" t="s">
        <v>1129</v>
      </c>
      <c r="C987" t="s">
        <v>57</v>
      </c>
      <c r="D987" t="s">
        <v>56</v>
      </c>
      <c r="E987" t="s">
        <v>160</v>
      </c>
      <c r="F987" t="s">
        <v>81</v>
      </c>
      <c r="G987" t="s">
        <v>161</v>
      </c>
      <c r="H987" t="s">
        <v>112</v>
      </c>
      <c r="I987" t="s">
        <v>113</v>
      </c>
      <c r="J987" s="26">
        <v>45310</v>
      </c>
      <c r="K987" t="s">
        <v>187</v>
      </c>
      <c r="L987" s="26">
        <v>45548</v>
      </c>
      <c r="M987" t="s">
        <v>282</v>
      </c>
      <c r="N987" t="s">
        <v>96</v>
      </c>
      <c r="O987" s="27">
        <v>629000</v>
      </c>
      <c r="P987">
        <v>5</v>
      </c>
      <c r="Q987" t="s">
        <v>172</v>
      </c>
      <c r="R987">
        <v>0</v>
      </c>
      <c r="S987" t="s">
        <v>224</v>
      </c>
      <c r="T987">
        <f t="shared" si="105"/>
        <v>10368</v>
      </c>
      <c r="U987" t="str">
        <f t="shared" si="106"/>
        <v>MKT</v>
      </c>
      <c r="V987" t="str">
        <f t="shared" si="107"/>
        <v>L1</v>
      </c>
      <c r="W987" t="str">
        <f>PROPER(TRIM(VLOOKUP(S987,Employee_Lookups!$I$4:$M$19,2,FALSE())))</f>
        <v>Tanvi Chitnis</v>
      </c>
      <c r="X987" t="str">
        <f>VLOOKUP(C987,Employee_Lookups!$A$4:$G$9,4,FALSE())</f>
        <v>CC-606</v>
      </c>
      <c r="Y987" t="str">
        <f>INDEX(Employee_Lookups!$C$13:$C$17,MATCH(F987,Employee_Lookups!$A$13:$A$17,0))</f>
        <v>Band A (Entry)</v>
      </c>
      <c r="Z987" s="27">
        <f>_xlfn.XLOOKUP(F987,Employee_Lookups!$A$13:$A$17,Employee_Lookups!$E$13:$E$17,0)</f>
        <v>700000</v>
      </c>
      <c r="AA987" s="28">
        <f>ROUND(O987/INDEX(Employee_Lookups!$E$13:$E$17,MATCH(F987,Employee_Lookups!$A$13:$A$17,0)),3)</f>
        <v>0.89900000000000002</v>
      </c>
      <c r="AB987">
        <f t="shared" si="108"/>
        <v>2024</v>
      </c>
      <c r="AC987">
        <f t="shared" si="109"/>
        <v>2024</v>
      </c>
      <c r="AD987" s="28">
        <f>ROUND((IF(ISBLANK(L987),Employee_Lookups!$O$14,L987)-J987)/365.25,2)</f>
        <v>0.65</v>
      </c>
      <c r="AE987" t="str">
        <f t="shared" si="110"/>
        <v>&lt; 1 Yr (New)</v>
      </c>
      <c r="AF987" t="str">
        <f t="shared" si="111"/>
        <v>Exited</v>
      </c>
    </row>
    <row r="988" spans="1:32" x14ac:dyDescent="0.45">
      <c r="A988" t="s">
        <v>1790</v>
      </c>
      <c r="B988" t="s">
        <v>390</v>
      </c>
      <c r="C988" t="s">
        <v>51</v>
      </c>
      <c r="D988" t="s">
        <v>50</v>
      </c>
      <c r="E988" t="s">
        <v>217</v>
      </c>
      <c r="F988" t="s">
        <v>83</v>
      </c>
      <c r="G988" t="s">
        <v>218</v>
      </c>
      <c r="H988" t="s">
        <v>108</v>
      </c>
      <c r="I988" t="s">
        <v>107</v>
      </c>
      <c r="J988" s="26">
        <v>45312</v>
      </c>
      <c r="K988" t="s">
        <v>162</v>
      </c>
      <c r="L988" s="26"/>
      <c r="M988" t="s">
        <v>163</v>
      </c>
      <c r="N988" t="s">
        <v>99</v>
      </c>
      <c r="O988" s="27">
        <v>1804000</v>
      </c>
      <c r="P988">
        <v>3</v>
      </c>
      <c r="Q988" t="s">
        <v>164</v>
      </c>
      <c r="R988">
        <v>20</v>
      </c>
      <c r="S988" t="s">
        <v>178</v>
      </c>
      <c r="T988">
        <f t="shared" si="105"/>
        <v>11209</v>
      </c>
      <c r="U988" t="str">
        <f t="shared" si="106"/>
        <v>ENG</v>
      </c>
      <c r="V988" t="str">
        <f t="shared" si="107"/>
        <v>L3</v>
      </c>
      <c r="W988" t="str">
        <f>PROPER(TRIM(VLOOKUP(S988,Employee_Lookups!$I$4:$M$19,2,FALSE())))</f>
        <v>Aarav Deshmukh</v>
      </c>
      <c r="X988" t="str">
        <f>VLOOKUP(C988,Employee_Lookups!$A$4:$G$9,4,FALSE())</f>
        <v>CC-101</v>
      </c>
      <c r="Y988" t="str">
        <f>INDEX(Employee_Lookups!$C$13:$C$17,MATCH(F988,Employee_Lookups!$A$13:$A$17,0))</f>
        <v>Band C (Senior)</v>
      </c>
      <c r="Z988" s="27">
        <f>_xlfn.XLOOKUP(F988,Employee_Lookups!$A$13:$A$17,Employee_Lookups!$E$13:$E$17,0)</f>
        <v>1725000</v>
      </c>
      <c r="AA988" s="28">
        <f>ROUND(O988/INDEX(Employee_Lookups!$E$13:$E$17,MATCH(F988,Employee_Lookups!$A$13:$A$17,0)),3)</f>
        <v>1.046</v>
      </c>
      <c r="AB988">
        <f t="shared" si="108"/>
        <v>2024</v>
      </c>
      <c r="AC988" t="str">
        <f t="shared" si="109"/>
        <v/>
      </c>
      <c r="AD988" s="28">
        <f>ROUND((IF(ISBLANK(L988),Employee_Lookups!$O$14,L988)-J988)/365.25,2)</f>
        <v>1.94</v>
      </c>
      <c r="AE988" t="str">
        <f t="shared" si="110"/>
        <v>1 - 3 Yrs</v>
      </c>
      <c r="AF988" t="str">
        <f t="shared" si="111"/>
        <v>Low Risk</v>
      </c>
    </row>
    <row r="989" spans="1:32" x14ac:dyDescent="0.45">
      <c r="A989" t="s">
        <v>1791</v>
      </c>
      <c r="B989" t="s">
        <v>1571</v>
      </c>
      <c r="C989" t="s">
        <v>53</v>
      </c>
      <c r="D989" t="s">
        <v>52</v>
      </c>
      <c r="E989" t="s">
        <v>322</v>
      </c>
      <c r="F989" t="s">
        <v>81</v>
      </c>
      <c r="G989" t="s">
        <v>323</v>
      </c>
      <c r="H989" t="s">
        <v>106</v>
      </c>
      <c r="I989" t="s">
        <v>107</v>
      </c>
      <c r="J989" s="26">
        <v>45313</v>
      </c>
      <c r="K989" t="s">
        <v>187</v>
      </c>
      <c r="L989" s="26">
        <v>45816</v>
      </c>
      <c r="M989" t="s">
        <v>213</v>
      </c>
      <c r="N989" t="s">
        <v>98</v>
      </c>
      <c r="O989" s="27">
        <v>796000</v>
      </c>
      <c r="P989">
        <v>3</v>
      </c>
      <c r="Q989" t="s">
        <v>172</v>
      </c>
      <c r="R989">
        <v>37</v>
      </c>
      <c r="S989" t="s">
        <v>237</v>
      </c>
      <c r="T989">
        <f t="shared" si="105"/>
        <v>10392</v>
      </c>
      <c r="U989" t="str">
        <f t="shared" si="106"/>
        <v>SAL</v>
      </c>
      <c r="V989" t="str">
        <f t="shared" si="107"/>
        <v>L1</v>
      </c>
      <c r="W989" t="str">
        <f>PROPER(TRIM(VLOOKUP(S989,Employee_Lookups!$I$4:$M$19,2,FALSE())))</f>
        <v>Karan Malhotra</v>
      </c>
      <c r="X989" t="str">
        <f>VLOOKUP(C989,Employee_Lookups!$A$4:$G$9,4,FALSE())</f>
        <v>CC-202</v>
      </c>
      <c r="Y989" t="str">
        <f>INDEX(Employee_Lookups!$C$13:$C$17,MATCH(F989,Employee_Lookups!$A$13:$A$17,0))</f>
        <v>Band A (Entry)</v>
      </c>
      <c r="Z989" s="27">
        <f>_xlfn.XLOOKUP(F989,Employee_Lookups!$A$13:$A$17,Employee_Lookups!$E$13:$E$17,0)</f>
        <v>700000</v>
      </c>
      <c r="AA989" s="28">
        <f>ROUND(O989/INDEX(Employee_Lookups!$E$13:$E$17,MATCH(F989,Employee_Lookups!$A$13:$A$17,0)),3)</f>
        <v>1.137</v>
      </c>
      <c r="AB989">
        <f t="shared" si="108"/>
        <v>2024</v>
      </c>
      <c r="AC989">
        <f t="shared" si="109"/>
        <v>2025</v>
      </c>
      <c r="AD989" s="28">
        <f>ROUND((IF(ISBLANK(L989),Employee_Lookups!$O$14,L989)-J989)/365.25,2)</f>
        <v>1.38</v>
      </c>
      <c r="AE989" t="str">
        <f t="shared" si="110"/>
        <v>1 - 3 Yrs</v>
      </c>
      <c r="AF989" t="str">
        <f t="shared" si="111"/>
        <v>Exited</v>
      </c>
    </row>
    <row r="990" spans="1:32" x14ac:dyDescent="0.45">
      <c r="A990" t="s">
        <v>1792</v>
      </c>
      <c r="B990" t="s">
        <v>474</v>
      </c>
      <c r="C990" t="s">
        <v>57</v>
      </c>
      <c r="D990" t="s">
        <v>56</v>
      </c>
      <c r="E990" t="s">
        <v>455</v>
      </c>
      <c r="F990" t="s">
        <v>84</v>
      </c>
      <c r="G990" t="s">
        <v>456</v>
      </c>
      <c r="H990" t="s">
        <v>111</v>
      </c>
      <c r="I990" t="s">
        <v>110</v>
      </c>
      <c r="J990" s="26">
        <v>45315</v>
      </c>
      <c r="K990" t="s">
        <v>170</v>
      </c>
      <c r="L990" s="26">
        <v>45504</v>
      </c>
      <c r="M990" t="s">
        <v>171</v>
      </c>
      <c r="N990" t="s">
        <v>95</v>
      </c>
      <c r="O990" s="27">
        <v>2470000</v>
      </c>
      <c r="P990">
        <v>2</v>
      </c>
      <c r="Q990" t="s">
        <v>172</v>
      </c>
      <c r="R990">
        <v>18</v>
      </c>
      <c r="S990" t="s">
        <v>165</v>
      </c>
      <c r="T990">
        <f t="shared" si="105"/>
        <v>10642</v>
      </c>
      <c r="U990" t="str">
        <f t="shared" si="106"/>
        <v>MKT</v>
      </c>
      <c r="V990" t="str">
        <f t="shared" si="107"/>
        <v>L4</v>
      </c>
      <c r="W990" t="str">
        <f>PROPER(TRIM(VLOOKUP(S990,Employee_Lookups!$I$4:$M$19,2,FALSE())))</f>
        <v>Arjun Sengupta</v>
      </c>
      <c r="X990" t="str">
        <f>VLOOKUP(C990,Employee_Lookups!$A$4:$G$9,4,FALSE())</f>
        <v>CC-606</v>
      </c>
      <c r="Y990" t="str">
        <f>INDEX(Employee_Lookups!$C$13:$C$17,MATCH(F990,Employee_Lookups!$A$13:$A$17,0))</f>
        <v>Band D (Leadership)</v>
      </c>
      <c r="Z990" s="27">
        <f>_xlfn.XLOOKUP(F990,Employee_Lookups!$A$13:$A$17,Employee_Lookups!$E$13:$E$17,0)</f>
        <v>2750000</v>
      </c>
      <c r="AA990" s="28">
        <f>ROUND(O990/INDEX(Employee_Lookups!$E$13:$E$17,MATCH(F990,Employee_Lookups!$A$13:$A$17,0)),3)</f>
        <v>0.89800000000000002</v>
      </c>
      <c r="AB990">
        <f t="shared" si="108"/>
        <v>2024</v>
      </c>
      <c r="AC990">
        <f t="shared" si="109"/>
        <v>2024</v>
      </c>
      <c r="AD990" s="28">
        <f>ROUND((IF(ISBLANK(L990),Employee_Lookups!$O$14,L990)-J990)/365.25,2)</f>
        <v>0.52</v>
      </c>
      <c r="AE990" t="str">
        <f t="shared" si="110"/>
        <v>&lt; 1 Yr (New)</v>
      </c>
      <c r="AF990" t="str">
        <f t="shared" si="111"/>
        <v>Exited</v>
      </c>
    </row>
    <row r="991" spans="1:32" x14ac:dyDescent="0.45">
      <c r="A991" t="s">
        <v>1793</v>
      </c>
      <c r="B991" t="s">
        <v>1794</v>
      </c>
      <c r="C991" t="s">
        <v>53</v>
      </c>
      <c r="D991" t="s">
        <v>52</v>
      </c>
      <c r="E991" t="s">
        <v>322</v>
      </c>
      <c r="F991" t="s">
        <v>81</v>
      </c>
      <c r="G991" t="s">
        <v>323</v>
      </c>
      <c r="H991" t="s">
        <v>106</v>
      </c>
      <c r="I991" t="s">
        <v>107</v>
      </c>
      <c r="J991" s="26">
        <v>45319</v>
      </c>
      <c r="K991" t="s">
        <v>187</v>
      </c>
      <c r="L991" s="26">
        <v>45560</v>
      </c>
      <c r="M991" t="s">
        <v>188</v>
      </c>
      <c r="N991" t="s">
        <v>99</v>
      </c>
      <c r="O991" s="27">
        <v>590000</v>
      </c>
      <c r="P991">
        <v>4</v>
      </c>
      <c r="Q991" t="s">
        <v>172</v>
      </c>
      <c r="R991">
        <v>25</v>
      </c>
      <c r="S991" t="s">
        <v>237</v>
      </c>
      <c r="T991">
        <f t="shared" si="105"/>
        <v>10232</v>
      </c>
      <c r="U991" t="str">
        <f t="shared" si="106"/>
        <v>SAL</v>
      </c>
      <c r="V991" t="str">
        <f t="shared" si="107"/>
        <v>L1</v>
      </c>
      <c r="W991" t="str">
        <f>PROPER(TRIM(VLOOKUP(S991,Employee_Lookups!$I$4:$M$19,2,FALSE())))</f>
        <v>Karan Malhotra</v>
      </c>
      <c r="X991" t="str">
        <f>VLOOKUP(C991,Employee_Lookups!$A$4:$G$9,4,FALSE())</f>
        <v>CC-202</v>
      </c>
      <c r="Y991" t="str">
        <f>INDEX(Employee_Lookups!$C$13:$C$17,MATCH(F991,Employee_Lookups!$A$13:$A$17,0))</f>
        <v>Band A (Entry)</v>
      </c>
      <c r="Z991" s="27">
        <f>_xlfn.XLOOKUP(F991,Employee_Lookups!$A$13:$A$17,Employee_Lookups!$E$13:$E$17,0)</f>
        <v>700000</v>
      </c>
      <c r="AA991" s="28">
        <f>ROUND(O991/INDEX(Employee_Lookups!$E$13:$E$17,MATCH(F991,Employee_Lookups!$A$13:$A$17,0)),3)</f>
        <v>0.84299999999999997</v>
      </c>
      <c r="AB991">
        <f t="shared" si="108"/>
        <v>2024</v>
      </c>
      <c r="AC991">
        <f t="shared" si="109"/>
        <v>2024</v>
      </c>
      <c r="AD991" s="28">
        <f>ROUND((IF(ISBLANK(L991),Employee_Lookups!$O$14,L991)-J991)/365.25,2)</f>
        <v>0.66</v>
      </c>
      <c r="AE991" t="str">
        <f t="shared" si="110"/>
        <v>&lt; 1 Yr (New)</v>
      </c>
      <c r="AF991" t="str">
        <f t="shared" si="111"/>
        <v>Exited</v>
      </c>
    </row>
    <row r="992" spans="1:32" x14ac:dyDescent="0.45">
      <c r="A992" t="s">
        <v>1795</v>
      </c>
      <c r="B992" t="s">
        <v>853</v>
      </c>
      <c r="C992" t="s">
        <v>53</v>
      </c>
      <c r="D992" t="s">
        <v>52</v>
      </c>
      <c r="E992" t="s">
        <v>322</v>
      </c>
      <c r="F992" t="s">
        <v>81</v>
      </c>
      <c r="G992" t="s">
        <v>323</v>
      </c>
      <c r="H992" t="s">
        <v>111</v>
      </c>
      <c r="I992" t="s">
        <v>110</v>
      </c>
      <c r="J992" s="26">
        <v>45323</v>
      </c>
      <c r="K992" t="s">
        <v>162</v>
      </c>
      <c r="L992" s="26"/>
      <c r="M992" t="s">
        <v>163</v>
      </c>
      <c r="N992" t="s">
        <v>95</v>
      </c>
      <c r="O992" s="27">
        <v>741000</v>
      </c>
      <c r="P992">
        <v>4</v>
      </c>
      <c r="Q992" t="s">
        <v>172</v>
      </c>
      <c r="R992">
        <v>31</v>
      </c>
      <c r="S992" t="s">
        <v>194</v>
      </c>
      <c r="T992">
        <f t="shared" si="105"/>
        <v>10423</v>
      </c>
      <c r="U992" t="str">
        <f t="shared" si="106"/>
        <v>SAL</v>
      </c>
      <c r="V992" t="str">
        <f t="shared" si="107"/>
        <v>L1</v>
      </c>
      <c r="W992" t="str">
        <f>PROPER(TRIM(VLOOKUP(S992,Employee_Lookups!$I$4:$M$19,2,FALSE())))</f>
        <v>Vikramaditya Joshi</v>
      </c>
      <c r="X992" t="str">
        <f>VLOOKUP(C992,Employee_Lookups!$A$4:$G$9,4,FALSE())</f>
        <v>CC-202</v>
      </c>
      <c r="Y992" t="str">
        <f>INDEX(Employee_Lookups!$C$13:$C$17,MATCH(F992,Employee_Lookups!$A$13:$A$17,0))</f>
        <v>Band A (Entry)</v>
      </c>
      <c r="Z992" s="27">
        <f>_xlfn.XLOOKUP(F992,Employee_Lookups!$A$13:$A$17,Employee_Lookups!$E$13:$E$17,0)</f>
        <v>700000</v>
      </c>
      <c r="AA992" s="28">
        <f>ROUND(O992/INDEX(Employee_Lookups!$E$13:$E$17,MATCH(F992,Employee_Lookups!$A$13:$A$17,0)),3)</f>
        <v>1.0589999999999999</v>
      </c>
      <c r="AB992">
        <f t="shared" si="108"/>
        <v>2024</v>
      </c>
      <c r="AC992" t="str">
        <f t="shared" si="109"/>
        <v/>
      </c>
      <c r="AD992" s="28">
        <f>ROUND((IF(ISBLANK(L992),Employee_Lookups!$O$14,L992)-J992)/365.25,2)</f>
        <v>1.91</v>
      </c>
      <c r="AE992" t="str">
        <f t="shared" si="110"/>
        <v>1 - 3 Yrs</v>
      </c>
      <c r="AF992" t="str">
        <f t="shared" si="111"/>
        <v>High Risk</v>
      </c>
    </row>
    <row r="993" spans="1:32" x14ac:dyDescent="0.45">
      <c r="A993" t="s">
        <v>1796</v>
      </c>
      <c r="B993" t="s">
        <v>359</v>
      </c>
      <c r="C993" t="s">
        <v>53</v>
      </c>
      <c r="D993" t="s">
        <v>52</v>
      </c>
      <c r="E993" t="s">
        <v>185</v>
      </c>
      <c r="F993" t="s">
        <v>82</v>
      </c>
      <c r="G993" t="s">
        <v>186</v>
      </c>
      <c r="H993" t="s">
        <v>108</v>
      </c>
      <c r="I993" t="s">
        <v>107</v>
      </c>
      <c r="J993" s="26">
        <v>45323</v>
      </c>
      <c r="K993" t="s">
        <v>162</v>
      </c>
      <c r="L993" s="26"/>
      <c r="M993" t="s">
        <v>163</v>
      </c>
      <c r="N993" t="s">
        <v>95</v>
      </c>
      <c r="O993" s="27">
        <v>1307000</v>
      </c>
      <c r="P993">
        <v>3</v>
      </c>
      <c r="Q993" t="s">
        <v>172</v>
      </c>
      <c r="R993">
        <v>23</v>
      </c>
      <c r="S993" t="s">
        <v>189</v>
      </c>
      <c r="T993">
        <f t="shared" si="105"/>
        <v>10828</v>
      </c>
      <c r="U993" t="str">
        <f t="shared" si="106"/>
        <v>SAL</v>
      </c>
      <c r="V993" t="str">
        <f t="shared" si="107"/>
        <v>L2</v>
      </c>
      <c r="W993" t="str">
        <f>PROPER(TRIM(VLOOKUP(S993,Employee_Lookups!$I$4:$M$19,2,FALSE())))</f>
        <v>Priya Sharma</v>
      </c>
      <c r="X993" t="str">
        <f>VLOOKUP(C993,Employee_Lookups!$A$4:$G$9,4,FALSE())</f>
        <v>CC-202</v>
      </c>
      <c r="Y993" t="str">
        <f>INDEX(Employee_Lookups!$C$13:$C$17,MATCH(F993,Employee_Lookups!$A$13:$A$17,0))</f>
        <v>Band B (Mid)</v>
      </c>
      <c r="Z993" s="27">
        <f>_xlfn.XLOOKUP(F993,Employee_Lookups!$A$13:$A$17,Employee_Lookups!$E$13:$E$17,0)</f>
        <v>1100000</v>
      </c>
      <c r="AA993" s="28">
        <f>ROUND(O993/INDEX(Employee_Lookups!$E$13:$E$17,MATCH(F993,Employee_Lookups!$A$13:$A$17,0)),3)</f>
        <v>1.1879999999999999</v>
      </c>
      <c r="AB993">
        <f t="shared" si="108"/>
        <v>2024</v>
      </c>
      <c r="AC993" t="str">
        <f t="shared" si="109"/>
        <v/>
      </c>
      <c r="AD993" s="28">
        <f>ROUND((IF(ISBLANK(L993),Employee_Lookups!$O$14,L993)-J993)/365.25,2)</f>
        <v>1.91</v>
      </c>
      <c r="AE993" t="str">
        <f t="shared" si="110"/>
        <v>1 - 3 Yrs</v>
      </c>
      <c r="AF993" t="str">
        <f t="shared" si="111"/>
        <v>Moderate Risk</v>
      </c>
    </row>
    <row r="994" spans="1:32" x14ac:dyDescent="0.45">
      <c r="A994" t="s">
        <v>1797</v>
      </c>
      <c r="B994" t="s">
        <v>897</v>
      </c>
      <c r="C994" t="s">
        <v>53</v>
      </c>
      <c r="D994" t="s">
        <v>52</v>
      </c>
      <c r="E994" t="s">
        <v>322</v>
      </c>
      <c r="F994" t="s">
        <v>81</v>
      </c>
      <c r="G994" t="s">
        <v>323</v>
      </c>
      <c r="H994" t="s">
        <v>106</v>
      </c>
      <c r="I994" t="s">
        <v>107</v>
      </c>
      <c r="J994" s="26">
        <v>45325</v>
      </c>
      <c r="K994" t="s">
        <v>170</v>
      </c>
      <c r="L994" s="26">
        <v>45549</v>
      </c>
      <c r="M994" t="s">
        <v>171</v>
      </c>
      <c r="N994" t="s">
        <v>96</v>
      </c>
      <c r="O994" s="27">
        <v>757000</v>
      </c>
      <c r="P994">
        <v>4</v>
      </c>
      <c r="Q994" t="s">
        <v>164</v>
      </c>
      <c r="R994">
        <v>21</v>
      </c>
      <c r="S994" t="s">
        <v>194</v>
      </c>
      <c r="T994">
        <f t="shared" si="105"/>
        <v>10041</v>
      </c>
      <c r="U994" t="str">
        <f t="shared" si="106"/>
        <v>SAL</v>
      </c>
      <c r="V994" t="str">
        <f t="shared" si="107"/>
        <v>L1</v>
      </c>
      <c r="W994" t="str">
        <f>PROPER(TRIM(VLOOKUP(S994,Employee_Lookups!$I$4:$M$19,2,FALSE())))</f>
        <v>Vikramaditya Joshi</v>
      </c>
      <c r="X994" t="str">
        <f>VLOOKUP(C994,Employee_Lookups!$A$4:$G$9,4,FALSE())</f>
        <v>CC-202</v>
      </c>
      <c r="Y994" t="str">
        <f>INDEX(Employee_Lookups!$C$13:$C$17,MATCH(F994,Employee_Lookups!$A$13:$A$17,0))</f>
        <v>Band A (Entry)</v>
      </c>
      <c r="Z994" s="27">
        <f>_xlfn.XLOOKUP(F994,Employee_Lookups!$A$13:$A$17,Employee_Lookups!$E$13:$E$17,0)</f>
        <v>700000</v>
      </c>
      <c r="AA994" s="28">
        <f>ROUND(O994/INDEX(Employee_Lookups!$E$13:$E$17,MATCH(F994,Employee_Lookups!$A$13:$A$17,0)),3)</f>
        <v>1.081</v>
      </c>
      <c r="AB994">
        <f t="shared" si="108"/>
        <v>2024</v>
      </c>
      <c r="AC994">
        <f t="shared" si="109"/>
        <v>2024</v>
      </c>
      <c r="AD994" s="28">
        <f>ROUND((IF(ISBLANK(L994),Employee_Lookups!$O$14,L994)-J994)/365.25,2)</f>
        <v>0.61</v>
      </c>
      <c r="AE994" t="str">
        <f t="shared" si="110"/>
        <v>&lt; 1 Yr (New)</v>
      </c>
      <c r="AF994" t="str">
        <f t="shared" si="111"/>
        <v>Exited</v>
      </c>
    </row>
    <row r="995" spans="1:32" x14ac:dyDescent="0.45">
      <c r="A995" t="s">
        <v>1798</v>
      </c>
      <c r="B995" t="s">
        <v>1799</v>
      </c>
      <c r="C995" t="s">
        <v>59</v>
      </c>
      <c r="D995" t="s">
        <v>58</v>
      </c>
      <c r="E995" t="s">
        <v>206</v>
      </c>
      <c r="F995" t="s">
        <v>81</v>
      </c>
      <c r="G995" t="s">
        <v>207</v>
      </c>
      <c r="H995" t="s">
        <v>106</v>
      </c>
      <c r="I995" t="s">
        <v>107</v>
      </c>
      <c r="J995" s="26">
        <v>45325</v>
      </c>
      <c r="K995" t="s">
        <v>162</v>
      </c>
      <c r="L995" s="26"/>
      <c r="M995" t="s">
        <v>163</v>
      </c>
      <c r="N995" t="s">
        <v>97</v>
      </c>
      <c r="O995" s="27">
        <v>702000</v>
      </c>
      <c r="P995">
        <v>3</v>
      </c>
      <c r="Q995" t="s">
        <v>164</v>
      </c>
      <c r="R995">
        <v>28</v>
      </c>
      <c r="S995" t="s">
        <v>214</v>
      </c>
      <c r="T995">
        <f t="shared" si="105"/>
        <v>11429</v>
      </c>
      <c r="U995" t="str">
        <f t="shared" si="106"/>
        <v>FIN</v>
      </c>
      <c r="V995" t="str">
        <f t="shared" si="107"/>
        <v>L1</v>
      </c>
      <c r="W995" t="str">
        <f>PROPER(TRIM(VLOOKUP(S995,Employee_Lookups!$I$4:$M$19,2,FALSE())))</f>
        <v>Aditya Gokhale</v>
      </c>
      <c r="X995" t="str">
        <f>VLOOKUP(C995,Employee_Lookups!$A$4:$G$9,4,FALSE())</f>
        <v>CC-404</v>
      </c>
      <c r="Y995" t="str">
        <f>INDEX(Employee_Lookups!$C$13:$C$17,MATCH(F995,Employee_Lookups!$A$13:$A$17,0))</f>
        <v>Band A (Entry)</v>
      </c>
      <c r="Z995" s="27">
        <f>_xlfn.XLOOKUP(F995,Employee_Lookups!$A$13:$A$17,Employee_Lookups!$E$13:$E$17,0)</f>
        <v>700000</v>
      </c>
      <c r="AA995" s="28">
        <f>ROUND(O995/INDEX(Employee_Lookups!$E$13:$E$17,MATCH(F995,Employee_Lookups!$A$13:$A$17,0)),3)</f>
        <v>1.0029999999999999</v>
      </c>
      <c r="AB995">
        <f t="shared" si="108"/>
        <v>2024</v>
      </c>
      <c r="AC995" t="str">
        <f t="shared" si="109"/>
        <v/>
      </c>
      <c r="AD995" s="28">
        <f>ROUND((IF(ISBLANK(L995),Employee_Lookups!$O$14,L995)-J995)/365.25,2)</f>
        <v>1.91</v>
      </c>
      <c r="AE995" t="str">
        <f t="shared" si="110"/>
        <v>1 - 3 Yrs</v>
      </c>
      <c r="AF995" t="str">
        <f t="shared" si="111"/>
        <v>Low Risk</v>
      </c>
    </row>
    <row r="996" spans="1:32" x14ac:dyDescent="0.45">
      <c r="A996" t="s">
        <v>1800</v>
      </c>
      <c r="B996" t="s">
        <v>891</v>
      </c>
      <c r="C996" t="s">
        <v>59</v>
      </c>
      <c r="D996" t="s">
        <v>58</v>
      </c>
      <c r="E996" t="s">
        <v>206</v>
      </c>
      <c r="F996" t="s">
        <v>81</v>
      </c>
      <c r="G996" t="s">
        <v>207</v>
      </c>
      <c r="H996" t="s">
        <v>106</v>
      </c>
      <c r="I996" t="s">
        <v>107</v>
      </c>
      <c r="J996" s="26">
        <v>45327</v>
      </c>
      <c r="K996" t="s">
        <v>162</v>
      </c>
      <c r="L996" s="26"/>
      <c r="M996" t="s">
        <v>163</v>
      </c>
      <c r="N996" t="s">
        <v>99</v>
      </c>
      <c r="O996" s="27">
        <v>624000</v>
      </c>
      <c r="P996">
        <v>3</v>
      </c>
      <c r="Q996" t="s">
        <v>172</v>
      </c>
      <c r="R996">
        <v>40</v>
      </c>
      <c r="S996" t="s">
        <v>208</v>
      </c>
      <c r="T996">
        <f t="shared" si="105"/>
        <v>10883</v>
      </c>
      <c r="U996" t="str">
        <f t="shared" si="106"/>
        <v>FIN</v>
      </c>
      <c r="V996" t="str">
        <f t="shared" si="107"/>
        <v>L1</v>
      </c>
      <c r="W996" t="str">
        <f>PROPER(TRIM(VLOOKUP(S996,Employee_Lookups!$I$4:$M$19,2,FALSE())))</f>
        <v>Rajeshwari Rao</v>
      </c>
      <c r="X996" t="str">
        <f>VLOOKUP(C996,Employee_Lookups!$A$4:$G$9,4,FALSE())</f>
        <v>CC-404</v>
      </c>
      <c r="Y996" t="str">
        <f>INDEX(Employee_Lookups!$C$13:$C$17,MATCH(F996,Employee_Lookups!$A$13:$A$17,0))</f>
        <v>Band A (Entry)</v>
      </c>
      <c r="Z996" s="27">
        <f>_xlfn.XLOOKUP(F996,Employee_Lookups!$A$13:$A$17,Employee_Lookups!$E$13:$E$17,0)</f>
        <v>700000</v>
      </c>
      <c r="AA996" s="28">
        <f>ROUND(O996/INDEX(Employee_Lookups!$E$13:$E$17,MATCH(F996,Employee_Lookups!$A$13:$A$17,0)),3)</f>
        <v>0.89100000000000001</v>
      </c>
      <c r="AB996">
        <f t="shared" si="108"/>
        <v>2024</v>
      </c>
      <c r="AC996" t="str">
        <f t="shared" si="109"/>
        <v/>
      </c>
      <c r="AD996" s="28">
        <f>ROUND((IF(ISBLANK(L996),Employee_Lookups!$O$14,L996)-J996)/365.25,2)</f>
        <v>1.9</v>
      </c>
      <c r="AE996" t="str">
        <f t="shared" si="110"/>
        <v>1 - 3 Yrs</v>
      </c>
      <c r="AF996" t="str">
        <f t="shared" si="111"/>
        <v>High Risk</v>
      </c>
    </row>
    <row r="997" spans="1:32" x14ac:dyDescent="0.45">
      <c r="A997" t="s">
        <v>1801</v>
      </c>
      <c r="B997" t="s">
        <v>1096</v>
      </c>
      <c r="C997" t="s">
        <v>53</v>
      </c>
      <c r="D997" t="s">
        <v>52</v>
      </c>
      <c r="E997" t="s">
        <v>322</v>
      </c>
      <c r="F997" t="s">
        <v>81</v>
      </c>
      <c r="G997" t="s">
        <v>323</v>
      </c>
      <c r="H997" t="s">
        <v>109</v>
      </c>
      <c r="I997" t="s">
        <v>110</v>
      </c>
      <c r="J997" s="26">
        <v>45329</v>
      </c>
      <c r="K997" t="s">
        <v>170</v>
      </c>
      <c r="L997" s="26">
        <v>45897</v>
      </c>
      <c r="M997" t="s">
        <v>171</v>
      </c>
      <c r="N997" t="s">
        <v>95</v>
      </c>
      <c r="O997" s="27">
        <v>824000</v>
      </c>
      <c r="P997">
        <v>2</v>
      </c>
      <c r="Q997" t="s">
        <v>172</v>
      </c>
      <c r="R997">
        <v>23</v>
      </c>
      <c r="S997" t="s">
        <v>237</v>
      </c>
      <c r="T997">
        <f t="shared" si="105"/>
        <v>10439</v>
      </c>
      <c r="U997" t="str">
        <f t="shared" si="106"/>
        <v>SAL</v>
      </c>
      <c r="V997" t="str">
        <f t="shared" si="107"/>
        <v>L1</v>
      </c>
      <c r="W997" t="str">
        <f>PROPER(TRIM(VLOOKUP(S997,Employee_Lookups!$I$4:$M$19,2,FALSE())))</f>
        <v>Karan Malhotra</v>
      </c>
      <c r="X997" t="str">
        <f>VLOOKUP(C997,Employee_Lookups!$A$4:$G$9,4,FALSE())</f>
        <v>CC-202</v>
      </c>
      <c r="Y997" t="str">
        <f>INDEX(Employee_Lookups!$C$13:$C$17,MATCH(F997,Employee_Lookups!$A$13:$A$17,0))</f>
        <v>Band A (Entry)</v>
      </c>
      <c r="Z997" s="27">
        <f>_xlfn.XLOOKUP(F997,Employee_Lookups!$A$13:$A$17,Employee_Lookups!$E$13:$E$17,0)</f>
        <v>700000</v>
      </c>
      <c r="AA997" s="28">
        <f>ROUND(O997/INDEX(Employee_Lookups!$E$13:$E$17,MATCH(F997,Employee_Lookups!$A$13:$A$17,0)),3)</f>
        <v>1.177</v>
      </c>
      <c r="AB997">
        <f t="shared" si="108"/>
        <v>2024</v>
      </c>
      <c r="AC997">
        <f t="shared" si="109"/>
        <v>2025</v>
      </c>
      <c r="AD997" s="28">
        <f>ROUND((IF(ISBLANK(L997),Employee_Lookups!$O$14,L997)-J997)/365.25,2)</f>
        <v>1.56</v>
      </c>
      <c r="AE997" t="str">
        <f t="shared" si="110"/>
        <v>1 - 3 Yrs</v>
      </c>
      <c r="AF997" t="str">
        <f t="shared" si="111"/>
        <v>Exited</v>
      </c>
    </row>
    <row r="998" spans="1:32" x14ac:dyDescent="0.45">
      <c r="A998" t="s">
        <v>1802</v>
      </c>
      <c r="B998" t="s">
        <v>1370</v>
      </c>
      <c r="C998" t="s">
        <v>53</v>
      </c>
      <c r="D998" t="s">
        <v>52</v>
      </c>
      <c r="E998" t="s">
        <v>192</v>
      </c>
      <c r="F998" t="s">
        <v>83</v>
      </c>
      <c r="G998" t="s">
        <v>193</v>
      </c>
      <c r="H998" t="s">
        <v>106</v>
      </c>
      <c r="I998" t="s">
        <v>107</v>
      </c>
      <c r="J998" s="26">
        <v>45330</v>
      </c>
      <c r="K998" t="s">
        <v>162</v>
      </c>
      <c r="L998" s="26"/>
      <c r="M998" t="s">
        <v>163</v>
      </c>
      <c r="N998" t="s">
        <v>99</v>
      </c>
      <c r="O998" s="27">
        <v>1977000</v>
      </c>
      <c r="P998">
        <v>4</v>
      </c>
      <c r="Q998" t="s">
        <v>164</v>
      </c>
      <c r="R998">
        <v>52</v>
      </c>
      <c r="S998" t="s">
        <v>194</v>
      </c>
      <c r="T998">
        <f t="shared" si="105"/>
        <v>10101</v>
      </c>
      <c r="U998" t="str">
        <f t="shared" si="106"/>
        <v>SAL</v>
      </c>
      <c r="V998" t="str">
        <f t="shared" si="107"/>
        <v>L3</v>
      </c>
      <c r="W998" t="str">
        <f>PROPER(TRIM(VLOOKUP(S998,Employee_Lookups!$I$4:$M$19,2,FALSE())))</f>
        <v>Vikramaditya Joshi</v>
      </c>
      <c r="X998" t="str">
        <f>VLOOKUP(C998,Employee_Lookups!$A$4:$G$9,4,FALSE())</f>
        <v>CC-202</v>
      </c>
      <c r="Y998" t="str">
        <f>INDEX(Employee_Lookups!$C$13:$C$17,MATCH(F998,Employee_Lookups!$A$13:$A$17,0))</f>
        <v>Band C (Senior)</v>
      </c>
      <c r="Z998" s="27">
        <f>_xlfn.XLOOKUP(F998,Employee_Lookups!$A$13:$A$17,Employee_Lookups!$E$13:$E$17,0)</f>
        <v>1725000</v>
      </c>
      <c r="AA998" s="28">
        <f>ROUND(O998/INDEX(Employee_Lookups!$E$13:$E$17,MATCH(F998,Employee_Lookups!$A$13:$A$17,0)),3)</f>
        <v>1.1459999999999999</v>
      </c>
      <c r="AB998">
        <f t="shared" si="108"/>
        <v>2024</v>
      </c>
      <c r="AC998" t="str">
        <f t="shared" si="109"/>
        <v/>
      </c>
      <c r="AD998" s="28">
        <f>ROUND((IF(ISBLANK(L998),Employee_Lookups!$O$14,L998)-J998)/365.25,2)</f>
        <v>1.89</v>
      </c>
      <c r="AE998" t="str">
        <f t="shared" si="110"/>
        <v>1 - 3 Yrs</v>
      </c>
      <c r="AF998" t="str">
        <f t="shared" si="111"/>
        <v>Low Risk</v>
      </c>
    </row>
    <row r="999" spans="1:32" x14ac:dyDescent="0.45">
      <c r="A999" t="s">
        <v>1803</v>
      </c>
      <c r="B999" t="s">
        <v>601</v>
      </c>
      <c r="C999" t="s">
        <v>53</v>
      </c>
      <c r="D999" t="s">
        <v>52</v>
      </c>
      <c r="E999" t="s">
        <v>185</v>
      </c>
      <c r="F999" t="s">
        <v>82</v>
      </c>
      <c r="G999" t="s">
        <v>186</v>
      </c>
      <c r="H999" t="s">
        <v>106</v>
      </c>
      <c r="I999" t="s">
        <v>107</v>
      </c>
      <c r="J999" s="26">
        <v>45330</v>
      </c>
      <c r="K999" t="s">
        <v>162</v>
      </c>
      <c r="L999" s="26"/>
      <c r="M999" t="s">
        <v>163</v>
      </c>
      <c r="N999" t="s">
        <v>99</v>
      </c>
      <c r="O999" s="27">
        <v>1147000</v>
      </c>
      <c r="P999">
        <v>3</v>
      </c>
      <c r="Q999" t="s">
        <v>172</v>
      </c>
      <c r="R999">
        <v>43</v>
      </c>
      <c r="S999" t="s">
        <v>189</v>
      </c>
      <c r="T999">
        <f t="shared" si="105"/>
        <v>10366</v>
      </c>
      <c r="U999" t="str">
        <f t="shared" si="106"/>
        <v>SAL</v>
      </c>
      <c r="V999" t="str">
        <f t="shared" si="107"/>
        <v>L2</v>
      </c>
      <c r="W999" t="str">
        <f>PROPER(TRIM(VLOOKUP(S999,Employee_Lookups!$I$4:$M$19,2,FALSE())))</f>
        <v>Priya Sharma</v>
      </c>
      <c r="X999" t="str">
        <f>VLOOKUP(C999,Employee_Lookups!$A$4:$G$9,4,FALSE())</f>
        <v>CC-202</v>
      </c>
      <c r="Y999" t="str">
        <f>INDEX(Employee_Lookups!$C$13:$C$17,MATCH(F999,Employee_Lookups!$A$13:$A$17,0))</f>
        <v>Band B (Mid)</v>
      </c>
      <c r="Z999" s="27">
        <f>_xlfn.XLOOKUP(F999,Employee_Lookups!$A$13:$A$17,Employee_Lookups!$E$13:$E$17,0)</f>
        <v>1100000</v>
      </c>
      <c r="AA999" s="28">
        <f>ROUND(O999/INDEX(Employee_Lookups!$E$13:$E$17,MATCH(F999,Employee_Lookups!$A$13:$A$17,0)),3)</f>
        <v>1.0429999999999999</v>
      </c>
      <c r="AB999">
        <f t="shared" si="108"/>
        <v>2024</v>
      </c>
      <c r="AC999" t="str">
        <f t="shared" si="109"/>
        <v/>
      </c>
      <c r="AD999" s="28">
        <f>ROUND((IF(ISBLANK(L999),Employee_Lookups!$O$14,L999)-J999)/365.25,2)</f>
        <v>1.89</v>
      </c>
      <c r="AE999" t="str">
        <f t="shared" si="110"/>
        <v>1 - 3 Yrs</v>
      </c>
      <c r="AF999" t="str">
        <f t="shared" si="111"/>
        <v>Moderate Risk</v>
      </c>
    </row>
    <row r="1000" spans="1:32" x14ac:dyDescent="0.45">
      <c r="A1000" t="s">
        <v>1804</v>
      </c>
      <c r="B1000" t="s">
        <v>1805</v>
      </c>
      <c r="C1000" t="s">
        <v>59</v>
      </c>
      <c r="D1000" t="s">
        <v>58</v>
      </c>
      <c r="E1000" t="s">
        <v>287</v>
      </c>
      <c r="F1000" t="s">
        <v>83</v>
      </c>
      <c r="G1000" t="s">
        <v>288</v>
      </c>
      <c r="H1000" t="s">
        <v>108</v>
      </c>
      <c r="I1000" t="s">
        <v>107</v>
      </c>
      <c r="J1000" s="26">
        <v>45333</v>
      </c>
      <c r="K1000" t="s">
        <v>162</v>
      </c>
      <c r="L1000" s="26"/>
      <c r="M1000" t="s">
        <v>163</v>
      </c>
      <c r="N1000" t="s">
        <v>97</v>
      </c>
      <c r="O1000" s="27">
        <v>1702000</v>
      </c>
      <c r="P1000">
        <v>3</v>
      </c>
      <c r="Q1000" t="s">
        <v>172</v>
      </c>
      <c r="R1000">
        <v>27</v>
      </c>
      <c r="S1000" t="s">
        <v>214</v>
      </c>
      <c r="T1000">
        <f t="shared" si="105"/>
        <v>11099</v>
      </c>
      <c r="U1000" t="str">
        <f t="shared" si="106"/>
        <v>FIN</v>
      </c>
      <c r="V1000" t="str">
        <f t="shared" si="107"/>
        <v>L3</v>
      </c>
      <c r="W1000" t="str">
        <f>PROPER(TRIM(VLOOKUP(S1000,Employee_Lookups!$I$4:$M$19,2,FALSE())))</f>
        <v>Aditya Gokhale</v>
      </c>
      <c r="X1000" t="str">
        <f>VLOOKUP(C1000,Employee_Lookups!$A$4:$G$9,4,FALSE())</f>
        <v>CC-404</v>
      </c>
      <c r="Y1000" t="str">
        <f>INDEX(Employee_Lookups!$C$13:$C$17,MATCH(F1000,Employee_Lookups!$A$13:$A$17,0))</f>
        <v>Band C (Senior)</v>
      </c>
      <c r="Z1000" s="27">
        <f>_xlfn.XLOOKUP(F1000,Employee_Lookups!$A$13:$A$17,Employee_Lookups!$E$13:$E$17,0)</f>
        <v>1725000</v>
      </c>
      <c r="AA1000" s="28">
        <f>ROUND(O1000/INDEX(Employee_Lookups!$E$13:$E$17,MATCH(F1000,Employee_Lookups!$A$13:$A$17,0)),3)</f>
        <v>0.98699999999999999</v>
      </c>
      <c r="AB1000">
        <f t="shared" si="108"/>
        <v>2024</v>
      </c>
      <c r="AC1000" t="str">
        <f t="shared" si="109"/>
        <v/>
      </c>
      <c r="AD1000" s="28">
        <f>ROUND((IF(ISBLANK(L1000),Employee_Lookups!$O$14,L1000)-J1000)/365.25,2)</f>
        <v>1.89</v>
      </c>
      <c r="AE1000" t="str">
        <f t="shared" si="110"/>
        <v>1 - 3 Yrs</v>
      </c>
      <c r="AF1000" t="str">
        <f t="shared" si="111"/>
        <v>Moderate Risk</v>
      </c>
    </row>
    <row r="1001" spans="1:32" x14ac:dyDescent="0.45">
      <c r="A1001" t="s">
        <v>1806</v>
      </c>
      <c r="B1001" t="s">
        <v>1107</v>
      </c>
      <c r="C1001" t="s">
        <v>57</v>
      </c>
      <c r="D1001" t="s">
        <v>56</v>
      </c>
      <c r="E1001" t="s">
        <v>455</v>
      </c>
      <c r="F1001" t="s">
        <v>84</v>
      </c>
      <c r="G1001" t="s">
        <v>456</v>
      </c>
      <c r="H1001" t="s">
        <v>106</v>
      </c>
      <c r="I1001" t="s">
        <v>107</v>
      </c>
      <c r="J1001" s="26">
        <v>45333</v>
      </c>
      <c r="K1001" t="s">
        <v>162</v>
      </c>
      <c r="L1001" s="26"/>
      <c r="M1001" t="s">
        <v>163</v>
      </c>
      <c r="N1001" t="s">
        <v>96</v>
      </c>
      <c r="O1001" s="27">
        <v>2350000</v>
      </c>
      <c r="P1001">
        <v>3</v>
      </c>
      <c r="Q1001" t="s">
        <v>164</v>
      </c>
      <c r="R1001">
        <v>28</v>
      </c>
      <c r="S1001" t="s">
        <v>224</v>
      </c>
      <c r="T1001">
        <f t="shared" si="105"/>
        <v>10974</v>
      </c>
      <c r="U1001" t="str">
        <f t="shared" si="106"/>
        <v>MKT</v>
      </c>
      <c r="V1001" t="str">
        <f t="shared" si="107"/>
        <v>L4</v>
      </c>
      <c r="W1001" t="str">
        <f>PROPER(TRIM(VLOOKUP(S1001,Employee_Lookups!$I$4:$M$19,2,FALSE())))</f>
        <v>Tanvi Chitnis</v>
      </c>
      <c r="X1001" t="str">
        <f>VLOOKUP(C1001,Employee_Lookups!$A$4:$G$9,4,FALSE())</f>
        <v>CC-606</v>
      </c>
      <c r="Y1001" t="str">
        <f>INDEX(Employee_Lookups!$C$13:$C$17,MATCH(F1001,Employee_Lookups!$A$13:$A$17,0))</f>
        <v>Band D (Leadership)</v>
      </c>
      <c r="Z1001" s="27">
        <f>_xlfn.XLOOKUP(F1001,Employee_Lookups!$A$13:$A$17,Employee_Lookups!$E$13:$E$17,0)</f>
        <v>2750000</v>
      </c>
      <c r="AA1001" s="28">
        <f>ROUND(O1001/INDEX(Employee_Lookups!$E$13:$E$17,MATCH(F1001,Employee_Lookups!$A$13:$A$17,0)),3)</f>
        <v>0.85499999999999998</v>
      </c>
      <c r="AB1001">
        <f t="shared" si="108"/>
        <v>2024</v>
      </c>
      <c r="AC1001" t="str">
        <f t="shared" si="109"/>
        <v/>
      </c>
      <c r="AD1001" s="28">
        <f>ROUND((IF(ISBLANK(L1001),Employee_Lookups!$O$14,L1001)-J1001)/365.25,2)</f>
        <v>1.89</v>
      </c>
      <c r="AE1001" t="str">
        <f t="shared" si="110"/>
        <v>1 - 3 Yrs</v>
      </c>
      <c r="AF1001" t="str">
        <f t="shared" si="111"/>
        <v>Low Risk</v>
      </c>
    </row>
    <row r="1002" spans="1:32" x14ac:dyDescent="0.45">
      <c r="A1002" t="s">
        <v>1807</v>
      </c>
      <c r="B1002" t="s">
        <v>1808</v>
      </c>
      <c r="C1002" t="s">
        <v>55</v>
      </c>
      <c r="D1002" t="s">
        <v>54</v>
      </c>
      <c r="E1002" t="s">
        <v>229</v>
      </c>
      <c r="F1002" t="s">
        <v>82</v>
      </c>
      <c r="G1002" t="s">
        <v>230</v>
      </c>
      <c r="H1002" t="s">
        <v>106</v>
      </c>
      <c r="I1002" t="s">
        <v>107</v>
      </c>
      <c r="J1002" s="26">
        <v>45334</v>
      </c>
      <c r="K1002" t="s">
        <v>162</v>
      </c>
      <c r="L1002" s="26"/>
      <c r="M1002" t="s">
        <v>163</v>
      </c>
      <c r="N1002" t="s">
        <v>96</v>
      </c>
      <c r="O1002" s="27">
        <v>934000</v>
      </c>
      <c r="P1002">
        <v>3</v>
      </c>
      <c r="Q1002" t="s">
        <v>172</v>
      </c>
      <c r="R1002">
        <v>41</v>
      </c>
      <c r="S1002" t="s">
        <v>173</v>
      </c>
      <c r="T1002">
        <f t="shared" si="105"/>
        <v>11096</v>
      </c>
      <c r="U1002" t="str">
        <f t="shared" si="106"/>
        <v>OPS</v>
      </c>
      <c r="V1002" t="str">
        <f t="shared" si="107"/>
        <v>L2</v>
      </c>
      <c r="W1002" t="str">
        <f>PROPER(TRIM(VLOOKUP(S1002,Employee_Lookups!$I$4:$M$19,2,FALSE())))</f>
        <v>Deepak Patil</v>
      </c>
      <c r="X1002" t="str">
        <f>VLOOKUP(C1002,Employee_Lookups!$A$4:$G$9,4,FALSE())</f>
        <v>CC-303</v>
      </c>
      <c r="Y1002" t="str">
        <f>INDEX(Employee_Lookups!$C$13:$C$17,MATCH(F1002,Employee_Lookups!$A$13:$A$17,0))</f>
        <v>Band B (Mid)</v>
      </c>
      <c r="Z1002" s="27">
        <f>_xlfn.XLOOKUP(F1002,Employee_Lookups!$A$13:$A$17,Employee_Lookups!$E$13:$E$17,0)</f>
        <v>1100000</v>
      </c>
      <c r="AA1002" s="28">
        <f>ROUND(O1002/INDEX(Employee_Lookups!$E$13:$E$17,MATCH(F1002,Employee_Lookups!$A$13:$A$17,0)),3)</f>
        <v>0.84899999999999998</v>
      </c>
      <c r="AB1002">
        <f t="shared" si="108"/>
        <v>2024</v>
      </c>
      <c r="AC1002" t="str">
        <f t="shared" si="109"/>
        <v/>
      </c>
      <c r="AD1002" s="28">
        <f>ROUND((IF(ISBLANK(L1002),Employee_Lookups!$O$14,L1002)-J1002)/365.25,2)</f>
        <v>1.88</v>
      </c>
      <c r="AE1002" t="str">
        <f t="shared" si="110"/>
        <v>1 - 3 Yrs</v>
      </c>
      <c r="AF1002" t="str">
        <f t="shared" si="111"/>
        <v>High Risk</v>
      </c>
    </row>
    <row r="1003" spans="1:32" x14ac:dyDescent="0.45">
      <c r="A1003" t="s">
        <v>1809</v>
      </c>
      <c r="B1003" t="s">
        <v>1111</v>
      </c>
      <c r="C1003" t="s">
        <v>57</v>
      </c>
      <c r="D1003" t="s">
        <v>56</v>
      </c>
      <c r="E1003" t="s">
        <v>391</v>
      </c>
      <c r="F1003" t="s">
        <v>83</v>
      </c>
      <c r="G1003" t="s">
        <v>392</v>
      </c>
      <c r="H1003" t="s">
        <v>108</v>
      </c>
      <c r="I1003" t="s">
        <v>107</v>
      </c>
      <c r="J1003" s="26">
        <v>45344</v>
      </c>
      <c r="K1003" t="s">
        <v>162</v>
      </c>
      <c r="L1003" s="26"/>
      <c r="M1003" t="s">
        <v>163</v>
      </c>
      <c r="N1003" t="s">
        <v>99</v>
      </c>
      <c r="O1003" s="27">
        <v>2026000</v>
      </c>
      <c r="P1003">
        <v>3</v>
      </c>
      <c r="Q1003" t="s">
        <v>164</v>
      </c>
      <c r="R1003">
        <v>31</v>
      </c>
      <c r="S1003" t="s">
        <v>165</v>
      </c>
      <c r="T1003">
        <f t="shared" si="105"/>
        <v>10140</v>
      </c>
      <c r="U1003" t="str">
        <f t="shared" si="106"/>
        <v>MKT</v>
      </c>
      <c r="V1003" t="str">
        <f t="shared" si="107"/>
        <v>L3</v>
      </c>
      <c r="W1003" t="str">
        <f>PROPER(TRIM(VLOOKUP(S1003,Employee_Lookups!$I$4:$M$19,2,FALSE())))</f>
        <v>Arjun Sengupta</v>
      </c>
      <c r="X1003" t="str">
        <f>VLOOKUP(C1003,Employee_Lookups!$A$4:$G$9,4,FALSE())</f>
        <v>CC-606</v>
      </c>
      <c r="Y1003" t="str">
        <f>INDEX(Employee_Lookups!$C$13:$C$17,MATCH(F1003,Employee_Lookups!$A$13:$A$17,0))</f>
        <v>Band C (Senior)</v>
      </c>
      <c r="Z1003" s="27">
        <f>_xlfn.XLOOKUP(F1003,Employee_Lookups!$A$13:$A$17,Employee_Lookups!$E$13:$E$17,0)</f>
        <v>1725000</v>
      </c>
      <c r="AA1003" s="28">
        <f>ROUND(O1003/INDEX(Employee_Lookups!$E$13:$E$17,MATCH(F1003,Employee_Lookups!$A$13:$A$17,0)),3)</f>
        <v>1.1739999999999999</v>
      </c>
      <c r="AB1003">
        <f t="shared" si="108"/>
        <v>2024</v>
      </c>
      <c r="AC1003" t="str">
        <f t="shared" si="109"/>
        <v/>
      </c>
      <c r="AD1003" s="28">
        <f>ROUND((IF(ISBLANK(L1003),Employee_Lookups!$O$14,L1003)-J1003)/365.25,2)</f>
        <v>1.86</v>
      </c>
      <c r="AE1003" t="str">
        <f t="shared" si="110"/>
        <v>1 - 3 Yrs</v>
      </c>
      <c r="AF1003" t="str">
        <f t="shared" si="111"/>
        <v>Low Risk</v>
      </c>
    </row>
    <row r="1004" spans="1:32" x14ac:dyDescent="0.45">
      <c r="A1004" t="s">
        <v>1810</v>
      </c>
      <c r="B1004" t="s">
        <v>1811</v>
      </c>
      <c r="C1004" t="s">
        <v>53</v>
      </c>
      <c r="D1004" t="s">
        <v>52</v>
      </c>
      <c r="E1004" t="s">
        <v>185</v>
      </c>
      <c r="F1004" t="s">
        <v>82</v>
      </c>
      <c r="G1004" t="s">
        <v>186</v>
      </c>
      <c r="H1004" t="s">
        <v>109</v>
      </c>
      <c r="I1004" t="s">
        <v>110</v>
      </c>
      <c r="J1004" s="26">
        <v>45347</v>
      </c>
      <c r="K1004" t="s">
        <v>187</v>
      </c>
      <c r="L1004" s="26">
        <v>45700</v>
      </c>
      <c r="M1004" t="s">
        <v>269</v>
      </c>
      <c r="N1004" t="s">
        <v>98</v>
      </c>
      <c r="O1004" s="27">
        <v>1001000</v>
      </c>
      <c r="P1004">
        <v>3</v>
      </c>
      <c r="Q1004" t="s">
        <v>172</v>
      </c>
      <c r="R1004">
        <v>47</v>
      </c>
      <c r="S1004" t="s">
        <v>189</v>
      </c>
      <c r="T1004">
        <f t="shared" si="105"/>
        <v>10194</v>
      </c>
      <c r="U1004" t="str">
        <f t="shared" si="106"/>
        <v>SAL</v>
      </c>
      <c r="V1004" t="str">
        <f t="shared" si="107"/>
        <v>L2</v>
      </c>
      <c r="W1004" t="str">
        <f>PROPER(TRIM(VLOOKUP(S1004,Employee_Lookups!$I$4:$M$19,2,FALSE())))</f>
        <v>Priya Sharma</v>
      </c>
      <c r="X1004" t="str">
        <f>VLOOKUP(C1004,Employee_Lookups!$A$4:$G$9,4,FALSE())</f>
        <v>CC-202</v>
      </c>
      <c r="Y1004" t="str">
        <f>INDEX(Employee_Lookups!$C$13:$C$17,MATCH(F1004,Employee_Lookups!$A$13:$A$17,0))</f>
        <v>Band B (Mid)</v>
      </c>
      <c r="Z1004" s="27">
        <f>_xlfn.XLOOKUP(F1004,Employee_Lookups!$A$13:$A$17,Employee_Lookups!$E$13:$E$17,0)</f>
        <v>1100000</v>
      </c>
      <c r="AA1004" s="28">
        <f>ROUND(O1004/INDEX(Employee_Lookups!$E$13:$E$17,MATCH(F1004,Employee_Lookups!$A$13:$A$17,0)),3)</f>
        <v>0.91</v>
      </c>
      <c r="AB1004">
        <f t="shared" si="108"/>
        <v>2024</v>
      </c>
      <c r="AC1004">
        <f t="shared" si="109"/>
        <v>2025</v>
      </c>
      <c r="AD1004" s="28">
        <f>ROUND((IF(ISBLANK(L1004),Employee_Lookups!$O$14,L1004)-J1004)/365.25,2)</f>
        <v>0.97</v>
      </c>
      <c r="AE1004" t="str">
        <f t="shared" si="110"/>
        <v>&lt; 1 Yr (New)</v>
      </c>
      <c r="AF1004" t="str">
        <f t="shared" si="111"/>
        <v>Exited</v>
      </c>
    </row>
    <row r="1005" spans="1:32" x14ac:dyDescent="0.45">
      <c r="A1005" t="s">
        <v>1812</v>
      </c>
      <c r="B1005" t="s">
        <v>1813</v>
      </c>
      <c r="C1005" t="s">
        <v>53</v>
      </c>
      <c r="D1005" t="s">
        <v>52</v>
      </c>
      <c r="E1005" t="s">
        <v>322</v>
      </c>
      <c r="F1005" t="s">
        <v>81</v>
      </c>
      <c r="G1005" t="s">
        <v>323</v>
      </c>
      <c r="H1005" t="s">
        <v>106</v>
      </c>
      <c r="I1005" t="s">
        <v>107</v>
      </c>
      <c r="J1005" s="26">
        <v>45347</v>
      </c>
      <c r="K1005" t="s">
        <v>187</v>
      </c>
      <c r="L1005" s="26">
        <v>45514</v>
      </c>
      <c r="M1005" t="s">
        <v>282</v>
      </c>
      <c r="N1005" t="s">
        <v>95</v>
      </c>
      <c r="O1005" s="27">
        <v>682000</v>
      </c>
      <c r="P1005">
        <v>3</v>
      </c>
      <c r="Q1005" t="s">
        <v>164</v>
      </c>
      <c r="R1005">
        <v>20</v>
      </c>
      <c r="S1005" t="s">
        <v>194</v>
      </c>
      <c r="T1005">
        <f t="shared" si="105"/>
        <v>11019</v>
      </c>
      <c r="U1005" t="str">
        <f t="shared" si="106"/>
        <v>SAL</v>
      </c>
      <c r="V1005" t="str">
        <f t="shared" si="107"/>
        <v>L1</v>
      </c>
      <c r="W1005" t="str">
        <f>PROPER(TRIM(VLOOKUP(S1005,Employee_Lookups!$I$4:$M$19,2,FALSE())))</f>
        <v>Vikramaditya Joshi</v>
      </c>
      <c r="X1005" t="str">
        <f>VLOOKUP(C1005,Employee_Lookups!$A$4:$G$9,4,FALSE())</f>
        <v>CC-202</v>
      </c>
      <c r="Y1005" t="str">
        <f>INDEX(Employee_Lookups!$C$13:$C$17,MATCH(F1005,Employee_Lookups!$A$13:$A$17,0))</f>
        <v>Band A (Entry)</v>
      </c>
      <c r="Z1005" s="27">
        <f>_xlfn.XLOOKUP(F1005,Employee_Lookups!$A$13:$A$17,Employee_Lookups!$E$13:$E$17,0)</f>
        <v>700000</v>
      </c>
      <c r="AA1005" s="28">
        <f>ROUND(O1005/INDEX(Employee_Lookups!$E$13:$E$17,MATCH(F1005,Employee_Lookups!$A$13:$A$17,0)),3)</f>
        <v>0.97399999999999998</v>
      </c>
      <c r="AB1005">
        <f t="shared" si="108"/>
        <v>2024</v>
      </c>
      <c r="AC1005">
        <f t="shared" si="109"/>
        <v>2024</v>
      </c>
      <c r="AD1005" s="28">
        <f>ROUND((IF(ISBLANK(L1005),Employee_Lookups!$O$14,L1005)-J1005)/365.25,2)</f>
        <v>0.46</v>
      </c>
      <c r="AE1005" t="str">
        <f t="shared" si="110"/>
        <v>&lt; 1 Yr (New)</v>
      </c>
      <c r="AF1005" t="str">
        <f t="shared" si="111"/>
        <v>Exited</v>
      </c>
    </row>
    <row r="1006" spans="1:32" x14ac:dyDescent="0.45">
      <c r="A1006" t="s">
        <v>1814</v>
      </c>
      <c r="B1006" t="s">
        <v>1815</v>
      </c>
      <c r="C1006" t="s">
        <v>51</v>
      </c>
      <c r="D1006" t="s">
        <v>50</v>
      </c>
      <c r="E1006" t="s">
        <v>217</v>
      </c>
      <c r="F1006" t="s">
        <v>83</v>
      </c>
      <c r="G1006" t="s">
        <v>218</v>
      </c>
      <c r="H1006" t="s">
        <v>108</v>
      </c>
      <c r="I1006" t="s">
        <v>107</v>
      </c>
      <c r="J1006" s="26">
        <v>45348</v>
      </c>
      <c r="K1006" t="s">
        <v>162</v>
      </c>
      <c r="L1006" s="26"/>
      <c r="M1006" t="s">
        <v>163</v>
      </c>
      <c r="N1006" t="s">
        <v>97</v>
      </c>
      <c r="O1006" s="27">
        <v>2095000</v>
      </c>
      <c r="P1006">
        <v>5</v>
      </c>
      <c r="Q1006" t="s">
        <v>164</v>
      </c>
      <c r="R1006">
        <v>69</v>
      </c>
      <c r="S1006" t="s">
        <v>244</v>
      </c>
      <c r="T1006">
        <f t="shared" si="105"/>
        <v>10952</v>
      </c>
      <c r="U1006" t="str">
        <f t="shared" si="106"/>
        <v>ENG</v>
      </c>
      <c r="V1006" t="str">
        <f t="shared" si="107"/>
        <v>L3</v>
      </c>
      <c r="W1006" t="str">
        <f>PROPER(TRIM(VLOOKUP(S1006,Employee_Lookups!$I$4:$M$19,2,FALSE())))</f>
        <v>Siddharth Nair</v>
      </c>
      <c r="X1006" t="str">
        <f>VLOOKUP(C1006,Employee_Lookups!$A$4:$G$9,4,FALSE())</f>
        <v>CC-101</v>
      </c>
      <c r="Y1006" t="str">
        <f>INDEX(Employee_Lookups!$C$13:$C$17,MATCH(F1006,Employee_Lookups!$A$13:$A$17,0))</f>
        <v>Band C (Senior)</v>
      </c>
      <c r="Z1006" s="27">
        <f>_xlfn.XLOOKUP(F1006,Employee_Lookups!$A$13:$A$17,Employee_Lookups!$E$13:$E$17,0)</f>
        <v>1725000</v>
      </c>
      <c r="AA1006" s="28">
        <f>ROUND(O1006/INDEX(Employee_Lookups!$E$13:$E$17,MATCH(F1006,Employee_Lookups!$A$13:$A$17,0)),3)</f>
        <v>1.214</v>
      </c>
      <c r="AB1006">
        <f t="shared" si="108"/>
        <v>2024</v>
      </c>
      <c r="AC1006" t="str">
        <f t="shared" si="109"/>
        <v/>
      </c>
      <c r="AD1006" s="28">
        <f>ROUND((IF(ISBLANK(L1006),Employee_Lookups!$O$14,L1006)-J1006)/365.25,2)</f>
        <v>1.85</v>
      </c>
      <c r="AE1006" t="str">
        <f t="shared" si="110"/>
        <v>1 - 3 Yrs</v>
      </c>
      <c r="AF1006" t="str">
        <f t="shared" si="111"/>
        <v>Low Risk</v>
      </c>
    </row>
    <row r="1007" spans="1:32" x14ac:dyDescent="0.45">
      <c r="A1007" t="s">
        <v>1816</v>
      </c>
      <c r="B1007" t="s">
        <v>1817</v>
      </c>
      <c r="C1007" t="s">
        <v>51</v>
      </c>
      <c r="D1007" t="s">
        <v>50</v>
      </c>
      <c r="E1007" t="s">
        <v>176</v>
      </c>
      <c r="F1007" t="s">
        <v>82</v>
      </c>
      <c r="G1007" t="s">
        <v>177</v>
      </c>
      <c r="H1007" t="s">
        <v>108</v>
      </c>
      <c r="I1007" t="s">
        <v>107</v>
      </c>
      <c r="J1007" s="26">
        <v>45349</v>
      </c>
      <c r="K1007" t="s">
        <v>162</v>
      </c>
      <c r="L1007" s="26"/>
      <c r="M1007" t="s">
        <v>163</v>
      </c>
      <c r="N1007" t="s">
        <v>96</v>
      </c>
      <c r="O1007" s="27">
        <v>1313000</v>
      </c>
      <c r="P1007">
        <v>3</v>
      </c>
      <c r="Q1007" t="s">
        <v>172</v>
      </c>
      <c r="R1007">
        <v>39</v>
      </c>
      <c r="S1007" t="s">
        <v>178</v>
      </c>
      <c r="T1007">
        <f t="shared" si="105"/>
        <v>10568</v>
      </c>
      <c r="U1007" t="str">
        <f t="shared" si="106"/>
        <v>ENG</v>
      </c>
      <c r="V1007" t="str">
        <f t="shared" si="107"/>
        <v>L2</v>
      </c>
      <c r="W1007" t="str">
        <f>PROPER(TRIM(VLOOKUP(S1007,Employee_Lookups!$I$4:$M$19,2,FALSE())))</f>
        <v>Aarav Deshmukh</v>
      </c>
      <c r="X1007" t="str">
        <f>VLOOKUP(C1007,Employee_Lookups!$A$4:$G$9,4,FALSE())</f>
        <v>CC-101</v>
      </c>
      <c r="Y1007" t="str">
        <f>INDEX(Employee_Lookups!$C$13:$C$17,MATCH(F1007,Employee_Lookups!$A$13:$A$17,0))</f>
        <v>Band B (Mid)</v>
      </c>
      <c r="Z1007" s="27">
        <f>_xlfn.XLOOKUP(F1007,Employee_Lookups!$A$13:$A$17,Employee_Lookups!$E$13:$E$17,0)</f>
        <v>1100000</v>
      </c>
      <c r="AA1007" s="28">
        <f>ROUND(O1007/INDEX(Employee_Lookups!$E$13:$E$17,MATCH(F1007,Employee_Lookups!$A$13:$A$17,0)),3)</f>
        <v>1.194</v>
      </c>
      <c r="AB1007">
        <f t="shared" si="108"/>
        <v>2024</v>
      </c>
      <c r="AC1007" t="str">
        <f t="shared" si="109"/>
        <v/>
      </c>
      <c r="AD1007" s="28">
        <f>ROUND((IF(ISBLANK(L1007),Employee_Lookups!$O$14,L1007)-J1007)/365.25,2)</f>
        <v>1.84</v>
      </c>
      <c r="AE1007" t="str">
        <f t="shared" si="110"/>
        <v>1 - 3 Yrs</v>
      </c>
      <c r="AF1007" t="str">
        <f t="shared" si="111"/>
        <v>Moderate Risk</v>
      </c>
    </row>
    <row r="1008" spans="1:32" x14ac:dyDescent="0.45">
      <c r="A1008" t="s">
        <v>1818</v>
      </c>
      <c r="B1008" t="s">
        <v>499</v>
      </c>
      <c r="C1008" t="s">
        <v>53</v>
      </c>
      <c r="D1008" t="s">
        <v>52</v>
      </c>
      <c r="E1008" t="s">
        <v>322</v>
      </c>
      <c r="F1008" t="s">
        <v>81</v>
      </c>
      <c r="G1008" t="s">
        <v>323</v>
      </c>
      <c r="H1008" t="s">
        <v>106</v>
      </c>
      <c r="I1008" t="s">
        <v>107</v>
      </c>
      <c r="J1008" s="26">
        <v>45353</v>
      </c>
      <c r="K1008" t="s">
        <v>162</v>
      </c>
      <c r="L1008" s="26"/>
      <c r="M1008" t="s">
        <v>163</v>
      </c>
      <c r="N1008" t="s">
        <v>95</v>
      </c>
      <c r="O1008" s="27">
        <v>676000</v>
      </c>
      <c r="P1008">
        <v>3</v>
      </c>
      <c r="Q1008" t="s">
        <v>172</v>
      </c>
      <c r="R1008">
        <v>60</v>
      </c>
      <c r="S1008" t="s">
        <v>189</v>
      </c>
      <c r="T1008">
        <f t="shared" si="105"/>
        <v>10835</v>
      </c>
      <c r="U1008" t="str">
        <f t="shared" si="106"/>
        <v>SAL</v>
      </c>
      <c r="V1008" t="str">
        <f t="shared" si="107"/>
        <v>L1</v>
      </c>
      <c r="W1008" t="str">
        <f>PROPER(TRIM(VLOOKUP(S1008,Employee_Lookups!$I$4:$M$19,2,FALSE())))</f>
        <v>Priya Sharma</v>
      </c>
      <c r="X1008" t="str">
        <f>VLOOKUP(C1008,Employee_Lookups!$A$4:$G$9,4,FALSE())</f>
        <v>CC-202</v>
      </c>
      <c r="Y1008" t="str">
        <f>INDEX(Employee_Lookups!$C$13:$C$17,MATCH(F1008,Employee_Lookups!$A$13:$A$17,0))</f>
        <v>Band A (Entry)</v>
      </c>
      <c r="Z1008" s="27">
        <f>_xlfn.XLOOKUP(F1008,Employee_Lookups!$A$13:$A$17,Employee_Lookups!$E$13:$E$17,0)</f>
        <v>700000</v>
      </c>
      <c r="AA1008" s="28">
        <f>ROUND(O1008/INDEX(Employee_Lookups!$E$13:$E$17,MATCH(F1008,Employee_Lookups!$A$13:$A$17,0)),3)</f>
        <v>0.96599999999999997</v>
      </c>
      <c r="AB1008">
        <f t="shared" si="108"/>
        <v>2024</v>
      </c>
      <c r="AC1008" t="str">
        <f t="shared" si="109"/>
        <v/>
      </c>
      <c r="AD1008" s="28">
        <f>ROUND((IF(ISBLANK(L1008),Employee_Lookups!$O$14,L1008)-J1008)/365.25,2)</f>
        <v>1.83</v>
      </c>
      <c r="AE1008" t="str">
        <f t="shared" si="110"/>
        <v>1 - 3 Yrs</v>
      </c>
      <c r="AF1008" t="str">
        <f t="shared" si="111"/>
        <v>Moderate Risk</v>
      </c>
    </row>
    <row r="1009" spans="1:32" x14ac:dyDescent="0.45">
      <c r="A1009" t="s">
        <v>1819</v>
      </c>
      <c r="B1009" t="s">
        <v>1820</v>
      </c>
      <c r="C1009" t="s">
        <v>53</v>
      </c>
      <c r="D1009" t="s">
        <v>52</v>
      </c>
      <c r="E1009" t="s">
        <v>322</v>
      </c>
      <c r="F1009" t="s">
        <v>81</v>
      </c>
      <c r="G1009" t="s">
        <v>323</v>
      </c>
      <c r="H1009" t="s">
        <v>109</v>
      </c>
      <c r="I1009" t="s">
        <v>110</v>
      </c>
      <c r="J1009" s="26">
        <v>45353</v>
      </c>
      <c r="K1009" t="s">
        <v>162</v>
      </c>
      <c r="L1009" s="26"/>
      <c r="M1009" t="s">
        <v>163</v>
      </c>
      <c r="N1009" t="s">
        <v>99</v>
      </c>
      <c r="O1009" s="27">
        <v>748000</v>
      </c>
      <c r="P1009">
        <v>3</v>
      </c>
      <c r="Q1009" t="s">
        <v>172</v>
      </c>
      <c r="R1009">
        <v>29</v>
      </c>
      <c r="S1009" t="s">
        <v>194</v>
      </c>
      <c r="T1009">
        <f t="shared" si="105"/>
        <v>11195</v>
      </c>
      <c r="U1009" t="str">
        <f t="shared" si="106"/>
        <v>SAL</v>
      </c>
      <c r="V1009" t="str">
        <f t="shared" si="107"/>
        <v>L1</v>
      </c>
      <c r="W1009" t="str">
        <f>PROPER(TRIM(VLOOKUP(S1009,Employee_Lookups!$I$4:$M$19,2,FALSE())))</f>
        <v>Vikramaditya Joshi</v>
      </c>
      <c r="X1009" t="str">
        <f>VLOOKUP(C1009,Employee_Lookups!$A$4:$G$9,4,FALSE())</f>
        <v>CC-202</v>
      </c>
      <c r="Y1009" t="str">
        <f>INDEX(Employee_Lookups!$C$13:$C$17,MATCH(F1009,Employee_Lookups!$A$13:$A$17,0))</f>
        <v>Band A (Entry)</v>
      </c>
      <c r="Z1009" s="27">
        <f>_xlfn.XLOOKUP(F1009,Employee_Lookups!$A$13:$A$17,Employee_Lookups!$E$13:$E$17,0)</f>
        <v>700000</v>
      </c>
      <c r="AA1009" s="28">
        <f>ROUND(O1009/INDEX(Employee_Lookups!$E$13:$E$17,MATCH(F1009,Employee_Lookups!$A$13:$A$17,0)),3)</f>
        <v>1.069</v>
      </c>
      <c r="AB1009">
        <f t="shared" si="108"/>
        <v>2024</v>
      </c>
      <c r="AC1009" t="str">
        <f t="shared" si="109"/>
        <v/>
      </c>
      <c r="AD1009" s="28">
        <f>ROUND((IF(ISBLANK(L1009),Employee_Lookups!$O$14,L1009)-J1009)/365.25,2)</f>
        <v>1.83</v>
      </c>
      <c r="AE1009" t="str">
        <f t="shared" si="110"/>
        <v>1 - 3 Yrs</v>
      </c>
      <c r="AF1009" t="str">
        <f t="shared" si="111"/>
        <v>Moderate Risk</v>
      </c>
    </row>
    <row r="1010" spans="1:32" x14ac:dyDescent="0.45">
      <c r="A1010" t="s">
        <v>1821</v>
      </c>
      <c r="B1010" t="s">
        <v>1609</v>
      </c>
      <c r="C1010" t="s">
        <v>53</v>
      </c>
      <c r="D1010" t="s">
        <v>52</v>
      </c>
      <c r="E1010" t="s">
        <v>185</v>
      </c>
      <c r="F1010" t="s">
        <v>82</v>
      </c>
      <c r="G1010" t="s">
        <v>186</v>
      </c>
      <c r="H1010" t="s">
        <v>106</v>
      </c>
      <c r="I1010" t="s">
        <v>107</v>
      </c>
      <c r="J1010" s="26">
        <v>45353</v>
      </c>
      <c r="K1010" t="s">
        <v>162</v>
      </c>
      <c r="L1010" s="26"/>
      <c r="M1010" t="s">
        <v>163</v>
      </c>
      <c r="N1010" t="s">
        <v>98</v>
      </c>
      <c r="O1010" s="27">
        <v>1059000</v>
      </c>
      <c r="P1010">
        <v>4</v>
      </c>
      <c r="Q1010" t="s">
        <v>172</v>
      </c>
      <c r="R1010">
        <v>25</v>
      </c>
      <c r="S1010" t="s">
        <v>237</v>
      </c>
      <c r="T1010">
        <f t="shared" si="105"/>
        <v>11201</v>
      </c>
      <c r="U1010" t="str">
        <f t="shared" si="106"/>
        <v>SAL</v>
      </c>
      <c r="V1010" t="str">
        <f t="shared" si="107"/>
        <v>L2</v>
      </c>
      <c r="W1010" t="str">
        <f>PROPER(TRIM(VLOOKUP(S1010,Employee_Lookups!$I$4:$M$19,2,FALSE())))</f>
        <v>Karan Malhotra</v>
      </c>
      <c r="X1010" t="str">
        <f>VLOOKUP(C1010,Employee_Lookups!$A$4:$G$9,4,FALSE())</f>
        <v>CC-202</v>
      </c>
      <c r="Y1010" t="str">
        <f>INDEX(Employee_Lookups!$C$13:$C$17,MATCH(F1010,Employee_Lookups!$A$13:$A$17,0))</f>
        <v>Band B (Mid)</v>
      </c>
      <c r="Z1010" s="27">
        <f>_xlfn.XLOOKUP(F1010,Employee_Lookups!$A$13:$A$17,Employee_Lookups!$E$13:$E$17,0)</f>
        <v>1100000</v>
      </c>
      <c r="AA1010" s="28">
        <f>ROUND(O1010/INDEX(Employee_Lookups!$E$13:$E$17,MATCH(F1010,Employee_Lookups!$A$13:$A$17,0)),3)</f>
        <v>0.96299999999999997</v>
      </c>
      <c r="AB1010">
        <f t="shared" si="108"/>
        <v>2024</v>
      </c>
      <c r="AC1010" t="str">
        <f t="shared" si="109"/>
        <v/>
      </c>
      <c r="AD1010" s="28">
        <f>ROUND((IF(ISBLANK(L1010),Employee_Lookups!$O$14,L1010)-J1010)/365.25,2)</f>
        <v>1.83</v>
      </c>
      <c r="AE1010" t="str">
        <f t="shared" si="110"/>
        <v>1 - 3 Yrs</v>
      </c>
      <c r="AF1010" t="str">
        <f t="shared" si="111"/>
        <v>High Risk</v>
      </c>
    </row>
    <row r="1011" spans="1:32" x14ac:dyDescent="0.45">
      <c r="A1011" t="s">
        <v>1822</v>
      </c>
      <c r="B1011" t="s">
        <v>564</v>
      </c>
      <c r="C1011" t="s">
        <v>51</v>
      </c>
      <c r="D1011" t="s">
        <v>50</v>
      </c>
      <c r="E1011" t="s">
        <v>181</v>
      </c>
      <c r="F1011" t="s">
        <v>81</v>
      </c>
      <c r="G1011" t="s">
        <v>182</v>
      </c>
      <c r="H1011" t="s">
        <v>106</v>
      </c>
      <c r="I1011" t="s">
        <v>107</v>
      </c>
      <c r="J1011" s="26">
        <v>45354</v>
      </c>
      <c r="K1011" t="s">
        <v>162</v>
      </c>
      <c r="L1011" s="26"/>
      <c r="M1011" t="s">
        <v>163</v>
      </c>
      <c r="N1011" t="s">
        <v>96</v>
      </c>
      <c r="O1011" s="27">
        <v>639000</v>
      </c>
      <c r="P1011">
        <v>5</v>
      </c>
      <c r="Q1011" t="s">
        <v>164</v>
      </c>
      <c r="R1011">
        <v>15</v>
      </c>
      <c r="S1011" t="s">
        <v>197</v>
      </c>
      <c r="T1011">
        <f t="shared" si="105"/>
        <v>10465</v>
      </c>
      <c r="U1011" t="str">
        <f t="shared" si="106"/>
        <v>ENG</v>
      </c>
      <c r="V1011" t="str">
        <f t="shared" si="107"/>
        <v>L1</v>
      </c>
      <c r="W1011" t="str">
        <f>PROPER(TRIM(VLOOKUP(S1011,Employee_Lookups!$I$4:$M$19,2,FALSE())))</f>
        <v>Rohan Verma</v>
      </c>
      <c r="X1011" t="str">
        <f>VLOOKUP(C1011,Employee_Lookups!$A$4:$G$9,4,FALSE())</f>
        <v>CC-101</v>
      </c>
      <c r="Y1011" t="str">
        <f>INDEX(Employee_Lookups!$C$13:$C$17,MATCH(F1011,Employee_Lookups!$A$13:$A$17,0))</f>
        <v>Band A (Entry)</v>
      </c>
      <c r="Z1011" s="27">
        <f>_xlfn.XLOOKUP(F1011,Employee_Lookups!$A$13:$A$17,Employee_Lookups!$E$13:$E$17,0)</f>
        <v>700000</v>
      </c>
      <c r="AA1011" s="28">
        <f>ROUND(O1011/INDEX(Employee_Lookups!$E$13:$E$17,MATCH(F1011,Employee_Lookups!$A$13:$A$17,0)),3)</f>
        <v>0.91300000000000003</v>
      </c>
      <c r="AB1011">
        <f t="shared" si="108"/>
        <v>2024</v>
      </c>
      <c r="AC1011" t="str">
        <f t="shared" si="109"/>
        <v/>
      </c>
      <c r="AD1011" s="28">
        <f>ROUND((IF(ISBLANK(L1011),Employee_Lookups!$O$14,L1011)-J1011)/365.25,2)</f>
        <v>1.83</v>
      </c>
      <c r="AE1011" t="str">
        <f t="shared" si="110"/>
        <v>1 - 3 Yrs</v>
      </c>
      <c r="AF1011" t="str">
        <f t="shared" si="111"/>
        <v>Low Risk</v>
      </c>
    </row>
    <row r="1012" spans="1:32" x14ac:dyDescent="0.45">
      <c r="A1012" t="s">
        <v>1823</v>
      </c>
      <c r="B1012" t="s">
        <v>1824</v>
      </c>
      <c r="C1012" t="s">
        <v>51</v>
      </c>
      <c r="D1012" t="s">
        <v>50</v>
      </c>
      <c r="E1012" t="s">
        <v>176</v>
      </c>
      <c r="F1012" t="s">
        <v>82</v>
      </c>
      <c r="G1012" t="s">
        <v>177</v>
      </c>
      <c r="H1012" t="s">
        <v>106</v>
      </c>
      <c r="I1012" t="s">
        <v>107</v>
      </c>
      <c r="J1012" s="26">
        <v>45354</v>
      </c>
      <c r="K1012" t="s">
        <v>162</v>
      </c>
      <c r="L1012" s="26"/>
      <c r="M1012" t="s">
        <v>163</v>
      </c>
      <c r="N1012" t="s">
        <v>96</v>
      </c>
      <c r="O1012" s="27">
        <v>1240000</v>
      </c>
      <c r="P1012">
        <v>3</v>
      </c>
      <c r="Q1012" t="s">
        <v>164</v>
      </c>
      <c r="R1012">
        <v>49</v>
      </c>
      <c r="S1012" t="s">
        <v>178</v>
      </c>
      <c r="T1012">
        <f t="shared" si="105"/>
        <v>10573</v>
      </c>
      <c r="U1012" t="str">
        <f t="shared" si="106"/>
        <v>ENG</v>
      </c>
      <c r="V1012" t="str">
        <f t="shared" si="107"/>
        <v>L2</v>
      </c>
      <c r="W1012" t="str">
        <f>PROPER(TRIM(VLOOKUP(S1012,Employee_Lookups!$I$4:$M$19,2,FALSE())))</f>
        <v>Aarav Deshmukh</v>
      </c>
      <c r="X1012" t="str">
        <f>VLOOKUP(C1012,Employee_Lookups!$A$4:$G$9,4,FALSE())</f>
        <v>CC-101</v>
      </c>
      <c r="Y1012" t="str">
        <f>INDEX(Employee_Lookups!$C$13:$C$17,MATCH(F1012,Employee_Lookups!$A$13:$A$17,0))</f>
        <v>Band B (Mid)</v>
      </c>
      <c r="Z1012" s="27">
        <f>_xlfn.XLOOKUP(F1012,Employee_Lookups!$A$13:$A$17,Employee_Lookups!$E$13:$E$17,0)</f>
        <v>1100000</v>
      </c>
      <c r="AA1012" s="28">
        <f>ROUND(O1012/INDEX(Employee_Lookups!$E$13:$E$17,MATCH(F1012,Employee_Lookups!$A$13:$A$17,0)),3)</f>
        <v>1.127</v>
      </c>
      <c r="AB1012">
        <f t="shared" si="108"/>
        <v>2024</v>
      </c>
      <c r="AC1012" t="str">
        <f t="shared" si="109"/>
        <v/>
      </c>
      <c r="AD1012" s="28">
        <f>ROUND((IF(ISBLANK(L1012),Employee_Lookups!$O$14,L1012)-J1012)/365.25,2)</f>
        <v>1.83</v>
      </c>
      <c r="AE1012" t="str">
        <f t="shared" si="110"/>
        <v>1 - 3 Yrs</v>
      </c>
      <c r="AF1012" t="str">
        <f t="shared" si="111"/>
        <v>Low Risk</v>
      </c>
    </row>
    <row r="1013" spans="1:32" x14ac:dyDescent="0.45">
      <c r="A1013" t="s">
        <v>1825</v>
      </c>
      <c r="B1013" t="s">
        <v>572</v>
      </c>
      <c r="C1013" t="s">
        <v>55</v>
      </c>
      <c r="D1013" t="s">
        <v>54</v>
      </c>
      <c r="E1013" t="s">
        <v>240</v>
      </c>
      <c r="F1013" t="s">
        <v>83</v>
      </c>
      <c r="G1013" t="s">
        <v>241</v>
      </c>
      <c r="H1013" t="s">
        <v>106</v>
      </c>
      <c r="I1013" t="s">
        <v>107</v>
      </c>
      <c r="J1013" s="26">
        <v>45355</v>
      </c>
      <c r="K1013" t="s">
        <v>162</v>
      </c>
      <c r="L1013" s="26"/>
      <c r="M1013" t="s">
        <v>163</v>
      </c>
      <c r="N1013" t="s">
        <v>99</v>
      </c>
      <c r="O1013" s="27">
        <v>1742000</v>
      </c>
      <c r="P1013">
        <v>3</v>
      </c>
      <c r="Q1013" t="s">
        <v>172</v>
      </c>
      <c r="R1013">
        <v>63</v>
      </c>
      <c r="S1013" t="s">
        <v>173</v>
      </c>
      <c r="T1013">
        <f t="shared" si="105"/>
        <v>10556</v>
      </c>
      <c r="U1013" t="str">
        <f t="shared" si="106"/>
        <v>OPS</v>
      </c>
      <c r="V1013" t="str">
        <f t="shared" si="107"/>
        <v>L3</v>
      </c>
      <c r="W1013" t="str">
        <f>PROPER(TRIM(VLOOKUP(S1013,Employee_Lookups!$I$4:$M$19,2,FALSE())))</f>
        <v>Deepak Patil</v>
      </c>
      <c r="X1013" t="str">
        <f>VLOOKUP(C1013,Employee_Lookups!$A$4:$G$9,4,FALSE())</f>
        <v>CC-303</v>
      </c>
      <c r="Y1013" t="str">
        <f>INDEX(Employee_Lookups!$C$13:$C$17,MATCH(F1013,Employee_Lookups!$A$13:$A$17,0))</f>
        <v>Band C (Senior)</v>
      </c>
      <c r="Z1013" s="27">
        <f>_xlfn.XLOOKUP(F1013,Employee_Lookups!$A$13:$A$17,Employee_Lookups!$E$13:$E$17,0)</f>
        <v>1725000</v>
      </c>
      <c r="AA1013" s="28">
        <f>ROUND(O1013/INDEX(Employee_Lookups!$E$13:$E$17,MATCH(F1013,Employee_Lookups!$A$13:$A$17,0)),3)</f>
        <v>1.01</v>
      </c>
      <c r="AB1013">
        <f t="shared" si="108"/>
        <v>2024</v>
      </c>
      <c r="AC1013" t="str">
        <f t="shared" si="109"/>
        <v/>
      </c>
      <c r="AD1013" s="28">
        <f>ROUND((IF(ISBLANK(L1013),Employee_Lookups!$O$14,L1013)-J1013)/365.25,2)</f>
        <v>1.83</v>
      </c>
      <c r="AE1013" t="str">
        <f t="shared" si="110"/>
        <v>1 - 3 Yrs</v>
      </c>
      <c r="AF1013" t="str">
        <f t="shared" si="111"/>
        <v>Moderate Risk</v>
      </c>
    </row>
    <row r="1014" spans="1:32" x14ac:dyDescent="0.45">
      <c r="A1014" t="s">
        <v>1826</v>
      </c>
      <c r="B1014" t="s">
        <v>595</v>
      </c>
      <c r="C1014" t="s">
        <v>51</v>
      </c>
      <c r="D1014" t="s">
        <v>50</v>
      </c>
      <c r="E1014" t="s">
        <v>397</v>
      </c>
      <c r="F1014" t="s">
        <v>84</v>
      </c>
      <c r="G1014" t="s">
        <v>398</v>
      </c>
      <c r="H1014" t="s">
        <v>108</v>
      </c>
      <c r="I1014" t="s">
        <v>107</v>
      </c>
      <c r="J1014" s="26">
        <v>45355</v>
      </c>
      <c r="K1014" t="s">
        <v>162</v>
      </c>
      <c r="L1014" s="26"/>
      <c r="M1014" t="s">
        <v>163</v>
      </c>
      <c r="N1014" t="s">
        <v>99</v>
      </c>
      <c r="O1014" s="27">
        <v>2868000</v>
      </c>
      <c r="P1014">
        <v>2</v>
      </c>
      <c r="Q1014" t="s">
        <v>164</v>
      </c>
      <c r="R1014">
        <v>13</v>
      </c>
      <c r="S1014" t="s">
        <v>178</v>
      </c>
      <c r="T1014">
        <f t="shared" si="105"/>
        <v>10480</v>
      </c>
      <c r="U1014" t="str">
        <f t="shared" si="106"/>
        <v>ENG</v>
      </c>
      <c r="V1014" t="str">
        <f t="shared" si="107"/>
        <v>L4</v>
      </c>
      <c r="W1014" t="str">
        <f>PROPER(TRIM(VLOOKUP(S1014,Employee_Lookups!$I$4:$M$19,2,FALSE())))</f>
        <v>Aarav Deshmukh</v>
      </c>
      <c r="X1014" t="str">
        <f>VLOOKUP(C1014,Employee_Lookups!$A$4:$G$9,4,FALSE())</f>
        <v>CC-101</v>
      </c>
      <c r="Y1014" t="str">
        <f>INDEX(Employee_Lookups!$C$13:$C$17,MATCH(F1014,Employee_Lookups!$A$13:$A$17,0))</f>
        <v>Band D (Leadership)</v>
      </c>
      <c r="Z1014" s="27">
        <f>_xlfn.XLOOKUP(F1014,Employee_Lookups!$A$13:$A$17,Employee_Lookups!$E$13:$E$17,0)</f>
        <v>2750000</v>
      </c>
      <c r="AA1014" s="28">
        <f>ROUND(O1014/INDEX(Employee_Lookups!$E$13:$E$17,MATCH(F1014,Employee_Lookups!$A$13:$A$17,0)),3)</f>
        <v>1.0429999999999999</v>
      </c>
      <c r="AB1014">
        <f t="shared" si="108"/>
        <v>2024</v>
      </c>
      <c r="AC1014" t="str">
        <f t="shared" si="109"/>
        <v/>
      </c>
      <c r="AD1014" s="28">
        <f>ROUND((IF(ISBLANK(L1014),Employee_Lookups!$O$14,L1014)-J1014)/365.25,2)</f>
        <v>1.83</v>
      </c>
      <c r="AE1014" t="str">
        <f t="shared" si="110"/>
        <v>1 - 3 Yrs</v>
      </c>
      <c r="AF1014" t="str">
        <f t="shared" si="111"/>
        <v>Moderate Risk</v>
      </c>
    </row>
    <row r="1015" spans="1:32" x14ac:dyDescent="0.45">
      <c r="A1015" t="s">
        <v>1827</v>
      </c>
      <c r="B1015" t="s">
        <v>818</v>
      </c>
      <c r="C1015" t="s">
        <v>51</v>
      </c>
      <c r="D1015" t="s">
        <v>50</v>
      </c>
      <c r="E1015" t="s">
        <v>176</v>
      </c>
      <c r="F1015" t="s">
        <v>82</v>
      </c>
      <c r="G1015" t="s">
        <v>177</v>
      </c>
      <c r="H1015" t="s">
        <v>109</v>
      </c>
      <c r="I1015" t="s">
        <v>110</v>
      </c>
      <c r="J1015" s="26">
        <v>45355</v>
      </c>
      <c r="K1015" t="s">
        <v>162</v>
      </c>
      <c r="L1015" s="26"/>
      <c r="M1015" t="s">
        <v>163</v>
      </c>
      <c r="N1015" t="s">
        <v>95</v>
      </c>
      <c r="O1015" s="27">
        <v>1246000</v>
      </c>
      <c r="P1015">
        <v>3</v>
      </c>
      <c r="Q1015" t="s">
        <v>164</v>
      </c>
      <c r="R1015">
        <v>17</v>
      </c>
      <c r="S1015" t="s">
        <v>244</v>
      </c>
      <c r="T1015">
        <f t="shared" si="105"/>
        <v>11187</v>
      </c>
      <c r="U1015" t="str">
        <f t="shared" si="106"/>
        <v>ENG</v>
      </c>
      <c r="V1015" t="str">
        <f t="shared" si="107"/>
        <v>L2</v>
      </c>
      <c r="W1015" t="str">
        <f>PROPER(TRIM(VLOOKUP(S1015,Employee_Lookups!$I$4:$M$19,2,FALSE())))</f>
        <v>Siddharth Nair</v>
      </c>
      <c r="X1015" t="str">
        <f>VLOOKUP(C1015,Employee_Lookups!$A$4:$G$9,4,FALSE())</f>
        <v>CC-101</v>
      </c>
      <c r="Y1015" t="str">
        <f>INDEX(Employee_Lookups!$C$13:$C$17,MATCH(F1015,Employee_Lookups!$A$13:$A$17,0))</f>
        <v>Band B (Mid)</v>
      </c>
      <c r="Z1015" s="27">
        <f>_xlfn.XLOOKUP(F1015,Employee_Lookups!$A$13:$A$17,Employee_Lookups!$E$13:$E$17,0)</f>
        <v>1100000</v>
      </c>
      <c r="AA1015" s="28">
        <f>ROUND(O1015/INDEX(Employee_Lookups!$E$13:$E$17,MATCH(F1015,Employee_Lookups!$A$13:$A$17,0)),3)</f>
        <v>1.133</v>
      </c>
      <c r="AB1015">
        <f t="shared" si="108"/>
        <v>2024</v>
      </c>
      <c r="AC1015" t="str">
        <f t="shared" si="109"/>
        <v/>
      </c>
      <c r="AD1015" s="28">
        <f>ROUND((IF(ISBLANK(L1015),Employee_Lookups!$O$14,L1015)-J1015)/365.25,2)</f>
        <v>1.83</v>
      </c>
      <c r="AE1015" t="str">
        <f t="shared" si="110"/>
        <v>1 - 3 Yrs</v>
      </c>
      <c r="AF1015" t="str">
        <f t="shared" si="111"/>
        <v>Low Risk</v>
      </c>
    </row>
    <row r="1016" spans="1:32" x14ac:dyDescent="0.45">
      <c r="A1016" t="s">
        <v>1828</v>
      </c>
      <c r="B1016" t="s">
        <v>668</v>
      </c>
      <c r="C1016" t="s">
        <v>53</v>
      </c>
      <c r="D1016" t="s">
        <v>52</v>
      </c>
      <c r="E1016" t="s">
        <v>185</v>
      </c>
      <c r="F1016" t="s">
        <v>82</v>
      </c>
      <c r="G1016" t="s">
        <v>186</v>
      </c>
      <c r="H1016" t="s">
        <v>109</v>
      </c>
      <c r="I1016" t="s">
        <v>110</v>
      </c>
      <c r="J1016" s="26">
        <v>45355</v>
      </c>
      <c r="K1016" t="s">
        <v>162</v>
      </c>
      <c r="L1016" s="26"/>
      <c r="M1016" t="s">
        <v>163</v>
      </c>
      <c r="N1016" t="s">
        <v>98</v>
      </c>
      <c r="O1016" s="27">
        <v>1323000</v>
      </c>
      <c r="P1016">
        <v>1</v>
      </c>
      <c r="Q1016" t="s">
        <v>172</v>
      </c>
      <c r="R1016">
        <v>19</v>
      </c>
      <c r="S1016" t="s">
        <v>194</v>
      </c>
      <c r="T1016">
        <f t="shared" si="105"/>
        <v>10228</v>
      </c>
      <c r="U1016" t="str">
        <f t="shared" si="106"/>
        <v>SAL</v>
      </c>
      <c r="V1016" t="str">
        <f t="shared" si="107"/>
        <v>L2</v>
      </c>
      <c r="W1016" t="str">
        <f>PROPER(TRIM(VLOOKUP(S1016,Employee_Lookups!$I$4:$M$19,2,FALSE())))</f>
        <v>Vikramaditya Joshi</v>
      </c>
      <c r="X1016" t="str">
        <f>VLOOKUP(C1016,Employee_Lookups!$A$4:$G$9,4,FALSE())</f>
        <v>CC-202</v>
      </c>
      <c r="Y1016" t="str">
        <f>INDEX(Employee_Lookups!$C$13:$C$17,MATCH(F1016,Employee_Lookups!$A$13:$A$17,0))</f>
        <v>Band B (Mid)</v>
      </c>
      <c r="Z1016" s="27">
        <f>_xlfn.XLOOKUP(F1016,Employee_Lookups!$A$13:$A$17,Employee_Lookups!$E$13:$E$17,0)</f>
        <v>1100000</v>
      </c>
      <c r="AA1016" s="28">
        <f>ROUND(O1016/INDEX(Employee_Lookups!$E$13:$E$17,MATCH(F1016,Employee_Lookups!$A$13:$A$17,0)),3)</f>
        <v>1.2030000000000001</v>
      </c>
      <c r="AB1016">
        <f t="shared" si="108"/>
        <v>2024</v>
      </c>
      <c r="AC1016" t="str">
        <f t="shared" si="109"/>
        <v/>
      </c>
      <c r="AD1016" s="28">
        <f>ROUND((IF(ISBLANK(L1016),Employee_Lookups!$O$14,L1016)-J1016)/365.25,2)</f>
        <v>1.83</v>
      </c>
      <c r="AE1016" t="str">
        <f t="shared" si="110"/>
        <v>1 - 3 Yrs</v>
      </c>
      <c r="AF1016" t="str">
        <f t="shared" si="111"/>
        <v>Moderate Risk</v>
      </c>
    </row>
    <row r="1017" spans="1:32" x14ac:dyDescent="0.45">
      <c r="A1017" t="s">
        <v>1829</v>
      </c>
      <c r="B1017" t="s">
        <v>1358</v>
      </c>
      <c r="C1017" t="s">
        <v>53</v>
      </c>
      <c r="D1017" t="s">
        <v>52</v>
      </c>
      <c r="E1017" t="s">
        <v>322</v>
      </c>
      <c r="F1017" t="s">
        <v>81</v>
      </c>
      <c r="G1017" t="s">
        <v>323</v>
      </c>
      <c r="H1017" t="s">
        <v>106</v>
      </c>
      <c r="I1017" t="s">
        <v>107</v>
      </c>
      <c r="J1017" s="26">
        <v>45356</v>
      </c>
      <c r="K1017" t="s">
        <v>162</v>
      </c>
      <c r="L1017" s="26"/>
      <c r="M1017" t="s">
        <v>163</v>
      </c>
      <c r="N1017" t="s">
        <v>99</v>
      </c>
      <c r="O1017" s="27">
        <v>586000</v>
      </c>
      <c r="P1017">
        <v>4</v>
      </c>
      <c r="Q1017" t="s">
        <v>164</v>
      </c>
      <c r="R1017">
        <v>4</v>
      </c>
      <c r="S1017" t="s">
        <v>237</v>
      </c>
      <c r="T1017">
        <f t="shared" si="105"/>
        <v>11320</v>
      </c>
      <c r="U1017" t="str">
        <f t="shared" si="106"/>
        <v>SAL</v>
      </c>
      <c r="V1017" t="str">
        <f t="shared" si="107"/>
        <v>L1</v>
      </c>
      <c r="W1017" t="str">
        <f>PROPER(TRIM(VLOOKUP(S1017,Employee_Lookups!$I$4:$M$19,2,FALSE())))</f>
        <v>Karan Malhotra</v>
      </c>
      <c r="X1017" t="str">
        <f>VLOOKUP(C1017,Employee_Lookups!$A$4:$G$9,4,FALSE())</f>
        <v>CC-202</v>
      </c>
      <c r="Y1017" t="str">
        <f>INDEX(Employee_Lookups!$C$13:$C$17,MATCH(F1017,Employee_Lookups!$A$13:$A$17,0))</f>
        <v>Band A (Entry)</v>
      </c>
      <c r="Z1017" s="27">
        <f>_xlfn.XLOOKUP(F1017,Employee_Lookups!$A$13:$A$17,Employee_Lookups!$E$13:$E$17,0)</f>
        <v>700000</v>
      </c>
      <c r="AA1017" s="28">
        <f>ROUND(O1017/INDEX(Employee_Lookups!$E$13:$E$17,MATCH(F1017,Employee_Lookups!$A$13:$A$17,0)),3)</f>
        <v>0.83699999999999997</v>
      </c>
      <c r="AB1017">
        <f t="shared" si="108"/>
        <v>2024</v>
      </c>
      <c r="AC1017" t="str">
        <f t="shared" si="109"/>
        <v/>
      </c>
      <c r="AD1017" s="28">
        <f>ROUND((IF(ISBLANK(L1017),Employee_Lookups!$O$14,L1017)-J1017)/365.25,2)</f>
        <v>1.82</v>
      </c>
      <c r="AE1017" t="str">
        <f t="shared" si="110"/>
        <v>1 - 3 Yrs</v>
      </c>
      <c r="AF1017" t="str">
        <f t="shared" si="111"/>
        <v>Low Risk</v>
      </c>
    </row>
    <row r="1018" spans="1:32" x14ac:dyDescent="0.45">
      <c r="A1018" t="s">
        <v>1830</v>
      </c>
      <c r="B1018" t="s">
        <v>828</v>
      </c>
      <c r="C1018" t="s">
        <v>51</v>
      </c>
      <c r="D1018" t="s">
        <v>50</v>
      </c>
      <c r="E1018" t="s">
        <v>176</v>
      </c>
      <c r="F1018" t="s">
        <v>82</v>
      </c>
      <c r="G1018" t="s">
        <v>177</v>
      </c>
      <c r="H1018" t="s">
        <v>109</v>
      </c>
      <c r="I1018" t="s">
        <v>110</v>
      </c>
      <c r="J1018" s="26">
        <v>45357</v>
      </c>
      <c r="K1018" t="s">
        <v>162</v>
      </c>
      <c r="L1018" s="26"/>
      <c r="M1018" t="s">
        <v>163</v>
      </c>
      <c r="N1018" t="s">
        <v>99</v>
      </c>
      <c r="O1018" s="27">
        <v>1236000</v>
      </c>
      <c r="P1018">
        <v>4</v>
      </c>
      <c r="Q1018" t="s">
        <v>164</v>
      </c>
      <c r="R1018">
        <v>31</v>
      </c>
      <c r="S1018" t="s">
        <v>219</v>
      </c>
      <c r="T1018">
        <f t="shared" si="105"/>
        <v>10184</v>
      </c>
      <c r="U1018" t="str">
        <f t="shared" si="106"/>
        <v>ENG</v>
      </c>
      <c r="V1018" t="str">
        <f t="shared" si="107"/>
        <v>L2</v>
      </c>
      <c r="W1018" t="str">
        <f>PROPER(TRIM(VLOOKUP(S1018,Employee_Lookups!$I$4:$M$19,2,FALSE())))</f>
        <v>Neha Kulkarni</v>
      </c>
      <c r="X1018" t="str">
        <f>VLOOKUP(C1018,Employee_Lookups!$A$4:$G$9,4,FALSE())</f>
        <v>CC-101</v>
      </c>
      <c r="Y1018" t="str">
        <f>INDEX(Employee_Lookups!$C$13:$C$17,MATCH(F1018,Employee_Lookups!$A$13:$A$17,0))</f>
        <v>Band B (Mid)</v>
      </c>
      <c r="Z1018" s="27">
        <f>_xlfn.XLOOKUP(F1018,Employee_Lookups!$A$13:$A$17,Employee_Lookups!$E$13:$E$17,0)</f>
        <v>1100000</v>
      </c>
      <c r="AA1018" s="28">
        <f>ROUND(O1018/INDEX(Employee_Lookups!$E$13:$E$17,MATCH(F1018,Employee_Lookups!$A$13:$A$17,0)),3)</f>
        <v>1.1240000000000001</v>
      </c>
      <c r="AB1018">
        <f t="shared" si="108"/>
        <v>2024</v>
      </c>
      <c r="AC1018" t="str">
        <f t="shared" si="109"/>
        <v/>
      </c>
      <c r="AD1018" s="28">
        <f>ROUND((IF(ISBLANK(L1018),Employee_Lookups!$O$14,L1018)-J1018)/365.25,2)</f>
        <v>1.82</v>
      </c>
      <c r="AE1018" t="str">
        <f t="shared" si="110"/>
        <v>1 - 3 Yrs</v>
      </c>
      <c r="AF1018" t="str">
        <f t="shared" si="111"/>
        <v>Low Risk</v>
      </c>
    </row>
    <row r="1019" spans="1:32" x14ac:dyDescent="0.45">
      <c r="A1019" t="s">
        <v>1831</v>
      </c>
      <c r="B1019" t="s">
        <v>1382</v>
      </c>
      <c r="C1019" t="s">
        <v>55</v>
      </c>
      <c r="D1019" t="s">
        <v>54</v>
      </c>
      <c r="E1019" t="s">
        <v>229</v>
      </c>
      <c r="F1019" t="s">
        <v>82</v>
      </c>
      <c r="G1019" t="s">
        <v>230</v>
      </c>
      <c r="H1019" t="s">
        <v>112</v>
      </c>
      <c r="I1019" t="s">
        <v>113</v>
      </c>
      <c r="J1019" s="26">
        <v>45358</v>
      </c>
      <c r="K1019" t="s">
        <v>187</v>
      </c>
      <c r="L1019" s="26">
        <v>45908</v>
      </c>
      <c r="M1019" t="s">
        <v>308</v>
      </c>
      <c r="N1019" t="s">
        <v>99</v>
      </c>
      <c r="O1019" s="27">
        <v>1233000</v>
      </c>
      <c r="P1019">
        <v>3</v>
      </c>
      <c r="Q1019" t="s">
        <v>172</v>
      </c>
      <c r="R1019">
        <v>22</v>
      </c>
      <c r="S1019" t="s">
        <v>262</v>
      </c>
      <c r="T1019">
        <f t="shared" si="105"/>
        <v>10688</v>
      </c>
      <c r="U1019" t="str">
        <f t="shared" si="106"/>
        <v>OPS</v>
      </c>
      <c r="V1019" t="str">
        <f t="shared" si="107"/>
        <v>L2</v>
      </c>
      <c r="W1019" t="str">
        <f>PROPER(TRIM(VLOOKUP(S1019,Employee_Lookups!$I$4:$M$19,2,FALSE())))</f>
        <v>Ananya Iyer</v>
      </c>
      <c r="X1019" t="str">
        <f>VLOOKUP(C1019,Employee_Lookups!$A$4:$G$9,4,FALSE())</f>
        <v>CC-303</v>
      </c>
      <c r="Y1019" t="str">
        <f>INDEX(Employee_Lookups!$C$13:$C$17,MATCH(F1019,Employee_Lookups!$A$13:$A$17,0))</f>
        <v>Band B (Mid)</v>
      </c>
      <c r="Z1019" s="27">
        <f>_xlfn.XLOOKUP(F1019,Employee_Lookups!$A$13:$A$17,Employee_Lookups!$E$13:$E$17,0)</f>
        <v>1100000</v>
      </c>
      <c r="AA1019" s="28">
        <f>ROUND(O1019/INDEX(Employee_Lookups!$E$13:$E$17,MATCH(F1019,Employee_Lookups!$A$13:$A$17,0)),3)</f>
        <v>1.121</v>
      </c>
      <c r="AB1019">
        <f t="shared" si="108"/>
        <v>2024</v>
      </c>
      <c r="AC1019">
        <f t="shared" si="109"/>
        <v>2025</v>
      </c>
      <c r="AD1019" s="28">
        <f>ROUND((IF(ISBLANK(L1019),Employee_Lookups!$O$14,L1019)-J1019)/365.25,2)</f>
        <v>1.51</v>
      </c>
      <c r="AE1019" t="str">
        <f t="shared" si="110"/>
        <v>1 - 3 Yrs</v>
      </c>
      <c r="AF1019" t="str">
        <f t="shared" si="111"/>
        <v>Exited</v>
      </c>
    </row>
    <row r="1020" spans="1:32" x14ac:dyDescent="0.45">
      <c r="A1020" t="s">
        <v>1832</v>
      </c>
      <c r="B1020" t="s">
        <v>796</v>
      </c>
      <c r="C1020" t="s">
        <v>53</v>
      </c>
      <c r="D1020" t="s">
        <v>52</v>
      </c>
      <c r="E1020" t="s">
        <v>192</v>
      </c>
      <c r="F1020" t="s">
        <v>83</v>
      </c>
      <c r="G1020" t="s">
        <v>193</v>
      </c>
      <c r="H1020" t="s">
        <v>108</v>
      </c>
      <c r="I1020" t="s">
        <v>107</v>
      </c>
      <c r="J1020" s="26">
        <v>45358</v>
      </c>
      <c r="K1020" t="s">
        <v>162</v>
      </c>
      <c r="L1020" s="26"/>
      <c r="M1020" t="s">
        <v>163</v>
      </c>
      <c r="N1020" t="s">
        <v>95</v>
      </c>
      <c r="O1020" s="27">
        <v>2015000</v>
      </c>
      <c r="P1020">
        <v>4</v>
      </c>
      <c r="Q1020" t="s">
        <v>164</v>
      </c>
      <c r="R1020">
        <v>46</v>
      </c>
      <c r="S1020" t="s">
        <v>189</v>
      </c>
      <c r="T1020">
        <f t="shared" si="105"/>
        <v>11303</v>
      </c>
      <c r="U1020" t="str">
        <f t="shared" si="106"/>
        <v>SAL</v>
      </c>
      <c r="V1020" t="str">
        <f t="shared" si="107"/>
        <v>L3</v>
      </c>
      <c r="W1020" t="str">
        <f>PROPER(TRIM(VLOOKUP(S1020,Employee_Lookups!$I$4:$M$19,2,FALSE())))</f>
        <v>Priya Sharma</v>
      </c>
      <c r="X1020" t="str">
        <f>VLOOKUP(C1020,Employee_Lookups!$A$4:$G$9,4,FALSE())</f>
        <v>CC-202</v>
      </c>
      <c r="Y1020" t="str">
        <f>INDEX(Employee_Lookups!$C$13:$C$17,MATCH(F1020,Employee_Lookups!$A$13:$A$17,0))</f>
        <v>Band C (Senior)</v>
      </c>
      <c r="Z1020" s="27">
        <f>_xlfn.XLOOKUP(F1020,Employee_Lookups!$A$13:$A$17,Employee_Lookups!$E$13:$E$17,0)</f>
        <v>1725000</v>
      </c>
      <c r="AA1020" s="28">
        <f>ROUND(O1020/INDEX(Employee_Lookups!$E$13:$E$17,MATCH(F1020,Employee_Lookups!$A$13:$A$17,0)),3)</f>
        <v>1.1679999999999999</v>
      </c>
      <c r="AB1020">
        <f t="shared" si="108"/>
        <v>2024</v>
      </c>
      <c r="AC1020" t="str">
        <f t="shared" si="109"/>
        <v/>
      </c>
      <c r="AD1020" s="28">
        <f>ROUND((IF(ISBLANK(L1020),Employee_Lookups!$O$14,L1020)-J1020)/365.25,2)</f>
        <v>1.82</v>
      </c>
      <c r="AE1020" t="str">
        <f t="shared" si="110"/>
        <v>1 - 3 Yrs</v>
      </c>
      <c r="AF1020" t="str">
        <f t="shared" si="111"/>
        <v>Low Risk</v>
      </c>
    </row>
    <row r="1021" spans="1:32" x14ac:dyDescent="0.45">
      <c r="A1021" t="s">
        <v>1833</v>
      </c>
      <c r="B1021" t="s">
        <v>1101</v>
      </c>
      <c r="C1021" t="s">
        <v>51</v>
      </c>
      <c r="D1021" t="s">
        <v>50</v>
      </c>
      <c r="E1021" t="s">
        <v>176</v>
      </c>
      <c r="F1021" t="s">
        <v>82</v>
      </c>
      <c r="G1021" t="s">
        <v>177</v>
      </c>
      <c r="H1021" t="s">
        <v>111</v>
      </c>
      <c r="I1021" t="s">
        <v>110</v>
      </c>
      <c r="J1021" s="26">
        <v>45361</v>
      </c>
      <c r="K1021" t="s">
        <v>162</v>
      </c>
      <c r="L1021" s="26"/>
      <c r="M1021" t="s">
        <v>163</v>
      </c>
      <c r="N1021" t="s">
        <v>99</v>
      </c>
      <c r="O1021" s="27">
        <v>1085000</v>
      </c>
      <c r="P1021">
        <v>2</v>
      </c>
      <c r="Q1021" t="s">
        <v>164</v>
      </c>
      <c r="R1021">
        <v>24</v>
      </c>
      <c r="S1021" t="s">
        <v>178</v>
      </c>
      <c r="T1021">
        <f t="shared" si="105"/>
        <v>10949</v>
      </c>
      <c r="U1021" t="str">
        <f t="shared" si="106"/>
        <v>ENG</v>
      </c>
      <c r="V1021" t="str">
        <f t="shared" si="107"/>
        <v>L2</v>
      </c>
      <c r="W1021" t="str">
        <f>PROPER(TRIM(VLOOKUP(S1021,Employee_Lookups!$I$4:$M$19,2,FALSE())))</f>
        <v>Aarav Deshmukh</v>
      </c>
      <c r="X1021" t="str">
        <f>VLOOKUP(C1021,Employee_Lookups!$A$4:$G$9,4,FALSE())</f>
        <v>CC-101</v>
      </c>
      <c r="Y1021" t="str">
        <f>INDEX(Employee_Lookups!$C$13:$C$17,MATCH(F1021,Employee_Lookups!$A$13:$A$17,0))</f>
        <v>Band B (Mid)</v>
      </c>
      <c r="Z1021" s="27">
        <f>_xlfn.XLOOKUP(F1021,Employee_Lookups!$A$13:$A$17,Employee_Lookups!$E$13:$E$17,0)</f>
        <v>1100000</v>
      </c>
      <c r="AA1021" s="28">
        <f>ROUND(O1021/INDEX(Employee_Lookups!$E$13:$E$17,MATCH(F1021,Employee_Lookups!$A$13:$A$17,0)),3)</f>
        <v>0.98599999999999999</v>
      </c>
      <c r="AB1021">
        <f t="shared" si="108"/>
        <v>2024</v>
      </c>
      <c r="AC1021" t="str">
        <f t="shared" si="109"/>
        <v/>
      </c>
      <c r="AD1021" s="28">
        <f>ROUND((IF(ISBLANK(L1021),Employee_Lookups!$O$14,L1021)-J1021)/365.25,2)</f>
        <v>1.81</v>
      </c>
      <c r="AE1021" t="str">
        <f t="shared" si="110"/>
        <v>1 - 3 Yrs</v>
      </c>
      <c r="AF1021" t="str">
        <f t="shared" si="111"/>
        <v>Moderate Risk</v>
      </c>
    </row>
    <row r="1022" spans="1:32" x14ac:dyDescent="0.45">
      <c r="A1022" t="s">
        <v>1834</v>
      </c>
      <c r="B1022" t="s">
        <v>1298</v>
      </c>
      <c r="C1022" t="s">
        <v>59</v>
      </c>
      <c r="D1022" t="s">
        <v>58</v>
      </c>
      <c r="E1022" t="s">
        <v>211</v>
      </c>
      <c r="F1022" t="s">
        <v>82</v>
      </c>
      <c r="G1022" t="s">
        <v>212</v>
      </c>
      <c r="H1022" t="s">
        <v>106</v>
      </c>
      <c r="I1022" t="s">
        <v>107</v>
      </c>
      <c r="J1022" s="26">
        <v>45363</v>
      </c>
      <c r="K1022" t="s">
        <v>162</v>
      </c>
      <c r="L1022" s="26"/>
      <c r="M1022" t="s">
        <v>163</v>
      </c>
      <c r="N1022" t="s">
        <v>95</v>
      </c>
      <c r="O1022" s="27">
        <v>951000</v>
      </c>
      <c r="P1022">
        <v>4</v>
      </c>
      <c r="Q1022" t="s">
        <v>164</v>
      </c>
      <c r="R1022">
        <v>37</v>
      </c>
      <c r="S1022" t="s">
        <v>208</v>
      </c>
      <c r="T1022">
        <f t="shared" si="105"/>
        <v>11088</v>
      </c>
      <c r="U1022" t="str">
        <f t="shared" si="106"/>
        <v>FIN</v>
      </c>
      <c r="V1022" t="str">
        <f t="shared" si="107"/>
        <v>L2</v>
      </c>
      <c r="W1022" t="str">
        <f>PROPER(TRIM(VLOOKUP(S1022,Employee_Lookups!$I$4:$M$19,2,FALSE())))</f>
        <v>Rajeshwari Rao</v>
      </c>
      <c r="X1022" t="str">
        <f>VLOOKUP(C1022,Employee_Lookups!$A$4:$G$9,4,FALSE())</f>
        <v>CC-404</v>
      </c>
      <c r="Y1022" t="str">
        <f>INDEX(Employee_Lookups!$C$13:$C$17,MATCH(F1022,Employee_Lookups!$A$13:$A$17,0))</f>
        <v>Band B (Mid)</v>
      </c>
      <c r="Z1022" s="27">
        <f>_xlfn.XLOOKUP(F1022,Employee_Lookups!$A$13:$A$17,Employee_Lookups!$E$13:$E$17,0)</f>
        <v>1100000</v>
      </c>
      <c r="AA1022" s="28">
        <f>ROUND(O1022/INDEX(Employee_Lookups!$E$13:$E$17,MATCH(F1022,Employee_Lookups!$A$13:$A$17,0)),3)</f>
        <v>0.86499999999999999</v>
      </c>
      <c r="AB1022">
        <f t="shared" si="108"/>
        <v>2024</v>
      </c>
      <c r="AC1022" t="str">
        <f t="shared" si="109"/>
        <v/>
      </c>
      <c r="AD1022" s="28">
        <f>ROUND((IF(ISBLANK(L1022),Employee_Lookups!$O$14,L1022)-J1022)/365.25,2)</f>
        <v>1.8</v>
      </c>
      <c r="AE1022" t="str">
        <f t="shared" si="110"/>
        <v>1 - 3 Yrs</v>
      </c>
      <c r="AF1022" t="str">
        <f t="shared" si="111"/>
        <v>Low Risk</v>
      </c>
    </row>
    <row r="1023" spans="1:32" x14ac:dyDescent="0.45">
      <c r="A1023" t="s">
        <v>1835</v>
      </c>
      <c r="B1023" t="s">
        <v>1017</v>
      </c>
      <c r="C1023" t="s">
        <v>55</v>
      </c>
      <c r="D1023" t="s">
        <v>54</v>
      </c>
      <c r="E1023" t="s">
        <v>240</v>
      </c>
      <c r="F1023" t="s">
        <v>83</v>
      </c>
      <c r="G1023" t="s">
        <v>241</v>
      </c>
      <c r="H1023" t="s">
        <v>108</v>
      </c>
      <c r="I1023" t="s">
        <v>107</v>
      </c>
      <c r="J1023" s="26">
        <v>45365</v>
      </c>
      <c r="K1023" t="s">
        <v>187</v>
      </c>
      <c r="L1023" s="26">
        <v>45715</v>
      </c>
      <c r="M1023" t="s">
        <v>213</v>
      </c>
      <c r="N1023" t="s">
        <v>99</v>
      </c>
      <c r="O1023" s="27">
        <v>1762000</v>
      </c>
      <c r="P1023">
        <v>3</v>
      </c>
      <c r="Q1023" t="s">
        <v>164</v>
      </c>
      <c r="R1023">
        <v>58</v>
      </c>
      <c r="S1023" t="s">
        <v>274</v>
      </c>
      <c r="T1023">
        <f t="shared" si="105"/>
        <v>11394</v>
      </c>
      <c r="U1023" t="str">
        <f t="shared" si="106"/>
        <v>OPS</v>
      </c>
      <c r="V1023" t="str">
        <f t="shared" si="107"/>
        <v>L3</v>
      </c>
      <c r="W1023" t="str">
        <f>PROPER(TRIM(VLOOKUP(S1023,Employee_Lookups!$I$4:$M$19,2,FALSE())))</f>
        <v>Meera Krishnan</v>
      </c>
      <c r="X1023" t="str">
        <f>VLOOKUP(C1023,Employee_Lookups!$A$4:$G$9,4,FALSE())</f>
        <v>CC-303</v>
      </c>
      <c r="Y1023" t="str">
        <f>INDEX(Employee_Lookups!$C$13:$C$17,MATCH(F1023,Employee_Lookups!$A$13:$A$17,0))</f>
        <v>Band C (Senior)</v>
      </c>
      <c r="Z1023" s="27">
        <f>_xlfn.XLOOKUP(F1023,Employee_Lookups!$A$13:$A$17,Employee_Lookups!$E$13:$E$17,0)</f>
        <v>1725000</v>
      </c>
      <c r="AA1023" s="28">
        <f>ROUND(O1023/INDEX(Employee_Lookups!$E$13:$E$17,MATCH(F1023,Employee_Lookups!$A$13:$A$17,0)),3)</f>
        <v>1.0209999999999999</v>
      </c>
      <c r="AB1023">
        <f t="shared" si="108"/>
        <v>2024</v>
      </c>
      <c r="AC1023">
        <f t="shared" si="109"/>
        <v>2025</v>
      </c>
      <c r="AD1023" s="28">
        <f>ROUND((IF(ISBLANK(L1023),Employee_Lookups!$O$14,L1023)-J1023)/365.25,2)</f>
        <v>0.96</v>
      </c>
      <c r="AE1023" t="str">
        <f t="shared" si="110"/>
        <v>&lt; 1 Yr (New)</v>
      </c>
      <c r="AF1023" t="str">
        <f t="shared" si="111"/>
        <v>Exited</v>
      </c>
    </row>
    <row r="1024" spans="1:32" x14ac:dyDescent="0.45">
      <c r="A1024" t="s">
        <v>1836</v>
      </c>
      <c r="B1024" t="s">
        <v>1416</v>
      </c>
      <c r="C1024" t="s">
        <v>51</v>
      </c>
      <c r="D1024" t="s">
        <v>50</v>
      </c>
      <c r="E1024" t="s">
        <v>176</v>
      </c>
      <c r="F1024" t="s">
        <v>82</v>
      </c>
      <c r="G1024" t="s">
        <v>177</v>
      </c>
      <c r="H1024" t="s">
        <v>106</v>
      </c>
      <c r="I1024" t="s">
        <v>107</v>
      </c>
      <c r="J1024" s="26">
        <v>45365</v>
      </c>
      <c r="K1024" t="s">
        <v>187</v>
      </c>
      <c r="L1024" s="26">
        <v>45877</v>
      </c>
      <c r="M1024" t="s">
        <v>269</v>
      </c>
      <c r="N1024" t="s">
        <v>95</v>
      </c>
      <c r="O1024" s="27">
        <v>1001000</v>
      </c>
      <c r="P1024">
        <v>5</v>
      </c>
      <c r="Q1024" t="s">
        <v>164</v>
      </c>
      <c r="R1024">
        <v>57</v>
      </c>
      <c r="S1024" t="s">
        <v>197</v>
      </c>
      <c r="T1024">
        <f t="shared" si="105"/>
        <v>11355</v>
      </c>
      <c r="U1024" t="str">
        <f t="shared" si="106"/>
        <v>ENG</v>
      </c>
      <c r="V1024" t="str">
        <f t="shared" si="107"/>
        <v>L2</v>
      </c>
      <c r="W1024" t="str">
        <f>PROPER(TRIM(VLOOKUP(S1024,Employee_Lookups!$I$4:$M$19,2,FALSE())))</f>
        <v>Rohan Verma</v>
      </c>
      <c r="X1024" t="str">
        <f>VLOOKUP(C1024,Employee_Lookups!$A$4:$G$9,4,FALSE())</f>
        <v>CC-101</v>
      </c>
      <c r="Y1024" t="str">
        <f>INDEX(Employee_Lookups!$C$13:$C$17,MATCH(F1024,Employee_Lookups!$A$13:$A$17,0))</f>
        <v>Band B (Mid)</v>
      </c>
      <c r="Z1024" s="27">
        <f>_xlfn.XLOOKUP(F1024,Employee_Lookups!$A$13:$A$17,Employee_Lookups!$E$13:$E$17,0)</f>
        <v>1100000</v>
      </c>
      <c r="AA1024" s="28">
        <f>ROUND(O1024/INDEX(Employee_Lookups!$E$13:$E$17,MATCH(F1024,Employee_Lookups!$A$13:$A$17,0)),3)</f>
        <v>0.91</v>
      </c>
      <c r="AB1024">
        <f t="shared" si="108"/>
        <v>2024</v>
      </c>
      <c r="AC1024">
        <f t="shared" si="109"/>
        <v>2025</v>
      </c>
      <c r="AD1024" s="28">
        <f>ROUND((IF(ISBLANK(L1024),Employee_Lookups!$O$14,L1024)-J1024)/365.25,2)</f>
        <v>1.4</v>
      </c>
      <c r="AE1024" t="str">
        <f t="shared" si="110"/>
        <v>1 - 3 Yrs</v>
      </c>
      <c r="AF1024" t="str">
        <f t="shared" si="111"/>
        <v>Exited</v>
      </c>
    </row>
    <row r="1025" spans="1:32" x14ac:dyDescent="0.45">
      <c r="A1025" t="s">
        <v>1837</v>
      </c>
      <c r="B1025" t="s">
        <v>732</v>
      </c>
      <c r="C1025" t="s">
        <v>59</v>
      </c>
      <c r="D1025" t="s">
        <v>58</v>
      </c>
      <c r="E1025" t="s">
        <v>206</v>
      </c>
      <c r="F1025" t="s">
        <v>81</v>
      </c>
      <c r="G1025" t="s">
        <v>207</v>
      </c>
      <c r="H1025" t="s">
        <v>108</v>
      </c>
      <c r="I1025" t="s">
        <v>107</v>
      </c>
      <c r="J1025" s="26">
        <v>45365</v>
      </c>
      <c r="K1025" t="s">
        <v>162</v>
      </c>
      <c r="L1025" s="26"/>
      <c r="M1025" t="s">
        <v>163</v>
      </c>
      <c r="N1025" t="s">
        <v>99</v>
      </c>
      <c r="O1025" s="27">
        <v>730000</v>
      </c>
      <c r="P1025">
        <v>3</v>
      </c>
      <c r="Q1025" t="s">
        <v>164</v>
      </c>
      <c r="R1025">
        <v>26</v>
      </c>
      <c r="S1025" t="s">
        <v>208</v>
      </c>
      <c r="T1025">
        <f t="shared" si="105"/>
        <v>11226</v>
      </c>
      <c r="U1025" t="str">
        <f t="shared" si="106"/>
        <v>FIN</v>
      </c>
      <c r="V1025" t="str">
        <f t="shared" si="107"/>
        <v>L1</v>
      </c>
      <c r="W1025" t="str">
        <f>PROPER(TRIM(VLOOKUP(S1025,Employee_Lookups!$I$4:$M$19,2,FALSE())))</f>
        <v>Rajeshwari Rao</v>
      </c>
      <c r="X1025" t="str">
        <f>VLOOKUP(C1025,Employee_Lookups!$A$4:$G$9,4,FALSE())</f>
        <v>CC-404</v>
      </c>
      <c r="Y1025" t="str">
        <f>INDEX(Employee_Lookups!$C$13:$C$17,MATCH(F1025,Employee_Lookups!$A$13:$A$17,0))</f>
        <v>Band A (Entry)</v>
      </c>
      <c r="Z1025" s="27">
        <f>_xlfn.XLOOKUP(F1025,Employee_Lookups!$A$13:$A$17,Employee_Lookups!$E$13:$E$17,0)</f>
        <v>700000</v>
      </c>
      <c r="AA1025" s="28">
        <f>ROUND(O1025/INDEX(Employee_Lookups!$E$13:$E$17,MATCH(F1025,Employee_Lookups!$A$13:$A$17,0)),3)</f>
        <v>1.0429999999999999</v>
      </c>
      <c r="AB1025">
        <f t="shared" si="108"/>
        <v>2024</v>
      </c>
      <c r="AC1025" t="str">
        <f t="shared" si="109"/>
        <v/>
      </c>
      <c r="AD1025" s="28">
        <f>ROUND((IF(ISBLANK(L1025),Employee_Lookups!$O$14,L1025)-J1025)/365.25,2)</f>
        <v>1.8</v>
      </c>
      <c r="AE1025" t="str">
        <f t="shared" si="110"/>
        <v>1 - 3 Yrs</v>
      </c>
      <c r="AF1025" t="str">
        <f t="shared" si="111"/>
        <v>Low Risk</v>
      </c>
    </row>
    <row r="1026" spans="1:32" x14ac:dyDescent="0.45">
      <c r="A1026" t="s">
        <v>1838</v>
      </c>
      <c r="B1026" t="s">
        <v>246</v>
      </c>
      <c r="C1026" t="s">
        <v>61</v>
      </c>
      <c r="D1026" t="s">
        <v>60</v>
      </c>
      <c r="E1026" t="s">
        <v>356</v>
      </c>
      <c r="F1026" t="s">
        <v>81</v>
      </c>
      <c r="G1026" t="s">
        <v>357</v>
      </c>
      <c r="H1026" t="s">
        <v>111</v>
      </c>
      <c r="I1026" t="s">
        <v>110</v>
      </c>
      <c r="J1026" s="26">
        <v>45366</v>
      </c>
      <c r="K1026" t="s">
        <v>162</v>
      </c>
      <c r="L1026" s="26"/>
      <c r="M1026" t="s">
        <v>163</v>
      </c>
      <c r="N1026" t="s">
        <v>97</v>
      </c>
      <c r="O1026" s="27">
        <v>790000</v>
      </c>
      <c r="P1026">
        <v>5</v>
      </c>
      <c r="Q1026" t="s">
        <v>164</v>
      </c>
      <c r="R1026">
        <v>28</v>
      </c>
      <c r="S1026" t="s">
        <v>253</v>
      </c>
      <c r="T1026">
        <f t="shared" ref="T1026:T1089" si="112">VALUE(MID(A1026,5,5))</f>
        <v>11170</v>
      </c>
      <c r="U1026" t="str">
        <f t="shared" ref="U1026:U1089" si="113">LEFT(E1026,3)</f>
        <v>-HR</v>
      </c>
      <c r="V1026" t="str">
        <f t="shared" ref="V1026:V1089" si="114">RIGHT(E1026,2)</f>
        <v>L1</v>
      </c>
      <c r="W1026" t="str">
        <f>PROPER(TRIM(VLOOKUP(S1026,Employee_Lookups!$I$4:$M$19,2,FALSE())))</f>
        <v>Nikhil Chatterjee</v>
      </c>
      <c r="X1026" t="str">
        <f>VLOOKUP(C1026,Employee_Lookups!$A$4:$G$9,4,FALSE())</f>
        <v>CC-505</v>
      </c>
      <c r="Y1026" t="str">
        <f>INDEX(Employee_Lookups!$C$13:$C$17,MATCH(F1026,Employee_Lookups!$A$13:$A$17,0))</f>
        <v>Band A (Entry)</v>
      </c>
      <c r="Z1026" s="27">
        <f>_xlfn.XLOOKUP(F1026,Employee_Lookups!$A$13:$A$17,Employee_Lookups!$E$13:$E$17,0)</f>
        <v>700000</v>
      </c>
      <c r="AA1026" s="28">
        <f>ROUND(O1026/INDEX(Employee_Lookups!$E$13:$E$17,MATCH(F1026,Employee_Lookups!$A$13:$A$17,0)),3)</f>
        <v>1.129</v>
      </c>
      <c r="AB1026">
        <f t="shared" ref="AB1026:AB1089" si="115">YEAR(J1026)</f>
        <v>2024</v>
      </c>
      <c r="AC1026" t="str">
        <f t="shared" ref="AC1026:AC1089" si="116">IF(ISBLANK(L1026),"",YEAR(L1026))</f>
        <v/>
      </c>
      <c r="AD1026" s="28">
        <f>ROUND((IF(ISBLANK(L1026),Employee_Lookups!$O$14,L1026)-J1026)/365.25,2)</f>
        <v>1.8</v>
      </c>
      <c r="AE1026" t="str">
        <f t="shared" ref="AE1026:AE1089" si="117">IF(AD1026&lt;1,"&lt; 1 Yr (New)",IF(AD1026&lt;3,"1 - 3 Yrs",IF(AD1026&lt;5,"3 - 5 Yrs","5+ Yrs")))</f>
        <v>1 - 3 Yrs</v>
      </c>
      <c r="AF1026" t="str">
        <f t="shared" ref="AF1026:AF1089" si="118">IF(K1026&lt;&gt;"Active","Exited",IF(AND(Q1026="Yes",OR(P1026&gt;=4,AA1026&lt;0.95)),"High Risk",IF(OR(Q1026="Yes",AND(NOT(ISBLANK(P1026)),P1026&lt;=2)),"Moderate Risk","Low Risk")))</f>
        <v>Low Risk</v>
      </c>
    </row>
    <row r="1027" spans="1:32" x14ac:dyDescent="0.45">
      <c r="A1027" t="s">
        <v>1839</v>
      </c>
      <c r="B1027" t="s">
        <v>1840</v>
      </c>
      <c r="C1027" t="s">
        <v>57</v>
      </c>
      <c r="D1027" t="s">
        <v>56</v>
      </c>
      <c r="E1027" t="s">
        <v>160</v>
      </c>
      <c r="F1027" t="s">
        <v>81</v>
      </c>
      <c r="G1027" t="s">
        <v>161</v>
      </c>
      <c r="H1027" t="s">
        <v>112</v>
      </c>
      <c r="I1027" t="s">
        <v>113</v>
      </c>
      <c r="J1027" s="26">
        <v>45368</v>
      </c>
      <c r="K1027" t="s">
        <v>162</v>
      </c>
      <c r="L1027" s="26"/>
      <c r="M1027" t="s">
        <v>163</v>
      </c>
      <c r="N1027" t="s">
        <v>97</v>
      </c>
      <c r="O1027" s="27">
        <v>714000</v>
      </c>
      <c r="P1027">
        <v>3</v>
      </c>
      <c r="Q1027" t="s">
        <v>164</v>
      </c>
      <c r="R1027">
        <v>17</v>
      </c>
      <c r="S1027" t="s">
        <v>224</v>
      </c>
      <c r="T1027">
        <f t="shared" si="112"/>
        <v>11367</v>
      </c>
      <c r="U1027" t="str">
        <f t="shared" si="113"/>
        <v>MKT</v>
      </c>
      <c r="V1027" t="str">
        <f t="shared" si="114"/>
        <v>L1</v>
      </c>
      <c r="W1027" t="str">
        <f>PROPER(TRIM(VLOOKUP(S1027,Employee_Lookups!$I$4:$M$19,2,FALSE())))</f>
        <v>Tanvi Chitnis</v>
      </c>
      <c r="X1027" t="str">
        <f>VLOOKUP(C1027,Employee_Lookups!$A$4:$G$9,4,FALSE())</f>
        <v>CC-606</v>
      </c>
      <c r="Y1027" t="str">
        <f>INDEX(Employee_Lookups!$C$13:$C$17,MATCH(F1027,Employee_Lookups!$A$13:$A$17,0))</f>
        <v>Band A (Entry)</v>
      </c>
      <c r="Z1027" s="27">
        <f>_xlfn.XLOOKUP(F1027,Employee_Lookups!$A$13:$A$17,Employee_Lookups!$E$13:$E$17,0)</f>
        <v>700000</v>
      </c>
      <c r="AA1027" s="28">
        <f>ROUND(O1027/INDEX(Employee_Lookups!$E$13:$E$17,MATCH(F1027,Employee_Lookups!$A$13:$A$17,0)),3)</f>
        <v>1.02</v>
      </c>
      <c r="AB1027">
        <f t="shared" si="115"/>
        <v>2024</v>
      </c>
      <c r="AC1027" t="str">
        <f t="shared" si="116"/>
        <v/>
      </c>
      <c r="AD1027" s="28">
        <f>ROUND((IF(ISBLANK(L1027),Employee_Lookups!$O$14,L1027)-J1027)/365.25,2)</f>
        <v>1.79</v>
      </c>
      <c r="AE1027" t="str">
        <f t="shared" si="117"/>
        <v>1 - 3 Yrs</v>
      </c>
      <c r="AF1027" t="str">
        <f t="shared" si="118"/>
        <v>Low Risk</v>
      </c>
    </row>
    <row r="1028" spans="1:32" x14ac:dyDescent="0.45">
      <c r="A1028" t="s">
        <v>1841</v>
      </c>
      <c r="B1028" t="s">
        <v>1842</v>
      </c>
      <c r="C1028" t="s">
        <v>53</v>
      </c>
      <c r="D1028" t="s">
        <v>52</v>
      </c>
      <c r="E1028" t="s">
        <v>192</v>
      </c>
      <c r="F1028" t="s">
        <v>83</v>
      </c>
      <c r="G1028" t="s">
        <v>193</v>
      </c>
      <c r="H1028" t="s">
        <v>108</v>
      </c>
      <c r="I1028" t="s">
        <v>107</v>
      </c>
      <c r="J1028" s="26">
        <v>45369</v>
      </c>
      <c r="K1028" t="s">
        <v>162</v>
      </c>
      <c r="L1028" s="26"/>
      <c r="M1028" t="s">
        <v>163</v>
      </c>
      <c r="N1028" t="s">
        <v>97</v>
      </c>
      <c r="O1028" s="27">
        <v>1446000</v>
      </c>
      <c r="P1028">
        <v>3</v>
      </c>
      <c r="Q1028" t="s">
        <v>172</v>
      </c>
      <c r="R1028">
        <v>60</v>
      </c>
      <c r="S1028" t="s">
        <v>194</v>
      </c>
      <c r="T1028">
        <f t="shared" si="112"/>
        <v>10272</v>
      </c>
      <c r="U1028" t="str">
        <f t="shared" si="113"/>
        <v>SAL</v>
      </c>
      <c r="V1028" t="str">
        <f t="shared" si="114"/>
        <v>L3</v>
      </c>
      <c r="W1028" t="str">
        <f>PROPER(TRIM(VLOOKUP(S1028,Employee_Lookups!$I$4:$M$19,2,FALSE())))</f>
        <v>Vikramaditya Joshi</v>
      </c>
      <c r="X1028" t="str">
        <f>VLOOKUP(C1028,Employee_Lookups!$A$4:$G$9,4,FALSE())</f>
        <v>CC-202</v>
      </c>
      <c r="Y1028" t="str">
        <f>INDEX(Employee_Lookups!$C$13:$C$17,MATCH(F1028,Employee_Lookups!$A$13:$A$17,0))</f>
        <v>Band C (Senior)</v>
      </c>
      <c r="Z1028" s="27">
        <f>_xlfn.XLOOKUP(F1028,Employee_Lookups!$A$13:$A$17,Employee_Lookups!$E$13:$E$17,0)</f>
        <v>1725000</v>
      </c>
      <c r="AA1028" s="28">
        <f>ROUND(O1028/INDEX(Employee_Lookups!$E$13:$E$17,MATCH(F1028,Employee_Lookups!$A$13:$A$17,0)),3)</f>
        <v>0.83799999999999997</v>
      </c>
      <c r="AB1028">
        <f t="shared" si="115"/>
        <v>2024</v>
      </c>
      <c r="AC1028" t="str">
        <f t="shared" si="116"/>
        <v/>
      </c>
      <c r="AD1028" s="28">
        <f>ROUND((IF(ISBLANK(L1028),Employee_Lookups!$O$14,L1028)-J1028)/365.25,2)</f>
        <v>1.79</v>
      </c>
      <c r="AE1028" t="str">
        <f t="shared" si="117"/>
        <v>1 - 3 Yrs</v>
      </c>
      <c r="AF1028" t="str">
        <f t="shared" si="118"/>
        <v>High Risk</v>
      </c>
    </row>
    <row r="1029" spans="1:32" x14ac:dyDescent="0.45">
      <c r="A1029" t="s">
        <v>1843</v>
      </c>
      <c r="B1029" t="s">
        <v>1348</v>
      </c>
      <c r="C1029" t="s">
        <v>53</v>
      </c>
      <c r="D1029" t="s">
        <v>52</v>
      </c>
      <c r="E1029" t="s">
        <v>322</v>
      </c>
      <c r="F1029" t="s">
        <v>81</v>
      </c>
      <c r="G1029" t="s">
        <v>323</v>
      </c>
      <c r="H1029" t="s">
        <v>108</v>
      </c>
      <c r="I1029" t="s">
        <v>107</v>
      </c>
      <c r="J1029" s="26">
        <v>45370</v>
      </c>
      <c r="K1029" t="s">
        <v>162</v>
      </c>
      <c r="L1029" s="26"/>
      <c r="M1029" t="s">
        <v>163</v>
      </c>
      <c r="N1029" t="s">
        <v>96</v>
      </c>
      <c r="O1029" s="27">
        <v>813000</v>
      </c>
      <c r="P1029">
        <v>3</v>
      </c>
      <c r="Q1029" t="s">
        <v>172</v>
      </c>
      <c r="R1029">
        <v>36</v>
      </c>
      <c r="S1029" t="s">
        <v>189</v>
      </c>
      <c r="T1029">
        <f t="shared" si="112"/>
        <v>11354</v>
      </c>
      <c r="U1029" t="str">
        <f t="shared" si="113"/>
        <v>SAL</v>
      </c>
      <c r="V1029" t="str">
        <f t="shared" si="114"/>
        <v>L1</v>
      </c>
      <c r="W1029" t="str">
        <f>PROPER(TRIM(VLOOKUP(S1029,Employee_Lookups!$I$4:$M$19,2,FALSE())))</f>
        <v>Priya Sharma</v>
      </c>
      <c r="X1029" t="str">
        <f>VLOOKUP(C1029,Employee_Lookups!$A$4:$G$9,4,FALSE())</f>
        <v>CC-202</v>
      </c>
      <c r="Y1029" t="str">
        <f>INDEX(Employee_Lookups!$C$13:$C$17,MATCH(F1029,Employee_Lookups!$A$13:$A$17,0))</f>
        <v>Band A (Entry)</v>
      </c>
      <c r="Z1029" s="27">
        <f>_xlfn.XLOOKUP(F1029,Employee_Lookups!$A$13:$A$17,Employee_Lookups!$E$13:$E$17,0)</f>
        <v>700000</v>
      </c>
      <c r="AA1029" s="28">
        <f>ROUND(O1029/INDEX(Employee_Lookups!$E$13:$E$17,MATCH(F1029,Employee_Lookups!$A$13:$A$17,0)),3)</f>
        <v>1.161</v>
      </c>
      <c r="AB1029">
        <f t="shared" si="115"/>
        <v>2024</v>
      </c>
      <c r="AC1029" t="str">
        <f t="shared" si="116"/>
        <v/>
      </c>
      <c r="AD1029" s="28">
        <f>ROUND((IF(ISBLANK(L1029),Employee_Lookups!$O$14,L1029)-J1029)/365.25,2)</f>
        <v>1.79</v>
      </c>
      <c r="AE1029" t="str">
        <f t="shared" si="117"/>
        <v>1 - 3 Yrs</v>
      </c>
      <c r="AF1029" t="str">
        <f t="shared" si="118"/>
        <v>Moderate Risk</v>
      </c>
    </row>
    <row r="1030" spans="1:32" x14ac:dyDescent="0.45">
      <c r="A1030" t="s">
        <v>1844</v>
      </c>
      <c r="B1030" t="s">
        <v>855</v>
      </c>
      <c r="C1030" t="s">
        <v>59</v>
      </c>
      <c r="D1030" t="s">
        <v>58</v>
      </c>
      <c r="E1030" t="s">
        <v>1258</v>
      </c>
      <c r="F1030" t="s">
        <v>85</v>
      </c>
      <c r="G1030" t="s">
        <v>1259</v>
      </c>
      <c r="H1030" t="s">
        <v>108</v>
      </c>
      <c r="I1030" t="s">
        <v>107</v>
      </c>
      <c r="J1030" s="26">
        <v>45372</v>
      </c>
      <c r="K1030" t="s">
        <v>162</v>
      </c>
      <c r="L1030" s="26"/>
      <c r="M1030" t="s">
        <v>163</v>
      </c>
      <c r="N1030" t="s">
        <v>99</v>
      </c>
      <c r="O1030" s="27">
        <v>3691000</v>
      </c>
      <c r="P1030">
        <v>3</v>
      </c>
      <c r="Q1030" t="s">
        <v>164</v>
      </c>
      <c r="R1030">
        <v>58</v>
      </c>
      <c r="S1030" t="s">
        <v>214</v>
      </c>
      <c r="T1030">
        <f t="shared" si="112"/>
        <v>10040</v>
      </c>
      <c r="U1030" t="str">
        <f t="shared" si="113"/>
        <v>FIN</v>
      </c>
      <c r="V1030" t="str">
        <f t="shared" si="114"/>
        <v>L5</v>
      </c>
      <c r="W1030" t="str">
        <f>PROPER(TRIM(VLOOKUP(S1030,Employee_Lookups!$I$4:$M$19,2,FALSE())))</f>
        <v>Aditya Gokhale</v>
      </c>
      <c r="X1030" t="str">
        <f>VLOOKUP(C1030,Employee_Lookups!$A$4:$G$9,4,FALSE())</f>
        <v>CC-404</v>
      </c>
      <c r="Y1030" t="str">
        <f>INDEX(Employee_Lookups!$C$13:$C$17,MATCH(F1030,Employee_Lookups!$A$13:$A$17,0))</f>
        <v>Band E (Executive)</v>
      </c>
      <c r="Z1030" s="27">
        <f>_xlfn.XLOOKUP(F1030,Employee_Lookups!$A$13:$A$17,Employee_Lookups!$E$13:$E$17,0)</f>
        <v>4300000</v>
      </c>
      <c r="AA1030" s="28">
        <f>ROUND(O1030/INDEX(Employee_Lookups!$E$13:$E$17,MATCH(F1030,Employee_Lookups!$A$13:$A$17,0)),3)</f>
        <v>0.85799999999999998</v>
      </c>
      <c r="AB1030">
        <f t="shared" si="115"/>
        <v>2024</v>
      </c>
      <c r="AC1030" t="str">
        <f t="shared" si="116"/>
        <v/>
      </c>
      <c r="AD1030" s="28">
        <f>ROUND((IF(ISBLANK(L1030),Employee_Lookups!$O$14,L1030)-J1030)/365.25,2)</f>
        <v>1.78</v>
      </c>
      <c r="AE1030" t="str">
        <f t="shared" si="117"/>
        <v>1 - 3 Yrs</v>
      </c>
      <c r="AF1030" t="str">
        <f t="shared" si="118"/>
        <v>Low Risk</v>
      </c>
    </row>
    <row r="1031" spans="1:32" x14ac:dyDescent="0.45">
      <c r="A1031" t="s">
        <v>1845</v>
      </c>
      <c r="B1031" t="s">
        <v>1284</v>
      </c>
      <c r="C1031" t="s">
        <v>55</v>
      </c>
      <c r="D1031" t="s">
        <v>54</v>
      </c>
      <c r="E1031" t="s">
        <v>277</v>
      </c>
      <c r="F1031" t="s">
        <v>81</v>
      </c>
      <c r="G1031" t="s">
        <v>278</v>
      </c>
      <c r="H1031" t="s">
        <v>106</v>
      </c>
      <c r="I1031" t="s">
        <v>107</v>
      </c>
      <c r="J1031" s="26">
        <v>45374</v>
      </c>
      <c r="K1031" t="s">
        <v>187</v>
      </c>
      <c r="L1031" s="26">
        <v>45466</v>
      </c>
      <c r="M1031" t="s">
        <v>308</v>
      </c>
      <c r="N1031" t="s">
        <v>99</v>
      </c>
      <c r="O1031" s="27">
        <v>588000</v>
      </c>
      <c r="P1031">
        <v>4</v>
      </c>
      <c r="Q1031" t="s">
        <v>172</v>
      </c>
      <c r="R1031">
        <v>42</v>
      </c>
      <c r="S1031" t="s">
        <v>274</v>
      </c>
      <c r="T1031">
        <f t="shared" si="112"/>
        <v>10843</v>
      </c>
      <c r="U1031" t="str">
        <f t="shared" si="113"/>
        <v>OPS</v>
      </c>
      <c r="V1031" t="str">
        <f t="shared" si="114"/>
        <v>L1</v>
      </c>
      <c r="W1031" t="str">
        <f>PROPER(TRIM(VLOOKUP(S1031,Employee_Lookups!$I$4:$M$19,2,FALSE())))</f>
        <v>Meera Krishnan</v>
      </c>
      <c r="X1031" t="str">
        <f>VLOOKUP(C1031,Employee_Lookups!$A$4:$G$9,4,FALSE())</f>
        <v>CC-303</v>
      </c>
      <c r="Y1031" t="str">
        <f>INDEX(Employee_Lookups!$C$13:$C$17,MATCH(F1031,Employee_Lookups!$A$13:$A$17,0))</f>
        <v>Band A (Entry)</v>
      </c>
      <c r="Z1031" s="27">
        <f>_xlfn.XLOOKUP(F1031,Employee_Lookups!$A$13:$A$17,Employee_Lookups!$E$13:$E$17,0)</f>
        <v>700000</v>
      </c>
      <c r="AA1031" s="28">
        <f>ROUND(O1031/INDEX(Employee_Lookups!$E$13:$E$17,MATCH(F1031,Employee_Lookups!$A$13:$A$17,0)),3)</f>
        <v>0.84</v>
      </c>
      <c r="AB1031">
        <f t="shared" si="115"/>
        <v>2024</v>
      </c>
      <c r="AC1031">
        <f t="shared" si="116"/>
        <v>2024</v>
      </c>
      <c r="AD1031" s="28">
        <f>ROUND((IF(ISBLANK(L1031),Employee_Lookups!$O$14,L1031)-J1031)/365.25,2)</f>
        <v>0.25</v>
      </c>
      <c r="AE1031" t="str">
        <f t="shared" si="117"/>
        <v>&lt; 1 Yr (New)</v>
      </c>
      <c r="AF1031" t="str">
        <f t="shared" si="118"/>
        <v>Exited</v>
      </c>
    </row>
    <row r="1032" spans="1:32" x14ac:dyDescent="0.45">
      <c r="A1032" t="s">
        <v>1846</v>
      </c>
      <c r="B1032" t="s">
        <v>1847</v>
      </c>
      <c r="C1032" t="s">
        <v>53</v>
      </c>
      <c r="D1032" t="s">
        <v>52</v>
      </c>
      <c r="E1032" t="s">
        <v>322</v>
      </c>
      <c r="F1032" t="s">
        <v>81</v>
      </c>
      <c r="G1032" t="s">
        <v>323</v>
      </c>
      <c r="H1032" t="s">
        <v>112</v>
      </c>
      <c r="I1032" t="s">
        <v>113</v>
      </c>
      <c r="J1032" s="26">
        <v>45374</v>
      </c>
      <c r="K1032" t="s">
        <v>162</v>
      </c>
      <c r="L1032" s="26"/>
      <c r="M1032" t="s">
        <v>163</v>
      </c>
      <c r="N1032" t="s">
        <v>96</v>
      </c>
      <c r="O1032" s="27">
        <v>649000</v>
      </c>
      <c r="P1032">
        <v>3</v>
      </c>
      <c r="Q1032" t="s">
        <v>164</v>
      </c>
      <c r="R1032">
        <v>27</v>
      </c>
      <c r="S1032" t="s">
        <v>189</v>
      </c>
      <c r="T1032">
        <f t="shared" si="112"/>
        <v>10722</v>
      </c>
      <c r="U1032" t="str">
        <f t="shared" si="113"/>
        <v>SAL</v>
      </c>
      <c r="V1032" t="str">
        <f t="shared" si="114"/>
        <v>L1</v>
      </c>
      <c r="W1032" t="str">
        <f>PROPER(TRIM(VLOOKUP(S1032,Employee_Lookups!$I$4:$M$19,2,FALSE())))</f>
        <v>Priya Sharma</v>
      </c>
      <c r="X1032" t="str">
        <f>VLOOKUP(C1032,Employee_Lookups!$A$4:$G$9,4,FALSE())</f>
        <v>CC-202</v>
      </c>
      <c r="Y1032" t="str">
        <f>INDEX(Employee_Lookups!$C$13:$C$17,MATCH(F1032,Employee_Lookups!$A$13:$A$17,0))</f>
        <v>Band A (Entry)</v>
      </c>
      <c r="Z1032" s="27">
        <f>_xlfn.XLOOKUP(F1032,Employee_Lookups!$A$13:$A$17,Employee_Lookups!$E$13:$E$17,0)</f>
        <v>700000</v>
      </c>
      <c r="AA1032" s="28">
        <f>ROUND(O1032/INDEX(Employee_Lookups!$E$13:$E$17,MATCH(F1032,Employee_Lookups!$A$13:$A$17,0)),3)</f>
        <v>0.92700000000000005</v>
      </c>
      <c r="AB1032">
        <f t="shared" si="115"/>
        <v>2024</v>
      </c>
      <c r="AC1032" t="str">
        <f t="shared" si="116"/>
        <v/>
      </c>
      <c r="AD1032" s="28">
        <f>ROUND((IF(ISBLANK(L1032),Employee_Lookups!$O$14,L1032)-J1032)/365.25,2)</f>
        <v>1.77</v>
      </c>
      <c r="AE1032" t="str">
        <f t="shared" si="117"/>
        <v>1 - 3 Yrs</v>
      </c>
      <c r="AF1032" t="str">
        <f t="shared" si="118"/>
        <v>Low Risk</v>
      </c>
    </row>
    <row r="1033" spans="1:32" x14ac:dyDescent="0.45">
      <c r="A1033" t="s">
        <v>1848</v>
      </c>
      <c r="B1033" t="s">
        <v>499</v>
      </c>
      <c r="C1033" t="s">
        <v>61</v>
      </c>
      <c r="D1033" t="s">
        <v>60</v>
      </c>
      <c r="E1033" t="s">
        <v>317</v>
      </c>
      <c r="F1033" t="s">
        <v>84</v>
      </c>
      <c r="G1033" t="s">
        <v>318</v>
      </c>
      <c r="H1033" t="s">
        <v>106</v>
      </c>
      <c r="I1033" t="s">
        <v>107</v>
      </c>
      <c r="J1033" s="26">
        <v>45375</v>
      </c>
      <c r="K1033" t="s">
        <v>162</v>
      </c>
      <c r="L1033" s="26"/>
      <c r="M1033" t="s">
        <v>163</v>
      </c>
      <c r="N1033" t="s">
        <v>99</v>
      </c>
      <c r="O1033" s="27">
        <v>2946000</v>
      </c>
      <c r="P1033">
        <v>4</v>
      </c>
      <c r="Q1033" t="s">
        <v>164</v>
      </c>
      <c r="R1033">
        <v>38</v>
      </c>
      <c r="S1033" t="s">
        <v>253</v>
      </c>
      <c r="T1033">
        <f t="shared" si="112"/>
        <v>10080</v>
      </c>
      <c r="U1033" t="str">
        <f t="shared" si="113"/>
        <v>-HR</v>
      </c>
      <c r="V1033" t="str">
        <f t="shared" si="114"/>
        <v>L4</v>
      </c>
      <c r="W1033" t="str">
        <f>PROPER(TRIM(VLOOKUP(S1033,Employee_Lookups!$I$4:$M$19,2,FALSE())))</f>
        <v>Nikhil Chatterjee</v>
      </c>
      <c r="X1033" t="str">
        <f>VLOOKUP(C1033,Employee_Lookups!$A$4:$G$9,4,FALSE())</f>
        <v>CC-505</v>
      </c>
      <c r="Y1033" t="str">
        <f>INDEX(Employee_Lookups!$C$13:$C$17,MATCH(F1033,Employee_Lookups!$A$13:$A$17,0))</f>
        <v>Band D (Leadership)</v>
      </c>
      <c r="Z1033" s="27">
        <f>_xlfn.XLOOKUP(F1033,Employee_Lookups!$A$13:$A$17,Employee_Lookups!$E$13:$E$17,0)</f>
        <v>2750000</v>
      </c>
      <c r="AA1033" s="28">
        <f>ROUND(O1033/INDEX(Employee_Lookups!$E$13:$E$17,MATCH(F1033,Employee_Lookups!$A$13:$A$17,0)),3)</f>
        <v>1.071</v>
      </c>
      <c r="AB1033">
        <f t="shared" si="115"/>
        <v>2024</v>
      </c>
      <c r="AC1033" t="str">
        <f t="shared" si="116"/>
        <v/>
      </c>
      <c r="AD1033" s="28">
        <f>ROUND((IF(ISBLANK(L1033),Employee_Lookups!$O$14,L1033)-J1033)/365.25,2)</f>
        <v>1.77</v>
      </c>
      <c r="AE1033" t="str">
        <f t="shared" si="117"/>
        <v>1 - 3 Yrs</v>
      </c>
      <c r="AF1033" t="str">
        <f t="shared" si="118"/>
        <v>Low Risk</v>
      </c>
    </row>
    <row r="1034" spans="1:32" x14ac:dyDescent="0.45">
      <c r="A1034" t="s">
        <v>1849</v>
      </c>
      <c r="B1034" t="s">
        <v>1745</v>
      </c>
      <c r="C1034" t="s">
        <v>55</v>
      </c>
      <c r="D1034" t="s">
        <v>54</v>
      </c>
      <c r="E1034" t="s">
        <v>229</v>
      </c>
      <c r="F1034" t="s">
        <v>82</v>
      </c>
      <c r="G1034" t="s">
        <v>230</v>
      </c>
      <c r="H1034" t="s">
        <v>106</v>
      </c>
      <c r="I1034" t="s">
        <v>107</v>
      </c>
      <c r="J1034" s="26">
        <v>45378</v>
      </c>
      <c r="K1034" t="s">
        <v>162</v>
      </c>
      <c r="L1034" s="26"/>
      <c r="M1034" t="s">
        <v>163</v>
      </c>
      <c r="N1034" t="s">
        <v>96</v>
      </c>
      <c r="O1034" s="27">
        <v>1336000</v>
      </c>
      <c r="P1034">
        <v>3</v>
      </c>
      <c r="Q1034" t="s">
        <v>164</v>
      </c>
      <c r="R1034">
        <v>48</v>
      </c>
      <c r="S1034" t="s">
        <v>173</v>
      </c>
      <c r="T1034">
        <f t="shared" si="112"/>
        <v>11235</v>
      </c>
      <c r="U1034" t="str">
        <f t="shared" si="113"/>
        <v>OPS</v>
      </c>
      <c r="V1034" t="str">
        <f t="shared" si="114"/>
        <v>L2</v>
      </c>
      <c r="W1034" t="str">
        <f>PROPER(TRIM(VLOOKUP(S1034,Employee_Lookups!$I$4:$M$19,2,FALSE())))</f>
        <v>Deepak Patil</v>
      </c>
      <c r="X1034" t="str">
        <f>VLOOKUP(C1034,Employee_Lookups!$A$4:$G$9,4,FALSE())</f>
        <v>CC-303</v>
      </c>
      <c r="Y1034" t="str">
        <f>INDEX(Employee_Lookups!$C$13:$C$17,MATCH(F1034,Employee_Lookups!$A$13:$A$17,0))</f>
        <v>Band B (Mid)</v>
      </c>
      <c r="Z1034" s="27">
        <f>_xlfn.XLOOKUP(F1034,Employee_Lookups!$A$13:$A$17,Employee_Lookups!$E$13:$E$17,0)</f>
        <v>1100000</v>
      </c>
      <c r="AA1034" s="28">
        <f>ROUND(O1034/INDEX(Employee_Lookups!$E$13:$E$17,MATCH(F1034,Employee_Lookups!$A$13:$A$17,0)),3)</f>
        <v>1.2150000000000001</v>
      </c>
      <c r="AB1034">
        <f t="shared" si="115"/>
        <v>2024</v>
      </c>
      <c r="AC1034" t="str">
        <f t="shared" si="116"/>
        <v/>
      </c>
      <c r="AD1034" s="28">
        <f>ROUND((IF(ISBLANK(L1034),Employee_Lookups!$O$14,L1034)-J1034)/365.25,2)</f>
        <v>1.76</v>
      </c>
      <c r="AE1034" t="str">
        <f t="shared" si="117"/>
        <v>1 - 3 Yrs</v>
      </c>
      <c r="AF1034" t="str">
        <f t="shared" si="118"/>
        <v>Low Risk</v>
      </c>
    </row>
    <row r="1035" spans="1:32" x14ac:dyDescent="0.45">
      <c r="A1035" t="s">
        <v>1850</v>
      </c>
      <c r="B1035" t="s">
        <v>1851</v>
      </c>
      <c r="C1035" t="s">
        <v>51</v>
      </c>
      <c r="D1035" t="s">
        <v>50</v>
      </c>
      <c r="E1035" t="s">
        <v>328</v>
      </c>
      <c r="F1035" t="s">
        <v>85</v>
      </c>
      <c r="G1035" t="s">
        <v>329</v>
      </c>
      <c r="H1035" t="s">
        <v>112</v>
      </c>
      <c r="I1035" t="s">
        <v>113</v>
      </c>
      <c r="J1035" s="26">
        <v>45378</v>
      </c>
      <c r="K1035" t="s">
        <v>162</v>
      </c>
      <c r="L1035" s="26"/>
      <c r="M1035" t="s">
        <v>163</v>
      </c>
      <c r="N1035" t="s">
        <v>95</v>
      </c>
      <c r="O1035" s="27">
        <v>4405000</v>
      </c>
      <c r="P1035">
        <v>4</v>
      </c>
      <c r="Q1035" t="s">
        <v>164</v>
      </c>
      <c r="R1035">
        <v>10</v>
      </c>
      <c r="S1035" t="s">
        <v>197</v>
      </c>
      <c r="T1035">
        <f t="shared" si="112"/>
        <v>10454</v>
      </c>
      <c r="U1035" t="str">
        <f t="shared" si="113"/>
        <v>ENG</v>
      </c>
      <c r="V1035" t="str">
        <f t="shared" si="114"/>
        <v>L5</v>
      </c>
      <c r="W1035" t="str">
        <f>PROPER(TRIM(VLOOKUP(S1035,Employee_Lookups!$I$4:$M$19,2,FALSE())))</f>
        <v>Rohan Verma</v>
      </c>
      <c r="X1035" t="str">
        <f>VLOOKUP(C1035,Employee_Lookups!$A$4:$G$9,4,FALSE())</f>
        <v>CC-101</v>
      </c>
      <c r="Y1035" t="str">
        <f>INDEX(Employee_Lookups!$C$13:$C$17,MATCH(F1035,Employee_Lookups!$A$13:$A$17,0))</f>
        <v>Band E (Executive)</v>
      </c>
      <c r="Z1035" s="27">
        <f>_xlfn.XLOOKUP(F1035,Employee_Lookups!$A$13:$A$17,Employee_Lookups!$E$13:$E$17,0)</f>
        <v>4300000</v>
      </c>
      <c r="AA1035" s="28">
        <f>ROUND(O1035/INDEX(Employee_Lookups!$E$13:$E$17,MATCH(F1035,Employee_Lookups!$A$13:$A$17,0)),3)</f>
        <v>1.024</v>
      </c>
      <c r="AB1035">
        <f t="shared" si="115"/>
        <v>2024</v>
      </c>
      <c r="AC1035" t="str">
        <f t="shared" si="116"/>
        <v/>
      </c>
      <c r="AD1035" s="28">
        <f>ROUND((IF(ISBLANK(L1035),Employee_Lookups!$O$14,L1035)-J1035)/365.25,2)</f>
        <v>1.76</v>
      </c>
      <c r="AE1035" t="str">
        <f t="shared" si="117"/>
        <v>1 - 3 Yrs</v>
      </c>
      <c r="AF1035" t="str">
        <f t="shared" si="118"/>
        <v>Low Risk</v>
      </c>
    </row>
    <row r="1036" spans="1:32" x14ac:dyDescent="0.45">
      <c r="A1036" t="s">
        <v>1852</v>
      </c>
      <c r="B1036" t="s">
        <v>728</v>
      </c>
      <c r="C1036" t="s">
        <v>51</v>
      </c>
      <c r="D1036" t="s">
        <v>50</v>
      </c>
      <c r="E1036" t="s">
        <v>181</v>
      </c>
      <c r="F1036" t="s">
        <v>81</v>
      </c>
      <c r="G1036" t="s">
        <v>182</v>
      </c>
      <c r="H1036" t="s">
        <v>106</v>
      </c>
      <c r="I1036" t="s">
        <v>107</v>
      </c>
      <c r="J1036" s="26">
        <v>45379</v>
      </c>
      <c r="K1036" t="s">
        <v>187</v>
      </c>
      <c r="L1036" s="26">
        <v>45450</v>
      </c>
      <c r="M1036" t="s">
        <v>282</v>
      </c>
      <c r="N1036" t="s">
        <v>99</v>
      </c>
      <c r="O1036" s="27">
        <v>747000</v>
      </c>
      <c r="P1036">
        <v>4</v>
      </c>
      <c r="Q1036" t="s">
        <v>172</v>
      </c>
      <c r="R1036">
        <v>40</v>
      </c>
      <c r="S1036" t="s">
        <v>178</v>
      </c>
      <c r="T1036">
        <f t="shared" si="112"/>
        <v>10158</v>
      </c>
      <c r="U1036" t="str">
        <f t="shared" si="113"/>
        <v>ENG</v>
      </c>
      <c r="V1036" t="str">
        <f t="shared" si="114"/>
        <v>L1</v>
      </c>
      <c r="W1036" t="str">
        <f>PROPER(TRIM(VLOOKUP(S1036,Employee_Lookups!$I$4:$M$19,2,FALSE())))</f>
        <v>Aarav Deshmukh</v>
      </c>
      <c r="X1036" t="str">
        <f>VLOOKUP(C1036,Employee_Lookups!$A$4:$G$9,4,FALSE())</f>
        <v>CC-101</v>
      </c>
      <c r="Y1036" t="str">
        <f>INDEX(Employee_Lookups!$C$13:$C$17,MATCH(F1036,Employee_Lookups!$A$13:$A$17,0))</f>
        <v>Band A (Entry)</v>
      </c>
      <c r="Z1036" s="27">
        <f>_xlfn.XLOOKUP(F1036,Employee_Lookups!$A$13:$A$17,Employee_Lookups!$E$13:$E$17,0)</f>
        <v>700000</v>
      </c>
      <c r="AA1036" s="28">
        <f>ROUND(O1036/INDEX(Employee_Lookups!$E$13:$E$17,MATCH(F1036,Employee_Lookups!$A$13:$A$17,0)),3)</f>
        <v>1.0669999999999999</v>
      </c>
      <c r="AB1036">
        <f t="shared" si="115"/>
        <v>2024</v>
      </c>
      <c r="AC1036">
        <f t="shared" si="116"/>
        <v>2024</v>
      </c>
      <c r="AD1036" s="28">
        <f>ROUND((IF(ISBLANK(L1036),Employee_Lookups!$O$14,L1036)-J1036)/365.25,2)</f>
        <v>0.19</v>
      </c>
      <c r="AE1036" t="str">
        <f t="shared" si="117"/>
        <v>&lt; 1 Yr (New)</v>
      </c>
      <c r="AF1036" t="str">
        <f t="shared" si="118"/>
        <v>Exited</v>
      </c>
    </row>
    <row r="1037" spans="1:32" x14ac:dyDescent="0.45">
      <c r="A1037" t="s">
        <v>1853</v>
      </c>
      <c r="B1037" t="s">
        <v>962</v>
      </c>
      <c r="C1037" t="s">
        <v>53</v>
      </c>
      <c r="D1037" t="s">
        <v>52</v>
      </c>
      <c r="E1037" t="s">
        <v>322</v>
      </c>
      <c r="F1037" t="s">
        <v>81</v>
      </c>
      <c r="G1037" t="s">
        <v>323</v>
      </c>
      <c r="H1037" t="s">
        <v>108</v>
      </c>
      <c r="I1037" t="s">
        <v>107</v>
      </c>
      <c r="J1037" s="26">
        <v>45379</v>
      </c>
      <c r="K1037" t="s">
        <v>187</v>
      </c>
      <c r="L1037" s="26">
        <v>45520</v>
      </c>
      <c r="M1037" t="s">
        <v>213</v>
      </c>
      <c r="N1037" t="s">
        <v>96</v>
      </c>
      <c r="O1037" s="27">
        <v>769000</v>
      </c>
      <c r="P1037">
        <v>4</v>
      </c>
      <c r="Q1037" t="s">
        <v>172</v>
      </c>
      <c r="R1037">
        <v>40</v>
      </c>
      <c r="S1037" t="s">
        <v>189</v>
      </c>
      <c r="T1037">
        <f t="shared" si="112"/>
        <v>10847</v>
      </c>
      <c r="U1037" t="str">
        <f t="shared" si="113"/>
        <v>SAL</v>
      </c>
      <c r="V1037" t="str">
        <f t="shared" si="114"/>
        <v>L1</v>
      </c>
      <c r="W1037" t="str">
        <f>PROPER(TRIM(VLOOKUP(S1037,Employee_Lookups!$I$4:$M$19,2,FALSE())))</f>
        <v>Priya Sharma</v>
      </c>
      <c r="X1037" t="str">
        <f>VLOOKUP(C1037,Employee_Lookups!$A$4:$G$9,4,FALSE())</f>
        <v>CC-202</v>
      </c>
      <c r="Y1037" t="str">
        <f>INDEX(Employee_Lookups!$C$13:$C$17,MATCH(F1037,Employee_Lookups!$A$13:$A$17,0))</f>
        <v>Band A (Entry)</v>
      </c>
      <c r="Z1037" s="27">
        <f>_xlfn.XLOOKUP(F1037,Employee_Lookups!$A$13:$A$17,Employee_Lookups!$E$13:$E$17,0)</f>
        <v>700000</v>
      </c>
      <c r="AA1037" s="28">
        <f>ROUND(O1037/INDEX(Employee_Lookups!$E$13:$E$17,MATCH(F1037,Employee_Lookups!$A$13:$A$17,0)),3)</f>
        <v>1.099</v>
      </c>
      <c r="AB1037">
        <f t="shared" si="115"/>
        <v>2024</v>
      </c>
      <c r="AC1037">
        <f t="shared" si="116"/>
        <v>2024</v>
      </c>
      <c r="AD1037" s="28">
        <f>ROUND((IF(ISBLANK(L1037),Employee_Lookups!$O$14,L1037)-J1037)/365.25,2)</f>
        <v>0.39</v>
      </c>
      <c r="AE1037" t="str">
        <f t="shared" si="117"/>
        <v>&lt; 1 Yr (New)</v>
      </c>
      <c r="AF1037" t="str">
        <f t="shared" si="118"/>
        <v>Exited</v>
      </c>
    </row>
    <row r="1038" spans="1:32" x14ac:dyDescent="0.45">
      <c r="A1038" t="s">
        <v>1854</v>
      </c>
      <c r="B1038" t="s">
        <v>1481</v>
      </c>
      <c r="C1038" t="s">
        <v>53</v>
      </c>
      <c r="D1038" t="s">
        <v>52</v>
      </c>
      <c r="E1038" t="s">
        <v>322</v>
      </c>
      <c r="F1038" t="s">
        <v>81</v>
      </c>
      <c r="G1038" t="s">
        <v>323</v>
      </c>
      <c r="H1038" t="s">
        <v>106</v>
      </c>
      <c r="I1038" t="s">
        <v>107</v>
      </c>
      <c r="J1038" s="26">
        <v>45383</v>
      </c>
      <c r="K1038" t="s">
        <v>162</v>
      </c>
      <c r="L1038" s="26"/>
      <c r="M1038" t="s">
        <v>163</v>
      </c>
      <c r="N1038" t="s">
        <v>99</v>
      </c>
      <c r="O1038" s="27">
        <v>666000</v>
      </c>
      <c r="P1038">
        <v>3</v>
      </c>
      <c r="Q1038" t="s">
        <v>172</v>
      </c>
      <c r="R1038">
        <v>49</v>
      </c>
      <c r="S1038" t="s">
        <v>194</v>
      </c>
      <c r="T1038">
        <f t="shared" si="112"/>
        <v>11223</v>
      </c>
      <c r="U1038" t="str">
        <f t="shared" si="113"/>
        <v>SAL</v>
      </c>
      <c r="V1038" t="str">
        <f t="shared" si="114"/>
        <v>L1</v>
      </c>
      <c r="W1038" t="str">
        <f>PROPER(TRIM(VLOOKUP(S1038,Employee_Lookups!$I$4:$M$19,2,FALSE())))</f>
        <v>Vikramaditya Joshi</v>
      </c>
      <c r="X1038" t="str">
        <f>VLOOKUP(C1038,Employee_Lookups!$A$4:$G$9,4,FALSE())</f>
        <v>CC-202</v>
      </c>
      <c r="Y1038" t="str">
        <f>INDEX(Employee_Lookups!$C$13:$C$17,MATCH(F1038,Employee_Lookups!$A$13:$A$17,0))</f>
        <v>Band A (Entry)</v>
      </c>
      <c r="Z1038" s="27">
        <f>_xlfn.XLOOKUP(F1038,Employee_Lookups!$A$13:$A$17,Employee_Lookups!$E$13:$E$17,0)</f>
        <v>700000</v>
      </c>
      <c r="AA1038" s="28">
        <f>ROUND(O1038/INDEX(Employee_Lookups!$E$13:$E$17,MATCH(F1038,Employee_Lookups!$A$13:$A$17,0)),3)</f>
        <v>0.95099999999999996</v>
      </c>
      <c r="AB1038">
        <f t="shared" si="115"/>
        <v>2024</v>
      </c>
      <c r="AC1038" t="str">
        <f t="shared" si="116"/>
        <v/>
      </c>
      <c r="AD1038" s="28">
        <f>ROUND((IF(ISBLANK(L1038),Employee_Lookups!$O$14,L1038)-J1038)/365.25,2)</f>
        <v>1.75</v>
      </c>
      <c r="AE1038" t="str">
        <f t="shared" si="117"/>
        <v>1 - 3 Yrs</v>
      </c>
      <c r="AF1038" t="str">
        <f t="shared" si="118"/>
        <v>Moderate Risk</v>
      </c>
    </row>
    <row r="1039" spans="1:32" x14ac:dyDescent="0.45">
      <c r="A1039" t="s">
        <v>1855</v>
      </c>
      <c r="B1039" t="s">
        <v>228</v>
      </c>
      <c r="C1039" t="s">
        <v>57</v>
      </c>
      <c r="D1039" t="s">
        <v>56</v>
      </c>
      <c r="E1039" t="s">
        <v>160</v>
      </c>
      <c r="F1039" t="s">
        <v>81</v>
      </c>
      <c r="G1039" t="s">
        <v>161</v>
      </c>
      <c r="H1039" t="s">
        <v>108</v>
      </c>
      <c r="I1039" t="s">
        <v>107</v>
      </c>
      <c r="J1039" s="26">
        <v>45385</v>
      </c>
      <c r="K1039" t="s">
        <v>162</v>
      </c>
      <c r="L1039" s="26"/>
      <c r="M1039" t="s">
        <v>163</v>
      </c>
      <c r="N1039" t="s">
        <v>99</v>
      </c>
      <c r="O1039" s="27">
        <v>644000</v>
      </c>
      <c r="P1039">
        <v>2</v>
      </c>
      <c r="Q1039" t="s">
        <v>164</v>
      </c>
      <c r="R1039">
        <v>15</v>
      </c>
      <c r="S1039" t="s">
        <v>165</v>
      </c>
      <c r="T1039">
        <f t="shared" si="112"/>
        <v>10969</v>
      </c>
      <c r="U1039" t="str">
        <f t="shared" si="113"/>
        <v>MKT</v>
      </c>
      <c r="V1039" t="str">
        <f t="shared" si="114"/>
        <v>L1</v>
      </c>
      <c r="W1039" t="str">
        <f>PROPER(TRIM(VLOOKUP(S1039,Employee_Lookups!$I$4:$M$19,2,FALSE())))</f>
        <v>Arjun Sengupta</v>
      </c>
      <c r="X1039" t="str">
        <f>VLOOKUP(C1039,Employee_Lookups!$A$4:$G$9,4,FALSE())</f>
        <v>CC-606</v>
      </c>
      <c r="Y1039" t="str">
        <f>INDEX(Employee_Lookups!$C$13:$C$17,MATCH(F1039,Employee_Lookups!$A$13:$A$17,0))</f>
        <v>Band A (Entry)</v>
      </c>
      <c r="Z1039" s="27">
        <f>_xlfn.XLOOKUP(F1039,Employee_Lookups!$A$13:$A$17,Employee_Lookups!$E$13:$E$17,0)</f>
        <v>700000</v>
      </c>
      <c r="AA1039" s="28">
        <f>ROUND(O1039/INDEX(Employee_Lookups!$E$13:$E$17,MATCH(F1039,Employee_Lookups!$A$13:$A$17,0)),3)</f>
        <v>0.92</v>
      </c>
      <c r="AB1039">
        <f t="shared" si="115"/>
        <v>2024</v>
      </c>
      <c r="AC1039" t="str">
        <f t="shared" si="116"/>
        <v/>
      </c>
      <c r="AD1039" s="28">
        <f>ROUND((IF(ISBLANK(L1039),Employee_Lookups!$O$14,L1039)-J1039)/365.25,2)</f>
        <v>1.74</v>
      </c>
      <c r="AE1039" t="str">
        <f t="shared" si="117"/>
        <v>1 - 3 Yrs</v>
      </c>
      <c r="AF1039" t="str">
        <f t="shared" si="118"/>
        <v>Moderate Risk</v>
      </c>
    </row>
    <row r="1040" spans="1:32" x14ac:dyDescent="0.45">
      <c r="A1040" t="s">
        <v>1856</v>
      </c>
      <c r="B1040" t="s">
        <v>1857</v>
      </c>
      <c r="C1040" t="s">
        <v>55</v>
      </c>
      <c r="D1040" t="s">
        <v>54</v>
      </c>
      <c r="E1040" t="s">
        <v>277</v>
      </c>
      <c r="F1040" t="s">
        <v>81</v>
      </c>
      <c r="G1040" t="s">
        <v>278</v>
      </c>
      <c r="H1040" t="s">
        <v>106</v>
      </c>
      <c r="I1040" t="s">
        <v>107</v>
      </c>
      <c r="J1040" s="26">
        <v>45386</v>
      </c>
      <c r="K1040" t="s">
        <v>162</v>
      </c>
      <c r="L1040" s="26"/>
      <c r="M1040" t="s">
        <v>163</v>
      </c>
      <c r="N1040" t="s">
        <v>96</v>
      </c>
      <c r="O1040" s="27">
        <v>838000</v>
      </c>
      <c r="P1040">
        <v>3</v>
      </c>
      <c r="Q1040" t="s">
        <v>172</v>
      </c>
      <c r="R1040">
        <v>56</v>
      </c>
      <c r="S1040" t="s">
        <v>173</v>
      </c>
      <c r="T1040">
        <f t="shared" si="112"/>
        <v>11018</v>
      </c>
      <c r="U1040" t="str">
        <f t="shared" si="113"/>
        <v>OPS</v>
      </c>
      <c r="V1040" t="str">
        <f t="shared" si="114"/>
        <v>L1</v>
      </c>
      <c r="W1040" t="str">
        <f>PROPER(TRIM(VLOOKUP(S1040,Employee_Lookups!$I$4:$M$19,2,FALSE())))</f>
        <v>Deepak Patil</v>
      </c>
      <c r="X1040" t="str">
        <f>VLOOKUP(C1040,Employee_Lookups!$A$4:$G$9,4,FALSE())</f>
        <v>CC-303</v>
      </c>
      <c r="Y1040" t="str">
        <f>INDEX(Employee_Lookups!$C$13:$C$17,MATCH(F1040,Employee_Lookups!$A$13:$A$17,0))</f>
        <v>Band A (Entry)</v>
      </c>
      <c r="Z1040" s="27">
        <f>_xlfn.XLOOKUP(F1040,Employee_Lookups!$A$13:$A$17,Employee_Lookups!$E$13:$E$17,0)</f>
        <v>700000</v>
      </c>
      <c r="AA1040" s="28">
        <f>ROUND(O1040/INDEX(Employee_Lookups!$E$13:$E$17,MATCH(F1040,Employee_Lookups!$A$13:$A$17,0)),3)</f>
        <v>1.1970000000000001</v>
      </c>
      <c r="AB1040">
        <f t="shared" si="115"/>
        <v>2024</v>
      </c>
      <c r="AC1040" t="str">
        <f t="shared" si="116"/>
        <v/>
      </c>
      <c r="AD1040" s="28">
        <f>ROUND((IF(ISBLANK(L1040),Employee_Lookups!$O$14,L1040)-J1040)/365.25,2)</f>
        <v>1.74</v>
      </c>
      <c r="AE1040" t="str">
        <f t="shared" si="117"/>
        <v>1 - 3 Yrs</v>
      </c>
      <c r="AF1040" t="str">
        <f t="shared" si="118"/>
        <v>Moderate Risk</v>
      </c>
    </row>
    <row r="1041" spans="1:32" x14ac:dyDescent="0.45">
      <c r="A1041" t="s">
        <v>1858</v>
      </c>
      <c r="B1041" t="s">
        <v>402</v>
      </c>
      <c r="C1041" t="s">
        <v>53</v>
      </c>
      <c r="D1041" t="s">
        <v>52</v>
      </c>
      <c r="E1041" t="s">
        <v>322</v>
      </c>
      <c r="F1041" t="s">
        <v>81</v>
      </c>
      <c r="G1041" t="s">
        <v>323</v>
      </c>
      <c r="H1041" t="s">
        <v>112</v>
      </c>
      <c r="I1041" t="s">
        <v>113</v>
      </c>
      <c r="J1041" s="26">
        <v>45387</v>
      </c>
      <c r="K1041" t="s">
        <v>162</v>
      </c>
      <c r="L1041" s="26"/>
      <c r="M1041" t="s">
        <v>163</v>
      </c>
      <c r="N1041" t="s">
        <v>99</v>
      </c>
      <c r="O1041" s="27">
        <v>634000</v>
      </c>
      <c r="P1041">
        <v>4</v>
      </c>
      <c r="Q1041" t="s">
        <v>164</v>
      </c>
      <c r="R1041">
        <v>41</v>
      </c>
      <c r="S1041" t="s">
        <v>237</v>
      </c>
      <c r="T1041">
        <f t="shared" si="112"/>
        <v>11409</v>
      </c>
      <c r="U1041" t="str">
        <f t="shared" si="113"/>
        <v>SAL</v>
      </c>
      <c r="V1041" t="str">
        <f t="shared" si="114"/>
        <v>L1</v>
      </c>
      <c r="W1041" t="str">
        <f>PROPER(TRIM(VLOOKUP(S1041,Employee_Lookups!$I$4:$M$19,2,FALSE())))</f>
        <v>Karan Malhotra</v>
      </c>
      <c r="X1041" t="str">
        <f>VLOOKUP(C1041,Employee_Lookups!$A$4:$G$9,4,FALSE())</f>
        <v>CC-202</v>
      </c>
      <c r="Y1041" t="str">
        <f>INDEX(Employee_Lookups!$C$13:$C$17,MATCH(F1041,Employee_Lookups!$A$13:$A$17,0))</f>
        <v>Band A (Entry)</v>
      </c>
      <c r="Z1041" s="27">
        <f>_xlfn.XLOOKUP(F1041,Employee_Lookups!$A$13:$A$17,Employee_Lookups!$E$13:$E$17,0)</f>
        <v>700000</v>
      </c>
      <c r="AA1041" s="28">
        <f>ROUND(O1041/INDEX(Employee_Lookups!$E$13:$E$17,MATCH(F1041,Employee_Lookups!$A$13:$A$17,0)),3)</f>
        <v>0.90600000000000003</v>
      </c>
      <c r="AB1041">
        <f t="shared" si="115"/>
        <v>2024</v>
      </c>
      <c r="AC1041" t="str">
        <f t="shared" si="116"/>
        <v/>
      </c>
      <c r="AD1041" s="28">
        <f>ROUND((IF(ISBLANK(L1041),Employee_Lookups!$O$14,L1041)-J1041)/365.25,2)</f>
        <v>1.74</v>
      </c>
      <c r="AE1041" t="str">
        <f t="shared" si="117"/>
        <v>1 - 3 Yrs</v>
      </c>
      <c r="AF1041" t="str">
        <f t="shared" si="118"/>
        <v>Low Risk</v>
      </c>
    </row>
    <row r="1042" spans="1:32" x14ac:dyDescent="0.45">
      <c r="A1042" t="s">
        <v>1859</v>
      </c>
      <c r="B1042" t="s">
        <v>765</v>
      </c>
      <c r="C1042" t="s">
        <v>55</v>
      </c>
      <c r="D1042" t="s">
        <v>54</v>
      </c>
      <c r="E1042" t="s">
        <v>277</v>
      </c>
      <c r="F1042" t="s">
        <v>81</v>
      </c>
      <c r="G1042" t="s">
        <v>278</v>
      </c>
      <c r="H1042" t="s">
        <v>108</v>
      </c>
      <c r="I1042" t="s">
        <v>107</v>
      </c>
      <c r="J1042" s="26">
        <v>45388</v>
      </c>
      <c r="K1042" t="s">
        <v>187</v>
      </c>
      <c r="L1042" s="26">
        <v>45712</v>
      </c>
      <c r="M1042" t="s">
        <v>213</v>
      </c>
      <c r="N1042" t="s">
        <v>98</v>
      </c>
      <c r="O1042" s="27">
        <v>559000</v>
      </c>
      <c r="P1042">
        <v>5</v>
      </c>
      <c r="Q1042" t="s">
        <v>164</v>
      </c>
      <c r="R1042">
        <v>40</v>
      </c>
      <c r="S1042" t="s">
        <v>274</v>
      </c>
      <c r="T1042">
        <f t="shared" si="112"/>
        <v>10846</v>
      </c>
      <c r="U1042" t="str">
        <f t="shared" si="113"/>
        <v>OPS</v>
      </c>
      <c r="V1042" t="str">
        <f t="shared" si="114"/>
        <v>L1</v>
      </c>
      <c r="W1042" t="str">
        <f>PROPER(TRIM(VLOOKUP(S1042,Employee_Lookups!$I$4:$M$19,2,FALSE())))</f>
        <v>Meera Krishnan</v>
      </c>
      <c r="X1042" t="str">
        <f>VLOOKUP(C1042,Employee_Lookups!$A$4:$G$9,4,FALSE())</f>
        <v>CC-303</v>
      </c>
      <c r="Y1042" t="str">
        <f>INDEX(Employee_Lookups!$C$13:$C$17,MATCH(F1042,Employee_Lookups!$A$13:$A$17,0))</f>
        <v>Band A (Entry)</v>
      </c>
      <c r="Z1042" s="27">
        <f>_xlfn.XLOOKUP(F1042,Employee_Lookups!$A$13:$A$17,Employee_Lookups!$E$13:$E$17,0)</f>
        <v>700000</v>
      </c>
      <c r="AA1042" s="28">
        <f>ROUND(O1042/INDEX(Employee_Lookups!$E$13:$E$17,MATCH(F1042,Employee_Lookups!$A$13:$A$17,0)),3)</f>
        <v>0.79900000000000004</v>
      </c>
      <c r="AB1042">
        <f t="shared" si="115"/>
        <v>2024</v>
      </c>
      <c r="AC1042">
        <f t="shared" si="116"/>
        <v>2025</v>
      </c>
      <c r="AD1042" s="28">
        <f>ROUND((IF(ISBLANK(L1042),Employee_Lookups!$O$14,L1042)-J1042)/365.25,2)</f>
        <v>0.89</v>
      </c>
      <c r="AE1042" t="str">
        <f t="shared" si="117"/>
        <v>&lt; 1 Yr (New)</v>
      </c>
      <c r="AF1042" t="str">
        <f t="shared" si="118"/>
        <v>Exited</v>
      </c>
    </row>
    <row r="1043" spans="1:32" x14ac:dyDescent="0.45">
      <c r="A1043" t="s">
        <v>1860</v>
      </c>
      <c r="B1043" t="s">
        <v>327</v>
      </c>
      <c r="C1043" t="s">
        <v>51</v>
      </c>
      <c r="D1043" t="s">
        <v>50</v>
      </c>
      <c r="E1043" t="s">
        <v>217</v>
      </c>
      <c r="F1043" t="s">
        <v>83</v>
      </c>
      <c r="G1043" t="s">
        <v>218</v>
      </c>
      <c r="H1043" t="s">
        <v>106</v>
      </c>
      <c r="I1043" t="s">
        <v>107</v>
      </c>
      <c r="J1043" s="26">
        <v>45388</v>
      </c>
      <c r="K1043" t="s">
        <v>162</v>
      </c>
      <c r="L1043" s="26"/>
      <c r="M1043" t="s">
        <v>163</v>
      </c>
      <c r="N1043" t="s">
        <v>96</v>
      </c>
      <c r="O1043" s="27">
        <v>1567000</v>
      </c>
      <c r="P1043">
        <v>3</v>
      </c>
      <c r="Q1043" t="s">
        <v>164</v>
      </c>
      <c r="R1043">
        <v>47</v>
      </c>
      <c r="S1043" t="s">
        <v>219</v>
      </c>
      <c r="T1043">
        <f t="shared" si="112"/>
        <v>10829</v>
      </c>
      <c r="U1043" t="str">
        <f t="shared" si="113"/>
        <v>ENG</v>
      </c>
      <c r="V1043" t="str">
        <f t="shared" si="114"/>
        <v>L3</v>
      </c>
      <c r="W1043" t="str">
        <f>PROPER(TRIM(VLOOKUP(S1043,Employee_Lookups!$I$4:$M$19,2,FALSE())))</f>
        <v>Neha Kulkarni</v>
      </c>
      <c r="X1043" t="str">
        <f>VLOOKUP(C1043,Employee_Lookups!$A$4:$G$9,4,FALSE())</f>
        <v>CC-101</v>
      </c>
      <c r="Y1043" t="str">
        <f>INDEX(Employee_Lookups!$C$13:$C$17,MATCH(F1043,Employee_Lookups!$A$13:$A$17,0))</f>
        <v>Band C (Senior)</v>
      </c>
      <c r="Z1043" s="27">
        <f>_xlfn.XLOOKUP(F1043,Employee_Lookups!$A$13:$A$17,Employee_Lookups!$E$13:$E$17,0)</f>
        <v>1725000</v>
      </c>
      <c r="AA1043" s="28">
        <f>ROUND(O1043/INDEX(Employee_Lookups!$E$13:$E$17,MATCH(F1043,Employee_Lookups!$A$13:$A$17,0)),3)</f>
        <v>0.90800000000000003</v>
      </c>
      <c r="AB1043">
        <f t="shared" si="115"/>
        <v>2024</v>
      </c>
      <c r="AC1043" t="str">
        <f t="shared" si="116"/>
        <v/>
      </c>
      <c r="AD1043" s="28">
        <f>ROUND((IF(ISBLANK(L1043),Employee_Lookups!$O$14,L1043)-J1043)/365.25,2)</f>
        <v>1.74</v>
      </c>
      <c r="AE1043" t="str">
        <f t="shared" si="117"/>
        <v>1 - 3 Yrs</v>
      </c>
      <c r="AF1043" t="str">
        <f t="shared" si="118"/>
        <v>Low Risk</v>
      </c>
    </row>
    <row r="1044" spans="1:32" x14ac:dyDescent="0.45">
      <c r="A1044" t="s">
        <v>1861</v>
      </c>
      <c r="B1044" t="s">
        <v>1682</v>
      </c>
      <c r="C1044" t="s">
        <v>51</v>
      </c>
      <c r="D1044" t="s">
        <v>50</v>
      </c>
      <c r="E1044" t="s">
        <v>397</v>
      </c>
      <c r="F1044" t="s">
        <v>84</v>
      </c>
      <c r="G1044" t="s">
        <v>398</v>
      </c>
      <c r="H1044" t="s">
        <v>106</v>
      </c>
      <c r="I1044" t="s">
        <v>107</v>
      </c>
      <c r="J1044" s="26">
        <v>45389</v>
      </c>
      <c r="K1044" t="s">
        <v>162</v>
      </c>
      <c r="L1044" s="26"/>
      <c r="M1044" t="s">
        <v>163</v>
      </c>
      <c r="N1044" t="s">
        <v>99</v>
      </c>
      <c r="O1044" s="27">
        <v>2718000</v>
      </c>
      <c r="P1044">
        <v>3</v>
      </c>
      <c r="Q1044" t="s">
        <v>164</v>
      </c>
      <c r="R1044">
        <v>22</v>
      </c>
      <c r="S1044" t="s">
        <v>244</v>
      </c>
      <c r="T1044">
        <f t="shared" si="112"/>
        <v>10689</v>
      </c>
      <c r="U1044" t="str">
        <f t="shared" si="113"/>
        <v>ENG</v>
      </c>
      <c r="V1044" t="str">
        <f t="shared" si="114"/>
        <v>L4</v>
      </c>
      <c r="W1044" t="str">
        <f>PROPER(TRIM(VLOOKUP(S1044,Employee_Lookups!$I$4:$M$19,2,FALSE())))</f>
        <v>Siddharth Nair</v>
      </c>
      <c r="X1044" t="str">
        <f>VLOOKUP(C1044,Employee_Lookups!$A$4:$G$9,4,FALSE())</f>
        <v>CC-101</v>
      </c>
      <c r="Y1044" t="str">
        <f>INDEX(Employee_Lookups!$C$13:$C$17,MATCH(F1044,Employee_Lookups!$A$13:$A$17,0))</f>
        <v>Band D (Leadership)</v>
      </c>
      <c r="Z1044" s="27">
        <f>_xlfn.XLOOKUP(F1044,Employee_Lookups!$A$13:$A$17,Employee_Lookups!$E$13:$E$17,0)</f>
        <v>2750000</v>
      </c>
      <c r="AA1044" s="28">
        <f>ROUND(O1044/INDEX(Employee_Lookups!$E$13:$E$17,MATCH(F1044,Employee_Lookups!$A$13:$A$17,0)),3)</f>
        <v>0.98799999999999999</v>
      </c>
      <c r="AB1044">
        <f t="shared" si="115"/>
        <v>2024</v>
      </c>
      <c r="AC1044" t="str">
        <f t="shared" si="116"/>
        <v/>
      </c>
      <c r="AD1044" s="28">
        <f>ROUND((IF(ISBLANK(L1044),Employee_Lookups!$O$14,L1044)-J1044)/365.25,2)</f>
        <v>1.73</v>
      </c>
      <c r="AE1044" t="str">
        <f t="shared" si="117"/>
        <v>1 - 3 Yrs</v>
      </c>
      <c r="AF1044" t="str">
        <f t="shared" si="118"/>
        <v>Low Risk</v>
      </c>
    </row>
    <row r="1045" spans="1:32" x14ac:dyDescent="0.45">
      <c r="A1045" t="s">
        <v>1862</v>
      </c>
      <c r="B1045" t="s">
        <v>1617</v>
      </c>
      <c r="C1045" t="s">
        <v>61</v>
      </c>
      <c r="D1045" t="s">
        <v>60</v>
      </c>
      <c r="E1045" t="s">
        <v>251</v>
      </c>
      <c r="F1045" t="s">
        <v>82</v>
      </c>
      <c r="G1045" t="s">
        <v>252</v>
      </c>
      <c r="H1045" t="s">
        <v>109</v>
      </c>
      <c r="I1045" t="s">
        <v>110</v>
      </c>
      <c r="J1045" s="26">
        <v>45390</v>
      </c>
      <c r="K1045" t="s">
        <v>162</v>
      </c>
      <c r="L1045" s="26"/>
      <c r="M1045" t="s">
        <v>163</v>
      </c>
      <c r="N1045" t="s">
        <v>99</v>
      </c>
      <c r="O1045" s="27">
        <v>1072000</v>
      </c>
      <c r="P1045">
        <v>4</v>
      </c>
      <c r="Q1045" t="s">
        <v>164</v>
      </c>
      <c r="R1045">
        <v>0</v>
      </c>
      <c r="S1045" t="s">
        <v>253</v>
      </c>
      <c r="T1045">
        <f t="shared" si="112"/>
        <v>10603</v>
      </c>
      <c r="U1045" t="str">
        <f t="shared" si="113"/>
        <v>-HR</v>
      </c>
      <c r="V1045" t="str">
        <f t="shared" si="114"/>
        <v>L2</v>
      </c>
      <c r="W1045" t="str">
        <f>PROPER(TRIM(VLOOKUP(S1045,Employee_Lookups!$I$4:$M$19,2,FALSE())))</f>
        <v>Nikhil Chatterjee</v>
      </c>
      <c r="X1045" t="str">
        <f>VLOOKUP(C1045,Employee_Lookups!$A$4:$G$9,4,FALSE())</f>
        <v>CC-505</v>
      </c>
      <c r="Y1045" t="str">
        <f>INDEX(Employee_Lookups!$C$13:$C$17,MATCH(F1045,Employee_Lookups!$A$13:$A$17,0))</f>
        <v>Band B (Mid)</v>
      </c>
      <c r="Z1045" s="27">
        <f>_xlfn.XLOOKUP(F1045,Employee_Lookups!$A$13:$A$17,Employee_Lookups!$E$13:$E$17,0)</f>
        <v>1100000</v>
      </c>
      <c r="AA1045" s="28">
        <f>ROUND(O1045/INDEX(Employee_Lookups!$E$13:$E$17,MATCH(F1045,Employee_Lookups!$A$13:$A$17,0)),3)</f>
        <v>0.97499999999999998</v>
      </c>
      <c r="AB1045">
        <f t="shared" si="115"/>
        <v>2024</v>
      </c>
      <c r="AC1045" t="str">
        <f t="shared" si="116"/>
        <v/>
      </c>
      <c r="AD1045" s="28">
        <f>ROUND((IF(ISBLANK(L1045),Employee_Lookups!$O$14,L1045)-J1045)/365.25,2)</f>
        <v>1.73</v>
      </c>
      <c r="AE1045" t="str">
        <f t="shared" si="117"/>
        <v>1 - 3 Yrs</v>
      </c>
      <c r="AF1045" t="str">
        <f t="shared" si="118"/>
        <v>Low Risk</v>
      </c>
    </row>
    <row r="1046" spans="1:32" x14ac:dyDescent="0.45">
      <c r="A1046" t="s">
        <v>1863</v>
      </c>
      <c r="B1046" t="s">
        <v>837</v>
      </c>
      <c r="C1046" t="s">
        <v>55</v>
      </c>
      <c r="D1046" t="s">
        <v>54</v>
      </c>
      <c r="E1046" t="s">
        <v>229</v>
      </c>
      <c r="F1046" t="s">
        <v>82</v>
      </c>
      <c r="G1046" t="s">
        <v>230</v>
      </c>
      <c r="H1046" t="s">
        <v>108</v>
      </c>
      <c r="I1046" t="s">
        <v>107</v>
      </c>
      <c r="J1046" s="26">
        <v>45392</v>
      </c>
      <c r="K1046" t="s">
        <v>162</v>
      </c>
      <c r="L1046" s="26"/>
      <c r="M1046" t="s">
        <v>163</v>
      </c>
      <c r="N1046" t="s">
        <v>97</v>
      </c>
      <c r="O1046" s="27">
        <v>1245000</v>
      </c>
      <c r="P1046">
        <v>3</v>
      </c>
      <c r="Q1046" t="s">
        <v>164</v>
      </c>
      <c r="R1046">
        <v>0</v>
      </c>
      <c r="S1046" t="s">
        <v>173</v>
      </c>
      <c r="T1046">
        <f t="shared" si="112"/>
        <v>10794</v>
      </c>
      <c r="U1046" t="str">
        <f t="shared" si="113"/>
        <v>OPS</v>
      </c>
      <c r="V1046" t="str">
        <f t="shared" si="114"/>
        <v>L2</v>
      </c>
      <c r="W1046" t="str">
        <f>PROPER(TRIM(VLOOKUP(S1046,Employee_Lookups!$I$4:$M$19,2,FALSE())))</f>
        <v>Deepak Patil</v>
      </c>
      <c r="X1046" t="str">
        <f>VLOOKUP(C1046,Employee_Lookups!$A$4:$G$9,4,FALSE())</f>
        <v>CC-303</v>
      </c>
      <c r="Y1046" t="str">
        <f>INDEX(Employee_Lookups!$C$13:$C$17,MATCH(F1046,Employee_Lookups!$A$13:$A$17,0))</f>
        <v>Band B (Mid)</v>
      </c>
      <c r="Z1046" s="27">
        <f>_xlfn.XLOOKUP(F1046,Employee_Lookups!$A$13:$A$17,Employee_Lookups!$E$13:$E$17,0)</f>
        <v>1100000</v>
      </c>
      <c r="AA1046" s="28">
        <f>ROUND(O1046/INDEX(Employee_Lookups!$E$13:$E$17,MATCH(F1046,Employee_Lookups!$A$13:$A$17,0)),3)</f>
        <v>1.1319999999999999</v>
      </c>
      <c r="AB1046">
        <f t="shared" si="115"/>
        <v>2024</v>
      </c>
      <c r="AC1046" t="str">
        <f t="shared" si="116"/>
        <v/>
      </c>
      <c r="AD1046" s="28">
        <f>ROUND((IF(ISBLANK(L1046),Employee_Lookups!$O$14,L1046)-J1046)/365.25,2)</f>
        <v>1.72</v>
      </c>
      <c r="AE1046" t="str">
        <f t="shared" si="117"/>
        <v>1 - 3 Yrs</v>
      </c>
      <c r="AF1046" t="str">
        <f t="shared" si="118"/>
        <v>Low Risk</v>
      </c>
    </row>
    <row r="1047" spans="1:32" x14ac:dyDescent="0.45">
      <c r="A1047" t="s">
        <v>1864</v>
      </c>
      <c r="B1047" t="s">
        <v>1805</v>
      </c>
      <c r="C1047" t="s">
        <v>53</v>
      </c>
      <c r="D1047" t="s">
        <v>52</v>
      </c>
      <c r="E1047" t="s">
        <v>192</v>
      </c>
      <c r="F1047" t="s">
        <v>83</v>
      </c>
      <c r="G1047" t="s">
        <v>193</v>
      </c>
      <c r="H1047" t="s">
        <v>109</v>
      </c>
      <c r="I1047" t="s">
        <v>110</v>
      </c>
      <c r="J1047" s="26">
        <v>45393</v>
      </c>
      <c r="K1047" t="s">
        <v>162</v>
      </c>
      <c r="L1047" s="26"/>
      <c r="M1047" t="s">
        <v>163</v>
      </c>
      <c r="N1047" t="s">
        <v>97</v>
      </c>
      <c r="O1047" s="27">
        <v>1894000</v>
      </c>
      <c r="P1047">
        <v>3</v>
      </c>
      <c r="Q1047" t="s">
        <v>164</v>
      </c>
      <c r="R1047">
        <v>23</v>
      </c>
      <c r="S1047" t="s">
        <v>237</v>
      </c>
      <c r="T1047">
        <f t="shared" si="112"/>
        <v>11249</v>
      </c>
      <c r="U1047" t="str">
        <f t="shared" si="113"/>
        <v>SAL</v>
      </c>
      <c r="V1047" t="str">
        <f t="shared" si="114"/>
        <v>L3</v>
      </c>
      <c r="W1047" t="str">
        <f>PROPER(TRIM(VLOOKUP(S1047,Employee_Lookups!$I$4:$M$19,2,FALSE())))</f>
        <v>Karan Malhotra</v>
      </c>
      <c r="X1047" t="str">
        <f>VLOOKUP(C1047,Employee_Lookups!$A$4:$G$9,4,FALSE())</f>
        <v>CC-202</v>
      </c>
      <c r="Y1047" t="str">
        <f>INDEX(Employee_Lookups!$C$13:$C$17,MATCH(F1047,Employee_Lookups!$A$13:$A$17,0))</f>
        <v>Band C (Senior)</v>
      </c>
      <c r="Z1047" s="27">
        <f>_xlfn.XLOOKUP(F1047,Employee_Lookups!$A$13:$A$17,Employee_Lookups!$E$13:$E$17,0)</f>
        <v>1725000</v>
      </c>
      <c r="AA1047" s="28">
        <f>ROUND(O1047/INDEX(Employee_Lookups!$E$13:$E$17,MATCH(F1047,Employee_Lookups!$A$13:$A$17,0)),3)</f>
        <v>1.0980000000000001</v>
      </c>
      <c r="AB1047">
        <f t="shared" si="115"/>
        <v>2024</v>
      </c>
      <c r="AC1047" t="str">
        <f t="shared" si="116"/>
        <v/>
      </c>
      <c r="AD1047" s="28">
        <f>ROUND((IF(ISBLANK(L1047),Employee_Lookups!$O$14,L1047)-J1047)/365.25,2)</f>
        <v>1.72</v>
      </c>
      <c r="AE1047" t="str">
        <f t="shared" si="117"/>
        <v>1 - 3 Yrs</v>
      </c>
      <c r="AF1047" t="str">
        <f t="shared" si="118"/>
        <v>Low Risk</v>
      </c>
    </row>
    <row r="1048" spans="1:32" x14ac:dyDescent="0.45">
      <c r="A1048" t="s">
        <v>1865</v>
      </c>
      <c r="B1048" t="s">
        <v>1842</v>
      </c>
      <c r="C1048" t="s">
        <v>61</v>
      </c>
      <c r="D1048" t="s">
        <v>60</v>
      </c>
      <c r="E1048" t="s">
        <v>317</v>
      </c>
      <c r="F1048" t="s">
        <v>84</v>
      </c>
      <c r="G1048" t="s">
        <v>318</v>
      </c>
      <c r="H1048" t="s">
        <v>108</v>
      </c>
      <c r="I1048" t="s">
        <v>107</v>
      </c>
      <c r="J1048" s="26">
        <v>45394</v>
      </c>
      <c r="K1048" t="s">
        <v>162</v>
      </c>
      <c r="L1048" s="26"/>
      <c r="M1048" t="s">
        <v>163</v>
      </c>
      <c r="N1048" t="s">
        <v>99</v>
      </c>
      <c r="O1048" s="27">
        <v>2670000</v>
      </c>
      <c r="P1048">
        <v>3</v>
      </c>
      <c r="Q1048" t="s">
        <v>164</v>
      </c>
      <c r="R1048">
        <v>28</v>
      </c>
      <c r="S1048" t="s">
        <v>319</v>
      </c>
      <c r="T1048">
        <f t="shared" si="112"/>
        <v>10036</v>
      </c>
      <c r="U1048" t="str">
        <f t="shared" si="113"/>
        <v>-HR</v>
      </c>
      <c r="V1048" t="str">
        <f t="shared" si="114"/>
        <v>L4</v>
      </c>
      <c r="W1048" t="str">
        <f>PROPER(TRIM(VLOOKUP(S1048,Employee_Lookups!$I$4:$M$19,2,FALSE())))</f>
        <v>Kavita Menon</v>
      </c>
      <c r="X1048" t="str">
        <f>VLOOKUP(C1048,Employee_Lookups!$A$4:$G$9,4,FALSE())</f>
        <v>CC-505</v>
      </c>
      <c r="Y1048" t="str">
        <f>INDEX(Employee_Lookups!$C$13:$C$17,MATCH(F1048,Employee_Lookups!$A$13:$A$17,0))</f>
        <v>Band D (Leadership)</v>
      </c>
      <c r="Z1048" s="27">
        <f>_xlfn.XLOOKUP(F1048,Employee_Lookups!$A$13:$A$17,Employee_Lookups!$E$13:$E$17,0)</f>
        <v>2750000</v>
      </c>
      <c r="AA1048" s="28">
        <f>ROUND(O1048/INDEX(Employee_Lookups!$E$13:$E$17,MATCH(F1048,Employee_Lookups!$A$13:$A$17,0)),3)</f>
        <v>0.97099999999999997</v>
      </c>
      <c r="AB1048">
        <f t="shared" si="115"/>
        <v>2024</v>
      </c>
      <c r="AC1048" t="str">
        <f t="shared" si="116"/>
        <v/>
      </c>
      <c r="AD1048" s="28">
        <f>ROUND((IF(ISBLANK(L1048),Employee_Lookups!$O$14,L1048)-J1048)/365.25,2)</f>
        <v>1.72</v>
      </c>
      <c r="AE1048" t="str">
        <f t="shared" si="117"/>
        <v>1 - 3 Yrs</v>
      </c>
      <c r="AF1048" t="str">
        <f t="shared" si="118"/>
        <v>Low Risk</v>
      </c>
    </row>
    <row r="1049" spans="1:32" x14ac:dyDescent="0.45">
      <c r="A1049" t="s">
        <v>1866</v>
      </c>
      <c r="B1049" t="s">
        <v>1160</v>
      </c>
      <c r="C1049" t="s">
        <v>55</v>
      </c>
      <c r="D1049" t="s">
        <v>54</v>
      </c>
      <c r="E1049" t="s">
        <v>277</v>
      </c>
      <c r="F1049" t="s">
        <v>81</v>
      </c>
      <c r="G1049" t="s">
        <v>278</v>
      </c>
      <c r="H1049" t="s">
        <v>109</v>
      </c>
      <c r="I1049" t="s">
        <v>110</v>
      </c>
      <c r="J1049" s="26">
        <v>45400</v>
      </c>
      <c r="K1049" t="s">
        <v>162</v>
      </c>
      <c r="L1049" s="26"/>
      <c r="M1049" t="s">
        <v>163</v>
      </c>
      <c r="N1049" t="s">
        <v>99</v>
      </c>
      <c r="O1049" s="27">
        <v>784000</v>
      </c>
      <c r="P1049">
        <v>4</v>
      </c>
      <c r="Q1049" t="s">
        <v>172</v>
      </c>
      <c r="R1049">
        <v>38</v>
      </c>
      <c r="S1049" t="s">
        <v>173</v>
      </c>
      <c r="T1049">
        <f t="shared" si="112"/>
        <v>10342</v>
      </c>
      <c r="U1049" t="str">
        <f t="shared" si="113"/>
        <v>OPS</v>
      </c>
      <c r="V1049" t="str">
        <f t="shared" si="114"/>
        <v>L1</v>
      </c>
      <c r="W1049" t="str">
        <f>PROPER(TRIM(VLOOKUP(S1049,Employee_Lookups!$I$4:$M$19,2,FALSE())))</f>
        <v>Deepak Patil</v>
      </c>
      <c r="X1049" t="str">
        <f>VLOOKUP(C1049,Employee_Lookups!$A$4:$G$9,4,FALSE())</f>
        <v>CC-303</v>
      </c>
      <c r="Y1049" t="str">
        <f>INDEX(Employee_Lookups!$C$13:$C$17,MATCH(F1049,Employee_Lookups!$A$13:$A$17,0))</f>
        <v>Band A (Entry)</v>
      </c>
      <c r="Z1049" s="27">
        <f>_xlfn.XLOOKUP(F1049,Employee_Lookups!$A$13:$A$17,Employee_Lookups!$E$13:$E$17,0)</f>
        <v>700000</v>
      </c>
      <c r="AA1049" s="28">
        <f>ROUND(O1049/INDEX(Employee_Lookups!$E$13:$E$17,MATCH(F1049,Employee_Lookups!$A$13:$A$17,0)),3)</f>
        <v>1.1200000000000001</v>
      </c>
      <c r="AB1049">
        <f t="shared" si="115"/>
        <v>2024</v>
      </c>
      <c r="AC1049" t="str">
        <f t="shared" si="116"/>
        <v/>
      </c>
      <c r="AD1049" s="28">
        <f>ROUND((IF(ISBLANK(L1049),Employee_Lookups!$O$14,L1049)-J1049)/365.25,2)</f>
        <v>1.7</v>
      </c>
      <c r="AE1049" t="str">
        <f t="shared" si="117"/>
        <v>1 - 3 Yrs</v>
      </c>
      <c r="AF1049" t="str">
        <f t="shared" si="118"/>
        <v>High Risk</v>
      </c>
    </row>
    <row r="1050" spans="1:32" x14ac:dyDescent="0.45">
      <c r="A1050" t="s">
        <v>1867</v>
      </c>
      <c r="B1050" t="s">
        <v>1868</v>
      </c>
      <c r="C1050" t="s">
        <v>59</v>
      </c>
      <c r="D1050" t="s">
        <v>58</v>
      </c>
      <c r="E1050" t="s">
        <v>206</v>
      </c>
      <c r="F1050" t="s">
        <v>81</v>
      </c>
      <c r="G1050" t="s">
        <v>207</v>
      </c>
      <c r="H1050" t="s">
        <v>106</v>
      </c>
      <c r="I1050" t="s">
        <v>107</v>
      </c>
      <c r="J1050" s="26">
        <v>45403</v>
      </c>
      <c r="K1050" t="s">
        <v>187</v>
      </c>
      <c r="L1050" s="26">
        <v>45476</v>
      </c>
      <c r="M1050" t="s">
        <v>308</v>
      </c>
      <c r="N1050" t="s">
        <v>97</v>
      </c>
      <c r="O1050" s="27">
        <v>748000</v>
      </c>
      <c r="P1050">
        <v>4</v>
      </c>
      <c r="Q1050" t="s">
        <v>172</v>
      </c>
      <c r="R1050">
        <v>9</v>
      </c>
      <c r="S1050" t="s">
        <v>208</v>
      </c>
      <c r="T1050">
        <f t="shared" si="112"/>
        <v>10095</v>
      </c>
      <c r="U1050" t="str">
        <f t="shared" si="113"/>
        <v>FIN</v>
      </c>
      <c r="V1050" t="str">
        <f t="shared" si="114"/>
        <v>L1</v>
      </c>
      <c r="W1050" t="str">
        <f>PROPER(TRIM(VLOOKUP(S1050,Employee_Lookups!$I$4:$M$19,2,FALSE())))</f>
        <v>Rajeshwari Rao</v>
      </c>
      <c r="X1050" t="str">
        <f>VLOOKUP(C1050,Employee_Lookups!$A$4:$G$9,4,FALSE())</f>
        <v>CC-404</v>
      </c>
      <c r="Y1050" t="str">
        <f>INDEX(Employee_Lookups!$C$13:$C$17,MATCH(F1050,Employee_Lookups!$A$13:$A$17,0))</f>
        <v>Band A (Entry)</v>
      </c>
      <c r="Z1050" s="27">
        <f>_xlfn.XLOOKUP(F1050,Employee_Lookups!$A$13:$A$17,Employee_Lookups!$E$13:$E$17,0)</f>
        <v>700000</v>
      </c>
      <c r="AA1050" s="28">
        <f>ROUND(O1050/INDEX(Employee_Lookups!$E$13:$E$17,MATCH(F1050,Employee_Lookups!$A$13:$A$17,0)),3)</f>
        <v>1.069</v>
      </c>
      <c r="AB1050">
        <f t="shared" si="115"/>
        <v>2024</v>
      </c>
      <c r="AC1050">
        <f t="shared" si="116"/>
        <v>2024</v>
      </c>
      <c r="AD1050" s="28">
        <f>ROUND((IF(ISBLANK(L1050),Employee_Lookups!$O$14,L1050)-J1050)/365.25,2)</f>
        <v>0.2</v>
      </c>
      <c r="AE1050" t="str">
        <f t="shared" si="117"/>
        <v>&lt; 1 Yr (New)</v>
      </c>
      <c r="AF1050" t="str">
        <f t="shared" si="118"/>
        <v>Exited</v>
      </c>
    </row>
    <row r="1051" spans="1:32" x14ac:dyDescent="0.45">
      <c r="A1051" t="s">
        <v>1869</v>
      </c>
      <c r="B1051" t="s">
        <v>1725</v>
      </c>
      <c r="C1051" t="s">
        <v>51</v>
      </c>
      <c r="D1051" t="s">
        <v>50</v>
      </c>
      <c r="E1051" t="s">
        <v>217</v>
      </c>
      <c r="F1051" t="s">
        <v>83</v>
      </c>
      <c r="G1051" t="s">
        <v>218</v>
      </c>
      <c r="H1051" t="s">
        <v>108</v>
      </c>
      <c r="I1051" t="s">
        <v>107</v>
      </c>
      <c r="J1051" s="26">
        <v>45406</v>
      </c>
      <c r="K1051" t="s">
        <v>162</v>
      </c>
      <c r="L1051" s="26"/>
      <c r="M1051" t="s">
        <v>163</v>
      </c>
      <c r="N1051" t="s">
        <v>95</v>
      </c>
      <c r="O1051" s="27">
        <v>1706000</v>
      </c>
      <c r="P1051">
        <v>2</v>
      </c>
      <c r="Q1051" t="s">
        <v>164</v>
      </c>
      <c r="R1051">
        <v>14</v>
      </c>
      <c r="S1051" t="s">
        <v>219</v>
      </c>
      <c r="T1051">
        <f t="shared" si="112"/>
        <v>11052</v>
      </c>
      <c r="U1051" t="str">
        <f t="shared" si="113"/>
        <v>ENG</v>
      </c>
      <c r="V1051" t="str">
        <f t="shared" si="114"/>
        <v>L3</v>
      </c>
      <c r="W1051" t="str">
        <f>PROPER(TRIM(VLOOKUP(S1051,Employee_Lookups!$I$4:$M$19,2,FALSE())))</f>
        <v>Neha Kulkarni</v>
      </c>
      <c r="X1051" t="str">
        <f>VLOOKUP(C1051,Employee_Lookups!$A$4:$G$9,4,FALSE())</f>
        <v>CC-101</v>
      </c>
      <c r="Y1051" t="str">
        <f>INDEX(Employee_Lookups!$C$13:$C$17,MATCH(F1051,Employee_Lookups!$A$13:$A$17,0))</f>
        <v>Band C (Senior)</v>
      </c>
      <c r="Z1051" s="27">
        <f>_xlfn.XLOOKUP(F1051,Employee_Lookups!$A$13:$A$17,Employee_Lookups!$E$13:$E$17,0)</f>
        <v>1725000</v>
      </c>
      <c r="AA1051" s="28">
        <f>ROUND(O1051/INDEX(Employee_Lookups!$E$13:$E$17,MATCH(F1051,Employee_Lookups!$A$13:$A$17,0)),3)</f>
        <v>0.98899999999999999</v>
      </c>
      <c r="AB1051">
        <f t="shared" si="115"/>
        <v>2024</v>
      </c>
      <c r="AC1051" t="str">
        <f t="shared" si="116"/>
        <v/>
      </c>
      <c r="AD1051" s="28">
        <f>ROUND((IF(ISBLANK(L1051),Employee_Lookups!$O$14,L1051)-J1051)/365.25,2)</f>
        <v>1.69</v>
      </c>
      <c r="AE1051" t="str">
        <f t="shared" si="117"/>
        <v>1 - 3 Yrs</v>
      </c>
      <c r="AF1051" t="str">
        <f t="shared" si="118"/>
        <v>Moderate Risk</v>
      </c>
    </row>
    <row r="1052" spans="1:32" x14ac:dyDescent="0.45">
      <c r="A1052" t="s">
        <v>1870</v>
      </c>
      <c r="B1052" t="s">
        <v>1337</v>
      </c>
      <c r="C1052" t="s">
        <v>51</v>
      </c>
      <c r="D1052" t="s">
        <v>50</v>
      </c>
      <c r="E1052" t="s">
        <v>181</v>
      </c>
      <c r="F1052" t="s">
        <v>81</v>
      </c>
      <c r="G1052" t="s">
        <v>182</v>
      </c>
      <c r="H1052" t="s">
        <v>108</v>
      </c>
      <c r="I1052" t="s">
        <v>107</v>
      </c>
      <c r="J1052" s="26">
        <v>45407</v>
      </c>
      <c r="K1052" t="s">
        <v>162</v>
      </c>
      <c r="L1052" s="26"/>
      <c r="M1052" t="s">
        <v>163</v>
      </c>
      <c r="N1052" t="s">
        <v>96</v>
      </c>
      <c r="O1052" s="27">
        <v>786000</v>
      </c>
      <c r="P1052">
        <v>4</v>
      </c>
      <c r="Q1052" t="s">
        <v>164</v>
      </c>
      <c r="R1052">
        <v>33</v>
      </c>
      <c r="S1052" t="s">
        <v>178</v>
      </c>
      <c r="T1052">
        <f t="shared" si="112"/>
        <v>10996</v>
      </c>
      <c r="U1052" t="str">
        <f t="shared" si="113"/>
        <v>ENG</v>
      </c>
      <c r="V1052" t="str">
        <f t="shared" si="114"/>
        <v>L1</v>
      </c>
      <c r="W1052" t="str">
        <f>PROPER(TRIM(VLOOKUP(S1052,Employee_Lookups!$I$4:$M$19,2,FALSE())))</f>
        <v>Aarav Deshmukh</v>
      </c>
      <c r="X1052" t="str">
        <f>VLOOKUP(C1052,Employee_Lookups!$A$4:$G$9,4,FALSE())</f>
        <v>CC-101</v>
      </c>
      <c r="Y1052" t="str">
        <f>INDEX(Employee_Lookups!$C$13:$C$17,MATCH(F1052,Employee_Lookups!$A$13:$A$17,0))</f>
        <v>Band A (Entry)</v>
      </c>
      <c r="Z1052" s="27">
        <f>_xlfn.XLOOKUP(F1052,Employee_Lookups!$A$13:$A$17,Employee_Lookups!$E$13:$E$17,0)</f>
        <v>700000</v>
      </c>
      <c r="AA1052" s="28">
        <f>ROUND(O1052/INDEX(Employee_Lookups!$E$13:$E$17,MATCH(F1052,Employee_Lookups!$A$13:$A$17,0)),3)</f>
        <v>1.123</v>
      </c>
      <c r="AB1052">
        <f t="shared" si="115"/>
        <v>2024</v>
      </c>
      <c r="AC1052" t="str">
        <f t="shared" si="116"/>
        <v/>
      </c>
      <c r="AD1052" s="28">
        <f>ROUND((IF(ISBLANK(L1052),Employee_Lookups!$O$14,L1052)-J1052)/365.25,2)</f>
        <v>1.68</v>
      </c>
      <c r="AE1052" t="str">
        <f t="shared" si="117"/>
        <v>1 - 3 Yrs</v>
      </c>
      <c r="AF1052" t="str">
        <f t="shared" si="118"/>
        <v>Low Risk</v>
      </c>
    </row>
    <row r="1053" spans="1:32" x14ac:dyDescent="0.45">
      <c r="A1053" t="s">
        <v>1871</v>
      </c>
      <c r="B1053" t="s">
        <v>1348</v>
      </c>
      <c r="C1053" t="s">
        <v>53</v>
      </c>
      <c r="D1053" t="s">
        <v>52</v>
      </c>
      <c r="E1053" t="s">
        <v>322</v>
      </c>
      <c r="F1053" t="s">
        <v>81</v>
      </c>
      <c r="G1053" t="s">
        <v>323</v>
      </c>
      <c r="H1053" t="s">
        <v>112</v>
      </c>
      <c r="I1053" t="s">
        <v>113</v>
      </c>
      <c r="J1053" s="26">
        <v>45409</v>
      </c>
      <c r="K1053" t="s">
        <v>162</v>
      </c>
      <c r="L1053" s="26"/>
      <c r="M1053" t="s">
        <v>163</v>
      </c>
      <c r="N1053" t="s">
        <v>96</v>
      </c>
      <c r="O1053" s="27">
        <v>594000</v>
      </c>
      <c r="P1053">
        <v>4</v>
      </c>
      <c r="Q1053" t="s">
        <v>164</v>
      </c>
      <c r="R1053">
        <v>43</v>
      </c>
      <c r="S1053" t="s">
        <v>194</v>
      </c>
      <c r="T1053">
        <f t="shared" si="112"/>
        <v>10391</v>
      </c>
      <c r="U1053" t="str">
        <f t="shared" si="113"/>
        <v>SAL</v>
      </c>
      <c r="V1053" t="str">
        <f t="shared" si="114"/>
        <v>L1</v>
      </c>
      <c r="W1053" t="str">
        <f>PROPER(TRIM(VLOOKUP(S1053,Employee_Lookups!$I$4:$M$19,2,FALSE())))</f>
        <v>Vikramaditya Joshi</v>
      </c>
      <c r="X1053" t="str">
        <f>VLOOKUP(C1053,Employee_Lookups!$A$4:$G$9,4,FALSE())</f>
        <v>CC-202</v>
      </c>
      <c r="Y1053" t="str">
        <f>INDEX(Employee_Lookups!$C$13:$C$17,MATCH(F1053,Employee_Lookups!$A$13:$A$17,0))</f>
        <v>Band A (Entry)</v>
      </c>
      <c r="Z1053" s="27">
        <f>_xlfn.XLOOKUP(F1053,Employee_Lookups!$A$13:$A$17,Employee_Lookups!$E$13:$E$17,0)</f>
        <v>700000</v>
      </c>
      <c r="AA1053" s="28">
        <f>ROUND(O1053/INDEX(Employee_Lookups!$E$13:$E$17,MATCH(F1053,Employee_Lookups!$A$13:$A$17,0)),3)</f>
        <v>0.84899999999999998</v>
      </c>
      <c r="AB1053">
        <f t="shared" si="115"/>
        <v>2024</v>
      </c>
      <c r="AC1053" t="str">
        <f t="shared" si="116"/>
        <v/>
      </c>
      <c r="AD1053" s="28">
        <f>ROUND((IF(ISBLANK(L1053),Employee_Lookups!$O$14,L1053)-J1053)/365.25,2)</f>
        <v>1.68</v>
      </c>
      <c r="AE1053" t="str">
        <f t="shared" si="117"/>
        <v>1 - 3 Yrs</v>
      </c>
      <c r="AF1053" t="str">
        <f t="shared" si="118"/>
        <v>Low Risk</v>
      </c>
    </row>
    <row r="1054" spans="1:32" x14ac:dyDescent="0.45">
      <c r="A1054" t="s">
        <v>1872</v>
      </c>
      <c r="B1054" t="s">
        <v>1873</v>
      </c>
      <c r="C1054" t="s">
        <v>51</v>
      </c>
      <c r="D1054" t="s">
        <v>50</v>
      </c>
      <c r="E1054" t="s">
        <v>176</v>
      </c>
      <c r="F1054" t="s">
        <v>82</v>
      </c>
      <c r="G1054" t="s">
        <v>177</v>
      </c>
      <c r="H1054" t="s">
        <v>109</v>
      </c>
      <c r="I1054" t="s">
        <v>110</v>
      </c>
      <c r="J1054" s="26">
        <v>45418</v>
      </c>
      <c r="K1054" t="s">
        <v>162</v>
      </c>
      <c r="L1054" s="26"/>
      <c r="M1054" t="s">
        <v>163</v>
      </c>
      <c r="N1054" t="s">
        <v>98</v>
      </c>
      <c r="O1054" s="27">
        <v>1259000</v>
      </c>
      <c r="P1054">
        <v>1</v>
      </c>
      <c r="Q1054" t="s">
        <v>164</v>
      </c>
      <c r="R1054">
        <v>4</v>
      </c>
      <c r="S1054" t="s">
        <v>178</v>
      </c>
      <c r="T1054">
        <f t="shared" si="112"/>
        <v>11216</v>
      </c>
      <c r="U1054" t="str">
        <f t="shared" si="113"/>
        <v>ENG</v>
      </c>
      <c r="V1054" t="str">
        <f t="shared" si="114"/>
        <v>L2</v>
      </c>
      <c r="W1054" t="str">
        <f>PROPER(TRIM(VLOOKUP(S1054,Employee_Lookups!$I$4:$M$19,2,FALSE())))</f>
        <v>Aarav Deshmukh</v>
      </c>
      <c r="X1054" t="str">
        <f>VLOOKUP(C1054,Employee_Lookups!$A$4:$G$9,4,FALSE())</f>
        <v>CC-101</v>
      </c>
      <c r="Y1054" t="str">
        <f>INDEX(Employee_Lookups!$C$13:$C$17,MATCH(F1054,Employee_Lookups!$A$13:$A$17,0))</f>
        <v>Band B (Mid)</v>
      </c>
      <c r="Z1054" s="27">
        <f>_xlfn.XLOOKUP(F1054,Employee_Lookups!$A$13:$A$17,Employee_Lookups!$E$13:$E$17,0)</f>
        <v>1100000</v>
      </c>
      <c r="AA1054" s="28">
        <f>ROUND(O1054/INDEX(Employee_Lookups!$E$13:$E$17,MATCH(F1054,Employee_Lookups!$A$13:$A$17,0)),3)</f>
        <v>1.145</v>
      </c>
      <c r="AB1054">
        <f t="shared" si="115"/>
        <v>2024</v>
      </c>
      <c r="AC1054" t="str">
        <f t="shared" si="116"/>
        <v/>
      </c>
      <c r="AD1054" s="28">
        <f>ROUND((IF(ISBLANK(L1054),Employee_Lookups!$O$14,L1054)-J1054)/365.25,2)</f>
        <v>1.65</v>
      </c>
      <c r="AE1054" t="str">
        <f t="shared" si="117"/>
        <v>1 - 3 Yrs</v>
      </c>
      <c r="AF1054" t="str">
        <f t="shared" si="118"/>
        <v>Moderate Risk</v>
      </c>
    </row>
    <row r="1055" spans="1:32" x14ac:dyDescent="0.45">
      <c r="A1055" t="s">
        <v>1874</v>
      </c>
      <c r="B1055" t="s">
        <v>945</v>
      </c>
      <c r="C1055" t="s">
        <v>53</v>
      </c>
      <c r="D1055" t="s">
        <v>52</v>
      </c>
      <c r="E1055" t="s">
        <v>185</v>
      </c>
      <c r="F1055" t="s">
        <v>82</v>
      </c>
      <c r="G1055" t="s">
        <v>186</v>
      </c>
      <c r="H1055" t="s">
        <v>106</v>
      </c>
      <c r="I1055" t="s">
        <v>107</v>
      </c>
      <c r="J1055" s="26">
        <v>45418</v>
      </c>
      <c r="K1055" t="s">
        <v>162</v>
      </c>
      <c r="L1055" s="26"/>
      <c r="M1055" t="s">
        <v>163</v>
      </c>
      <c r="N1055" t="s">
        <v>96</v>
      </c>
      <c r="O1055" s="27">
        <v>1082000</v>
      </c>
      <c r="P1055">
        <v>3</v>
      </c>
      <c r="Q1055" t="s">
        <v>172</v>
      </c>
      <c r="R1055">
        <v>29</v>
      </c>
      <c r="S1055" t="s">
        <v>194</v>
      </c>
      <c r="T1055">
        <f t="shared" si="112"/>
        <v>11251</v>
      </c>
      <c r="U1055" t="str">
        <f t="shared" si="113"/>
        <v>SAL</v>
      </c>
      <c r="V1055" t="str">
        <f t="shared" si="114"/>
        <v>L2</v>
      </c>
      <c r="W1055" t="str">
        <f>PROPER(TRIM(VLOOKUP(S1055,Employee_Lookups!$I$4:$M$19,2,FALSE())))</f>
        <v>Vikramaditya Joshi</v>
      </c>
      <c r="X1055" t="str">
        <f>VLOOKUP(C1055,Employee_Lookups!$A$4:$G$9,4,FALSE())</f>
        <v>CC-202</v>
      </c>
      <c r="Y1055" t="str">
        <f>INDEX(Employee_Lookups!$C$13:$C$17,MATCH(F1055,Employee_Lookups!$A$13:$A$17,0))</f>
        <v>Band B (Mid)</v>
      </c>
      <c r="Z1055" s="27">
        <f>_xlfn.XLOOKUP(F1055,Employee_Lookups!$A$13:$A$17,Employee_Lookups!$E$13:$E$17,0)</f>
        <v>1100000</v>
      </c>
      <c r="AA1055" s="28">
        <f>ROUND(O1055/INDEX(Employee_Lookups!$E$13:$E$17,MATCH(F1055,Employee_Lookups!$A$13:$A$17,0)),3)</f>
        <v>0.98399999999999999</v>
      </c>
      <c r="AB1055">
        <f t="shared" si="115"/>
        <v>2024</v>
      </c>
      <c r="AC1055" t="str">
        <f t="shared" si="116"/>
        <v/>
      </c>
      <c r="AD1055" s="28">
        <f>ROUND((IF(ISBLANK(L1055),Employee_Lookups!$O$14,L1055)-J1055)/365.25,2)</f>
        <v>1.65</v>
      </c>
      <c r="AE1055" t="str">
        <f t="shared" si="117"/>
        <v>1 - 3 Yrs</v>
      </c>
      <c r="AF1055" t="str">
        <f t="shared" si="118"/>
        <v>Moderate Risk</v>
      </c>
    </row>
    <row r="1056" spans="1:32" x14ac:dyDescent="0.45">
      <c r="A1056" t="s">
        <v>1875</v>
      </c>
      <c r="B1056" t="s">
        <v>228</v>
      </c>
      <c r="C1056" t="s">
        <v>53</v>
      </c>
      <c r="D1056" t="s">
        <v>52</v>
      </c>
      <c r="E1056" t="s">
        <v>322</v>
      </c>
      <c r="F1056" t="s">
        <v>81</v>
      </c>
      <c r="G1056" t="s">
        <v>323</v>
      </c>
      <c r="H1056" t="s">
        <v>106</v>
      </c>
      <c r="I1056" t="s">
        <v>107</v>
      </c>
      <c r="J1056" s="26">
        <v>45419</v>
      </c>
      <c r="K1056" t="s">
        <v>162</v>
      </c>
      <c r="L1056" s="26"/>
      <c r="M1056" t="s">
        <v>163</v>
      </c>
      <c r="N1056" t="s">
        <v>95</v>
      </c>
      <c r="O1056" s="27">
        <v>649000</v>
      </c>
      <c r="P1056">
        <v>5</v>
      </c>
      <c r="Q1056" t="s">
        <v>164</v>
      </c>
      <c r="R1056">
        <v>38</v>
      </c>
      <c r="S1056" t="s">
        <v>189</v>
      </c>
      <c r="T1056">
        <f t="shared" si="112"/>
        <v>10257</v>
      </c>
      <c r="U1056" t="str">
        <f t="shared" si="113"/>
        <v>SAL</v>
      </c>
      <c r="V1056" t="str">
        <f t="shared" si="114"/>
        <v>L1</v>
      </c>
      <c r="W1056" t="str">
        <f>PROPER(TRIM(VLOOKUP(S1056,Employee_Lookups!$I$4:$M$19,2,FALSE())))</f>
        <v>Priya Sharma</v>
      </c>
      <c r="X1056" t="str">
        <f>VLOOKUP(C1056,Employee_Lookups!$A$4:$G$9,4,FALSE())</f>
        <v>CC-202</v>
      </c>
      <c r="Y1056" t="str">
        <f>INDEX(Employee_Lookups!$C$13:$C$17,MATCH(F1056,Employee_Lookups!$A$13:$A$17,0))</f>
        <v>Band A (Entry)</v>
      </c>
      <c r="Z1056" s="27">
        <f>_xlfn.XLOOKUP(F1056,Employee_Lookups!$A$13:$A$17,Employee_Lookups!$E$13:$E$17,0)</f>
        <v>700000</v>
      </c>
      <c r="AA1056" s="28">
        <f>ROUND(O1056/INDEX(Employee_Lookups!$E$13:$E$17,MATCH(F1056,Employee_Lookups!$A$13:$A$17,0)),3)</f>
        <v>0.92700000000000005</v>
      </c>
      <c r="AB1056">
        <f t="shared" si="115"/>
        <v>2024</v>
      </c>
      <c r="AC1056" t="str">
        <f t="shared" si="116"/>
        <v/>
      </c>
      <c r="AD1056" s="28">
        <f>ROUND((IF(ISBLANK(L1056),Employee_Lookups!$O$14,L1056)-J1056)/365.25,2)</f>
        <v>1.65</v>
      </c>
      <c r="AE1056" t="str">
        <f t="shared" si="117"/>
        <v>1 - 3 Yrs</v>
      </c>
      <c r="AF1056" t="str">
        <f t="shared" si="118"/>
        <v>Low Risk</v>
      </c>
    </row>
    <row r="1057" spans="1:32" x14ac:dyDescent="0.45">
      <c r="A1057" t="s">
        <v>1876</v>
      </c>
      <c r="B1057" t="s">
        <v>592</v>
      </c>
      <c r="C1057" t="s">
        <v>51</v>
      </c>
      <c r="D1057" t="s">
        <v>50</v>
      </c>
      <c r="E1057" t="s">
        <v>217</v>
      </c>
      <c r="F1057" t="s">
        <v>83</v>
      </c>
      <c r="G1057" t="s">
        <v>218</v>
      </c>
      <c r="H1057" t="s">
        <v>108</v>
      </c>
      <c r="I1057" t="s">
        <v>107</v>
      </c>
      <c r="J1057" s="26">
        <v>45421</v>
      </c>
      <c r="K1057" t="s">
        <v>187</v>
      </c>
      <c r="L1057" s="26">
        <v>45463</v>
      </c>
      <c r="M1057" t="s">
        <v>308</v>
      </c>
      <c r="N1057" t="s">
        <v>97</v>
      </c>
      <c r="O1057" s="27">
        <v>1679000</v>
      </c>
      <c r="P1057">
        <v>3</v>
      </c>
      <c r="Q1057" t="s">
        <v>172</v>
      </c>
      <c r="R1057">
        <v>0</v>
      </c>
      <c r="S1057" t="s">
        <v>178</v>
      </c>
      <c r="T1057">
        <f t="shared" si="112"/>
        <v>10615</v>
      </c>
      <c r="U1057" t="str">
        <f t="shared" si="113"/>
        <v>ENG</v>
      </c>
      <c r="V1057" t="str">
        <f t="shared" si="114"/>
        <v>L3</v>
      </c>
      <c r="W1057" t="str">
        <f>PROPER(TRIM(VLOOKUP(S1057,Employee_Lookups!$I$4:$M$19,2,FALSE())))</f>
        <v>Aarav Deshmukh</v>
      </c>
      <c r="X1057" t="str">
        <f>VLOOKUP(C1057,Employee_Lookups!$A$4:$G$9,4,FALSE())</f>
        <v>CC-101</v>
      </c>
      <c r="Y1057" t="str">
        <f>INDEX(Employee_Lookups!$C$13:$C$17,MATCH(F1057,Employee_Lookups!$A$13:$A$17,0))</f>
        <v>Band C (Senior)</v>
      </c>
      <c r="Z1057" s="27">
        <f>_xlfn.XLOOKUP(F1057,Employee_Lookups!$A$13:$A$17,Employee_Lookups!$E$13:$E$17,0)</f>
        <v>1725000</v>
      </c>
      <c r="AA1057" s="28">
        <f>ROUND(O1057/INDEX(Employee_Lookups!$E$13:$E$17,MATCH(F1057,Employee_Lookups!$A$13:$A$17,0)),3)</f>
        <v>0.97299999999999998</v>
      </c>
      <c r="AB1057">
        <f t="shared" si="115"/>
        <v>2024</v>
      </c>
      <c r="AC1057">
        <f t="shared" si="116"/>
        <v>2024</v>
      </c>
      <c r="AD1057" s="28">
        <f>ROUND((IF(ISBLANK(L1057),Employee_Lookups!$O$14,L1057)-J1057)/365.25,2)</f>
        <v>0.11</v>
      </c>
      <c r="AE1057" t="str">
        <f t="shared" si="117"/>
        <v>&lt; 1 Yr (New)</v>
      </c>
      <c r="AF1057" t="str">
        <f t="shared" si="118"/>
        <v>Exited</v>
      </c>
    </row>
    <row r="1058" spans="1:32" x14ac:dyDescent="0.45">
      <c r="A1058" t="s">
        <v>1877</v>
      </c>
      <c r="B1058" t="s">
        <v>1878</v>
      </c>
      <c r="C1058" t="s">
        <v>59</v>
      </c>
      <c r="D1058" t="s">
        <v>58</v>
      </c>
      <c r="E1058" t="s">
        <v>211</v>
      </c>
      <c r="F1058" t="s">
        <v>82</v>
      </c>
      <c r="G1058" t="s">
        <v>212</v>
      </c>
      <c r="H1058" t="s">
        <v>106</v>
      </c>
      <c r="I1058" t="s">
        <v>107</v>
      </c>
      <c r="J1058" s="26">
        <v>45423</v>
      </c>
      <c r="K1058" t="s">
        <v>162</v>
      </c>
      <c r="L1058" s="26"/>
      <c r="M1058" t="s">
        <v>163</v>
      </c>
      <c r="N1058" t="s">
        <v>97</v>
      </c>
      <c r="O1058" s="27">
        <v>1145000</v>
      </c>
      <c r="P1058">
        <v>5</v>
      </c>
      <c r="Q1058" t="s">
        <v>172</v>
      </c>
      <c r="R1058">
        <v>26</v>
      </c>
      <c r="S1058" t="s">
        <v>214</v>
      </c>
      <c r="T1058">
        <f t="shared" si="112"/>
        <v>10867</v>
      </c>
      <c r="U1058" t="str">
        <f t="shared" si="113"/>
        <v>FIN</v>
      </c>
      <c r="V1058" t="str">
        <f t="shared" si="114"/>
        <v>L2</v>
      </c>
      <c r="W1058" t="str">
        <f>PROPER(TRIM(VLOOKUP(S1058,Employee_Lookups!$I$4:$M$19,2,FALSE())))</f>
        <v>Aditya Gokhale</v>
      </c>
      <c r="X1058" t="str">
        <f>VLOOKUP(C1058,Employee_Lookups!$A$4:$G$9,4,FALSE())</f>
        <v>CC-404</v>
      </c>
      <c r="Y1058" t="str">
        <f>INDEX(Employee_Lookups!$C$13:$C$17,MATCH(F1058,Employee_Lookups!$A$13:$A$17,0))</f>
        <v>Band B (Mid)</v>
      </c>
      <c r="Z1058" s="27">
        <f>_xlfn.XLOOKUP(F1058,Employee_Lookups!$A$13:$A$17,Employee_Lookups!$E$13:$E$17,0)</f>
        <v>1100000</v>
      </c>
      <c r="AA1058" s="28">
        <f>ROUND(O1058/INDEX(Employee_Lookups!$E$13:$E$17,MATCH(F1058,Employee_Lookups!$A$13:$A$17,0)),3)</f>
        <v>1.0409999999999999</v>
      </c>
      <c r="AB1058">
        <f t="shared" si="115"/>
        <v>2024</v>
      </c>
      <c r="AC1058" t="str">
        <f t="shared" si="116"/>
        <v/>
      </c>
      <c r="AD1058" s="28">
        <f>ROUND((IF(ISBLANK(L1058),Employee_Lookups!$O$14,L1058)-J1058)/365.25,2)</f>
        <v>1.64</v>
      </c>
      <c r="AE1058" t="str">
        <f t="shared" si="117"/>
        <v>1 - 3 Yrs</v>
      </c>
      <c r="AF1058" t="str">
        <f t="shared" si="118"/>
        <v>High Risk</v>
      </c>
    </row>
    <row r="1059" spans="1:32" x14ac:dyDescent="0.45">
      <c r="A1059" t="s">
        <v>1879</v>
      </c>
      <c r="B1059" t="s">
        <v>1851</v>
      </c>
      <c r="C1059" t="s">
        <v>61</v>
      </c>
      <c r="D1059" t="s">
        <v>60</v>
      </c>
      <c r="E1059" t="s">
        <v>251</v>
      </c>
      <c r="F1059" t="s">
        <v>82</v>
      </c>
      <c r="G1059" t="s">
        <v>252</v>
      </c>
      <c r="H1059" t="s">
        <v>108</v>
      </c>
      <c r="I1059" t="s">
        <v>107</v>
      </c>
      <c r="J1059" s="26">
        <v>45427</v>
      </c>
      <c r="K1059" t="s">
        <v>162</v>
      </c>
      <c r="L1059" s="26"/>
      <c r="M1059" t="s">
        <v>163</v>
      </c>
      <c r="N1059" t="s">
        <v>95</v>
      </c>
      <c r="O1059" s="27">
        <v>878000</v>
      </c>
      <c r="P1059">
        <v>2</v>
      </c>
      <c r="Q1059" t="s">
        <v>164</v>
      </c>
      <c r="R1059">
        <v>9</v>
      </c>
      <c r="S1059" t="s">
        <v>319</v>
      </c>
      <c r="T1059">
        <f t="shared" si="112"/>
        <v>10173</v>
      </c>
      <c r="U1059" t="str">
        <f t="shared" si="113"/>
        <v>-HR</v>
      </c>
      <c r="V1059" t="str">
        <f t="shared" si="114"/>
        <v>L2</v>
      </c>
      <c r="W1059" t="str">
        <f>PROPER(TRIM(VLOOKUP(S1059,Employee_Lookups!$I$4:$M$19,2,FALSE())))</f>
        <v>Kavita Menon</v>
      </c>
      <c r="X1059" t="str">
        <f>VLOOKUP(C1059,Employee_Lookups!$A$4:$G$9,4,FALSE())</f>
        <v>CC-505</v>
      </c>
      <c r="Y1059" t="str">
        <f>INDEX(Employee_Lookups!$C$13:$C$17,MATCH(F1059,Employee_Lookups!$A$13:$A$17,0))</f>
        <v>Band B (Mid)</v>
      </c>
      <c r="Z1059" s="27">
        <f>_xlfn.XLOOKUP(F1059,Employee_Lookups!$A$13:$A$17,Employee_Lookups!$E$13:$E$17,0)</f>
        <v>1100000</v>
      </c>
      <c r="AA1059" s="28">
        <f>ROUND(O1059/INDEX(Employee_Lookups!$E$13:$E$17,MATCH(F1059,Employee_Lookups!$A$13:$A$17,0)),3)</f>
        <v>0.79800000000000004</v>
      </c>
      <c r="AB1059">
        <f t="shared" si="115"/>
        <v>2024</v>
      </c>
      <c r="AC1059" t="str">
        <f t="shared" si="116"/>
        <v/>
      </c>
      <c r="AD1059" s="28">
        <f>ROUND((IF(ISBLANK(L1059),Employee_Lookups!$O$14,L1059)-J1059)/365.25,2)</f>
        <v>1.63</v>
      </c>
      <c r="AE1059" t="str">
        <f t="shared" si="117"/>
        <v>1 - 3 Yrs</v>
      </c>
      <c r="AF1059" t="str">
        <f t="shared" si="118"/>
        <v>Moderate Risk</v>
      </c>
    </row>
    <row r="1060" spans="1:32" x14ac:dyDescent="0.45">
      <c r="A1060" t="s">
        <v>1880</v>
      </c>
      <c r="B1060" t="s">
        <v>199</v>
      </c>
      <c r="C1060" t="s">
        <v>51</v>
      </c>
      <c r="D1060" t="s">
        <v>50</v>
      </c>
      <c r="E1060" t="s">
        <v>397</v>
      </c>
      <c r="F1060" t="s">
        <v>84</v>
      </c>
      <c r="G1060" t="s">
        <v>398</v>
      </c>
      <c r="H1060" t="s">
        <v>106</v>
      </c>
      <c r="I1060" t="s">
        <v>107</v>
      </c>
      <c r="J1060" s="26">
        <v>45428</v>
      </c>
      <c r="K1060" t="s">
        <v>162</v>
      </c>
      <c r="L1060" s="26"/>
      <c r="M1060" t="s">
        <v>163</v>
      </c>
      <c r="N1060" t="s">
        <v>96</v>
      </c>
      <c r="O1060" s="27">
        <v>2377000</v>
      </c>
      <c r="P1060">
        <v>4</v>
      </c>
      <c r="Q1060" t="s">
        <v>164</v>
      </c>
      <c r="R1060">
        <v>14</v>
      </c>
      <c r="S1060" t="s">
        <v>197</v>
      </c>
      <c r="T1060">
        <f t="shared" si="112"/>
        <v>11178</v>
      </c>
      <c r="U1060" t="str">
        <f t="shared" si="113"/>
        <v>ENG</v>
      </c>
      <c r="V1060" t="str">
        <f t="shared" si="114"/>
        <v>L4</v>
      </c>
      <c r="W1060" t="str">
        <f>PROPER(TRIM(VLOOKUP(S1060,Employee_Lookups!$I$4:$M$19,2,FALSE())))</f>
        <v>Rohan Verma</v>
      </c>
      <c r="X1060" t="str">
        <f>VLOOKUP(C1060,Employee_Lookups!$A$4:$G$9,4,FALSE())</f>
        <v>CC-101</v>
      </c>
      <c r="Y1060" t="str">
        <f>INDEX(Employee_Lookups!$C$13:$C$17,MATCH(F1060,Employee_Lookups!$A$13:$A$17,0))</f>
        <v>Band D (Leadership)</v>
      </c>
      <c r="Z1060" s="27">
        <f>_xlfn.XLOOKUP(F1060,Employee_Lookups!$A$13:$A$17,Employee_Lookups!$E$13:$E$17,0)</f>
        <v>2750000</v>
      </c>
      <c r="AA1060" s="28">
        <f>ROUND(O1060/INDEX(Employee_Lookups!$E$13:$E$17,MATCH(F1060,Employee_Lookups!$A$13:$A$17,0)),3)</f>
        <v>0.86399999999999999</v>
      </c>
      <c r="AB1060">
        <f t="shared" si="115"/>
        <v>2024</v>
      </c>
      <c r="AC1060" t="str">
        <f t="shared" si="116"/>
        <v/>
      </c>
      <c r="AD1060" s="28">
        <f>ROUND((IF(ISBLANK(L1060),Employee_Lookups!$O$14,L1060)-J1060)/365.25,2)</f>
        <v>1.63</v>
      </c>
      <c r="AE1060" t="str">
        <f t="shared" si="117"/>
        <v>1 - 3 Yrs</v>
      </c>
      <c r="AF1060" t="str">
        <f t="shared" si="118"/>
        <v>Low Risk</v>
      </c>
    </row>
    <row r="1061" spans="1:32" x14ac:dyDescent="0.45">
      <c r="A1061" t="s">
        <v>1881</v>
      </c>
      <c r="B1061" t="s">
        <v>1882</v>
      </c>
      <c r="C1061" t="s">
        <v>61</v>
      </c>
      <c r="D1061" t="s">
        <v>60</v>
      </c>
      <c r="E1061" t="s">
        <v>484</v>
      </c>
      <c r="F1061" t="s">
        <v>83</v>
      </c>
      <c r="G1061" t="s">
        <v>485</v>
      </c>
      <c r="H1061" t="s">
        <v>109</v>
      </c>
      <c r="I1061" t="s">
        <v>110</v>
      </c>
      <c r="J1061" s="26">
        <v>45432</v>
      </c>
      <c r="K1061" t="s">
        <v>162</v>
      </c>
      <c r="L1061" s="26"/>
      <c r="M1061" t="s">
        <v>163</v>
      </c>
      <c r="N1061" t="s">
        <v>97</v>
      </c>
      <c r="O1061" s="27">
        <v>1355000</v>
      </c>
      <c r="P1061">
        <v>5</v>
      </c>
      <c r="Q1061" t="s">
        <v>172</v>
      </c>
      <c r="R1061">
        <v>44</v>
      </c>
      <c r="S1061" t="s">
        <v>253</v>
      </c>
      <c r="T1061">
        <f t="shared" si="112"/>
        <v>10610</v>
      </c>
      <c r="U1061" t="str">
        <f t="shared" si="113"/>
        <v>-HR</v>
      </c>
      <c r="V1061" t="str">
        <f t="shared" si="114"/>
        <v>L3</v>
      </c>
      <c r="W1061" t="str">
        <f>PROPER(TRIM(VLOOKUP(S1061,Employee_Lookups!$I$4:$M$19,2,FALSE())))</f>
        <v>Nikhil Chatterjee</v>
      </c>
      <c r="X1061" t="str">
        <f>VLOOKUP(C1061,Employee_Lookups!$A$4:$G$9,4,FALSE())</f>
        <v>CC-505</v>
      </c>
      <c r="Y1061" t="str">
        <f>INDEX(Employee_Lookups!$C$13:$C$17,MATCH(F1061,Employee_Lookups!$A$13:$A$17,0))</f>
        <v>Band C (Senior)</v>
      </c>
      <c r="Z1061" s="27">
        <f>_xlfn.XLOOKUP(F1061,Employee_Lookups!$A$13:$A$17,Employee_Lookups!$E$13:$E$17,0)</f>
        <v>1725000</v>
      </c>
      <c r="AA1061" s="28">
        <f>ROUND(O1061/INDEX(Employee_Lookups!$E$13:$E$17,MATCH(F1061,Employee_Lookups!$A$13:$A$17,0)),3)</f>
        <v>0.78600000000000003</v>
      </c>
      <c r="AB1061">
        <f t="shared" si="115"/>
        <v>2024</v>
      </c>
      <c r="AC1061" t="str">
        <f t="shared" si="116"/>
        <v/>
      </c>
      <c r="AD1061" s="28">
        <f>ROUND((IF(ISBLANK(L1061),Employee_Lookups!$O$14,L1061)-J1061)/365.25,2)</f>
        <v>1.62</v>
      </c>
      <c r="AE1061" t="str">
        <f t="shared" si="117"/>
        <v>1 - 3 Yrs</v>
      </c>
      <c r="AF1061" t="str">
        <f t="shared" si="118"/>
        <v>High Risk</v>
      </c>
    </row>
    <row r="1062" spans="1:32" x14ac:dyDescent="0.45">
      <c r="A1062" t="s">
        <v>1883</v>
      </c>
      <c r="B1062" t="s">
        <v>647</v>
      </c>
      <c r="C1062" t="s">
        <v>51</v>
      </c>
      <c r="D1062" t="s">
        <v>50</v>
      </c>
      <c r="E1062" t="s">
        <v>328</v>
      </c>
      <c r="F1062" t="s">
        <v>85</v>
      </c>
      <c r="G1062" t="s">
        <v>329</v>
      </c>
      <c r="H1062" t="s">
        <v>106</v>
      </c>
      <c r="I1062" t="s">
        <v>107</v>
      </c>
      <c r="J1062" s="26">
        <v>45434</v>
      </c>
      <c r="K1062" t="s">
        <v>162</v>
      </c>
      <c r="L1062" s="26"/>
      <c r="M1062" t="s">
        <v>163</v>
      </c>
      <c r="N1062" t="s">
        <v>98</v>
      </c>
      <c r="O1062" s="27">
        <v>3515000</v>
      </c>
      <c r="P1062">
        <v>4</v>
      </c>
      <c r="Q1062" t="s">
        <v>172</v>
      </c>
      <c r="R1062">
        <v>34</v>
      </c>
      <c r="S1062" t="s">
        <v>197</v>
      </c>
      <c r="T1062">
        <f t="shared" si="112"/>
        <v>10449</v>
      </c>
      <c r="U1062" t="str">
        <f t="shared" si="113"/>
        <v>ENG</v>
      </c>
      <c r="V1062" t="str">
        <f t="shared" si="114"/>
        <v>L5</v>
      </c>
      <c r="W1062" t="str">
        <f>PROPER(TRIM(VLOOKUP(S1062,Employee_Lookups!$I$4:$M$19,2,FALSE())))</f>
        <v>Rohan Verma</v>
      </c>
      <c r="X1062" t="str">
        <f>VLOOKUP(C1062,Employee_Lookups!$A$4:$G$9,4,FALSE())</f>
        <v>CC-101</v>
      </c>
      <c r="Y1062" t="str">
        <f>INDEX(Employee_Lookups!$C$13:$C$17,MATCH(F1062,Employee_Lookups!$A$13:$A$17,0))</f>
        <v>Band E (Executive)</v>
      </c>
      <c r="Z1062" s="27">
        <f>_xlfn.XLOOKUP(F1062,Employee_Lookups!$A$13:$A$17,Employee_Lookups!$E$13:$E$17,0)</f>
        <v>4300000</v>
      </c>
      <c r="AA1062" s="28">
        <f>ROUND(O1062/INDEX(Employee_Lookups!$E$13:$E$17,MATCH(F1062,Employee_Lookups!$A$13:$A$17,0)),3)</f>
        <v>0.81699999999999995</v>
      </c>
      <c r="AB1062">
        <f t="shared" si="115"/>
        <v>2024</v>
      </c>
      <c r="AC1062" t="str">
        <f t="shared" si="116"/>
        <v/>
      </c>
      <c r="AD1062" s="28">
        <f>ROUND((IF(ISBLANK(L1062),Employee_Lookups!$O$14,L1062)-J1062)/365.25,2)</f>
        <v>1.61</v>
      </c>
      <c r="AE1062" t="str">
        <f t="shared" si="117"/>
        <v>1 - 3 Yrs</v>
      </c>
      <c r="AF1062" t="str">
        <f t="shared" si="118"/>
        <v>High Risk</v>
      </c>
    </row>
    <row r="1063" spans="1:32" x14ac:dyDescent="0.45">
      <c r="A1063" t="s">
        <v>1884</v>
      </c>
      <c r="B1063" t="s">
        <v>462</v>
      </c>
      <c r="C1063" t="s">
        <v>53</v>
      </c>
      <c r="D1063" t="s">
        <v>52</v>
      </c>
      <c r="E1063" t="s">
        <v>322</v>
      </c>
      <c r="F1063" t="s">
        <v>81</v>
      </c>
      <c r="G1063" t="s">
        <v>323</v>
      </c>
      <c r="H1063" t="s">
        <v>106</v>
      </c>
      <c r="I1063" t="s">
        <v>107</v>
      </c>
      <c r="J1063" s="26">
        <v>45434</v>
      </c>
      <c r="K1063" t="s">
        <v>162</v>
      </c>
      <c r="L1063" s="26"/>
      <c r="M1063" t="s">
        <v>163</v>
      </c>
      <c r="N1063" t="s">
        <v>99</v>
      </c>
      <c r="O1063" s="27">
        <v>802000</v>
      </c>
      <c r="P1063">
        <v>5</v>
      </c>
      <c r="Q1063" t="s">
        <v>172</v>
      </c>
      <c r="R1063">
        <v>51</v>
      </c>
      <c r="S1063" t="s">
        <v>189</v>
      </c>
      <c r="T1063">
        <f t="shared" si="112"/>
        <v>11284</v>
      </c>
      <c r="U1063" t="str">
        <f t="shared" si="113"/>
        <v>SAL</v>
      </c>
      <c r="V1063" t="str">
        <f t="shared" si="114"/>
        <v>L1</v>
      </c>
      <c r="W1063" t="str">
        <f>PROPER(TRIM(VLOOKUP(S1063,Employee_Lookups!$I$4:$M$19,2,FALSE())))</f>
        <v>Priya Sharma</v>
      </c>
      <c r="X1063" t="str">
        <f>VLOOKUP(C1063,Employee_Lookups!$A$4:$G$9,4,FALSE())</f>
        <v>CC-202</v>
      </c>
      <c r="Y1063" t="str">
        <f>INDEX(Employee_Lookups!$C$13:$C$17,MATCH(F1063,Employee_Lookups!$A$13:$A$17,0))</f>
        <v>Band A (Entry)</v>
      </c>
      <c r="Z1063" s="27">
        <f>_xlfn.XLOOKUP(F1063,Employee_Lookups!$A$13:$A$17,Employee_Lookups!$E$13:$E$17,0)</f>
        <v>700000</v>
      </c>
      <c r="AA1063" s="28">
        <f>ROUND(O1063/INDEX(Employee_Lookups!$E$13:$E$17,MATCH(F1063,Employee_Lookups!$A$13:$A$17,0)),3)</f>
        <v>1.1459999999999999</v>
      </c>
      <c r="AB1063">
        <f t="shared" si="115"/>
        <v>2024</v>
      </c>
      <c r="AC1063" t="str">
        <f t="shared" si="116"/>
        <v/>
      </c>
      <c r="AD1063" s="28">
        <f>ROUND((IF(ISBLANK(L1063),Employee_Lookups!$O$14,L1063)-J1063)/365.25,2)</f>
        <v>1.61</v>
      </c>
      <c r="AE1063" t="str">
        <f t="shared" si="117"/>
        <v>1 - 3 Yrs</v>
      </c>
      <c r="AF1063" t="str">
        <f t="shared" si="118"/>
        <v>High Risk</v>
      </c>
    </row>
    <row r="1064" spans="1:32" x14ac:dyDescent="0.45">
      <c r="A1064" t="s">
        <v>1885</v>
      </c>
      <c r="B1064" t="s">
        <v>1886</v>
      </c>
      <c r="C1064" t="s">
        <v>51</v>
      </c>
      <c r="D1064" t="s">
        <v>50</v>
      </c>
      <c r="E1064" t="s">
        <v>217</v>
      </c>
      <c r="F1064" t="s">
        <v>83</v>
      </c>
      <c r="G1064" t="s">
        <v>218</v>
      </c>
      <c r="H1064" t="s">
        <v>108</v>
      </c>
      <c r="I1064" t="s">
        <v>107</v>
      </c>
      <c r="J1064" s="26">
        <v>45436</v>
      </c>
      <c r="K1064" t="s">
        <v>162</v>
      </c>
      <c r="L1064" s="26"/>
      <c r="M1064" t="s">
        <v>163</v>
      </c>
      <c r="N1064" t="s">
        <v>98</v>
      </c>
      <c r="O1064" s="27">
        <v>1969000</v>
      </c>
      <c r="P1064">
        <v>4</v>
      </c>
      <c r="Q1064" t="s">
        <v>164</v>
      </c>
      <c r="R1064">
        <v>54</v>
      </c>
      <c r="S1064" t="s">
        <v>219</v>
      </c>
      <c r="T1064">
        <f t="shared" si="112"/>
        <v>10438</v>
      </c>
      <c r="U1064" t="str">
        <f t="shared" si="113"/>
        <v>ENG</v>
      </c>
      <c r="V1064" t="str">
        <f t="shared" si="114"/>
        <v>L3</v>
      </c>
      <c r="W1064" t="str">
        <f>PROPER(TRIM(VLOOKUP(S1064,Employee_Lookups!$I$4:$M$19,2,FALSE())))</f>
        <v>Neha Kulkarni</v>
      </c>
      <c r="X1064" t="str">
        <f>VLOOKUP(C1064,Employee_Lookups!$A$4:$G$9,4,FALSE())</f>
        <v>CC-101</v>
      </c>
      <c r="Y1064" t="str">
        <f>INDEX(Employee_Lookups!$C$13:$C$17,MATCH(F1064,Employee_Lookups!$A$13:$A$17,0))</f>
        <v>Band C (Senior)</v>
      </c>
      <c r="Z1064" s="27">
        <f>_xlfn.XLOOKUP(F1064,Employee_Lookups!$A$13:$A$17,Employee_Lookups!$E$13:$E$17,0)</f>
        <v>1725000</v>
      </c>
      <c r="AA1064" s="28">
        <f>ROUND(O1064/INDEX(Employee_Lookups!$E$13:$E$17,MATCH(F1064,Employee_Lookups!$A$13:$A$17,0)),3)</f>
        <v>1.141</v>
      </c>
      <c r="AB1064">
        <f t="shared" si="115"/>
        <v>2024</v>
      </c>
      <c r="AC1064" t="str">
        <f t="shared" si="116"/>
        <v/>
      </c>
      <c r="AD1064" s="28">
        <f>ROUND((IF(ISBLANK(L1064),Employee_Lookups!$O$14,L1064)-J1064)/365.25,2)</f>
        <v>1.6</v>
      </c>
      <c r="AE1064" t="str">
        <f t="shared" si="117"/>
        <v>1 - 3 Yrs</v>
      </c>
      <c r="AF1064" t="str">
        <f t="shared" si="118"/>
        <v>Low Risk</v>
      </c>
    </row>
    <row r="1065" spans="1:32" x14ac:dyDescent="0.45">
      <c r="A1065" t="s">
        <v>1887</v>
      </c>
      <c r="B1065" t="s">
        <v>1039</v>
      </c>
      <c r="C1065" t="s">
        <v>53</v>
      </c>
      <c r="D1065" t="s">
        <v>52</v>
      </c>
      <c r="E1065" t="s">
        <v>322</v>
      </c>
      <c r="F1065" t="s">
        <v>81</v>
      </c>
      <c r="G1065" t="s">
        <v>323</v>
      </c>
      <c r="H1065" t="s">
        <v>109</v>
      </c>
      <c r="I1065" t="s">
        <v>110</v>
      </c>
      <c r="J1065" s="26">
        <v>45436</v>
      </c>
      <c r="K1065" t="s">
        <v>187</v>
      </c>
      <c r="L1065" s="26">
        <v>45730</v>
      </c>
      <c r="M1065" t="s">
        <v>269</v>
      </c>
      <c r="N1065" t="s">
        <v>99</v>
      </c>
      <c r="O1065" s="27">
        <v>573000</v>
      </c>
      <c r="P1065">
        <v>3</v>
      </c>
      <c r="Q1065" t="s">
        <v>164</v>
      </c>
      <c r="R1065">
        <v>57</v>
      </c>
      <c r="S1065" t="s">
        <v>194</v>
      </c>
      <c r="T1065">
        <f t="shared" si="112"/>
        <v>10538</v>
      </c>
      <c r="U1065" t="str">
        <f t="shared" si="113"/>
        <v>SAL</v>
      </c>
      <c r="V1065" t="str">
        <f t="shared" si="114"/>
        <v>L1</v>
      </c>
      <c r="W1065" t="str">
        <f>PROPER(TRIM(VLOOKUP(S1065,Employee_Lookups!$I$4:$M$19,2,FALSE())))</f>
        <v>Vikramaditya Joshi</v>
      </c>
      <c r="X1065" t="str">
        <f>VLOOKUP(C1065,Employee_Lookups!$A$4:$G$9,4,FALSE())</f>
        <v>CC-202</v>
      </c>
      <c r="Y1065" t="str">
        <f>INDEX(Employee_Lookups!$C$13:$C$17,MATCH(F1065,Employee_Lookups!$A$13:$A$17,0))</f>
        <v>Band A (Entry)</v>
      </c>
      <c r="Z1065" s="27">
        <f>_xlfn.XLOOKUP(F1065,Employee_Lookups!$A$13:$A$17,Employee_Lookups!$E$13:$E$17,0)</f>
        <v>700000</v>
      </c>
      <c r="AA1065" s="28">
        <f>ROUND(O1065/INDEX(Employee_Lookups!$E$13:$E$17,MATCH(F1065,Employee_Lookups!$A$13:$A$17,0)),3)</f>
        <v>0.81899999999999995</v>
      </c>
      <c r="AB1065">
        <f t="shared" si="115"/>
        <v>2024</v>
      </c>
      <c r="AC1065">
        <f t="shared" si="116"/>
        <v>2025</v>
      </c>
      <c r="AD1065" s="28">
        <f>ROUND((IF(ISBLANK(L1065),Employee_Lookups!$O$14,L1065)-J1065)/365.25,2)</f>
        <v>0.8</v>
      </c>
      <c r="AE1065" t="str">
        <f t="shared" si="117"/>
        <v>&lt; 1 Yr (New)</v>
      </c>
      <c r="AF1065" t="str">
        <f t="shared" si="118"/>
        <v>Exited</v>
      </c>
    </row>
    <row r="1066" spans="1:32" x14ac:dyDescent="0.45">
      <c r="A1066" t="s">
        <v>1888</v>
      </c>
      <c r="B1066" t="s">
        <v>601</v>
      </c>
      <c r="C1066" t="s">
        <v>57</v>
      </c>
      <c r="D1066" t="s">
        <v>56</v>
      </c>
      <c r="E1066" t="s">
        <v>160</v>
      </c>
      <c r="F1066" t="s">
        <v>81</v>
      </c>
      <c r="G1066" t="s">
        <v>161</v>
      </c>
      <c r="H1066" t="s">
        <v>108</v>
      </c>
      <c r="I1066" t="s">
        <v>107</v>
      </c>
      <c r="J1066" s="26">
        <v>45437</v>
      </c>
      <c r="K1066" t="s">
        <v>162</v>
      </c>
      <c r="L1066" s="26"/>
      <c r="M1066" t="s">
        <v>163</v>
      </c>
      <c r="N1066" t="s">
        <v>97</v>
      </c>
      <c r="O1066" s="27">
        <v>840000</v>
      </c>
      <c r="P1066">
        <v>5</v>
      </c>
      <c r="Q1066" t="s">
        <v>164</v>
      </c>
      <c r="R1066">
        <v>44</v>
      </c>
      <c r="S1066" t="s">
        <v>165</v>
      </c>
      <c r="T1066">
        <f t="shared" si="112"/>
        <v>10291</v>
      </c>
      <c r="U1066" t="str">
        <f t="shared" si="113"/>
        <v>MKT</v>
      </c>
      <c r="V1066" t="str">
        <f t="shared" si="114"/>
        <v>L1</v>
      </c>
      <c r="W1066" t="str">
        <f>PROPER(TRIM(VLOOKUP(S1066,Employee_Lookups!$I$4:$M$19,2,FALSE())))</f>
        <v>Arjun Sengupta</v>
      </c>
      <c r="X1066" t="str">
        <f>VLOOKUP(C1066,Employee_Lookups!$A$4:$G$9,4,FALSE())</f>
        <v>CC-606</v>
      </c>
      <c r="Y1066" t="str">
        <f>INDEX(Employee_Lookups!$C$13:$C$17,MATCH(F1066,Employee_Lookups!$A$13:$A$17,0))</f>
        <v>Band A (Entry)</v>
      </c>
      <c r="Z1066" s="27">
        <f>_xlfn.XLOOKUP(F1066,Employee_Lookups!$A$13:$A$17,Employee_Lookups!$E$13:$E$17,0)</f>
        <v>700000</v>
      </c>
      <c r="AA1066" s="28">
        <f>ROUND(O1066/INDEX(Employee_Lookups!$E$13:$E$17,MATCH(F1066,Employee_Lookups!$A$13:$A$17,0)),3)</f>
        <v>1.2</v>
      </c>
      <c r="AB1066">
        <f t="shared" si="115"/>
        <v>2024</v>
      </c>
      <c r="AC1066" t="str">
        <f t="shared" si="116"/>
        <v/>
      </c>
      <c r="AD1066" s="28">
        <f>ROUND((IF(ISBLANK(L1066),Employee_Lookups!$O$14,L1066)-J1066)/365.25,2)</f>
        <v>1.6</v>
      </c>
      <c r="AE1066" t="str">
        <f t="shared" si="117"/>
        <v>1 - 3 Yrs</v>
      </c>
      <c r="AF1066" t="str">
        <f t="shared" si="118"/>
        <v>Low Risk</v>
      </c>
    </row>
    <row r="1067" spans="1:32" x14ac:dyDescent="0.45">
      <c r="A1067" t="s">
        <v>1889</v>
      </c>
      <c r="B1067" t="s">
        <v>509</v>
      </c>
      <c r="C1067" t="s">
        <v>53</v>
      </c>
      <c r="D1067" t="s">
        <v>52</v>
      </c>
      <c r="E1067" t="s">
        <v>192</v>
      </c>
      <c r="F1067" t="s">
        <v>83</v>
      </c>
      <c r="G1067" t="s">
        <v>193</v>
      </c>
      <c r="H1067" t="s">
        <v>106</v>
      </c>
      <c r="I1067" t="s">
        <v>107</v>
      </c>
      <c r="J1067" s="26">
        <v>45438</v>
      </c>
      <c r="K1067" t="s">
        <v>162</v>
      </c>
      <c r="L1067" s="26"/>
      <c r="M1067" t="s">
        <v>163</v>
      </c>
      <c r="N1067" t="s">
        <v>99</v>
      </c>
      <c r="O1067" s="27">
        <v>1778000</v>
      </c>
      <c r="P1067">
        <v>3</v>
      </c>
      <c r="Q1067" t="s">
        <v>172</v>
      </c>
      <c r="R1067">
        <v>51</v>
      </c>
      <c r="S1067" t="s">
        <v>194</v>
      </c>
      <c r="T1067">
        <f t="shared" si="112"/>
        <v>10645</v>
      </c>
      <c r="U1067" t="str">
        <f t="shared" si="113"/>
        <v>SAL</v>
      </c>
      <c r="V1067" t="str">
        <f t="shared" si="114"/>
        <v>L3</v>
      </c>
      <c r="W1067" t="str">
        <f>PROPER(TRIM(VLOOKUP(S1067,Employee_Lookups!$I$4:$M$19,2,FALSE())))</f>
        <v>Vikramaditya Joshi</v>
      </c>
      <c r="X1067" t="str">
        <f>VLOOKUP(C1067,Employee_Lookups!$A$4:$G$9,4,FALSE())</f>
        <v>CC-202</v>
      </c>
      <c r="Y1067" t="str">
        <f>INDEX(Employee_Lookups!$C$13:$C$17,MATCH(F1067,Employee_Lookups!$A$13:$A$17,0))</f>
        <v>Band C (Senior)</v>
      </c>
      <c r="Z1067" s="27">
        <f>_xlfn.XLOOKUP(F1067,Employee_Lookups!$A$13:$A$17,Employee_Lookups!$E$13:$E$17,0)</f>
        <v>1725000</v>
      </c>
      <c r="AA1067" s="28">
        <f>ROUND(O1067/INDEX(Employee_Lookups!$E$13:$E$17,MATCH(F1067,Employee_Lookups!$A$13:$A$17,0)),3)</f>
        <v>1.0309999999999999</v>
      </c>
      <c r="AB1067">
        <f t="shared" si="115"/>
        <v>2024</v>
      </c>
      <c r="AC1067" t="str">
        <f t="shared" si="116"/>
        <v/>
      </c>
      <c r="AD1067" s="28">
        <f>ROUND((IF(ISBLANK(L1067),Employee_Lookups!$O$14,L1067)-J1067)/365.25,2)</f>
        <v>1.6</v>
      </c>
      <c r="AE1067" t="str">
        <f t="shared" si="117"/>
        <v>1 - 3 Yrs</v>
      </c>
      <c r="AF1067" t="str">
        <f t="shared" si="118"/>
        <v>Moderate Risk</v>
      </c>
    </row>
    <row r="1068" spans="1:32" x14ac:dyDescent="0.45">
      <c r="A1068" t="s">
        <v>1890</v>
      </c>
      <c r="B1068" t="s">
        <v>1615</v>
      </c>
      <c r="C1068" t="s">
        <v>53</v>
      </c>
      <c r="D1068" t="s">
        <v>52</v>
      </c>
      <c r="E1068" t="s">
        <v>322</v>
      </c>
      <c r="F1068" t="s">
        <v>81</v>
      </c>
      <c r="G1068" t="s">
        <v>323</v>
      </c>
      <c r="H1068" t="s">
        <v>109</v>
      </c>
      <c r="I1068" t="s">
        <v>110</v>
      </c>
      <c r="J1068" s="26">
        <v>45439</v>
      </c>
      <c r="K1068" t="s">
        <v>162</v>
      </c>
      <c r="L1068" s="26"/>
      <c r="M1068" t="s">
        <v>163</v>
      </c>
      <c r="N1068" t="s">
        <v>96</v>
      </c>
      <c r="O1068" s="27">
        <v>598000</v>
      </c>
      <c r="P1068">
        <v>3</v>
      </c>
      <c r="Q1068" t="s">
        <v>172</v>
      </c>
      <c r="R1068">
        <v>15</v>
      </c>
      <c r="S1068" t="s">
        <v>189</v>
      </c>
      <c r="T1068">
        <f t="shared" si="112"/>
        <v>10882</v>
      </c>
      <c r="U1068" t="str">
        <f t="shared" si="113"/>
        <v>SAL</v>
      </c>
      <c r="V1068" t="str">
        <f t="shared" si="114"/>
        <v>L1</v>
      </c>
      <c r="W1068" t="str">
        <f>PROPER(TRIM(VLOOKUP(S1068,Employee_Lookups!$I$4:$M$19,2,FALSE())))</f>
        <v>Priya Sharma</v>
      </c>
      <c r="X1068" t="str">
        <f>VLOOKUP(C1068,Employee_Lookups!$A$4:$G$9,4,FALSE())</f>
        <v>CC-202</v>
      </c>
      <c r="Y1068" t="str">
        <f>INDEX(Employee_Lookups!$C$13:$C$17,MATCH(F1068,Employee_Lookups!$A$13:$A$17,0))</f>
        <v>Band A (Entry)</v>
      </c>
      <c r="Z1068" s="27">
        <f>_xlfn.XLOOKUP(F1068,Employee_Lookups!$A$13:$A$17,Employee_Lookups!$E$13:$E$17,0)</f>
        <v>700000</v>
      </c>
      <c r="AA1068" s="28">
        <f>ROUND(O1068/INDEX(Employee_Lookups!$E$13:$E$17,MATCH(F1068,Employee_Lookups!$A$13:$A$17,0)),3)</f>
        <v>0.85399999999999998</v>
      </c>
      <c r="AB1068">
        <f t="shared" si="115"/>
        <v>2024</v>
      </c>
      <c r="AC1068" t="str">
        <f t="shared" si="116"/>
        <v/>
      </c>
      <c r="AD1068" s="28">
        <f>ROUND((IF(ISBLANK(L1068),Employee_Lookups!$O$14,L1068)-J1068)/365.25,2)</f>
        <v>1.6</v>
      </c>
      <c r="AE1068" t="str">
        <f t="shared" si="117"/>
        <v>1 - 3 Yrs</v>
      </c>
      <c r="AF1068" t="str">
        <f t="shared" si="118"/>
        <v>High Risk</v>
      </c>
    </row>
    <row r="1069" spans="1:32" x14ac:dyDescent="0.45">
      <c r="A1069" t="s">
        <v>1891</v>
      </c>
      <c r="B1069" t="s">
        <v>671</v>
      </c>
      <c r="C1069" t="s">
        <v>57</v>
      </c>
      <c r="D1069" t="s">
        <v>56</v>
      </c>
      <c r="E1069" t="s">
        <v>222</v>
      </c>
      <c r="F1069" t="s">
        <v>82</v>
      </c>
      <c r="G1069" t="s">
        <v>223</v>
      </c>
      <c r="H1069" t="s">
        <v>106</v>
      </c>
      <c r="I1069" t="s">
        <v>107</v>
      </c>
      <c r="J1069" s="26">
        <v>45439</v>
      </c>
      <c r="K1069" t="s">
        <v>162</v>
      </c>
      <c r="L1069" s="26"/>
      <c r="M1069" t="s">
        <v>163</v>
      </c>
      <c r="N1069" t="s">
        <v>97</v>
      </c>
      <c r="O1069" s="27">
        <v>880000</v>
      </c>
      <c r="P1069">
        <v>3</v>
      </c>
      <c r="Q1069" t="s">
        <v>172</v>
      </c>
      <c r="R1069">
        <v>39</v>
      </c>
      <c r="S1069" t="s">
        <v>224</v>
      </c>
      <c r="T1069">
        <f t="shared" si="112"/>
        <v>10098</v>
      </c>
      <c r="U1069" t="str">
        <f t="shared" si="113"/>
        <v>MKT</v>
      </c>
      <c r="V1069" t="str">
        <f t="shared" si="114"/>
        <v>L2</v>
      </c>
      <c r="W1069" t="str">
        <f>PROPER(TRIM(VLOOKUP(S1069,Employee_Lookups!$I$4:$M$19,2,FALSE())))</f>
        <v>Tanvi Chitnis</v>
      </c>
      <c r="X1069" t="str">
        <f>VLOOKUP(C1069,Employee_Lookups!$A$4:$G$9,4,FALSE())</f>
        <v>CC-606</v>
      </c>
      <c r="Y1069" t="str">
        <f>INDEX(Employee_Lookups!$C$13:$C$17,MATCH(F1069,Employee_Lookups!$A$13:$A$17,0))</f>
        <v>Band B (Mid)</v>
      </c>
      <c r="Z1069" s="27">
        <f>_xlfn.XLOOKUP(F1069,Employee_Lookups!$A$13:$A$17,Employee_Lookups!$E$13:$E$17,0)</f>
        <v>1100000</v>
      </c>
      <c r="AA1069" s="28">
        <f>ROUND(O1069/INDEX(Employee_Lookups!$E$13:$E$17,MATCH(F1069,Employee_Lookups!$A$13:$A$17,0)),3)</f>
        <v>0.8</v>
      </c>
      <c r="AB1069">
        <f t="shared" si="115"/>
        <v>2024</v>
      </c>
      <c r="AC1069" t="str">
        <f t="shared" si="116"/>
        <v/>
      </c>
      <c r="AD1069" s="28">
        <f>ROUND((IF(ISBLANK(L1069),Employee_Lookups!$O$14,L1069)-J1069)/365.25,2)</f>
        <v>1.6</v>
      </c>
      <c r="AE1069" t="str">
        <f t="shared" si="117"/>
        <v>1 - 3 Yrs</v>
      </c>
      <c r="AF1069" t="str">
        <f t="shared" si="118"/>
        <v>High Risk</v>
      </c>
    </row>
    <row r="1070" spans="1:32" x14ac:dyDescent="0.45">
      <c r="A1070" t="s">
        <v>1892</v>
      </c>
      <c r="B1070" t="s">
        <v>745</v>
      </c>
      <c r="C1070" t="s">
        <v>53</v>
      </c>
      <c r="D1070" t="s">
        <v>52</v>
      </c>
      <c r="E1070" t="s">
        <v>200</v>
      </c>
      <c r="F1070" t="s">
        <v>84</v>
      </c>
      <c r="G1070" t="s">
        <v>201</v>
      </c>
      <c r="H1070" t="s">
        <v>108</v>
      </c>
      <c r="I1070" t="s">
        <v>107</v>
      </c>
      <c r="J1070" s="26">
        <v>45440</v>
      </c>
      <c r="K1070" t="s">
        <v>162</v>
      </c>
      <c r="L1070" s="26"/>
      <c r="M1070" t="s">
        <v>163</v>
      </c>
      <c r="N1070" t="s">
        <v>95</v>
      </c>
      <c r="O1070" s="27">
        <v>2935000</v>
      </c>
      <c r="P1070">
        <v>5</v>
      </c>
      <c r="Q1070" t="s">
        <v>164</v>
      </c>
      <c r="R1070">
        <v>39</v>
      </c>
      <c r="S1070" t="s">
        <v>194</v>
      </c>
      <c r="T1070">
        <f t="shared" si="112"/>
        <v>11208</v>
      </c>
      <c r="U1070" t="str">
        <f t="shared" si="113"/>
        <v>SAL</v>
      </c>
      <c r="V1070" t="str">
        <f t="shared" si="114"/>
        <v>L4</v>
      </c>
      <c r="W1070" t="str">
        <f>PROPER(TRIM(VLOOKUP(S1070,Employee_Lookups!$I$4:$M$19,2,FALSE())))</f>
        <v>Vikramaditya Joshi</v>
      </c>
      <c r="X1070" t="str">
        <f>VLOOKUP(C1070,Employee_Lookups!$A$4:$G$9,4,FALSE())</f>
        <v>CC-202</v>
      </c>
      <c r="Y1070" t="str">
        <f>INDEX(Employee_Lookups!$C$13:$C$17,MATCH(F1070,Employee_Lookups!$A$13:$A$17,0))</f>
        <v>Band D (Leadership)</v>
      </c>
      <c r="Z1070" s="27">
        <f>_xlfn.XLOOKUP(F1070,Employee_Lookups!$A$13:$A$17,Employee_Lookups!$E$13:$E$17,0)</f>
        <v>2750000</v>
      </c>
      <c r="AA1070" s="28">
        <f>ROUND(O1070/INDEX(Employee_Lookups!$E$13:$E$17,MATCH(F1070,Employee_Lookups!$A$13:$A$17,0)),3)</f>
        <v>1.0669999999999999</v>
      </c>
      <c r="AB1070">
        <f t="shared" si="115"/>
        <v>2024</v>
      </c>
      <c r="AC1070" t="str">
        <f t="shared" si="116"/>
        <v/>
      </c>
      <c r="AD1070" s="28">
        <f>ROUND((IF(ISBLANK(L1070),Employee_Lookups!$O$14,L1070)-J1070)/365.25,2)</f>
        <v>1.59</v>
      </c>
      <c r="AE1070" t="str">
        <f t="shared" si="117"/>
        <v>1 - 3 Yrs</v>
      </c>
      <c r="AF1070" t="str">
        <f t="shared" si="118"/>
        <v>Low Risk</v>
      </c>
    </row>
    <row r="1071" spans="1:32" x14ac:dyDescent="0.45">
      <c r="A1071" t="s">
        <v>1893</v>
      </c>
      <c r="B1071" t="s">
        <v>1894</v>
      </c>
      <c r="C1071" t="s">
        <v>61</v>
      </c>
      <c r="D1071" t="s">
        <v>60</v>
      </c>
      <c r="E1071" t="s">
        <v>356</v>
      </c>
      <c r="F1071" t="s">
        <v>81</v>
      </c>
      <c r="G1071" t="s">
        <v>357</v>
      </c>
      <c r="H1071" t="s">
        <v>108</v>
      </c>
      <c r="I1071" t="s">
        <v>107</v>
      </c>
      <c r="J1071" s="26">
        <v>45440</v>
      </c>
      <c r="K1071" t="s">
        <v>162</v>
      </c>
      <c r="L1071" s="26"/>
      <c r="M1071" t="s">
        <v>163</v>
      </c>
      <c r="N1071" t="s">
        <v>97</v>
      </c>
      <c r="O1071" s="27">
        <v>666000</v>
      </c>
      <c r="P1071">
        <v>3</v>
      </c>
      <c r="Q1071" t="s">
        <v>164</v>
      </c>
      <c r="R1071">
        <v>34</v>
      </c>
      <c r="S1071" t="s">
        <v>319</v>
      </c>
      <c r="T1071">
        <f t="shared" si="112"/>
        <v>10662</v>
      </c>
      <c r="U1071" t="str">
        <f t="shared" si="113"/>
        <v>-HR</v>
      </c>
      <c r="V1071" t="str">
        <f t="shared" si="114"/>
        <v>L1</v>
      </c>
      <c r="W1071" t="str">
        <f>PROPER(TRIM(VLOOKUP(S1071,Employee_Lookups!$I$4:$M$19,2,FALSE())))</f>
        <v>Kavita Menon</v>
      </c>
      <c r="X1071" t="str">
        <f>VLOOKUP(C1071,Employee_Lookups!$A$4:$G$9,4,FALSE())</f>
        <v>CC-505</v>
      </c>
      <c r="Y1071" t="str">
        <f>INDEX(Employee_Lookups!$C$13:$C$17,MATCH(F1071,Employee_Lookups!$A$13:$A$17,0))</f>
        <v>Band A (Entry)</v>
      </c>
      <c r="Z1071" s="27">
        <f>_xlfn.XLOOKUP(F1071,Employee_Lookups!$A$13:$A$17,Employee_Lookups!$E$13:$E$17,0)</f>
        <v>700000</v>
      </c>
      <c r="AA1071" s="28">
        <f>ROUND(O1071/INDEX(Employee_Lookups!$E$13:$E$17,MATCH(F1071,Employee_Lookups!$A$13:$A$17,0)),3)</f>
        <v>0.95099999999999996</v>
      </c>
      <c r="AB1071">
        <f t="shared" si="115"/>
        <v>2024</v>
      </c>
      <c r="AC1071" t="str">
        <f t="shared" si="116"/>
        <v/>
      </c>
      <c r="AD1071" s="28">
        <f>ROUND((IF(ISBLANK(L1071),Employee_Lookups!$O$14,L1071)-J1071)/365.25,2)</f>
        <v>1.59</v>
      </c>
      <c r="AE1071" t="str">
        <f t="shared" si="117"/>
        <v>1 - 3 Yrs</v>
      </c>
      <c r="AF1071" t="str">
        <f t="shared" si="118"/>
        <v>Low Risk</v>
      </c>
    </row>
    <row r="1072" spans="1:32" x14ac:dyDescent="0.45">
      <c r="A1072" t="s">
        <v>1895</v>
      </c>
      <c r="B1072" t="s">
        <v>969</v>
      </c>
      <c r="C1072" t="s">
        <v>51</v>
      </c>
      <c r="D1072" t="s">
        <v>50</v>
      </c>
      <c r="E1072" t="s">
        <v>181</v>
      </c>
      <c r="F1072" t="s">
        <v>81</v>
      </c>
      <c r="G1072" t="s">
        <v>182</v>
      </c>
      <c r="H1072" t="s">
        <v>106</v>
      </c>
      <c r="I1072" t="s">
        <v>107</v>
      </c>
      <c r="J1072" s="26">
        <v>45444</v>
      </c>
      <c r="K1072" t="s">
        <v>162</v>
      </c>
      <c r="L1072" s="26"/>
      <c r="M1072" t="s">
        <v>163</v>
      </c>
      <c r="N1072" t="s">
        <v>99</v>
      </c>
      <c r="O1072" s="27">
        <v>805000</v>
      </c>
      <c r="P1072">
        <v>3</v>
      </c>
      <c r="Q1072" t="s">
        <v>172</v>
      </c>
      <c r="R1072">
        <v>25</v>
      </c>
      <c r="S1072" t="s">
        <v>219</v>
      </c>
      <c r="T1072">
        <f t="shared" si="112"/>
        <v>11233</v>
      </c>
      <c r="U1072" t="str">
        <f t="shared" si="113"/>
        <v>ENG</v>
      </c>
      <c r="V1072" t="str">
        <f t="shared" si="114"/>
        <v>L1</v>
      </c>
      <c r="W1072" t="str">
        <f>PROPER(TRIM(VLOOKUP(S1072,Employee_Lookups!$I$4:$M$19,2,FALSE())))</f>
        <v>Neha Kulkarni</v>
      </c>
      <c r="X1072" t="str">
        <f>VLOOKUP(C1072,Employee_Lookups!$A$4:$G$9,4,FALSE())</f>
        <v>CC-101</v>
      </c>
      <c r="Y1072" t="str">
        <f>INDEX(Employee_Lookups!$C$13:$C$17,MATCH(F1072,Employee_Lookups!$A$13:$A$17,0))</f>
        <v>Band A (Entry)</v>
      </c>
      <c r="Z1072" s="27">
        <f>_xlfn.XLOOKUP(F1072,Employee_Lookups!$A$13:$A$17,Employee_Lookups!$E$13:$E$17,0)</f>
        <v>700000</v>
      </c>
      <c r="AA1072" s="28">
        <f>ROUND(O1072/INDEX(Employee_Lookups!$E$13:$E$17,MATCH(F1072,Employee_Lookups!$A$13:$A$17,0)),3)</f>
        <v>1.1499999999999999</v>
      </c>
      <c r="AB1072">
        <f t="shared" si="115"/>
        <v>2024</v>
      </c>
      <c r="AC1072" t="str">
        <f t="shared" si="116"/>
        <v/>
      </c>
      <c r="AD1072" s="28">
        <f>ROUND((IF(ISBLANK(L1072),Employee_Lookups!$O$14,L1072)-J1072)/365.25,2)</f>
        <v>1.58</v>
      </c>
      <c r="AE1072" t="str">
        <f t="shared" si="117"/>
        <v>1 - 3 Yrs</v>
      </c>
      <c r="AF1072" t="str">
        <f t="shared" si="118"/>
        <v>Moderate Risk</v>
      </c>
    </row>
    <row r="1073" spans="1:32" x14ac:dyDescent="0.45">
      <c r="A1073" t="s">
        <v>1896</v>
      </c>
      <c r="B1073" t="s">
        <v>1897</v>
      </c>
      <c r="C1073" t="s">
        <v>59</v>
      </c>
      <c r="D1073" t="s">
        <v>58</v>
      </c>
      <c r="E1073" t="s">
        <v>211</v>
      </c>
      <c r="F1073" t="s">
        <v>82</v>
      </c>
      <c r="G1073" t="s">
        <v>212</v>
      </c>
      <c r="H1073" t="s">
        <v>109</v>
      </c>
      <c r="I1073" t="s">
        <v>110</v>
      </c>
      <c r="J1073" s="26">
        <v>45449</v>
      </c>
      <c r="K1073" t="s">
        <v>162</v>
      </c>
      <c r="L1073" s="26"/>
      <c r="M1073" t="s">
        <v>163</v>
      </c>
      <c r="N1073" t="s">
        <v>98</v>
      </c>
      <c r="O1073" s="27">
        <v>1117000</v>
      </c>
      <c r="P1073">
        <v>3</v>
      </c>
      <c r="Q1073" t="s">
        <v>164</v>
      </c>
      <c r="R1073">
        <v>39</v>
      </c>
      <c r="S1073" t="s">
        <v>214</v>
      </c>
      <c r="T1073">
        <f t="shared" si="112"/>
        <v>10244</v>
      </c>
      <c r="U1073" t="str">
        <f t="shared" si="113"/>
        <v>FIN</v>
      </c>
      <c r="V1073" t="str">
        <f t="shared" si="114"/>
        <v>L2</v>
      </c>
      <c r="W1073" t="str">
        <f>PROPER(TRIM(VLOOKUP(S1073,Employee_Lookups!$I$4:$M$19,2,FALSE())))</f>
        <v>Aditya Gokhale</v>
      </c>
      <c r="X1073" t="str">
        <f>VLOOKUP(C1073,Employee_Lookups!$A$4:$G$9,4,FALSE())</f>
        <v>CC-404</v>
      </c>
      <c r="Y1073" t="str">
        <f>INDEX(Employee_Lookups!$C$13:$C$17,MATCH(F1073,Employee_Lookups!$A$13:$A$17,0))</f>
        <v>Band B (Mid)</v>
      </c>
      <c r="Z1073" s="27">
        <f>_xlfn.XLOOKUP(F1073,Employee_Lookups!$A$13:$A$17,Employee_Lookups!$E$13:$E$17,0)</f>
        <v>1100000</v>
      </c>
      <c r="AA1073" s="28">
        <f>ROUND(O1073/INDEX(Employee_Lookups!$E$13:$E$17,MATCH(F1073,Employee_Lookups!$A$13:$A$17,0)),3)</f>
        <v>1.0149999999999999</v>
      </c>
      <c r="AB1073">
        <f t="shared" si="115"/>
        <v>2024</v>
      </c>
      <c r="AC1073" t="str">
        <f t="shared" si="116"/>
        <v/>
      </c>
      <c r="AD1073" s="28">
        <f>ROUND((IF(ISBLANK(L1073),Employee_Lookups!$O$14,L1073)-J1073)/365.25,2)</f>
        <v>1.57</v>
      </c>
      <c r="AE1073" t="str">
        <f t="shared" si="117"/>
        <v>1 - 3 Yrs</v>
      </c>
      <c r="AF1073" t="str">
        <f t="shared" si="118"/>
        <v>Low Risk</v>
      </c>
    </row>
    <row r="1074" spans="1:32" x14ac:dyDescent="0.45">
      <c r="A1074" t="s">
        <v>1898</v>
      </c>
      <c r="B1074" t="s">
        <v>1060</v>
      </c>
      <c r="C1074" t="s">
        <v>53</v>
      </c>
      <c r="D1074" t="s">
        <v>52</v>
      </c>
      <c r="E1074" t="s">
        <v>322</v>
      </c>
      <c r="F1074" t="s">
        <v>81</v>
      </c>
      <c r="G1074" t="s">
        <v>323</v>
      </c>
      <c r="H1074" t="s">
        <v>108</v>
      </c>
      <c r="I1074" t="s">
        <v>107</v>
      </c>
      <c r="J1074" s="26">
        <v>45450</v>
      </c>
      <c r="K1074" t="s">
        <v>187</v>
      </c>
      <c r="L1074" s="26">
        <v>45668</v>
      </c>
      <c r="M1074" t="s">
        <v>282</v>
      </c>
      <c r="N1074" t="s">
        <v>99</v>
      </c>
      <c r="O1074" s="27">
        <v>616000</v>
      </c>
      <c r="P1074">
        <v>5</v>
      </c>
      <c r="Q1074" t="s">
        <v>172</v>
      </c>
      <c r="R1074">
        <v>0</v>
      </c>
      <c r="S1074" t="s">
        <v>189</v>
      </c>
      <c r="T1074">
        <f t="shared" si="112"/>
        <v>11007</v>
      </c>
      <c r="U1074" t="str">
        <f t="shared" si="113"/>
        <v>SAL</v>
      </c>
      <c r="V1074" t="str">
        <f t="shared" si="114"/>
        <v>L1</v>
      </c>
      <c r="W1074" t="str">
        <f>PROPER(TRIM(VLOOKUP(S1074,Employee_Lookups!$I$4:$M$19,2,FALSE())))</f>
        <v>Priya Sharma</v>
      </c>
      <c r="X1074" t="str">
        <f>VLOOKUP(C1074,Employee_Lookups!$A$4:$G$9,4,FALSE())</f>
        <v>CC-202</v>
      </c>
      <c r="Y1074" t="str">
        <f>INDEX(Employee_Lookups!$C$13:$C$17,MATCH(F1074,Employee_Lookups!$A$13:$A$17,0))</f>
        <v>Band A (Entry)</v>
      </c>
      <c r="Z1074" s="27">
        <f>_xlfn.XLOOKUP(F1074,Employee_Lookups!$A$13:$A$17,Employee_Lookups!$E$13:$E$17,0)</f>
        <v>700000</v>
      </c>
      <c r="AA1074" s="28">
        <f>ROUND(O1074/INDEX(Employee_Lookups!$E$13:$E$17,MATCH(F1074,Employee_Lookups!$A$13:$A$17,0)),3)</f>
        <v>0.88</v>
      </c>
      <c r="AB1074">
        <f t="shared" si="115"/>
        <v>2024</v>
      </c>
      <c r="AC1074">
        <f t="shared" si="116"/>
        <v>2025</v>
      </c>
      <c r="AD1074" s="28">
        <f>ROUND((IF(ISBLANK(L1074),Employee_Lookups!$O$14,L1074)-J1074)/365.25,2)</f>
        <v>0.6</v>
      </c>
      <c r="AE1074" t="str">
        <f t="shared" si="117"/>
        <v>&lt; 1 Yr (New)</v>
      </c>
      <c r="AF1074" t="str">
        <f t="shared" si="118"/>
        <v>Exited</v>
      </c>
    </row>
    <row r="1075" spans="1:32" x14ac:dyDescent="0.45">
      <c r="A1075" t="s">
        <v>1899</v>
      </c>
      <c r="B1075" t="s">
        <v>196</v>
      </c>
      <c r="C1075" t="s">
        <v>53</v>
      </c>
      <c r="D1075" t="s">
        <v>52</v>
      </c>
      <c r="E1075" t="s">
        <v>185</v>
      </c>
      <c r="F1075" t="s">
        <v>82</v>
      </c>
      <c r="G1075" t="s">
        <v>186</v>
      </c>
      <c r="H1075" t="s">
        <v>106</v>
      </c>
      <c r="I1075" t="s">
        <v>107</v>
      </c>
      <c r="J1075" s="26">
        <v>45452</v>
      </c>
      <c r="K1075" t="s">
        <v>162</v>
      </c>
      <c r="L1075" s="26"/>
      <c r="M1075" t="s">
        <v>163</v>
      </c>
      <c r="N1075" t="s">
        <v>98</v>
      </c>
      <c r="O1075" s="27">
        <v>1182000</v>
      </c>
      <c r="P1075">
        <v>3</v>
      </c>
      <c r="Q1075" t="s">
        <v>172</v>
      </c>
      <c r="R1075">
        <v>33</v>
      </c>
      <c r="S1075" t="s">
        <v>237</v>
      </c>
      <c r="T1075">
        <f t="shared" si="112"/>
        <v>10357</v>
      </c>
      <c r="U1075" t="str">
        <f t="shared" si="113"/>
        <v>SAL</v>
      </c>
      <c r="V1075" t="str">
        <f t="shared" si="114"/>
        <v>L2</v>
      </c>
      <c r="W1075" t="str">
        <f>PROPER(TRIM(VLOOKUP(S1075,Employee_Lookups!$I$4:$M$19,2,FALSE())))</f>
        <v>Karan Malhotra</v>
      </c>
      <c r="X1075" t="str">
        <f>VLOOKUP(C1075,Employee_Lookups!$A$4:$G$9,4,FALSE())</f>
        <v>CC-202</v>
      </c>
      <c r="Y1075" t="str">
        <f>INDEX(Employee_Lookups!$C$13:$C$17,MATCH(F1075,Employee_Lookups!$A$13:$A$17,0))</f>
        <v>Band B (Mid)</v>
      </c>
      <c r="Z1075" s="27">
        <f>_xlfn.XLOOKUP(F1075,Employee_Lookups!$A$13:$A$17,Employee_Lookups!$E$13:$E$17,0)</f>
        <v>1100000</v>
      </c>
      <c r="AA1075" s="28">
        <f>ROUND(O1075/INDEX(Employee_Lookups!$E$13:$E$17,MATCH(F1075,Employee_Lookups!$A$13:$A$17,0)),3)</f>
        <v>1.075</v>
      </c>
      <c r="AB1075">
        <f t="shared" si="115"/>
        <v>2024</v>
      </c>
      <c r="AC1075" t="str">
        <f t="shared" si="116"/>
        <v/>
      </c>
      <c r="AD1075" s="28">
        <f>ROUND((IF(ISBLANK(L1075),Employee_Lookups!$O$14,L1075)-J1075)/365.25,2)</f>
        <v>1.56</v>
      </c>
      <c r="AE1075" t="str">
        <f t="shared" si="117"/>
        <v>1 - 3 Yrs</v>
      </c>
      <c r="AF1075" t="str">
        <f t="shared" si="118"/>
        <v>Moderate Risk</v>
      </c>
    </row>
    <row r="1076" spans="1:32" x14ac:dyDescent="0.45">
      <c r="A1076" t="s">
        <v>1900</v>
      </c>
      <c r="B1076" t="s">
        <v>1901</v>
      </c>
      <c r="C1076" t="s">
        <v>53</v>
      </c>
      <c r="D1076" t="s">
        <v>52</v>
      </c>
      <c r="E1076" t="s">
        <v>322</v>
      </c>
      <c r="F1076" t="s">
        <v>81</v>
      </c>
      <c r="G1076" t="s">
        <v>323</v>
      </c>
      <c r="H1076" t="s">
        <v>108</v>
      </c>
      <c r="I1076" t="s">
        <v>107</v>
      </c>
      <c r="J1076" s="26">
        <v>45452</v>
      </c>
      <c r="K1076" t="s">
        <v>187</v>
      </c>
      <c r="L1076" s="26">
        <v>45792</v>
      </c>
      <c r="M1076" t="s">
        <v>213</v>
      </c>
      <c r="N1076" t="s">
        <v>96</v>
      </c>
      <c r="O1076" s="27">
        <v>798000</v>
      </c>
      <c r="P1076">
        <v>5</v>
      </c>
      <c r="Q1076" t="s">
        <v>172</v>
      </c>
      <c r="R1076">
        <v>50</v>
      </c>
      <c r="S1076" t="s">
        <v>189</v>
      </c>
      <c r="T1076">
        <f t="shared" si="112"/>
        <v>10993</v>
      </c>
      <c r="U1076" t="str">
        <f t="shared" si="113"/>
        <v>SAL</v>
      </c>
      <c r="V1076" t="str">
        <f t="shared" si="114"/>
        <v>L1</v>
      </c>
      <c r="W1076" t="str">
        <f>PROPER(TRIM(VLOOKUP(S1076,Employee_Lookups!$I$4:$M$19,2,FALSE())))</f>
        <v>Priya Sharma</v>
      </c>
      <c r="X1076" t="str">
        <f>VLOOKUP(C1076,Employee_Lookups!$A$4:$G$9,4,FALSE())</f>
        <v>CC-202</v>
      </c>
      <c r="Y1076" t="str">
        <f>INDEX(Employee_Lookups!$C$13:$C$17,MATCH(F1076,Employee_Lookups!$A$13:$A$17,0))</f>
        <v>Band A (Entry)</v>
      </c>
      <c r="Z1076" s="27">
        <f>_xlfn.XLOOKUP(F1076,Employee_Lookups!$A$13:$A$17,Employee_Lookups!$E$13:$E$17,0)</f>
        <v>700000</v>
      </c>
      <c r="AA1076" s="28">
        <f>ROUND(O1076/INDEX(Employee_Lookups!$E$13:$E$17,MATCH(F1076,Employee_Lookups!$A$13:$A$17,0)),3)</f>
        <v>1.1399999999999999</v>
      </c>
      <c r="AB1076">
        <f t="shared" si="115"/>
        <v>2024</v>
      </c>
      <c r="AC1076">
        <f t="shared" si="116"/>
        <v>2025</v>
      </c>
      <c r="AD1076" s="28">
        <f>ROUND((IF(ISBLANK(L1076),Employee_Lookups!$O$14,L1076)-J1076)/365.25,2)</f>
        <v>0.93</v>
      </c>
      <c r="AE1076" t="str">
        <f t="shared" si="117"/>
        <v>&lt; 1 Yr (New)</v>
      </c>
      <c r="AF1076" t="str">
        <f t="shared" si="118"/>
        <v>Exited</v>
      </c>
    </row>
    <row r="1077" spans="1:32" x14ac:dyDescent="0.45">
      <c r="A1077" t="s">
        <v>1902</v>
      </c>
      <c r="B1077" t="s">
        <v>382</v>
      </c>
      <c r="C1077" t="s">
        <v>61</v>
      </c>
      <c r="D1077" t="s">
        <v>60</v>
      </c>
      <c r="E1077" t="s">
        <v>356</v>
      </c>
      <c r="F1077" t="s">
        <v>81</v>
      </c>
      <c r="G1077" t="s">
        <v>357</v>
      </c>
      <c r="H1077" t="s">
        <v>111</v>
      </c>
      <c r="I1077" t="s">
        <v>110</v>
      </c>
      <c r="J1077" s="26">
        <v>45457</v>
      </c>
      <c r="K1077" t="s">
        <v>162</v>
      </c>
      <c r="L1077" s="26"/>
      <c r="M1077" t="s">
        <v>163</v>
      </c>
      <c r="N1077" t="s">
        <v>98</v>
      </c>
      <c r="O1077" s="27">
        <v>644000</v>
      </c>
      <c r="P1077">
        <v>3</v>
      </c>
      <c r="Q1077" t="s">
        <v>172</v>
      </c>
      <c r="R1077">
        <v>24</v>
      </c>
      <c r="S1077" t="s">
        <v>253</v>
      </c>
      <c r="T1077">
        <f t="shared" si="112"/>
        <v>10535</v>
      </c>
      <c r="U1077" t="str">
        <f t="shared" si="113"/>
        <v>-HR</v>
      </c>
      <c r="V1077" t="str">
        <f t="shared" si="114"/>
        <v>L1</v>
      </c>
      <c r="W1077" t="str">
        <f>PROPER(TRIM(VLOOKUP(S1077,Employee_Lookups!$I$4:$M$19,2,FALSE())))</f>
        <v>Nikhil Chatterjee</v>
      </c>
      <c r="X1077" t="str">
        <f>VLOOKUP(C1077,Employee_Lookups!$A$4:$G$9,4,FALSE())</f>
        <v>CC-505</v>
      </c>
      <c r="Y1077" t="str">
        <f>INDEX(Employee_Lookups!$C$13:$C$17,MATCH(F1077,Employee_Lookups!$A$13:$A$17,0))</f>
        <v>Band A (Entry)</v>
      </c>
      <c r="Z1077" s="27">
        <f>_xlfn.XLOOKUP(F1077,Employee_Lookups!$A$13:$A$17,Employee_Lookups!$E$13:$E$17,0)</f>
        <v>700000</v>
      </c>
      <c r="AA1077" s="28">
        <f>ROUND(O1077/INDEX(Employee_Lookups!$E$13:$E$17,MATCH(F1077,Employee_Lookups!$A$13:$A$17,0)),3)</f>
        <v>0.92</v>
      </c>
      <c r="AB1077">
        <f t="shared" si="115"/>
        <v>2024</v>
      </c>
      <c r="AC1077" t="str">
        <f t="shared" si="116"/>
        <v/>
      </c>
      <c r="AD1077" s="28">
        <f>ROUND((IF(ISBLANK(L1077),Employee_Lookups!$O$14,L1077)-J1077)/365.25,2)</f>
        <v>1.55</v>
      </c>
      <c r="AE1077" t="str">
        <f t="shared" si="117"/>
        <v>1 - 3 Yrs</v>
      </c>
      <c r="AF1077" t="str">
        <f t="shared" si="118"/>
        <v>High Risk</v>
      </c>
    </row>
    <row r="1078" spans="1:32" x14ac:dyDescent="0.45">
      <c r="A1078" t="s">
        <v>1903</v>
      </c>
      <c r="B1078" t="s">
        <v>834</v>
      </c>
      <c r="C1078" t="s">
        <v>53</v>
      </c>
      <c r="D1078" t="s">
        <v>52</v>
      </c>
      <c r="E1078" t="s">
        <v>200</v>
      </c>
      <c r="F1078" t="s">
        <v>84</v>
      </c>
      <c r="G1078" t="s">
        <v>201</v>
      </c>
      <c r="H1078" t="s">
        <v>109</v>
      </c>
      <c r="I1078" t="s">
        <v>110</v>
      </c>
      <c r="J1078" s="26">
        <v>45458</v>
      </c>
      <c r="K1078" t="s">
        <v>187</v>
      </c>
      <c r="L1078" s="26">
        <v>45694</v>
      </c>
      <c r="M1078" t="s">
        <v>282</v>
      </c>
      <c r="N1078" t="s">
        <v>96</v>
      </c>
      <c r="O1078" s="27">
        <v>2210000</v>
      </c>
      <c r="P1078">
        <v>3</v>
      </c>
      <c r="Q1078" t="s">
        <v>164</v>
      </c>
      <c r="R1078">
        <v>42</v>
      </c>
      <c r="S1078" t="s">
        <v>237</v>
      </c>
      <c r="T1078">
        <f t="shared" si="112"/>
        <v>10386</v>
      </c>
      <c r="U1078" t="str">
        <f t="shared" si="113"/>
        <v>SAL</v>
      </c>
      <c r="V1078" t="str">
        <f t="shared" si="114"/>
        <v>L4</v>
      </c>
      <c r="W1078" t="str">
        <f>PROPER(TRIM(VLOOKUP(S1078,Employee_Lookups!$I$4:$M$19,2,FALSE())))</f>
        <v>Karan Malhotra</v>
      </c>
      <c r="X1078" t="str">
        <f>VLOOKUP(C1078,Employee_Lookups!$A$4:$G$9,4,FALSE())</f>
        <v>CC-202</v>
      </c>
      <c r="Y1078" t="str">
        <f>INDEX(Employee_Lookups!$C$13:$C$17,MATCH(F1078,Employee_Lookups!$A$13:$A$17,0))</f>
        <v>Band D (Leadership)</v>
      </c>
      <c r="Z1078" s="27">
        <f>_xlfn.XLOOKUP(F1078,Employee_Lookups!$A$13:$A$17,Employee_Lookups!$E$13:$E$17,0)</f>
        <v>2750000</v>
      </c>
      <c r="AA1078" s="28">
        <f>ROUND(O1078/INDEX(Employee_Lookups!$E$13:$E$17,MATCH(F1078,Employee_Lookups!$A$13:$A$17,0)),3)</f>
        <v>0.80400000000000005</v>
      </c>
      <c r="AB1078">
        <f t="shared" si="115"/>
        <v>2024</v>
      </c>
      <c r="AC1078">
        <f t="shared" si="116"/>
        <v>2025</v>
      </c>
      <c r="AD1078" s="28">
        <f>ROUND((IF(ISBLANK(L1078),Employee_Lookups!$O$14,L1078)-J1078)/365.25,2)</f>
        <v>0.65</v>
      </c>
      <c r="AE1078" t="str">
        <f t="shared" si="117"/>
        <v>&lt; 1 Yr (New)</v>
      </c>
      <c r="AF1078" t="str">
        <f t="shared" si="118"/>
        <v>Exited</v>
      </c>
    </row>
    <row r="1079" spans="1:32" x14ac:dyDescent="0.45">
      <c r="A1079" t="s">
        <v>1904</v>
      </c>
      <c r="B1079" t="s">
        <v>1311</v>
      </c>
      <c r="C1079" t="s">
        <v>53</v>
      </c>
      <c r="D1079" t="s">
        <v>52</v>
      </c>
      <c r="E1079" t="s">
        <v>185</v>
      </c>
      <c r="F1079" t="s">
        <v>82</v>
      </c>
      <c r="G1079" t="s">
        <v>186</v>
      </c>
      <c r="H1079" t="s">
        <v>106</v>
      </c>
      <c r="I1079" t="s">
        <v>107</v>
      </c>
      <c r="J1079" s="26">
        <v>45462</v>
      </c>
      <c r="K1079" t="s">
        <v>170</v>
      </c>
      <c r="L1079" s="26">
        <v>45980</v>
      </c>
      <c r="M1079" t="s">
        <v>171</v>
      </c>
      <c r="N1079" t="s">
        <v>99</v>
      </c>
      <c r="O1079" s="27">
        <v>945000</v>
      </c>
      <c r="P1079">
        <v>2</v>
      </c>
      <c r="Q1079" t="s">
        <v>164</v>
      </c>
      <c r="R1079">
        <v>4</v>
      </c>
      <c r="S1079" t="s">
        <v>194</v>
      </c>
      <c r="T1079">
        <f t="shared" si="112"/>
        <v>10229</v>
      </c>
      <c r="U1079" t="str">
        <f t="shared" si="113"/>
        <v>SAL</v>
      </c>
      <c r="V1079" t="str">
        <f t="shared" si="114"/>
        <v>L2</v>
      </c>
      <c r="W1079" t="str">
        <f>PROPER(TRIM(VLOOKUP(S1079,Employee_Lookups!$I$4:$M$19,2,FALSE())))</f>
        <v>Vikramaditya Joshi</v>
      </c>
      <c r="X1079" t="str">
        <f>VLOOKUP(C1079,Employee_Lookups!$A$4:$G$9,4,FALSE())</f>
        <v>CC-202</v>
      </c>
      <c r="Y1079" t="str">
        <f>INDEX(Employee_Lookups!$C$13:$C$17,MATCH(F1079,Employee_Lookups!$A$13:$A$17,0))</f>
        <v>Band B (Mid)</v>
      </c>
      <c r="Z1079" s="27">
        <f>_xlfn.XLOOKUP(F1079,Employee_Lookups!$A$13:$A$17,Employee_Lookups!$E$13:$E$17,0)</f>
        <v>1100000</v>
      </c>
      <c r="AA1079" s="28">
        <f>ROUND(O1079/INDEX(Employee_Lookups!$E$13:$E$17,MATCH(F1079,Employee_Lookups!$A$13:$A$17,0)),3)</f>
        <v>0.85899999999999999</v>
      </c>
      <c r="AB1079">
        <f t="shared" si="115"/>
        <v>2024</v>
      </c>
      <c r="AC1079">
        <f t="shared" si="116"/>
        <v>2025</v>
      </c>
      <c r="AD1079" s="28">
        <f>ROUND((IF(ISBLANK(L1079),Employee_Lookups!$O$14,L1079)-J1079)/365.25,2)</f>
        <v>1.42</v>
      </c>
      <c r="AE1079" t="str">
        <f t="shared" si="117"/>
        <v>1 - 3 Yrs</v>
      </c>
      <c r="AF1079" t="str">
        <f t="shared" si="118"/>
        <v>Exited</v>
      </c>
    </row>
    <row r="1080" spans="1:32" x14ac:dyDescent="0.45">
      <c r="A1080" t="s">
        <v>1905</v>
      </c>
      <c r="B1080" t="s">
        <v>1906</v>
      </c>
      <c r="C1080" t="s">
        <v>53</v>
      </c>
      <c r="D1080" t="s">
        <v>52</v>
      </c>
      <c r="E1080" t="s">
        <v>322</v>
      </c>
      <c r="F1080" t="s">
        <v>81</v>
      </c>
      <c r="G1080" t="s">
        <v>323</v>
      </c>
      <c r="H1080" t="s">
        <v>106</v>
      </c>
      <c r="I1080" t="s">
        <v>107</v>
      </c>
      <c r="J1080" s="26">
        <v>45462</v>
      </c>
      <c r="K1080" t="s">
        <v>162</v>
      </c>
      <c r="L1080" s="26"/>
      <c r="M1080" t="s">
        <v>163</v>
      </c>
      <c r="N1080" t="s">
        <v>96</v>
      </c>
      <c r="O1080" s="27">
        <v>697000</v>
      </c>
      <c r="P1080">
        <v>3</v>
      </c>
      <c r="Q1080" t="s">
        <v>172</v>
      </c>
      <c r="R1080">
        <v>28</v>
      </c>
      <c r="S1080" t="s">
        <v>189</v>
      </c>
      <c r="T1080">
        <f t="shared" si="112"/>
        <v>10872</v>
      </c>
      <c r="U1080" t="str">
        <f t="shared" si="113"/>
        <v>SAL</v>
      </c>
      <c r="V1080" t="str">
        <f t="shared" si="114"/>
        <v>L1</v>
      </c>
      <c r="W1080" t="str">
        <f>PROPER(TRIM(VLOOKUP(S1080,Employee_Lookups!$I$4:$M$19,2,FALSE())))</f>
        <v>Priya Sharma</v>
      </c>
      <c r="X1080" t="str">
        <f>VLOOKUP(C1080,Employee_Lookups!$A$4:$G$9,4,FALSE())</f>
        <v>CC-202</v>
      </c>
      <c r="Y1080" t="str">
        <f>INDEX(Employee_Lookups!$C$13:$C$17,MATCH(F1080,Employee_Lookups!$A$13:$A$17,0))</f>
        <v>Band A (Entry)</v>
      </c>
      <c r="Z1080" s="27">
        <f>_xlfn.XLOOKUP(F1080,Employee_Lookups!$A$13:$A$17,Employee_Lookups!$E$13:$E$17,0)</f>
        <v>700000</v>
      </c>
      <c r="AA1080" s="28">
        <f>ROUND(O1080/INDEX(Employee_Lookups!$E$13:$E$17,MATCH(F1080,Employee_Lookups!$A$13:$A$17,0)),3)</f>
        <v>0.996</v>
      </c>
      <c r="AB1080">
        <f t="shared" si="115"/>
        <v>2024</v>
      </c>
      <c r="AC1080" t="str">
        <f t="shared" si="116"/>
        <v/>
      </c>
      <c r="AD1080" s="28">
        <f>ROUND((IF(ISBLANK(L1080),Employee_Lookups!$O$14,L1080)-J1080)/365.25,2)</f>
        <v>1.53</v>
      </c>
      <c r="AE1080" t="str">
        <f t="shared" si="117"/>
        <v>1 - 3 Yrs</v>
      </c>
      <c r="AF1080" t="str">
        <f t="shared" si="118"/>
        <v>Moderate Risk</v>
      </c>
    </row>
    <row r="1081" spans="1:32" x14ac:dyDescent="0.45">
      <c r="A1081" t="s">
        <v>1907</v>
      </c>
      <c r="B1081" t="s">
        <v>522</v>
      </c>
      <c r="C1081" t="s">
        <v>53</v>
      </c>
      <c r="D1081" t="s">
        <v>52</v>
      </c>
      <c r="E1081" t="s">
        <v>322</v>
      </c>
      <c r="F1081" t="s">
        <v>81</v>
      </c>
      <c r="G1081" t="s">
        <v>323</v>
      </c>
      <c r="H1081" t="s">
        <v>106</v>
      </c>
      <c r="I1081" t="s">
        <v>107</v>
      </c>
      <c r="J1081" s="26">
        <v>45463</v>
      </c>
      <c r="K1081" t="s">
        <v>162</v>
      </c>
      <c r="L1081" s="26"/>
      <c r="M1081" t="s">
        <v>163</v>
      </c>
      <c r="N1081" t="s">
        <v>97</v>
      </c>
      <c r="O1081" s="27">
        <v>819000</v>
      </c>
      <c r="P1081">
        <v>4</v>
      </c>
      <c r="Q1081" t="s">
        <v>172</v>
      </c>
      <c r="R1081">
        <v>49</v>
      </c>
      <c r="S1081" t="s">
        <v>189</v>
      </c>
      <c r="T1081">
        <f t="shared" si="112"/>
        <v>10584</v>
      </c>
      <c r="U1081" t="str">
        <f t="shared" si="113"/>
        <v>SAL</v>
      </c>
      <c r="V1081" t="str">
        <f t="shared" si="114"/>
        <v>L1</v>
      </c>
      <c r="W1081" t="str">
        <f>PROPER(TRIM(VLOOKUP(S1081,Employee_Lookups!$I$4:$M$19,2,FALSE())))</f>
        <v>Priya Sharma</v>
      </c>
      <c r="X1081" t="str">
        <f>VLOOKUP(C1081,Employee_Lookups!$A$4:$G$9,4,FALSE())</f>
        <v>CC-202</v>
      </c>
      <c r="Y1081" t="str">
        <f>INDEX(Employee_Lookups!$C$13:$C$17,MATCH(F1081,Employee_Lookups!$A$13:$A$17,0))</f>
        <v>Band A (Entry)</v>
      </c>
      <c r="Z1081" s="27">
        <f>_xlfn.XLOOKUP(F1081,Employee_Lookups!$A$13:$A$17,Employee_Lookups!$E$13:$E$17,0)</f>
        <v>700000</v>
      </c>
      <c r="AA1081" s="28">
        <f>ROUND(O1081/INDEX(Employee_Lookups!$E$13:$E$17,MATCH(F1081,Employee_Lookups!$A$13:$A$17,0)),3)</f>
        <v>1.17</v>
      </c>
      <c r="AB1081">
        <f t="shared" si="115"/>
        <v>2024</v>
      </c>
      <c r="AC1081" t="str">
        <f t="shared" si="116"/>
        <v/>
      </c>
      <c r="AD1081" s="28">
        <f>ROUND((IF(ISBLANK(L1081),Employee_Lookups!$O$14,L1081)-J1081)/365.25,2)</f>
        <v>1.53</v>
      </c>
      <c r="AE1081" t="str">
        <f t="shared" si="117"/>
        <v>1 - 3 Yrs</v>
      </c>
      <c r="AF1081" t="str">
        <f t="shared" si="118"/>
        <v>High Risk</v>
      </c>
    </row>
    <row r="1082" spans="1:32" x14ac:dyDescent="0.45">
      <c r="A1082" t="s">
        <v>1908</v>
      </c>
      <c r="B1082" t="s">
        <v>1469</v>
      </c>
      <c r="C1082" t="s">
        <v>57</v>
      </c>
      <c r="D1082" t="s">
        <v>56</v>
      </c>
      <c r="E1082" t="s">
        <v>1909</v>
      </c>
      <c r="F1082" t="s">
        <v>85</v>
      </c>
      <c r="G1082" t="s">
        <v>1910</v>
      </c>
      <c r="H1082" t="s">
        <v>109</v>
      </c>
      <c r="I1082" t="s">
        <v>110</v>
      </c>
      <c r="J1082" s="26">
        <v>45463</v>
      </c>
      <c r="K1082" t="s">
        <v>170</v>
      </c>
      <c r="L1082" s="26">
        <v>45673</v>
      </c>
      <c r="M1082" t="s">
        <v>171</v>
      </c>
      <c r="N1082" t="s">
        <v>97</v>
      </c>
      <c r="O1082" s="27">
        <v>3672000</v>
      </c>
      <c r="P1082">
        <v>2</v>
      </c>
      <c r="Q1082" t="s">
        <v>164</v>
      </c>
      <c r="R1082">
        <v>35</v>
      </c>
      <c r="S1082" t="s">
        <v>224</v>
      </c>
      <c r="T1082">
        <f t="shared" si="112"/>
        <v>10175</v>
      </c>
      <c r="U1082" t="str">
        <f t="shared" si="113"/>
        <v>MKT</v>
      </c>
      <c r="V1082" t="str">
        <f t="shared" si="114"/>
        <v>L5</v>
      </c>
      <c r="W1082" t="str">
        <f>PROPER(TRIM(VLOOKUP(S1082,Employee_Lookups!$I$4:$M$19,2,FALSE())))</f>
        <v>Tanvi Chitnis</v>
      </c>
      <c r="X1082" t="str">
        <f>VLOOKUP(C1082,Employee_Lookups!$A$4:$G$9,4,FALSE())</f>
        <v>CC-606</v>
      </c>
      <c r="Y1082" t="str">
        <f>INDEX(Employee_Lookups!$C$13:$C$17,MATCH(F1082,Employee_Lookups!$A$13:$A$17,0))</f>
        <v>Band E (Executive)</v>
      </c>
      <c r="Z1082" s="27">
        <f>_xlfn.XLOOKUP(F1082,Employee_Lookups!$A$13:$A$17,Employee_Lookups!$E$13:$E$17,0)</f>
        <v>4300000</v>
      </c>
      <c r="AA1082" s="28">
        <f>ROUND(O1082/INDEX(Employee_Lookups!$E$13:$E$17,MATCH(F1082,Employee_Lookups!$A$13:$A$17,0)),3)</f>
        <v>0.85399999999999998</v>
      </c>
      <c r="AB1082">
        <f t="shared" si="115"/>
        <v>2024</v>
      </c>
      <c r="AC1082">
        <f t="shared" si="116"/>
        <v>2025</v>
      </c>
      <c r="AD1082" s="28">
        <f>ROUND((IF(ISBLANK(L1082),Employee_Lookups!$O$14,L1082)-J1082)/365.25,2)</f>
        <v>0.56999999999999995</v>
      </c>
      <c r="AE1082" t="str">
        <f t="shared" si="117"/>
        <v>&lt; 1 Yr (New)</v>
      </c>
      <c r="AF1082" t="str">
        <f t="shared" si="118"/>
        <v>Exited</v>
      </c>
    </row>
    <row r="1083" spans="1:32" x14ac:dyDescent="0.45">
      <c r="A1083" t="s">
        <v>1911</v>
      </c>
      <c r="B1083" t="s">
        <v>1912</v>
      </c>
      <c r="C1083" t="s">
        <v>53</v>
      </c>
      <c r="D1083" t="s">
        <v>52</v>
      </c>
      <c r="E1083" t="s">
        <v>322</v>
      </c>
      <c r="F1083" t="s">
        <v>81</v>
      </c>
      <c r="G1083" t="s">
        <v>323</v>
      </c>
      <c r="H1083" t="s">
        <v>106</v>
      </c>
      <c r="I1083" t="s">
        <v>107</v>
      </c>
      <c r="J1083" s="26">
        <v>45465</v>
      </c>
      <c r="K1083" t="s">
        <v>162</v>
      </c>
      <c r="L1083" s="26"/>
      <c r="M1083" t="s">
        <v>163</v>
      </c>
      <c r="N1083" t="s">
        <v>95</v>
      </c>
      <c r="O1083" s="27">
        <v>675000</v>
      </c>
      <c r="P1083">
        <v>3</v>
      </c>
      <c r="Q1083" t="s">
        <v>172</v>
      </c>
      <c r="R1083">
        <v>28</v>
      </c>
      <c r="S1083" t="s">
        <v>189</v>
      </c>
      <c r="T1083">
        <f t="shared" si="112"/>
        <v>10239</v>
      </c>
      <c r="U1083" t="str">
        <f t="shared" si="113"/>
        <v>SAL</v>
      </c>
      <c r="V1083" t="str">
        <f t="shared" si="114"/>
        <v>L1</v>
      </c>
      <c r="W1083" t="str">
        <f>PROPER(TRIM(VLOOKUP(S1083,Employee_Lookups!$I$4:$M$19,2,FALSE())))</f>
        <v>Priya Sharma</v>
      </c>
      <c r="X1083" t="str">
        <f>VLOOKUP(C1083,Employee_Lookups!$A$4:$G$9,4,FALSE())</f>
        <v>CC-202</v>
      </c>
      <c r="Y1083" t="str">
        <f>INDEX(Employee_Lookups!$C$13:$C$17,MATCH(F1083,Employee_Lookups!$A$13:$A$17,0))</f>
        <v>Band A (Entry)</v>
      </c>
      <c r="Z1083" s="27">
        <f>_xlfn.XLOOKUP(F1083,Employee_Lookups!$A$13:$A$17,Employee_Lookups!$E$13:$E$17,0)</f>
        <v>700000</v>
      </c>
      <c r="AA1083" s="28">
        <f>ROUND(O1083/INDEX(Employee_Lookups!$E$13:$E$17,MATCH(F1083,Employee_Lookups!$A$13:$A$17,0)),3)</f>
        <v>0.96399999999999997</v>
      </c>
      <c r="AB1083">
        <f t="shared" si="115"/>
        <v>2024</v>
      </c>
      <c r="AC1083" t="str">
        <f t="shared" si="116"/>
        <v/>
      </c>
      <c r="AD1083" s="28">
        <f>ROUND((IF(ISBLANK(L1083),Employee_Lookups!$O$14,L1083)-J1083)/365.25,2)</f>
        <v>1.52</v>
      </c>
      <c r="AE1083" t="str">
        <f t="shared" si="117"/>
        <v>1 - 3 Yrs</v>
      </c>
      <c r="AF1083" t="str">
        <f t="shared" si="118"/>
        <v>Moderate Risk</v>
      </c>
    </row>
    <row r="1084" spans="1:32" x14ac:dyDescent="0.45">
      <c r="A1084" t="s">
        <v>1913</v>
      </c>
      <c r="B1084" t="s">
        <v>1914</v>
      </c>
      <c r="C1084" t="s">
        <v>51</v>
      </c>
      <c r="D1084" t="s">
        <v>50</v>
      </c>
      <c r="E1084" t="s">
        <v>176</v>
      </c>
      <c r="F1084" t="s">
        <v>82</v>
      </c>
      <c r="G1084" t="s">
        <v>177</v>
      </c>
      <c r="H1084" t="s">
        <v>106</v>
      </c>
      <c r="I1084" t="s">
        <v>107</v>
      </c>
      <c r="J1084" s="26">
        <v>45466</v>
      </c>
      <c r="K1084" t="s">
        <v>162</v>
      </c>
      <c r="L1084" s="26"/>
      <c r="M1084" t="s">
        <v>163</v>
      </c>
      <c r="N1084" t="s">
        <v>95</v>
      </c>
      <c r="O1084" s="27">
        <v>869000</v>
      </c>
      <c r="P1084">
        <v>2</v>
      </c>
      <c r="Q1084" t="s">
        <v>164</v>
      </c>
      <c r="R1084">
        <v>17</v>
      </c>
      <c r="S1084" t="s">
        <v>178</v>
      </c>
      <c r="T1084">
        <f t="shared" si="112"/>
        <v>10468</v>
      </c>
      <c r="U1084" t="str">
        <f t="shared" si="113"/>
        <v>ENG</v>
      </c>
      <c r="V1084" t="str">
        <f t="shared" si="114"/>
        <v>L2</v>
      </c>
      <c r="W1084" t="str">
        <f>PROPER(TRIM(VLOOKUP(S1084,Employee_Lookups!$I$4:$M$19,2,FALSE())))</f>
        <v>Aarav Deshmukh</v>
      </c>
      <c r="X1084" t="str">
        <f>VLOOKUP(C1084,Employee_Lookups!$A$4:$G$9,4,FALSE())</f>
        <v>CC-101</v>
      </c>
      <c r="Y1084" t="str">
        <f>INDEX(Employee_Lookups!$C$13:$C$17,MATCH(F1084,Employee_Lookups!$A$13:$A$17,0))</f>
        <v>Band B (Mid)</v>
      </c>
      <c r="Z1084" s="27">
        <f>_xlfn.XLOOKUP(F1084,Employee_Lookups!$A$13:$A$17,Employee_Lookups!$E$13:$E$17,0)</f>
        <v>1100000</v>
      </c>
      <c r="AA1084" s="28">
        <f>ROUND(O1084/INDEX(Employee_Lookups!$E$13:$E$17,MATCH(F1084,Employee_Lookups!$A$13:$A$17,0)),3)</f>
        <v>0.79</v>
      </c>
      <c r="AB1084">
        <f t="shared" si="115"/>
        <v>2024</v>
      </c>
      <c r="AC1084" t="str">
        <f t="shared" si="116"/>
        <v/>
      </c>
      <c r="AD1084" s="28">
        <f>ROUND((IF(ISBLANK(L1084),Employee_Lookups!$O$14,L1084)-J1084)/365.25,2)</f>
        <v>1.52</v>
      </c>
      <c r="AE1084" t="str">
        <f t="shared" si="117"/>
        <v>1 - 3 Yrs</v>
      </c>
      <c r="AF1084" t="str">
        <f t="shared" si="118"/>
        <v>Moderate Risk</v>
      </c>
    </row>
    <row r="1085" spans="1:32" x14ac:dyDescent="0.45">
      <c r="A1085" t="s">
        <v>1915</v>
      </c>
      <c r="B1085" t="s">
        <v>625</v>
      </c>
      <c r="C1085" t="s">
        <v>53</v>
      </c>
      <c r="D1085" t="s">
        <v>52</v>
      </c>
      <c r="E1085" t="s">
        <v>322</v>
      </c>
      <c r="F1085" t="s">
        <v>81</v>
      </c>
      <c r="G1085" t="s">
        <v>323</v>
      </c>
      <c r="H1085" t="s">
        <v>108</v>
      </c>
      <c r="I1085" t="s">
        <v>107</v>
      </c>
      <c r="J1085" s="26">
        <v>45467</v>
      </c>
      <c r="K1085" t="s">
        <v>162</v>
      </c>
      <c r="L1085" s="26"/>
      <c r="M1085" t="s">
        <v>163</v>
      </c>
      <c r="N1085" t="s">
        <v>99</v>
      </c>
      <c r="O1085" s="27">
        <v>840000</v>
      </c>
      <c r="P1085">
        <v>3</v>
      </c>
      <c r="Q1085" t="s">
        <v>172</v>
      </c>
      <c r="R1085">
        <v>29</v>
      </c>
      <c r="S1085" t="s">
        <v>194</v>
      </c>
      <c r="T1085">
        <f t="shared" si="112"/>
        <v>10630</v>
      </c>
      <c r="U1085" t="str">
        <f t="shared" si="113"/>
        <v>SAL</v>
      </c>
      <c r="V1085" t="str">
        <f t="shared" si="114"/>
        <v>L1</v>
      </c>
      <c r="W1085" t="str">
        <f>PROPER(TRIM(VLOOKUP(S1085,Employee_Lookups!$I$4:$M$19,2,FALSE())))</f>
        <v>Vikramaditya Joshi</v>
      </c>
      <c r="X1085" t="str">
        <f>VLOOKUP(C1085,Employee_Lookups!$A$4:$G$9,4,FALSE())</f>
        <v>CC-202</v>
      </c>
      <c r="Y1085" t="str">
        <f>INDEX(Employee_Lookups!$C$13:$C$17,MATCH(F1085,Employee_Lookups!$A$13:$A$17,0))</f>
        <v>Band A (Entry)</v>
      </c>
      <c r="Z1085" s="27">
        <f>_xlfn.XLOOKUP(F1085,Employee_Lookups!$A$13:$A$17,Employee_Lookups!$E$13:$E$17,0)</f>
        <v>700000</v>
      </c>
      <c r="AA1085" s="28">
        <f>ROUND(O1085/INDEX(Employee_Lookups!$E$13:$E$17,MATCH(F1085,Employee_Lookups!$A$13:$A$17,0)),3)</f>
        <v>1.2</v>
      </c>
      <c r="AB1085">
        <f t="shared" si="115"/>
        <v>2024</v>
      </c>
      <c r="AC1085" t="str">
        <f t="shared" si="116"/>
        <v/>
      </c>
      <c r="AD1085" s="28">
        <f>ROUND((IF(ISBLANK(L1085),Employee_Lookups!$O$14,L1085)-J1085)/365.25,2)</f>
        <v>1.52</v>
      </c>
      <c r="AE1085" t="str">
        <f t="shared" si="117"/>
        <v>1 - 3 Yrs</v>
      </c>
      <c r="AF1085" t="str">
        <f t="shared" si="118"/>
        <v>Moderate Risk</v>
      </c>
    </row>
    <row r="1086" spans="1:32" x14ac:dyDescent="0.45">
      <c r="A1086" t="s">
        <v>1916</v>
      </c>
      <c r="B1086" t="s">
        <v>1162</v>
      </c>
      <c r="C1086" t="s">
        <v>61</v>
      </c>
      <c r="D1086" t="s">
        <v>60</v>
      </c>
      <c r="E1086" t="s">
        <v>251</v>
      </c>
      <c r="F1086" t="s">
        <v>82</v>
      </c>
      <c r="G1086" t="s">
        <v>252</v>
      </c>
      <c r="H1086" t="s">
        <v>106</v>
      </c>
      <c r="I1086" t="s">
        <v>107</v>
      </c>
      <c r="J1086" s="26">
        <v>45468</v>
      </c>
      <c r="K1086" t="s">
        <v>162</v>
      </c>
      <c r="L1086" s="26"/>
      <c r="M1086" t="s">
        <v>163</v>
      </c>
      <c r="N1086" t="s">
        <v>97</v>
      </c>
      <c r="O1086" s="27">
        <v>989000</v>
      </c>
      <c r="P1086">
        <v>3</v>
      </c>
      <c r="Q1086" t="s">
        <v>164</v>
      </c>
      <c r="R1086">
        <v>57</v>
      </c>
      <c r="S1086" t="s">
        <v>253</v>
      </c>
      <c r="T1086">
        <f t="shared" si="112"/>
        <v>10072</v>
      </c>
      <c r="U1086" t="str">
        <f t="shared" si="113"/>
        <v>-HR</v>
      </c>
      <c r="V1086" t="str">
        <f t="shared" si="114"/>
        <v>L2</v>
      </c>
      <c r="W1086" t="str">
        <f>PROPER(TRIM(VLOOKUP(S1086,Employee_Lookups!$I$4:$M$19,2,FALSE())))</f>
        <v>Nikhil Chatterjee</v>
      </c>
      <c r="X1086" t="str">
        <f>VLOOKUP(C1086,Employee_Lookups!$A$4:$G$9,4,FALSE())</f>
        <v>CC-505</v>
      </c>
      <c r="Y1086" t="str">
        <f>INDEX(Employee_Lookups!$C$13:$C$17,MATCH(F1086,Employee_Lookups!$A$13:$A$17,0))</f>
        <v>Band B (Mid)</v>
      </c>
      <c r="Z1086" s="27">
        <f>_xlfn.XLOOKUP(F1086,Employee_Lookups!$A$13:$A$17,Employee_Lookups!$E$13:$E$17,0)</f>
        <v>1100000</v>
      </c>
      <c r="AA1086" s="28">
        <f>ROUND(O1086/INDEX(Employee_Lookups!$E$13:$E$17,MATCH(F1086,Employee_Lookups!$A$13:$A$17,0)),3)</f>
        <v>0.89900000000000002</v>
      </c>
      <c r="AB1086">
        <f t="shared" si="115"/>
        <v>2024</v>
      </c>
      <c r="AC1086" t="str">
        <f t="shared" si="116"/>
        <v/>
      </c>
      <c r="AD1086" s="28">
        <f>ROUND((IF(ISBLANK(L1086),Employee_Lookups!$O$14,L1086)-J1086)/365.25,2)</f>
        <v>1.52</v>
      </c>
      <c r="AE1086" t="str">
        <f t="shared" si="117"/>
        <v>1 - 3 Yrs</v>
      </c>
      <c r="AF1086" t="str">
        <f t="shared" si="118"/>
        <v>Low Risk</v>
      </c>
    </row>
    <row r="1087" spans="1:32" x14ac:dyDescent="0.45">
      <c r="A1087" t="s">
        <v>1917</v>
      </c>
      <c r="B1087" t="s">
        <v>1331</v>
      </c>
      <c r="C1087" t="s">
        <v>53</v>
      </c>
      <c r="D1087" t="s">
        <v>52</v>
      </c>
      <c r="E1087" t="s">
        <v>322</v>
      </c>
      <c r="F1087" t="s">
        <v>81</v>
      </c>
      <c r="G1087" t="s">
        <v>323</v>
      </c>
      <c r="H1087" t="s">
        <v>108</v>
      </c>
      <c r="I1087" t="s">
        <v>107</v>
      </c>
      <c r="J1087" s="26">
        <v>45469</v>
      </c>
      <c r="K1087" t="s">
        <v>162</v>
      </c>
      <c r="L1087" s="26"/>
      <c r="M1087" t="s">
        <v>163</v>
      </c>
      <c r="N1087" t="s">
        <v>97</v>
      </c>
      <c r="O1087" s="27">
        <v>600000</v>
      </c>
      <c r="P1087">
        <v>3</v>
      </c>
      <c r="Q1087" t="s">
        <v>172</v>
      </c>
      <c r="R1087">
        <v>30</v>
      </c>
      <c r="S1087" t="s">
        <v>189</v>
      </c>
      <c r="T1087">
        <f t="shared" si="112"/>
        <v>10745</v>
      </c>
      <c r="U1087" t="str">
        <f t="shared" si="113"/>
        <v>SAL</v>
      </c>
      <c r="V1087" t="str">
        <f t="shared" si="114"/>
        <v>L1</v>
      </c>
      <c r="W1087" t="str">
        <f>PROPER(TRIM(VLOOKUP(S1087,Employee_Lookups!$I$4:$M$19,2,FALSE())))</f>
        <v>Priya Sharma</v>
      </c>
      <c r="X1087" t="str">
        <f>VLOOKUP(C1087,Employee_Lookups!$A$4:$G$9,4,FALSE())</f>
        <v>CC-202</v>
      </c>
      <c r="Y1087" t="str">
        <f>INDEX(Employee_Lookups!$C$13:$C$17,MATCH(F1087,Employee_Lookups!$A$13:$A$17,0))</f>
        <v>Band A (Entry)</v>
      </c>
      <c r="Z1087" s="27">
        <f>_xlfn.XLOOKUP(F1087,Employee_Lookups!$A$13:$A$17,Employee_Lookups!$E$13:$E$17,0)</f>
        <v>700000</v>
      </c>
      <c r="AA1087" s="28">
        <f>ROUND(O1087/INDEX(Employee_Lookups!$E$13:$E$17,MATCH(F1087,Employee_Lookups!$A$13:$A$17,0)),3)</f>
        <v>0.85699999999999998</v>
      </c>
      <c r="AB1087">
        <f t="shared" si="115"/>
        <v>2024</v>
      </c>
      <c r="AC1087" t="str">
        <f t="shared" si="116"/>
        <v/>
      </c>
      <c r="AD1087" s="28">
        <f>ROUND((IF(ISBLANK(L1087),Employee_Lookups!$O$14,L1087)-J1087)/365.25,2)</f>
        <v>1.51</v>
      </c>
      <c r="AE1087" t="str">
        <f t="shared" si="117"/>
        <v>1 - 3 Yrs</v>
      </c>
      <c r="AF1087" t="str">
        <f t="shared" si="118"/>
        <v>High Risk</v>
      </c>
    </row>
    <row r="1088" spans="1:32" x14ac:dyDescent="0.45">
      <c r="A1088" t="s">
        <v>1918</v>
      </c>
      <c r="B1088" t="s">
        <v>462</v>
      </c>
      <c r="C1088" t="s">
        <v>55</v>
      </c>
      <c r="D1088" t="s">
        <v>54</v>
      </c>
      <c r="E1088" t="s">
        <v>277</v>
      </c>
      <c r="F1088" t="s">
        <v>81</v>
      </c>
      <c r="G1088" t="s">
        <v>278</v>
      </c>
      <c r="H1088" t="s">
        <v>108</v>
      </c>
      <c r="I1088" t="s">
        <v>107</v>
      </c>
      <c r="J1088" s="26">
        <v>45470</v>
      </c>
      <c r="K1088" t="s">
        <v>162</v>
      </c>
      <c r="L1088" s="26"/>
      <c r="M1088" t="s">
        <v>163</v>
      </c>
      <c r="N1088" t="s">
        <v>98</v>
      </c>
      <c r="O1088" s="27">
        <v>696000</v>
      </c>
      <c r="P1088">
        <v>2</v>
      </c>
      <c r="Q1088" t="s">
        <v>164</v>
      </c>
      <c r="R1088">
        <v>6</v>
      </c>
      <c r="S1088" t="s">
        <v>173</v>
      </c>
      <c r="T1088">
        <f t="shared" si="112"/>
        <v>10547</v>
      </c>
      <c r="U1088" t="str">
        <f t="shared" si="113"/>
        <v>OPS</v>
      </c>
      <c r="V1088" t="str">
        <f t="shared" si="114"/>
        <v>L1</v>
      </c>
      <c r="W1088" t="str">
        <f>PROPER(TRIM(VLOOKUP(S1088,Employee_Lookups!$I$4:$M$19,2,FALSE())))</f>
        <v>Deepak Patil</v>
      </c>
      <c r="X1088" t="str">
        <f>VLOOKUP(C1088,Employee_Lookups!$A$4:$G$9,4,FALSE())</f>
        <v>CC-303</v>
      </c>
      <c r="Y1088" t="str">
        <f>INDEX(Employee_Lookups!$C$13:$C$17,MATCH(F1088,Employee_Lookups!$A$13:$A$17,0))</f>
        <v>Band A (Entry)</v>
      </c>
      <c r="Z1088" s="27">
        <f>_xlfn.XLOOKUP(F1088,Employee_Lookups!$A$13:$A$17,Employee_Lookups!$E$13:$E$17,0)</f>
        <v>700000</v>
      </c>
      <c r="AA1088" s="28">
        <f>ROUND(O1088/INDEX(Employee_Lookups!$E$13:$E$17,MATCH(F1088,Employee_Lookups!$A$13:$A$17,0)),3)</f>
        <v>0.99399999999999999</v>
      </c>
      <c r="AB1088">
        <f t="shared" si="115"/>
        <v>2024</v>
      </c>
      <c r="AC1088" t="str">
        <f t="shared" si="116"/>
        <v/>
      </c>
      <c r="AD1088" s="28">
        <f>ROUND((IF(ISBLANK(L1088),Employee_Lookups!$O$14,L1088)-J1088)/365.25,2)</f>
        <v>1.51</v>
      </c>
      <c r="AE1088" t="str">
        <f t="shared" si="117"/>
        <v>1 - 3 Yrs</v>
      </c>
      <c r="AF1088" t="str">
        <f t="shared" si="118"/>
        <v>Moderate Risk</v>
      </c>
    </row>
    <row r="1089" spans="1:32" x14ac:dyDescent="0.45">
      <c r="A1089" t="s">
        <v>1919</v>
      </c>
      <c r="B1089" t="s">
        <v>1920</v>
      </c>
      <c r="C1089" t="s">
        <v>51</v>
      </c>
      <c r="D1089" t="s">
        <v>50</v>
      </c>
      <c r="E1089" t="s">
        <v>217</v>
      </c>
      <c r="F1089" t="s">
        <v>83</v>
      </c>
      <c r="G1089" t="s">
        <v>218</v>
      </c>
      <c r="H1089" t="s">
        <v>109</v>
      </c>
      <c r="I1089" t="s">
        <v>110</v>
      </c>
      <c r="J1089" s="26">
        <v>45470</v>
      </c>
      <c r="K1089" t="s">
        <v>162</v>
      </c>
      <c r="L1089" s="26"/>
      <c r="M1089" t="s">
        <v>163</v>
      </c>
      <c r="N1089" t="s">
        <v>95</v>
      </c>
      <c r="O1089" s="27">
        <v>1435000</v>
      </c>
      <c r="P1089">
        <v>2</v>
      </c>
      <c r="Q1089" t="s">
        <v>164</v>
      </c>
      <c r="R1089">
        <v>28</v>
      </c>
      <c r="S1089" t="s">
        <v>178</v>
      </c>
      <c r="T1089">
        <f t="shared" si="112"/>
        <v>10478</v>
      </c>
      <c r="U1089" t="str">
        <f t="shared" si="113"/>
        <v>ENG</v>
      </c>
      <c r="V1089" t="str">
        <f t="shared" si="114"/>
        <v>L3</v>
      </c>
      <c r="W1089" t="str">
        <f>PROPER(TRIM(VLOOKUP(S1089,Employee_Lookups!$I$4:$M$19,2,FALSE())))</f>
        <v>Aarav Deshmukh</v>
      </c>
      <c r="X1089" t="str">
        <f>VLOOKUP(C1089,Employee_Lookups!$A$4:$G$9,4,FALSE())</f>
        <v>CC-101</v>
      </c>
      <c r="Y1089" t="str">
        <f>INDEX(Employee_Lookups!$C$13:$C$17,MATCH(F1089,Employee_Lookups!$A$13:$A$17,0))</f>
        <v>Band C (Senior)</v>
      </c>
      <c r="Z1089" s="27">
        <f>_xlfn.XLOOKUP(F1089,Employee_Lookups!$A$13:$A$17,Employee_Lookups!$E$13:$E$17,0)</f>
        <v>1725000</v>
      </c>
      <c r="AA1089" s="28">
        <f>ROUND(O1089/INDEX(Employee_Lookups!$E$13:$E$17,MATCH(F1089,Employee_Lookups!$A$13:$A$17,0)),3)</f>
        <v>0.83199999999999996</v>
      </c>
      <c r="AB1089">
        <f t="shared" si="115"/>
        <v>2024</v>
      </c>
      <c r="AC1089" t="str">
        <f t="shared" si="116"/>
        <v/>
      </c>
      <c r="AD1089" s="28">
        <f>ROUND((IF(ISBLANK(L1089),Employee_Lookups!$O$14,L1089)-J1089)/365.25,2)</f>
        <v>1.51</v>
      </c>
      <c r="AE1089" t="str">
        <f t="shared" si="117"/>
        <v>1 - 3 Yrs</v>
      </c>
      <c r="AF1089" t="str">
        <f t="shared" si="118"/>
        <v>Moderate Risk</v>
      </c>
    </row>
    <row r="1090" spans="1:32" x14ac:dyDescent="0.45">
      <c r="A1090" t="s">
        <v>1921</v>
      </c>
      <c r="B1090" t="s">
        <v>1922</v>
      </c>
      <c r="C1090" t="s">
        <v>51</v>
      </c>
      <c r="D1090" t="s">
        <v>50</v>
      </c>
      <c r="E1090" t="s">
        <v>181</v>
      </c>
      <c r="F1090" t="s">
        <v>81</v>
      </c>
      <c r="G1090" t="s">
        <v>182</v>
      </c>
      <c r="H1090" t="s">
        <v>106</v>
      </c>
      <c r="I1090" t="s">
        <v>107</v>
      </c>
      <c r="J1090" s="26">
        <v>45471</v>
      </c>
      <c r="K1090" t="s">
        <v>187</v>
      </c>
      <c r="L1090" s="26">
        <v>45901</v>
      </c>
      <c r="M1090" t="s">
        <v>269</v>
      </c>
      <c r="N1090" t="s">
        <v>98</v>
      </c>
      <c r="O1090" s="27">
        <v>709000</v>
      </c>
      <c r="P1090">
        <v>3</v>
      </c>
      <c r="Q1090" t="s">
        <v>172</v>
      </c>
      <c r="R1090">
        <v>24</v>
      </c>
      <c r="S1090" t="s">
        <v>244</v>
      </c>
      <c r="T1090">
        <f t="shared" ref="T1090:T1153" si="119">VALUE(MID(A1090,5,5))</f>
        <v>10559</v>
      </c>
      <c r="U1090" t="str">
        <f t="shared" ref="U1090:U1153" si="120">LEFT(E1090,3)</f>
        <v>ENG</v>
      </c>
      <c r="V1090" t="str">
        <f t="shared" ref="V1090:V1153" si="121">RIGHT(E1090,2)</f>
        <v>L1</v>
      </c>
      <c r="W1090" t="str">
        <f>PROPER(TRIM(VLOOKUP(S1090,Employee_Lookups!$I$4:$M$19,2,FALSE())))</f>
        <v>Siddharth Nair</v>
      </c>
      <c r="X1090" t="str">
        <f>VLOOKUP(C1090,Employee_Lookups!$A$4:$G$9,4,FALSE())</f>
        <v>CC-101</v>
      </c>
      <c r="Y1090" t="str">
        <f>INDEX(Employee_Lookups!$C$13:$C$17,MATCH(F1090,Employee_Lookups!$A$13:$A$17,0))</f>
        <v>Band A (Entry)</v>
      </c>
      <c r="Z1090" s="27">
        <f>_xlfn.XLOOKUP(F1090,Employee_Lookups!$A$13:$A$17,Employee_Lookups!$E$13:$E$17,0)</f>
        <v>700000</v>
      </c>
      <c r="AA1090" s="28">
        <f>ROUND(O1090/INDEX(Employee_Lookups!$E$13:$E$17,MATCH(F1090,Employee_Lookups!$A$13:$A$17,0)),3)</f>
        <v>1.0129999999999999</v>
      </c>
      <c r="AB1090">
        <f t="shared" ref="AB1090:AB1153" si="122">YEAR(J1090)</f>
        <v>2024</v>
      </c>
      <c r="AC1090">
        <f t="shared" ref="AC1090:AC1153" si="123">IF(ISBLANK(L1090),"",YEAR(L1090))</f>
        <v>2025</v>
      </c>
      <c r="AD1090" s="28">
        <f>ROUND((IF(ISBLANK(L1090),Employee_Lookups!$O$14,L1090)-J1090)/365.25,2)</f>
        <v>1.18</v>
      </c>
      <c r="AE1090" t="str">
        <f t="shared" ref="AE1090:AE1153" si="124">IF(AD1090&lt;1,"&lt; 1 Yr (New)",IF(AD1090&lt;3,"1 - 3 Yrs",IF(AD1090&lt;5,"3 - 5 Yrs","5+ Yrs")))</f>
        <v>1 - 3 Yrs</v>
      </c>
      <c r="AF1090" t="str">
        <f t="shared" ref="AF1090:AF1153" si="125">IF(K1090&lt;&gt;"Active","Exited",IF(AND(Q1090="Yes",OR(P1090&gt;=4,AA1090&lt;0.95)),"High Risk",IF(OR(Q1090="Yes",AND(NOT(ISBLANK(P1090)),P1090&lt;=2)),"Moderate Risk","Low Risk")))</f>
        <v>Exited</v>
      </c>
    </row>
    <row r="1091" spans="1:32" x14ac:dyDescent="0.45">
      <c r="A1091" t="s">
        <v>1923</v>
      </c>
      <c r="B1091" t="s">
        <v>875</v>
      </c>
      <c r="C1091" t="s">
        <v>53</v>
      </c>
      <c r="D1091" t="s">
        <v>52</v>
      </c>
      <c r="E1091" t="s">
        <v>322</v>
      </c>
      <c r="F1091" t="s">
        <v>81</v>
      </c>
      <c r="G1091" t="s">
        <v>323</v>
      </c>
      <c r="H1091" t="s">
        <v>109</v>
      </c>
      <c r="I1091" t="s">
        <v>110</v>
      </c>
      <c r="J1091" s="26">
        <v>45471</v>
      </c>
      <c r="K1091" t="s">
        <v>170</v>
      </c>
      <c r="L1091" s="26">
        <v>45611</v>
      </c>
      <c r="M1091" t="s">
        <v>171</v>
      </c>
      <c r="N1091" t="s">
        <v>99</v>
      </c>
      <c r="O1091" s="27">
        <v>740000</v>
      </c>
      <c r="P1091">
        <v>4</v>
      </c>
      <c r="Q1091" t="s">
        <v>164</v>
      </c>
      <c r="R1091">
        <v>49</v>
      </c>
      <c r="S1091" t="s">
        <v>237</v>
      </c>
      <c r="T1091">
        <f t="shared" si="119"/>
        <v>10346</v>
      </c>
      <c r="U1091" t="str">
        <f t="shared" si="120"/>
        <v>SAL</v>
      </c>
      <c r="V1091" t="str">
        <f t="shared" si="121"/>
        <v>L1</v>
      </c>
      <c r="W1091" t="str">
        <f>PROPER(TRIM(VLOOKUP(S1091,Employee_Lookups!$I$4:$M$19,2,FALSE())))</f>
        <v>Karan Malhotra</v>
      </c>
      <c r="X1091" t="str">
        <f>VLOOKUP(C1091,Employee_Lookups!$A$4:$G$9,4,FALSE())</f>
        <v>CC-202</v>
      </c>
      <c r="Y1091" t="str">
        <f>INDEX(Employee_Lookups!$C$13:$C$17,MATCH(F1091,Employee_Lookups!$A$13:$A$17,0))</f>
        <v>Band A (Entry)</v>
      </c>
      <c r="Z1091" s="27">
        <f>_xlfn.XLOOKUP(F1091,Employee_Lookups!$A$13:$A$17,Employee_Lookups!$E$13:$E$17,0)</f>
        <v>700000</v>
      </c>
      <c r="AA1091" s="28">
        <f>ROUND(O1091/INDEX(Employee_Lookups!$E$13:$E$17,MATCH(F1091,Employee_Lookups!$A$13:$A$17,0)),3)</f>
        <v>1.0569999999999999</v>
      </c>
      <c r="AB1091">
        <f t="shared" si="122"/>
        <v>2024</v>
      </c>
      <c r="AC1091">
        <f t="shared" si="123"/>
        <v>2024</v>
      </c>
      <c r="AD1091" s="28">
        <f>ROUND((IF(ISBLANK(L1091),Employee_Lookups!$O$14,L1091)-J1091)/365.25,2)</f>
        <v>0.38</v>
      </c>
      <c r="AE1091" t="str">
        <f t="shared" si="124"/>
        <v>&lt; 1 Yr (New)</v>
      </c>
      <c r="AF1091" t="str">
        <f t="shared" si="125"/>
        <v>Exited</v>
      </c>
    </row>
    <row r="1092" spans="1:32" x14ac:dyDescent="0.45">
      <c r="A1092" t="s">
        <v>1924</v>
      </c>
      <c r="B1092" t="s">
        <v>1757</v>
      </c>
      <c r="C1092" t="s">
        <v>55</v>
      </c>
      <c r="D1092" t="s">
        <v>54</v>
      </c>
      <c r="E1092" t="s">
        <v>229</v>
      </c>
      <c r="F1092" t="s">
        <v>82</v>
      </c>
      <c r="G1092" t="s">
        <v>230</v>
      </c>
      <c r="H1092" t="s">
        <v>112</v>
      </c>
      <c r="I1092" t="s">
        <v>113</v>
      </c>
      <c r="J1092" s="26">
        <v>45474</v>
      </c>
      <c r="K1092" t="s">
        <v>162</v>
      </c>
      <c r="L1092" s="26"/>
      <c r="M1092" t="s">
        <v>163</v>
      </c>
      <c r="N1092" t="s">
        <v>95</v>
      </c>
      <c r="O1092" s="27">
        <v>1009000</v>
      </c>
      <c r="P1092">
        <v>2</v>
      </c>
      <c r="Q1092" t="s">
        <v>164</v>
      </c>
      <c r="R1092">
        <v>4</v>
      </c>
      <c r="S1092" t="s">
        <v>262</v>
      </c>
      <c r="T1092">
        <f t="shared" si="119"/>
        <v>10990</v>
      </c>
      <c r="U1092" t="str">
        <f t="shared" si="120"/>
        <v>OPS</v>
      </c>
      <c r="V1092" t="str">
        <f t="shared" si="121"/>
        <v>L2</v>
      </c>
      <c r="W1092" t="str">
        <f>PROPER(TRIM(VLOOKUP(S1092,Employee_Lookups!$I$4:$M$19,2,FALSE())))</f>
        <v>Ananya Iyer</v>
      </c>
      <c r="X1092" t="str">
        <f>VLOOKUP(C1092,Employee_Lookups!$A$4:$G$9,4,FALSE())</f>
        <v>CC-303</v>
      </c>
      <c r="Y1092" t="str">
        <f>INDEX(Employee_Lookups!$C$13:$C$17,MATCH(F1092,Employee_Lookups!$A$13:$A$17,0))</f>
        <v>Band B (Mid)</v>
      </c>
      <c r="Z1092" s="27">
        <f>_xlfn.XLOOKUP(F1092,Employee_Lookups!$A$13:$A$17,Employee_Lookups!$E$13:$E$17,0)</f>
        <v>1100000</v>
      </c>
      <c r="AA1092" s="28">
        <f>ROUND(O1092/INDEX(Employee_Lookups!$E$13:$E$17,MATCH(F1092,Employee_Lookups!$A$13:$A$17,0)),3)</f>
        <v>0.91700000000000004</v>
      </c>
      <c r="AB1092">
        <f t="shared" si="122"/>
        <v>2024</v>
      </c>
      <c r="AC1092" t="str">
        <f t="shared" si="123"/>
        <v/>
      </c>
      <c r="AD1092" s="28">
        <f>ROUND((IF(ISBLANK(L1092),Employee_Lookups!$O$14,L1092)-J1092)/365.25,2)</f>
        <v>1.5</v>
      </c>
      <c r="AE1092" t="str">
        <f t="shared" si="124"/>
        <v>1 - 3 Yrs</v>
      </c>
      <c r="AF1092" t="str">
        <f t="shared" si="125"/>
        <v>Moderate Risk</v>
      </c>
    </row>
    <row r="1093" spans="1:32" x14ac:dyDescent="0.45">
      <c r="A1093" t="s">
        <v>1925</v>
      </c>
      <c r="B1093" t="s">
        <v>1926</v>
      </c>
      <c r="C1093" t="s">
        <v>53</v>
      </c>
      <c r="D1093" t="s">
        <v>52</v>
      </c>
      <c r="E1093" t="s">
        <v>185</v>
      </c>
      <c r="F1093" t="s">
        <v>82</v>
      </c>
      <c r="G1093" t="s">
        <v>186</v>
      </c>
      <c r="H1093" t="s">
        <v>106</v>
      </c>
      <c r="I1093" t="s">
        <v>107</v>
      </c>
      <c r="J1093" s="26">
        <v>45474</v>
      </c>
      <c r="K1093" t="s">
        <v>170</v>
      </c>
      <c r="L1093" s="26">
        <v>45815</v>
      </c>
      <c r="M1093" t="s">
        <v>171</v>
      </c>
      <c r="N1093" t="s">
        <v>97</v>
      </c>
      <c r="O1093" s="27">
        <v>1214000</v>
      </c>
      <c r="P1093">
        <v>2</v>
      </c>
      <c r="Q1093" t="s">
        <v>172</v>
      </c>
      <c r="R1093">
        <v>32</v>
      </c>
      <c r="S1093" t="s">
        <v>194</v>
      </c>
      <c r="T1093">
        <f t="shared" si="119"/>
        <v>10467</v>
      </c>
      <c r="U1093" t="str">
        <f t="shared" si="120"/>
        <v>SAL</v>
      </c>
      <c r="V1093" t="str">
        <f t="shared" si="121"/>
        <v>L2</v>
      </c>
      <c r="W1093" t="str">
        <f>PROPER(TRIM(VLOOKUP(S1093,Employee_Lookups!$I$4:$M$19,2,FALSE())))</f>
        <v>Vikramaditya Joshi</v>
      </c>
      <c r="X1093" t="str">
        <f>VLOOKUP(C1093,Employee_Lookups!$A$4:$G$9,4,FALSE())</f>
        <v>CC-202</v>
      </c>
      <c r="Y1093" t="str">
        <f>INDEX(Employee_Lookups!$C$13:$C$17,MATCH(F1093,Employee_Lookups!$A$13:$A$17,0))</f>
        <v>Band B (Mid)</v>
      </c>
      <c r="Z1093" s="27">
        <f>_xlfn.XLOOKUP(F1093,Employee_Lookups!$A$13:$A$17,Employee_Lookups!$E$13:$E$17,0)</f>
        <v>1100000</v>
      </c>
      <c r="AA1093" s="28">
        <f>ROUND(O1093/INDEX(Employee_Lookups!$E$13:$E$17,MATCH(F1093,Employee_Lookups!$A$13:$A$17,0)),3)</f>
        <v>1.1040000000000001</v>
      </c>
      <c r="AB1093">
        <f t="shared" si="122"/>
        <v>2024</v>
      </c>
      <c r="AC1093">
        <f t="shared" si="123"/>
        <v>2025</v>
      </c>
      <c r="AD1093" s="28">
        <f>ROUND((IF(ISBLANK(L1093),Employee_Lookups!$O$14,L1093)-J1093)/365.25,2)</f>
        <v>0.93</v>
      </c>
      <c r="AE1093" t="str">
        <f t="shared" si="124"/>
        <v>&lt; 1 Yr (New)</v>
      </c>
      <c r="AF1093" t="str">
        <f t="shared" si="125"/>
        <v>Exited</v>
      </c>
    </row>
    <row r="1094" spans="1:32" x14ac:dyDescent="0.45">
      <c r="A1094" t="s">
        <v>1927</v>
      </c>
      <c r="B1094" t="s">
        <v>363</v>
      </c>
      <c r="C1094" t="s">
        <v>57</v>
      </c>
      <c r="D1094" t="s">
        <v>56</v>
      </c>
      <c r="E1094" t="s">
        <v>391</v>
      </c>
      <c r="F1094" t="s">
        <v>83</v>
      </c>
      <c r="G1094" t="s">
        <v>392</v>
      </c>
      <c r="H1094" t="s">
        <v>106</v>
      </c>
      <c r="I1094" t="s">
        <v>107</v>
      </c>
      <c r="J1094" s="26">
        <v>45475</v>
      </c>
      <c r="K1094" t="s">
        <v>162</v>
      </c>
      <c r="L1094" s="26"/>
      <c r="M1094" t="s">
        <v>163</v>
      </c>
      <c r="N1094" t="s">
        <v>97</v>
      </c>
      <c r="O1094" s="27">
        <v>1575000</v>
      </c>
      <c r="P1094">
        <v>5</v>
      </c>
      <c r="Q1094" t="s">
        <v>164</v>
      </c>
      <c r="R1094">
        <v>33</v>
      </c>
      <c r="S1094" t="s">
        <v>165</v>
      </c>
      <c r="T1094">
        <f t="shared" si="119"/>
        <v>11365</v>
      </c>
      <c r="U1094" t="str">
        <f t="shared" si="120"/>
        <v>MKT</v>
      </c>
      <c r="V1094" t="str">
        <f t="shared" si="121"/>
        <v>L3</v>
      </c>
      <c r="W1094" t="str">
        <f>PROPER(TRIM(VLOOKUP(S1094,Employee_Lookups!$I$4:$M$19,2,FALSE())))</f>
        <v>Arjun Sengupta</v>
      </c>
      <c r="X1094" t="str">
        <f>VLOOKUP(C1094,Employee_Lookups!$A$4:$G$9,4,FALSE())</f>
        <v>CC-606</v>
      </c>
      <c r="Y1094" t="str">
        <f>INDEX(Employee_Lookups!$C$13:$C$17,MATCH(F1094,Employee_Lookups!$A$13:$A$17,0))</f>
        <v>Band C (Senior)</v>
      </c>
      <c r="Z1094" s="27">
        <f>_xlfn.XLOOKUP(F1094,Employee_Lookups!$A$13:$A$17,Employee_Lookups!$E$13:$E$17,0)</f>
        <v>1725000</v>
      </c>
      <c r="AA1094" s="28">
        <f>ROUND(O1094/INDEX(Employee_Lookups!$E$13:$E$17,MATCH(F1094,Employee_Lookups!$A$13:$A$17,0)),3)</f>
        <v>0.91300000000000003</v>
      </c>
      <c r="AB1094">
        <f t="shared" si="122"/>
        <v>2024</v>
      </c>
      <c r="AC1094" t="str">
        <f t="shared" si="123"/>
        <v/>
      </c>
      <c r="AD1094" s="28">
        <f>ROUND((IF(ISBLANK(L1094),Employee_Lookups!$O$14,L1094)-J1094)/365.25,2)</f>
        <v>1.5</v>
      </c>
      <c r="AE1094" t="str">
        <f t="shared" si="124"/>
        <v>1 - 3 Yrs</v>
      </c>
      <c r="AF1094" t="str">
        <f t="shared" si="125"/>
        <v>Low Risk</v>
      </c>
    </row>
    <row r="1095" spans="1:32" x14ac:dyDescent="0.45">
      <c r="A1095" t="s">
        <v>1928</v>
      </c>
      <c r="B1095" t="s">
        <v>310</v>
      </c>
      <c r="C1095" t="s">
        <v>53</v>
      </c>
      <c r="D1095" t="s">
        <v>52</v>
      </c>
      <c r="E1095" t="s">
        <v>322</v>
      </c>
      <c r="F1095" t="s">
        <v>81</v>
      </c>
      <c r="G1095" t="s">
        <v>323</v>
      </c>
      <c r="H1095" t="s">
        <v>108</v>
      </c>
      <c r="I1095" t="s">
        <v>107</v>
      </c>
      <c r="J1095" s="26">
        <v>45476</v>
      </c>
      <c r="K1095" t="s">
        <v>187</v>
      </c>
      <c r="L1095" s="26">
        <v>45565</v>
      </c>
      <c r="M1095" t="s">
        <v>269</v>
      </c>
      <c r="N1095" t="s">
        <v>98</v>
      </c>
      <c r="O1095" s="27">
        <v>806000</v>
      </c>
      <c r="P1095">
        <v>4</v>
      </c>
      <c r="Q1095" t="s">
        <v>172</v>
      </c>
      <c r="R1095">
        <v>35</v>
      </c>
      <c r="S1095" t="s">
        <v>237</v>
      </c>
      <c r="T1095">
        <f t="shared" si="119"/>
        <v>11376</v>
      </c>
      <c r="U1095" t="str">
        <f t="shared" si="120"/>
        <v>SAL</v>
      </c>
      <c r="V1095" t="str">
        <f t="shared" si="121"/>
        <v>L1</v>
      </c>
      <c r="W1095" t="str">
        <f>PROPER(TRIM(VLOOKUP(S1095,Employee_Lookups!$I$4:$M$19,2,FALSE())))</f>
        <v>Karan Malhotra</v>
      </c>
      <c r="X1095" t="str">
        <f>VLOOKUP(C1095,Employee_Lookups!$A$4:$G$9,4,FALSE())</f>
        <v>CC-202</v>
      </c>
      <c r="Y1095" t="str">
        <f>INDEX(Employee_Lookups!$C$13:$C$17,MATCH(F1095,Employee_Lookups!$A$13:$A$17,0))</f>
        <v>Band A (Entry)</v>
      </c>
      <c r="Z1095" s="27">
        <f>_xlfn.XLOOKUP(F1095,Employee_Lookups!$A$13:$A$17,Employee_Lookups!$E$13:$E$17,0)</f>
        <v>700000</v>
      </c>
      <c r="AA1095" s="28">
        <f>ROUND(O1095/INDEX(Employee_Lookups!$E$13:$E$17,MATCH(F1095,Employee_Lookups!$A$13:$A$17,0)),3)</f>
        <v>1.151</v>
      </c>
      <c r="AB1095">
        <f t="shared" si="122"/>
        <v>2024</v>
      </c>
      <c r="AC1095">
        <f t="shared" si="123"/>
        <v>2024</v>
      </c>
      <c r="AD1095" s="28">
        <f>ROUND((IF(ISBLANK(L1095),Employee_Lookups!$O$14,L1095)-J1095)/365.25,2)</f>
        <v>0.24</v>
      </c>
      <c r="AE1095" t="str">
        <f t="shared" si="124"/>
        <v>&lt; 1 Yr (New)</v>
      </c>
      <c r="AF1095" t="str">
        <f t="shared" si="125"/>
        <v>Exited</v>
      </c>
    </row>
    <row r="1096" spans="1:32" x14ac:dyDescent="0.45">
      <c r="A1096" t="s">
        <v>1929</v>
      </c>
      <c r="B1096" t="s">
        <v>1930</v>
      </c>
      <c r="C1096" t="s">
        <v>55</v>
      </c>
      <c r="D1096" t="s">
        <v>54</v>
      </c>
      <c r="E1096" t="s">
        <v>168</v>
      </c>
      <c r="F1096" t="s">
        <v>84</v>
      </c>
      <c r="G1096" t="s">
        <v>169</v>
      </c>
      <c r="H1096" t="s">
        <v>106</v>
      </c>
      <c r="I1096" t="s">
        <v>107</v>
      </c>
      <c r="J1096" s="26">
        <v>45477</v>
      </c>
      <c r="K1096" t="s">
        <v>162</v>
      </c>
      <c r="L1096" s="26"/>
      <c r="M1096" t="s">
        <v>163</v>
      </c>
      <c r="N1096" t="s">
        <v>95</v>
      </c>
      <c r="O1096" s="27">
        <v>3077000</v>
      </c>
      <c r="P1096">
        <v>3</v>
      </c>
      <c r="Q1096" t="s">
        <v>164</v>
      </c>
      <c r="R1096">
        <v>27</v>
      </c>
      <c r="S1096" t="s">
        <v>274</v>
      </c>
      <c r="T1096">
        <f t="shared" si="119"/>
        <v>11280</v>
      </c>
      <c r="U1096" t="str">
        <f t="shared" si="120"/>
        <v>OPS</v>
      </c>
      <c r="V1096" t="str">
        <f t="shared" si="121"/>
        <v>L4</v>
      </c>
      <c r="W1096" t="str">
        <f>PROPER(TRIM(VLOOKUP(S1096,Employee_Lookups!$I$4:$M$19,2,FALSE())))</f>
        <v>Meera Krishnan</v>
      </c>
      <c r="X1096" t="str">
        <f>VLOOKUP(C1096,Employee_Lookups!$A$4:$G$9,4,FALSE())</f>
        <v>CC-303</v>
      </c>
      <c r="Y1096" t="str">
        <f>INDEX(Employee_Lookups!$C$13:$C$17,MATCH(F1096,Employee_Lookups!$A$13:$A$17,0))</f>
        <v>Band D (Leadership)</v>
      </c>
      <c r="Z1096" s="27">
        <f>_xlfn.XLOOKUP(F1096,Employee_Lookups!$A$13:$A$17,Employee_Lookups!$E$13:$E$17,0)</f>
        <v>2750000</v>
      </c>
      <c r="AA1096" s="28">
        <f>ROUND(O1096/INDEX(Employee_Lookups!$E$13:$E$17,MATCH(F1096,Employee_Lookups!$A$13:$A$17,0)),3)</f>
        <v>1.119</v>
      </c>
      <c r="AB1096">
        <f t="shared" si="122"/>
        <v>2024</v>
      </c>
      <c r="AC1096" t="str">
        <f t="shared" si="123"/>
        <v/>
      </c>
      <c r="AD1096" s="28">
        <f>ROUND((IF(ISBLANK(L1096),Employee_Lookups!$O$14,L1096)-J1096)/365.25,2)</f>
        <v>1.49</v>
      </c>
      <c r="AE1096" t="str">
        <f t="shared" si="124"/>
        <v>1 - 3 Yrs</v>
      </c>
      <c r="AF1096" t="str">
        <f t="shared" si="125"/>
        <v>Low Risk</v>
      </c>
    </row>
    <row r="1097" spans="1:32" x14ac:dyDescent="0.45">
      <c r="A1097" t="s">
        <v>1931</v>
      </c>
      <c r="B1097" t="s">
        <v>1932</v>
      </c>
      <c r="C1097" t="s">
        <v>53</v>
      </c>
      <c r="D1097" t="s">
        <v>52</v>
      </c>
      <c r="E1097" t="s">
        <v>185</v>
      </c>
      <c r="F1097" t="s">
        <v>82</v>
      </c>
      <c r="G1097" t="s">
        <v>186</v>
      </c>
      <c r="H1097" t="s">
        <v>108</v>
      </c>
      <c r="I1097" t="s">
        <v>107</v>
      </c>
      <c r="J1097" s="26">
        <v>45480</v>
      </c>
      <c r="K1097" t="s">
        <v>170</v>
      </c>
      <c r="L1097" s="26">
        <v>45610</v>
      </c>
      <c r="M1097" t="s">
        <v>171</v>
      </c>
      <c r="N1097" t="s">
        <v>97</v>
      </c>
      <c r="O1097" s="27">
        <v>1330000</v>
      </c>
      <c r="P1097">
        <v>1</v>
      </c>
      <c r="Q1097" t="s">
        <v>172</v>
      </c>
      <c r="R1097">
        <v>36</v>
      </c>
      <c r="S1097" t="s">
        <v>189</v>
      </c>
      <c r="T1097">
        <f t="shared" si="119"/>
        <v>10591</v>
      </c>
      <c r="U1097" t="str">
        <f t="shared" si="120"/>
        <v>SAL</v>
      </c>
      <c r="V1097" t="str">
        <f t="shared" si="121"/>
        <v>L2</v>
      </c>
      <c r="W1097" t="str">
        <f>PROPER(TRIM(VLOOKUP(S1097,Employee_Lookups!$I$4:$M$19,2,FALSE())))</f>
        <v>Priya Sharma</v>
      </c>
      <c r="X1097" t="str">
        <f>VLOOKUP(C1097,Employee_Lookups!$A$4:$G$9,4,FALSE())</f>
        <v>CC-202</v>
      </c>
      <c r="Y1097" t="str">
        <f>INDEX(Employee_Lookups!$C$13:$C$17,MATCH(F1097,Employee_Lookups!$A$13:$A$17,0))</f>
        <v>Band B (Mid)</v>
      </c>
      <c r="Z1097" s="27">
        <f>_xlfn.XLOOKUP(F1097,Employee_Lookups!$A$13:$A$17,Employee_Lookups!$E$13:$E$17,0)</f>
        <v>1100000</v>
      </c>
      <c r="AA1097" s="28">
        <f>ROUND(O1097/INDEX(Employee_Lookups!$E$13:$E$17,MATCH(F1097,Employee_Lookups!$A$13:$A$17,0)),3)</f>
        <v>1.2090000000000001</v>
      </c>
      <c r="AB1097">
        <f t="shared" si="122"/>
        <v>2024</v>
      </c>
      <c r="AC1097">
        <f t="shared" si="123"/>
        <v>2024</v>
      </c>
      <c r="AD1097" s="28">
        <f>ROUND((IF(ISBLANK(L1097),Employee_Lookups!$O$14,L1097)-J1097)/365.25,2)</f>
        <v>0.36</v>
      </c>
      <c r="AE1097" t="str">
        <f t="shared" si="124"/>
        <v>&lt; 1 Yr (New)</v>
      </c>
      <c r="AF1097" t="str">
        <f t="shared" si="125"/>
        <v>Exited</v>
      </c>
    </row>
    <row r="1098" spans="1:32" x14ac:dyDescent="0.45">
      <c r="A1098" t="s">
        <v>1933</v>
      </c>
      <c r="B1098" t="s">
        <v>1179</v>
      </c>
      <c r="C1098" t="s">
        <v>57</v>
      </c>
      <c r="D1098" t="s">
        <v>56</v>
      </c>
      <c r="E1098" t="s">
        <v>160</v>
      </c>
      <c r="F1098" t="s">
        <v>81</v>
      </c>
      <c r="G1098" t="s">
        <v>161</v>
      </c>
      <c r="H1098" t="s">
        <v>111</v>
      </c>
      <c r="I1098" t="s">
        <v>110</v>
      </c>
      <c r="J1098" s="26">
        <v>45480</v>
      </c>
      <c r="K1098" t="s">
        <v>162</v>
      </c>
      <c r="L1098" s="26"/>
      <c r="M1098" t="s">
        <v>163</v>
      </c>
      <c r="N1098" t="s">
        <v>97</v>
      </c>
      <c r="O1098" s="27">
        <v>605000</v>
      </c>
      <c r="P1098">
        <v>4</v>
      </c>
      <c r="Q1098" t="s">
        <v>164</v>
      </c>
      <c r="R1098">
        <v>22</v>
      </c>
      <c r="S1098" t="s">
        <v>165</v>
      </c>
      <c r="T1098">
        <f t="shared" si="119"/>
        <v>10613</v>
      </c>
      <c r="U1098" t="str">
        <f t="shared" si="120"/>
        <v>MKT</v>
      </c>
      <c r="V1098" t="str">
        <f t="shared" si="121"/>
        <v>L1</v>
      </c>
      <c r="W1098" t="str">
        <f>PROPER(TRIM(VLOOKUP(S1098,Employee_Lookups!$I$4:$M$19,2,FALSE())))</f>
        <v>Arjun Sengupta</v>
      </c>
      <c r="X1098" t="str">
        <f>VLOOKUP(C1098,Employee_Lookups!$A$4:$G$9,4,FALSE())</f>
        <v>CC-606</v>
      </c>
      <c r="Y1098" t="str">
        <f>INDEX(Employee_Lookups!$C$13:$C$17,MATCH(F1098,Employee_Lookups!$A$13:$A$17,0))</f>
        <v>Band A (Entry)</v>
      </c>
      <c r="Z1098" s="27">
        <f>_xlfn.XLOOKUP(F1098,Employee_Lookups!$A$13:$A$17,Employee_Lookups!$E$13:$E$17,0)</f>
        <v>700000</v>
      </c>
      <c r="AA1098" s="28">
        <f>ROUND(O1098/INDEX(Employee_Lookups!$E$13:$E$17,MATCH(F1098,Employee_Lookups!$A$13:$A$17,0)),3)</f>
        <v>0.86399999999999999</v>
      </c>
      <c r="AB1098">
        <f t="shared" si="122"/>
        <v>2024</v>
      </c>
      <c r="AC1098" t="str">
        <f t="shared" si="123"/>
        <v/>
      </c>
      <c r="AD1098" s="28">
        <f>ROUND((IF(ISBLANK(L1098),Employee_Lookups!$O$14,L1098)-J1098)/365.25,2)</f>
        <v>1.48</v>
      </c>
      <c r="AE1098" t="str">
        <f t="shared" si="124"/>
        <v>1 - 3 Yrs</v>
      </c>
      <c r="AF1098" t="str">
        <f t="shared" si="125"/>
        <v>Low Risk</v>
      </c>
    </row>
    <row r="1099" spans="1:32" x14ac:dyDescent="0.45">
      <c r="A1099" t="s">
        <v>1934</v>
      </c>
      <c r="B1099" t="s">
        <v>726</v>
      </c>
      <c r="C1099" t="s">
        <v>51</v>
      </c>
      <c r="D1099" t="s">
        <v>50</v>
      </c>
      <c r="E1099" t="s">
        <v>217</v>
      </c>
      <c r="F1099" t="s">
        <v>83</v>
      </c>
      <c r="G1099" t="s">
        <v>218</v>
      </c>
      <c r="H1099" t="s">
        <v>106</v>
      </c>
      <c r="I1099" t="s">
        <v>107</v>
      </c>
      <c r="J1099" s="26">
        <v>45482</v>
      </c>
      <c r="K1099" t="s">
        <v>162</v>
      </c>
      <c r="L1099" s="26"/>
      <c r="M1099" t="s">
        <v>163</v>
      </c>
      <c r="N1099" t="s">
        <v>99</v>
      </c>
      <c r="O1099" s="27">
        <v>1547000</v>
      </c>
      <c r="P1099">
        <v>5</v>
      </c>
      <c r="Q1099" t="s">
        <v>164</v>
      </c>
      <c r="R1099">
        <v>37</v>
      </c>
      <c r="S1099" t="s">
        <v>197</v>
      </c>
      <c r="T1099">
        <f t="shared" si="119"/>
        <v>10375</v>
      </c>
      <c r="U1099" t="str">
        <f t="shared" si="120"/>
        <v>ENG</v>
      </c>
      <c r="V1099" t="str">
        <f t="shared" si="121"/>
        <v>L3</v>
      </c>
      <c r="W1099" t="str">
        <f>PROPER(TRIM(VLOOKUP(S1099,Employee_Lookups!$I$4:$M$19,2,FALSE())))</f>
        <v>Rohan Verma</v>
      </c>
      <c r="X1099" t="str">
        <f>VLOOKUP(C1099,Employee_Lookups!$A$4:$G$9,4,FALSE())</f>
        <v>CC-101</v>
      </c>
      <c r="Y1099" t="str">
        <f>INDEX(Employee_Lookups!$C$13:$C$17,MATCH(F1099,Employee_Lookups!$A$13:$A$17,0))</f>
        <v>Band C (Senior)</v>
      </c>
      <c r="Z1099" s="27">
        <f>_xlfn.XLOOKUP(F1099,Employee_Lookups!$A$13:$A$17,Employee_Lookups!$E$13:$E$17,0)</f>
        <v>1725000</v>
      </c>
      <c r="AA1099" s="28">
        <f>ROUND(O1099/INDEX(Employee_Lookups!$E$13:$E$17,MATCH(F1099,Employee_Lookups!$A$13:$A$17,0)),3)</f>
        <v>0.89700000000000002</v>
      </c>
      <c r="AB1099">
        <f t="shared" si="122"/>
        <v>2024</v>
      </c>
      <c r="AC1099" t="str">
        <f t="shared" si="123"/>
        <v/>
      </c>
      <c r="AD1099" s="28">
        <f>ROUND((IF(ISBLANK(L1099),Employee_Lookups!$O$14,L1099)-J1099)/365.25,2)</f>
        <v>1.48</v>
      </c>
      <c r="AE1099" t="str">
        <f t="shared" si="124"/>
        <v>1 - 3 Yrs</v>
      </c>
      <c r="AF1099" t="str">
        <f t="shared" si="125"/>
        <v>Low Risk</v>
      </c>
    </row>
    <row r="1100" spans="1:32" x14ac:dyDescent="0.45">
      <c r="A1100" t="s">
        <v>1935</v>
      </c>
      <c r="B1100" t="s">
        <v>1646</v>
      </c>
      <c r="C1100" t="s">
        <v>53</v>
      </c>
      <c r="D1100" t="s">
        <v>52</v>
      </c>
      <c r="E1100" t="s">
        <v>322</v>
      </c>
      <c r="F1100" t="s">
        <v>81</v>
      </c>
      <c r="G1100" t="s">
        <v>323</v>
      </c>
      <c r="H1100" t="s">
        <v>108</v>
      </c>
      <c r="I1100" t="s">
        <v>107</v>
      </c>
      <c r="J1100" s="26">
        <v>45482</v>
      </c>
      <c r="K1100" t="s">
        <v>162</v>
      </c>
      <c r="L1100" s="26"/>
      <c r="M1100" t="s">
        <v>163</v>
      </c>
      <c r="N1100" t="s">
        <v>97</v>
      </c>
      <c r="O1100" s="27">
        <v>742000</v>
      </c>
      <c r="P1100">
        <v>2</v>
      </c>
      <c r="Q1100" t="s">
        <v>164</v>
      </c>
      <c r="R1100">
        <v>28</v>
      </c>
      <c r="S1100" t="s">
        <v>189</v>
      </c>
      <c r="T1100">
        <f t="shared" si="119"/>
        <v>10009</v>
      </c>
      <c r="U1100" t="str">
        <f t="shared" si="120"/>
        <v>SAL</v>
      </c>
      <c r="V1100" t="str">
        <f t="shared" si="121"/>
        <v>L1</v>
      </c>
      <c r="W1100" t="str">
        <f>PROPER(TRIM(VLOOKUP(S1100,Employee_Lookups!$I$4:$M$19,2,FALSE())))</f>
        <v>Priya Sharma</v>
      </c>
      <c r="X1100" t="str">
        <f>VLOOKUP(C1100,Employee_Lookups!$A$4:$G$9,4,FALSE())</f>
        <v>CC-202</v>
      </c>
      <c r="Y1100" t="str">
        <f>INDEX(Employee_Lookups!$C$13:$C$17,MATCH(F1100,Employee_Lookups!$A$13:$A$17,0))</f>
        <v>Band A (Entry)</v>
      </c>
      <c r="Z1100" s="27">
        <f>_xlfn.XLOOKUP(F1100,Employee_Lookups!$A$13:$A$17,Employee_Lookups!$E$13:$E$17,0)</f>
        <v>700000</v>
      </c>
      <c r="AA1100" s="28">
        <f>ROUND(O1100/INDEX(Employee_Lookups!$E$13:$E$17,MATCH(F1100,Employee_Lookups!$A$13:$A$17,0)),3)</f>
        <v>1.06</v>
      </c>
      <c r="AB1100">
        <f t="shared" si="122"/>
        <v>2024</v>
      </c>
      <c r="AC1100" t="str">
        <f t="shared" si="123"/>
        <v/>
      </c>
      <c r="AD1100" s="28">
        <f>ROUND((IF(ISBLANK(L1100),Employee_Lookups!$O$14,L1100)-J1100)/365.25,2)</f>
        <v>1.48</v>
      </c>
      <c r="AE1100" t="str">
        <f t="shared" si="124"/>
        <v>1 - 3 Yrs</v>
      </c>
      <c r="AF1100" t="str">
        <f t="shared" si="125"/>
        <v>Moderate Risk</v>
      </c>
    </row>
    <row r="1101" spans="1:32" x14ac:dyDescent="0.45">
      <c r="A1101" t="s">
        <v>1936</v>
      </c>
      <c r="B1101" t="s">
        <v>818</v>
      </c>
      <c r="C1101" t="s">
        <v>57</v>
      </c>
      <c r="D1101" t="s">
        <v>56</v>
      </c>
      <c r="E1101" t="s">
        <v>160</v>
      </c>
      <c r="F1101" t="s">
        <v>81</v>
      </c>
      <c r="G1101" t="s">
        <v>161</v>
      </c>
      <c r="H1101" t="s">
        <v>108</v>
      </c>
      <c r="I1101" t="s">
        <v>107</v>
      </c>
      <c r="J1101" s="26">
        <v>45482</v>
      </c>
      <c r="K1101" t="s">
        <v>162</v>
      </c>
      <c r="L1101" s="26"/>
      <c r="M1101" t="s">
        <v>163</v>
      </c>
      <c r="N1101" t="s">
        <v>95</v>
      </c>
      <c r="O1101" s="27">
        <v>635000</v>
      </c>
      <c r="P1101">
        <v>2</v>
      </c>
      <c r="Q1101" t="s">
        <v>164</v>
      </c>
      <c r="R1101">
        <v>32</v>
      </c>
      <c r="S1101" t="s">
        <v>224</v>
      </c>
      <c r="T1101">
        <f t="shared" si="119"/>
        <v>10518</v>
      </c>
      <c r="U1101" t="str">
        <f t="shared" si="120"/>
        <v>MKT</v>
      </c>
      <c r="V1101" t="str">
        <f t="shared" si="121"/>
        <v>L1</v>
      </c>
      <c r="W1101" t="str">
        <f>PROPER(TRIM(VLOOKUP(S1101,Employee_Lookups!$I$4:$M$19,2,FALSE())))</f>
        <v>Tanvi Chitnis</v>
      </c>
      <c r="X1101" t="str">
        <f>VLOOKUP(C1101,Employee_Lookups!$A$4:$G$9,4,FALSE())</f>
        <v>CC-606</v>
      </c>
      <c r="Y1101" t="str">
        <f>INDEX(Employee_Lookups!$C$13:$C$17,MATCH(F1101,Employee_Lookups!$A$13:$A$17,0))</f>
        <v>Band A (Entry)</v>
      </c>
      <c r="Z1101" s="27">
        <f>_xlfn.XLOOKUP(F1101,Employee_Lookups!$A$13:$A$17,Employee_Lookups!$E$13:$E$17,0)</f>
        <v>700000</v>
      </c>
      <c r="AA1101" s="28">
        <f>ROUND(O1101/INDEX(Employee_Lookups!$E$13:$E$17,MATCH(F1101,Employee_Lookups!$A$13:$A$17,0)),3)</f>
        <v>0.90700000000000003</v>
      </c>
      <c r="AB1101">
        <f t="shared" si="122"/>
        <v>2024</v>
      </c>
      <c r="AC1101" t="str">
        <f t="shared" si="123"/>
        <v/>
      </c>
      <c r="AD1101" s="28">
        <f>ROUND((IF(ISBLANK(L1101),Employee_Lookups!$O$14,L1101)-J1101)/365.25,2)</f>
        <v>1.48</v>
      </c>
      <c r="AE1101" t="str">
        <f t="shared" si="124"/>
        <v>1 - 3 Yrs</v>
      </c>
      <c r="AF1101" t="str">
        <f t="shared" si="125"/>
        <v>Moderate Risk</v>
      </c>
    </row>
    <row r="1102" spans="1:32" x14ac:dyDescent="0.45">
      <c r="A1102" t="s">
        <v>1937</v>
      </c>
      <c r="B1102" t="s">
        <v>1938</v>
      </c>
      <c r="C1102" t="s">
        <v>55</v>
      </c>
      <c r="D1102" t="s">
        <v>54</v>
      </c>
      <c r="E1102" t="s">
        <v>229</v>
      </c>
      <c r="F1102" t="s">
        <v>82</v>
      </c>
      <c r="G1102" t="s">
        <v>230</v>
      </c>
      <c r="H1102" t="s">
        <v>108</v>
      </c>
      <c r="I1102" t="s">
        <v>107</v>
      </c>
      <c r="J1102" s="26">
        <v>45485</v>
      </c>
      <c r="K1102" t="s">
        <v>162</v>
      </c>
      <c r="L1102" s="26"/>
      <c r="M1102" t="s">
        <v>163</v>
      </c>
      <c r="N1102" t="s">
        <v>98</v>
      </c>
      <c r="O1102" s="27">
        <v>858000</v>
      </c>
      <c r="P1102">
        <v>4</v>
      </c>
      <c r="Q1102" t="s">
        <v>172</v>
      </c>
      <c r="R1102">
        <v>16</v>
      </c>
      <c r="S1102" t="s">
        <v>274</v>
      </c>
      <c r="T1102">
        <f t="shared" si="119"/>
        <v>10198</v>
      </c>
      <c r="U1102" t="str">
        <f t="shared" si="120"/>
        <v>OPS</v>
      </c>
      <c r="V1102" t="str">
        <f t="shared" si="121"/>
        <v>L2</v>
      </c>
      <c r="W1102" t="str">
        <f>PROPER(TRIM(VLOOKUP(S1102,Employee_Lookups!$I$4:$M$19,2,FALSE())))</f>
        <v>Meera Krishnan</v>
      </c>
      <c r="X1102" t="str">
        <f>VLOOKUP(C1102,Employee_Lookups!$A$4:$G$9,4,FALSE())</f>
        <v>CC-303</v>
      </c>
      <c r="Y1102" t="str">
        <f>INDEX(Employee_Lookups!$C$13:$C$17,MATCH(F1102,Employee_Lookups!$A$13:$A$17,0))</f>
        <v>Band B (Mid)</v>
      </c>
      <c r="Z1102" s="27">
        <f>_xlfn.XLOOKUP(F1102,Employee_Lookups!$A$13:$A$17,Employee_Lookups!$E$13:$E$17,0)</f>
        <v>1100000</v>
      </c>
      <c r="AA1102" s="28">
        <f>ROUND(O1102/INDEX(Employee_Lookups!$E$13:$E$17,MATCH(F1102,Employee_Lookups!$A$13:$A$17,0)),3)</f>
        <v>0.78</v>
      </c>
      <c r="AB1102">
        <f t="shared" si="122"/>
        <v>2024</v>
      </c>
      <c r="AC1102" t="str">
        <f t="shared" si="123"/>
        <v/>
      </c>
      <c r="AD1102" s="28">
        <f>ROUND((IF(ISBLANK(L1102),Employee_Lookups!$O$14,L1102)-J1102)/365.25,2)</f>
        <v>1.47</v>
      </c>
      <c r="AE1102" t="str">
        <f t="shared" si="124"/>
        <v>1 - 3 Yrs</v>
      </c>
      <c r="AF1102" t="str">
        <f t="shared" si="125"/>
        <v>High Risk</v>
      </c>
    </row>
    <row r="1103" spans="1:32" x14ac:dyDescent="0.45">
      <c r="A1103" t="s">
        <v>1939</v>
      </c>
      <c r="B1103" t="s">
        <v>582</v>
      </c>
      <c r="C1103" t="s">
        <v>55</v>
      </c>
      <c r="D1103" t="s">
        <v>54</v>
      </c>
      <c r="E1103" t="s">
        <v>537</v>
      </c>
      <c r="F1103" t="s">
        <v>85</v>
      </c>
      <c r="G1103" t="s">
        <v>538</v>
      </c>
      <c r="H1103" t="s">
        <v>112</v>
      </c>
      <c r="I1103" t="s">
        <v>113</v>
      </c>
      <c r="J1103" s="26">
        <v>45486</v>
      </c>
      <c r="K1103" t="s">
        <v>162</v>
      </c>
      <c r="L1103" s="26"/>
      <c r="M1103" t="s">
        <v>163</v>
      </c>
      <c r="N1103" t="s">
        <v>97</v>
      </c>
      <c r="O1103" s="27">
        <v>4992000</v>
      </c>
      <c r="P1103">
        <v>3</v>
      </c>
      <c r="Q1103" t="s">
        <v>164</v>
      </c>
      <c r="R1103">
        <v>43</v>
      </c>
      <c r="S1103" t="s">
        <v>262</v>
      </c>
      <c r="T1103">
        <f t="shared" si="119"/>
        <v>10903</v>
      </c>
      <c r="U1103" t="str">
        <f t="shared" si="120"/>
        <v>OPS</v>
      </c>
      <c r="V1103" t="str">
        <f t="shared" si="121"/>
        <v>L5</v>
      </c>
      <c r="W1103" t="str">
        <f>PROPER(TRIM(VLOOKUP(S1103,Employee_Lookups!$I$4:$M$19,2,FALSE())))</f>
        <v>Ananya Iyer</v>
      </c>
      <c r="X1103" t="str">
        <f>VLOOKUP(C1103,Employee_Lookups!$A$4:$G$9,4,FALSE())</f>
        <v>CC-303</v>
      </c>
      <c r="Y1103" t="str">
        <f>INDEX(Employee_Lookups!$C$13:$C$17,MATCH(F1103,Employee_Lookups!$A$13:$A$17,0))</f>
        <v>Band E (Executive)</v>
      </c>
      <c r="Z1103" s="27">
        <f>_xlfn.XLOOKUP(F1103,Employee_Lookups!$A$13:$A$17,Employee_Lookups!$E$13:$E$17,0)</f>
        <v>4300000</v>
      </c>
      <c r="AA1103" s="28">
        <f>ROUND(O1103/INDEX(Employee_Lookups!$E$13:$E$17,MATCH(F1103,Employee_Lookups!$A$13:$A$17,0)),3)</f>
        <v>1.161</v>
      </c>
      <c r="AB1103">
        <f t="shared" si="122"/>
        <v>2024</v>
      </c>
      <c r="AC1103" t="str">
        <f t="shared" si="123"/>
        <v/>
      </c>
      <c r="AD1103" s="28">
        <f>ROUND((IF(ISBLANK(L1103),Employee_Lookups!$O$14,L1103)-J1103)/365.25,2)</f>
        <v>1.47</v>
      </c>
      <c r="AE1103" t="str">
        <f t="shared" si="124"/>
        <v>1 - 3 Yrs</v>
      </c>
      <c r="AF1103" t="str">
        <f t="shared" si="125"/>
        <v>Low Risk</v>
      </c>
    </row>
    <row r="1104" spans="1:32" x14ac:dyDescent="0.45">
      <c r="A1104" t="s">
        <v>1940</v>
      </c>
      <c r="B1104" t="s">
        <v>1160</v>
      </c>
      <c r="C1104" t="s">
        <v>51</v>
      </c>
      <c r="D1104" t="s">
        <v>50</v>
      </c>
      <c r="E1104" t="s">
        <v>176</v>
      </c>
      <c r="F1104" t="s">
        <v>82</v>
      </c>
      <c r="G1104" t="s">
        <v>177</v>
      </c>
      <c r="H1104" t="s">
        <v>112</v>
      </c>
      <c r="I1104" t="s">
        <v>113</v>
      </c>
      <c r="J1104" s="26">
        <v>45487</v>
      </c>
      <c r="K1104" t="s">
        <v>162</v>
      </c>
      <c r="L1104" s="26"/>
      <c r="M1104" t="s">
        <v>163</v>
      </c>
      <c r="N1104" t="s">
        <v>95</v>
      </c>
      <c r="O1104" s="27">
        <v>1338000</v>
      </c>
      <c r="P1104">
        <v>2</v>
      </c>
      <c r="Q1104" t="s">
        <v>164</v>
      </c>
      <c r="R1104">
        <v>10</v>
      </c>
      <c r="S1104" t="s">
        <v>244</v>
      </c>
      <c r="T1104">
        <f t="shared" si="119"/>
        <v>10507</v>
      </c>
      <c r="U1104" t="str">
        <f t="shared" si="120"/>
        <v>ENG</v>
      </c>
      <c r="V1104" t="str">
        <f t="shared" si="121"/>
        <v>L2</v>
      </c>
      <c r="W1104" t="str">
        <f>PROPER(TRIM(VLOOKUP(S1104,Employee_Lookups!$I$4:$M$19,2,FALSE())))</f>
        <v>Siddharth Nair</v>
      </c>
      <c r="X1104" t="str">
        <f>VLOOKUP(C1104,Employee_Lookups!$A$4:$G$9,4,FALSE())</f>
        <v>CC-101</v>
      </c>
      <c r="Y1104" t="str">
        <f>INDEX(Employee_Lookups!$C$13:$C$17,MATCH(F1104,Employee_Lookups!$A$13:$A$17,0))</f>
        <v>Band B (Mid)</v>
      </c>
      <c r="Z1104" s="27">
        <f>_xlfn.XLOOKUP(F1104,Employee_Lookups!$A$13:$A$17,Employee_Lookups!$E$13:$E$17,0)</f>
        <v>1100000</v>
      </c>
      <c r="AA1104" s="28">
        <f>ROUND(O1104/INDEX(Employee_Lookups!$E$13:$E$17,MATCH(F1104,Employee_Lookups!$A$13:$A$17,0)),3)</f>
        <v>1.216</v>
      </c>
      <c r="AB1104">
        <f t="shared" si="122"/>
        <v>2024</v>
      </c>
      <c r="AC1104" t="str">
        <f t="shared" si="123"/>
        <v/>
      </c>
      <c r="AD1104" s="28">
        <f>ROUND((IF(ISBLANK(L1104),Employee_Lookups!$O$14,L1104)-J1104)/365.25,2)</f>
        <v>1.46</v>
      </c>
      <c r="AE1104" t="str">
        <f t="shared" si="124"/>
        <v>1 - 3 Yrs</v>
      </c>
      <c r="AF1104" t="str">
        <f t="shared" si="125"/>
        <v>Moderate Risk</v>
      </c>
    </row>
    <row r="1105" spans="1:32" x14ac:dyDescent="0.45">
      <c r="A1105" t="s">
        <v>1941</v>
      </c>
      <c r="B1105" t="s">
        <v>722</v>
      </c>
      <c r="C1105" t="s">
        <v>53</v>
      </c>
      <c r="D1105" t="s">
        <v>52</v>
      </c>
      <c r="E1105" t="s">
        <v>322</v>
      </c>
      <c r="F1105" t="s">
        <v>81</v>
      </c>
      <c r="G1105" t="s">
        <v>323</v>
      </c>
      <c r="H1105" t="s">
        <v>112</v>
      </c>
      <c r="I1105" t="s">
        <v>113</v>
      </c>
      <c r="J1105" s="26">
        <v>45488</v>
      </c>
      <c r="K1105" t="s">
        <v>162</v>
      </c>
      <c r="L1105" s="26"/>
      <c r="M1105" t="s">
        <v>163</v>
      </c>
      <c r="N1105" t="s">
        <v>95</v>
      </c>
      <c r="O1105" s="27">
        <v>834000</v>
      </c>
      <c r="P1105">
        <v>3</v>
      </c>
      <c r="Q1105" t="s">
        <v>164</v>
      </c>
      <c r="R1105">
        <v>28</v>
      </c>
      <c r="S1105" t="s">
        <v>237</v>
      </c>
      <c r="T1105">
        <f t="shared" si="119"/>
        <v>10977</v>
      </c>
      <c r="U1105" t="str">
        <f t="shared" si="120"/>
        <v>SAL</v>
      </c>
      <c r="V1105" t="str">
        <f t="shared" si="121"/>
        <v>L1</v>
      </c>
      <c r="W1105" t="str">
        <f>PROPER(TRIM(VLOOKUP(S1105,Employee_Lookups!$I$4:$M$19,2,FALSE())))</f>
        <v>Karan Malhotra</v>
      </c>
      <c r="X1105" t="str">
        <f>VLOOKUP(C1105,Employee_Lookups!$A$4:$G$9,4,FALSE())</f>
        <v>CC-202</v>
      </c>
      <c r="Y1105" t="str">
        <f>INDEX(Employee_Lookups!$C$13:$C$17,MATCH(F1105,Employee_Lookups!$A$13:$A$17,0))</f>
        <v>Band A (Entry)</v>
      </c>
      <c r="Z1105" s="27">
        <f>_xlfn.XLOOKUP(F1105,Employee_Lookups!$A$13:$A$17,Employee_Lookups!$E$13:$E$17,0)</f>
        <v>700000</v>
      </c>
      <c r="AA1105" s="28">
        <f>ROUND(O1105/INDEX(Employee_Lookups!$E$13:$E$17,MATCH(F1105,Employee_Lookups!$A$13:$A$17,0)),3)</f>
        <v>1.1910000000000001</v>
      </c>
      <c r="AB1105">
        <f t="shared" si="122"/>
        <v>2024</v>
      </c>
      <c r="AC1105" t="str">
        <f t="shared" si="123"/>
        <v/>
      </c>
      <c r="AD1105" s="28">
        <f>ROUND((IF(ISBLANK(L1105),Employee_Lookups!$O$14,L1105)-J1105)/365.25,2)</f>
        <v>1.46</v>
      </c>
      <c r="AE1105" t="str">
        <f t="shared" si="124"/>
        <v>1 - 3 Yrs</v>
      </c>
      <c r="AF1105" t="str">
        <f t="shared" si="125"/>
        <v>Low Risk</v>
      </c>
    </row>
    <row r="1106" spans="1:32" x14ac:dyDescent="0.45">
      <c r="A1106" t="s">
        <v>1942</v>
      </c>
      <c r="B1106" t="s">
        <v>650</v>
      </c>
      <c r="C1106" t="s">
        <v>59</v>
      </c>
      <c r="D1106" t="s">
        <v>58</v>
      </c>
      <c r="E1106" t="s">
        <v>211</v>
      </c>
      <c r="F1106" t="s">
        <v>82</v>
      </c>
      <c r="G1106" t="s">
        <v>212</v>
      </c>
      <c r="H1106" t="s">
        <v>109</v>
      </c>
      <c r="I1106" t="s">
        <v>110</v>
      </c>
      <c r="J1106" s="26">
        <v>45488</v>
      </c>
      <c r="K1106" t="s">
        <v>187</v>
      </c>
      <c r="L1106" s="26">
        <v>46018</v>
      </c>
      <c r="M1106" t="s">
        <v>282</v>
      </c>
      <c r="N1106" t="s">
        <v>99</v>
      </c>
      <c r="O1106" s="27">
        <v>1055000</v>
      </c>
      <c r="P1106">
        <v>3</v>
      </c>
      <c r="Q1106" t="s">
        <v>164</v>
      </c>
      <c r="R1106">
        <v>18</v>
      </c>
      <c r="S1106" t="s">
        <v>214</v>
      </c>
      <c r="T1106">
        <f t="shared" si="119"/>
        <v>11357</v>
      </c>
      <c r="U1106" t="str">
        <f t="shared" si="120"/>
        <v>FIN</v>
      </c>
      <c r="V1106" t="str">
        <f t="shared" si="121"/>
        <v>L2</v>
      </c>
      <c r="W1106" t="str">
        <f>PROPER(TRIM(VLOOKUP(S1106,Employee_Lookups!$I$4:$M$19,2,FALSE())))</f>
        <v>Aditya Gokhale</v>
      </c>
      <c r="X1106" t="str">
        <f>VLOOKUP(C1106,Employee_Lookups!$A$4:$G$9,4,FALSE())</f>
        <v>CC-404</v>
      </c>
      <c r="Y1106" t="str">
        <f>INDEX(Employee_Lookups!$C$13:$C$17,MATCH(F1106,Employee_Lookups!$A$13:$A$17,0))</f>
        <v>Band B (Mid)</v>
      </c>
      <c r="Z1106" s="27">
        <f>_xlfn.XLOOKUP(F1106,Employee_Lookups!$A$13:$A$17,Employee_Lookups!$E$13:$E$17,0)</f>
        <v>1100000</v>
      </c>
      <c r="AA1106" s="28">
        <f>ROUND(O1106/INDEX(Employee_Lookups!$E$13:$E$17,MATCH(F1106,Employee_Lookups!$A$13:$A$17,0)),3)</f>
        <v>0.95899999999999996</v>
      </c>
      <c r="AB1106">
        <f t="shared" si="122"/>
        <v>2024</v>
      </c>
      <c r="AC1106">
        <f t="shared" si="123"/>
        <v>2025</v>
      </c>
      <c r="AD1106" s="28">
        <f>ROUND((IF(ISBLANK(L1106),Employee_Lookups!$O$14,L1106)-J1106)/365.25,2)</f>
        <v>1.45</v>
      </c>
      <c r="AE1106" t="str">
        <f t="shared" si="124"/>
        <v>1 - 3 Yrs</v>
      </c>
      <c r="AF1106" t="str">
        <f t="shared" si="125"/>
        <v>Exited</v>
      </c>
    </row>
    <row r="1107" spans="1:32" x14ac:dyDescent="0.45">
      <c r="A1107" t="s">
        <v>1943</v>
      </c>
      <c r="B1107" t="s">
        <v>205</v>
      </c>
      <c r="C1107" t="s">
        <v>55</v>
      </c>
      <c r="D1107" t="s">
        <v>54</v>
      </c>
      <c r="E1107" t="s">
        <v>277</v>
      </c>
      <c r="F1107" t="s">
        <v>81</v>
      </c>
      <c r="G1107" t="s">
        <v>278</v>
      </c>
      <c r="H1107" t="s">
        <v>109</v>
      </c>
      <c r="I1107" t="s">
        <v>110</v>
      </c>
      <c r="J1107" s="26">
        <v>45489</v>
      </c>
      <c r="K1107" t="s">
        <v>170</v>
      </c>
      <c r="L1107" s="26">
        <v>45623</v>
      </c>
      <c r="M1107" t="s">
        <v>171</v>
      </c>
      <c r="N1107" t="s">
        <v>97</v>
      </c>
      <c r="O1107" s="27">
        <v>748000</v>
      </c>
      <c r="P1107">
        <v>3</v>
      </c>
      <c r="Q1107" t="s">
        <v>172</v>
      </c>
      <c r="R1107">
        <v>55</v>
      </c>
      <c r="S1107" t="s">
        <v>173</v>
      </c>
      <c r="T1107">
        <f t="shared" si="119"/>
        <v>10424</v>
      </c>
      <c r="U1107" t="str">
        <f t="shared" si="120"/>
        <v>OPS</v>
      </c>
      <c r="V1107" t="str">
        <f t="shared" si="121"/>
        <v>L1</v>
      </c>
      <c r="W1107" t="str">
        <f>PROPER(TRIM(VLOOKUP(S1107,Employee_Lookups!$I$4:$M$19,2,FALSE())))</f>
        <v>Deepak Patil</v>
      </c>
      <c r="X1107" t="str">
        <f>VLOOKUP(C1107,Employee_Lookups!$A$4:$G$9,4,FALSE())</f>
        <v>CC-303</v>
      </c>
      <c r="Y1107" t="str">
        <f>INDEX(Employee_Lookups!$C$13:$C$17,MATCH(F1107,Employee_Lookups!$A$13:$A$17,0))</f>
        <v>Band A (Entry)</v>
      </c>
      <c r="Z1107" s="27">
        <f>_xlfn.XLOOKUP(F1107,Employee_Lookups!$A$13:$A$17,Employee_Lookups!$E$13:$E$17,0)</f>
        <v>700000</v>
      </c>
      <c r="AA1107" s="28">
        <f>ROUND(O1107/INDEX(Employee_Lookups!$E$13:$E$17,MATCH(F1107,Employee_Lookups!$A$13:$A$17,0)),3)</f>
        <v>1.069</v>
      </c>
      <c r="AB1107">
        <f t="shared" si="122"/>
        <v>2024</v>
      </c>
      <c r="AC1107">
        <f t="shared" si="123"/>
        <v>2024</v>
      </c>
      <c r="AD1107" s="28">
        <f>ROUND((IF(ISBLANK(L1107),Employee_Lookups!$O$14,L1107)-J1107)/365.25,2)</f>
        <v>0.37</v>
      </c>
      <c r="AE1107" t="str">
        <f t="shared" si="124"/>
        <v>&lt; 1 Yr (New)</v>
      </c>
      <c r="AF1107" t="str">
        <f t="shared" si="125"/>
        <v>Exited</v>
      </c>
    </row>
    <row r="1108" spans="1:32" x14ac:dyDescent="0.45">
      <c r="A1108" t="s">
        <v>1944</v>
      </c>
      <c r="B1108" t="s">
        <v>694</v>
      </c>
      <c r="C1108" t="s">
        <v>53</v>
      </c>
      <c r="D1108" t="s">
        <v>52</v>
      </c>
      <c r="E1108" t="s">
        <v>200</v>
      </c>
      <c r="F1108" t="s">
        <v>84</v>
      </c>
      <c r="G1108" t="s">
        <v>201</v>
      </c>
      <c r="H1108" t="s">
        <v>106</v>
      </c>
      <c r="I1108" t="s">
        <v>107</v>
      </c>
      <c r="J1108" s="26">
        <v>45491</v>
      </c>
      <c r="K1108" t="s">
        <v>162</v>
      </c>
      <c r="L1108" s="26"/>
      <c r="M1108" t="s">
        <v>163</v>
      </c>
      <c r="N1108" t="s">
        <v>99</v>
      </c>
      <c r="O1108" s="27">
        <v>3099000</v>
      </c>
      <c r="P1108">
        <v>4</v>
      </c>
      <c r="Q1108" t="s">
        <v>172</v>
      </c>
      <c r="R1108">
        <v>41</v>
      </c>
      <c r="S1108" t="s">
        <v>194</v>
      </c>
      <c r="T1108">
        <f t="shared" si="119"/>
        <v>10686</v>
      </c>
      <c r="U1108" t="str">
        <f t="shared" si="120"/>
        <v>SAL</v>
      </c>
      <c r="V1108" t="str">
        <f t="shared" si="121"/>
        <v>L4</v>
      </c>
      <c r="W1108" t="str">
        <f>PROPER(TRIM(VLOOKUP(S1108,Employee_Lookups!$I$4:$M$19,2,FALSE())))</f>
        <v>Vikramaditya Joshi</v>
      </c>
      <c r="X1108" t="str">
        <f>VLOOKUP(C1108,Employee_Lookups!$A$4:$G$9,4,FALSE())</f>
        <v>CC-202</v>
      </c>
      <c r="Y1108" t="str">
        <f>INDEX(Employee_Lookups!$C$13:$C$17,MATCH(F1108,Employee_Lookups!$A$13:$A$17,0))</f>
        <v>Band D (Leadership)</v>
      </c>
      <c r="Z1108" s="27">
        <f>_xlfn.XLOOKUP(F1108,Employee_Lookups!$A$13:$A$17,Employee_Lookups!$E$13:$E$17,0)</f>
        <v>2750000</v>
      </c>
      <c r="AA1108" s="28">
        <f>ROUND(O1108/INDEX(Employee_Lookups!$E$13:$E$17,MATCH(F1108,Employee_Lookups!$A$13:$A$17,0)),3)</f>
        <v>1.127</v>
      </c>
      <c r="AB1108">
        <f t="shared" si="122"/>
        <v>2024</v>
      </c>
      <c r="AC1108" t="str">
        <f t="shared" si="123"/>
        <v/>
      </c>
      <c r="AD1108" s="28">
        <f>ROUND((IF(ISBLANK(L1108),Employee_Lookups!$O$14,L1108)-J1108)/365.25,2)</f>
        <v>1.45</v>
      </c>
      <c r="AE1108" t="str">
        <f t="shared" si="124"/>
        <v>1 - 3 Yrs</v>
      </c>
      <c r="AF1108" t="str">
        <f t="shared" si="125"/>
        <v>High Risk</v>
      </c>
    </row>
    <row r="1109" spans="1:32" x14ac:dyDescent="0.45">
      <c r="A1109" t="s">
        <v>1945</v>
      </c>
      <c r="B1109" t="s">
        <v>755</v>
      </c>
      <c r="C1109" t="s">
        <v>53</v>
      </c>
      <c r="D1109" t="s">
        <v>52</v>
      </c>
      <c r="E1109" t="s">
        <v>322</v>
      </c>
      <c r="F1109" t="s">
        <v>81</v>
      </c>
      <c r="G1109" t="s">
        <v>323</v>
      </c>
      <c r="H1109" t="s">
        <v>108</v>
      </c>
      <c r="I1109" t="s">
        <v>107</v>
      </c>
      <c r="J1109" s="26">
        <v>45491</v>
      </c>
      <c r="K1109" t="s">
        <v>162</v>
      </c>
      <c r="L1109" s="26"/>
      <c r="M1109" t="s">
        <v>163</v>
      </c>
      <c r="N1109" t="s">
        <v>96</v>
      </c>
      <c r="O1109" s="27">
        <v>642000</v>
      </c>
      <c r="P1109">
        <v>4</v>
      </c>
      <c r="Q1109" t="s">
        <v>172</v>
      </c>
      <c r="R1109">
        <v>55</v>
      </c>
      <c r="S1109" t="s">
        <v>237</v>
      </c>
      <c r="T1109">
        <f t="shared" si="119"/>
        <v>11405</v>
      </c>
      <c r="U1109" t="str">
        <f t="shared" si="120"/>
        <v>SAL</v>
      </c>
      <c r="V1109" t="str">
        <f t="shared" si="121"/>
        <v>L1</v>
      </c>
      <c r="W1109" t="str">
        <f>PROPER(TRIM(VLOOKUP(S1109,Employee_Lookups!$I$4:$M$19,2,FALSE())))</f>
        <v>Karan Malhotra</v>
      </c>
      <c r="X1109" t="str">
        <f>VLOOKUP(C1109,Employee_Lookups!$A$4:$G$9,4,FALSE())</f>
        <v>CC-202</v>
      </c>
      <c r="Y1109" t="str">
        <f>INDEX(Employee_Lookups!$C$13:$C$17,MATCH(F1109,Employee_Lookups!$A$13:$A$17,0))</f>
        <v>Band A (Entry)</v>
      </c>
      <c r="Z1109" s="27">
        <f>_xlfn.XLOOKUP(F1109,Employee_Lookups!$A$13:$A$17,Employee_Lookups!$E$13:$E$17,0)</f>
        <v>700000</v>
      </c>
      <c r="AA1109" s="28">
        <f>ROUND(O1109/INDEX(Employee_Lookups!$E$13:$E$17,MATCH(F1109,Employee_Lookups!$A$13:$A$17,0)),3)</f>
        <v>0.91700000000000004</v>
      </c>
      <c r="AB1109">
        <f t="shared" si="122"/>
        <v>2024</v>
      </c>
      <c r="AC1109" t="str">
        <f t="shared" si="123"/>
        <v/>
      </c>
      <c r="AD1109" s="28">
        <f>ROUND((IF(ISBLANK(L1109),Employee_Lookups!$O$14,L1109)-J1109)/365.25,2)</f>
        <v>1.45</v>
      </c>
      <c r="AE1109" t="str">
        <f t="shared" si="124"/>
        <v>1 - 3 Yrs</v>
      </c>
      <c r="AF1109" t="str">
        <f t="shared" si="125"/>
        <v>High Risk</v>
      </c>
    </row>
    <row r="1110" spans="1:32" x14ac:dyDescent="0.45">
      <c r="A1110" t="s">
        <v>1946</v>
      </c>
      <c r="B1110" t="s">
        <v>1947</v>
      </c>
      <c r="C1110" t="s">
        <v>57</v>
      </c>
      <c r="D1110" t="s">
        <v>56</v>
      </c>
      <c r="E1110" t="s">
        <v>222</v>
      </c>
      <c r="F1110" t="s">
        <v>82</v>
      </c>
      <c r="G1110" t="s">
        <v>223</v>
      </c>
      <c r="H1110" t="s">
        <v>108</v>
      </c>
      <c r="I1110" t="s">
        <v>107</v>
      </c>
      <c r="J1110" s="26">
        <v>45491</v>
      </c>
      <c r="K1110" t="s">
        <v>162</v>
      </c>
      <c r="L1110" s="26"/>
      <c r="M1110" t="s">
        <v>163</v>
      </c>
      <c r="N1110" t="s">
        <v>95</v>
      </c>
      <c r="O1110" s="27">
        <v>853000</v>
      </c>
      <c r="P1110">
        <v>5</v>
      </c>
      <c r="Q1110" t="s">
        <v>164</v>
      </c>
      <c r="R1110">
        <v>36</v>
      </c>
      <c r="S1110" t="s">
        <v>165</v>
      </c>
      <c r="T1110">
        <f t="shared" si="119"/>
        <v>11015</v>
      </c>
      <c r="U1110" t="str">
        <f t="shared" si="120"/>
        <v>MKT</v>
      </c>
      <c r="V1110" t="str">
        <f t="shared" si="121"/>
        <v>L2</v>
      </c>
      <c r="W1110" t="str">
        <f>PROPER(TRIM(VLOOKUP(S1110,Employee_Lookups!$I$4:$M$19,2,FALSE())))</f>
        <v>Arjun Sengupta</v>
      </c>
      <c r="X1110" t="str">
        <f>VLOOKUP(C1110,Employee_Lookups!$A$4:$G$9,4,FALSE())</f>
        <v>CC-606</v>
      </c>
      <c r="Y1110" t="str">
        <f>INDEX(Employee_Lookups!$C$13:$C$17,MATCH(F1110,Employee_Lookups!$A$13:$A$17,0))</f>
        <v>Band B (Mid)</v>
      </c>
      <c r="Z1110" s="27">
        <f>_xlfn.XLOOKUP(F1110,Employee_Lookups!$A$13:$A$17,Employee_Lookups!$E$13:$E$17,0)</f>
        <v>1100000</v>
      </c>
      <c r="AA1110" s="28">
        <f>ROUND(O1110/INDEX(Employee_Lookups!$E$13:$E$17,MATCH(F1110,Employee_Lookups!$A$13:$A$17,0)),3)</f>
        <v>0.77500000000000002</v>
      </c>
      <c r="AB1110">
        <f t="shared" si="122"/>
        <v>2024</v>
      </c>
      <c r="AC1110" t="str">
        <f t="shared" si="123"/>
        <v/>
      </c>
      <c r="AD1110" s="28">
        <f>ROUND((IF(ISBLANK(L1110),Employee_Lookups!$O$14,L1110)-J1110)/365.25,2)</f>
        <v>1.45</v>
      </c>
      <c r="AE1110" t="str">
        <f t="shared" si="124"/>
        <v>1 - 3 Yrs</v>
      </c>
      <c r="AF1110" t="str">
        <f t="shared" si="125"/>
        <v>Low Risk</v>
      </c>
    </row>
    <row r="1111" spans="1:32" x14ac:dyDescent="0.45">
      <c r="A1111" t="s">
        <v>1948</v>
      </c>
      <c r="B1111" t="s">
        <v>405</v>
      </c>
      <c r="C1111" t="s">
        <v>51</v>
      </c>
      <c r="D1111" t="s">
        <v>50</v>
      </c>
      <c r="E1111" t="s">
        <v>176</v>
      </c>
      <c r="F1111" t="s">
        <v>82</v>
      </c>
      <c r="G1111" t="s">
        <v>177</v>
      </c>
      <c r="H1111" t="s">
        <v>106</v>
      </c>
      <c r="I1111" t="s">
        <v>107</v>
      </c>
      <c r="J1111" s="26">
        <v>45495</v>
      </c>
      <c r="K1111" t="s">
        <v>162</v>
      </c>
      <c r="L1111" s="26"/>
      <c r="M1111" t="s">
        <v>163</v>
      </c>
      <c r="N1111" t="s">
        <v>99</v>
      </c>
      <c r="O1111" s="27">
        <v>1206000</v>
      </c>
      <c r="P1111">
        <v>3</v>
      </c>
      <c r="Q1111" t="s">
        <v>172</v>
      </c>
      <c r="R1111">
        <v>49</v>
      </c>
      <c r="S1111" t="s">
        <v>244</v>
      </c>
      <c r="T1111">
        <f t="shared" si="119"/>
        <v>10148</v>
      </c>
      <c r="U1111" t="str">
        <f t="shared" si="120"/>
        <v>ENG</v>
      </c>
      <c r="V1111" t="str">
        <f t="shared" si="121"/>
        <v>L2</v>
      </c>
      <c r="W1111" t="str">
        <f>PROPER(TRIM(VLOOKUP(S1111,Employee_Lookups!$I$4:$M$19,2,FALSE())))</f>
        <v>Siddharth Nair</v>
      </c>
      <c r="X1111" t="str">
        <f>VLOOKUP(C1111,Employee_Lookups!$A$4:$G$9,4,FALSE())</f>
        <v>CC-101</v>
      </c>
      <c r="Y1111" t="str">
        <f>INDEX(Employee_Lookups!$C$13:$C$17,MATCH(F1111,Employee_Lookups!$A$13:$A$17,0))</f>
        <v>Band B (Mid)</v>
      </c>
      <c r="Z1111" s="27">
        <f>_xlfn.XLOOKUP(F1111,Employee_Lookups!$A$13:$A$17,Employee_Lookups!$E$13:$E$17,0)</f>
        <v>1100000</v>
      </c>
      <c r="AA1111" s="28">
        <f>ROUND(O1111/INDEX(Employee_Lookups!$E$13:$E$17,MATCH(F1111,Employee_Lookups!$A$13:$A$17,0)),3)</f>
        <v>1.0960000000000001</v>
      </c>
      <c r="AB1111">
        <f t="shared" si="122"/>
        <v>2024</v>
      </c>
      <c r="AC1111" t="str">
        <f t="shared" si="123"/>
        <v/>
      </c>
      <c r="AD1111" s="28">
        <f>ROUND((IF(ISBLANK(L1111),Employee_Lookups!$O$14,L1111)-J1111)/365.25,2)</f>
        <v>1.44</v>
      </c>
      <c r="AE1111" t="str">
        <f t="shared" si="124"/>
        <v>1 - 3 Yrs</v>
      </c>
      <c r="AF1111" t="str">
        <f t="shared" si="125"/>
        <v>Moderate Risk</v>
      </c>
    </row>
    <row r="1112" spans="1:32" x14ac:dyDescent="0.45">
      <c r="A1112" t="s">
        <v>1949</v>
      </c>
      <c r="B1112" t="s">
        <v>1813</v>
      </c>
      <c r="C1112" t="s">
        <v>51</v>
      </c>
      <c r="D1112" t="s">
        <v>50</v>
      </c>
      <c r="E1112" t="s">
        <v>176</v>
      </c>
      <c r="F1112" t="s">
        <v>82</v>
      </c>
      <c r="G1112" t="s">
        <v>177</v>
      </c>
      <c r="H1112" t="s">
        <v>106</v>
      </c>
      <c r="I1112" t="s">
        <v>107</v>
      </c>
      <c r="J1112" s="26">
        <v>45495</v>
      </c>
      <c r="K1112" t="s">
        <v>162</v>
      </c>
      <c r="L1112" s="26"/>
      <c r="M1112" t="s">
        <v>163</v>
      </c>
      <c r="N1112" t="s">
        <v>97</v>
      </c>
      <c r="O1112" s="27">
        <v>1091000</v>
      </c>
      <c r="P1112">
        <v>2</v>
      </c>
      <c r="Q1112" t="s">
        <v>164</v>
      </c>
      <c r="R1112">
        <v>25</v>
      </c>
      <c r="S1112" t="s">
        <v>178</v>
      </c>
      <c r="T1112">
        <f t="shared" si="119"/>
        <v>10484</v>
      </c>
      <c r="U1112" t="str">
        <f t="shared" si="120"/>
        <v>ENG</v>
      </c>
      <c r="V1112" t="str">
        <f t="shared" si="121"/>
        <v>L2</v>
      </c>
      <c r="W1112" t="str">
        <f>PROPER(TRIM(VLOOKUP(S1112,Employee_Lookups!$I$4:$M$19,2,FALSE())))</f>
        <v>Aarav Deshmukh</v>
      </c>
      <c r="X1112" t="str">
        <f>VLOOKUP(C1112,Employee_Lookups!$A$4:$G$9,4,FALSE())</f>
        <v>CC-101</v>
      </c>
      <c r="Y1112" t="str">
        <f>INDEX(Employee_Lookups!$C$13:$C$17,MATCH(F1112,Employee_Lookups!$A$13:$A$17,0))</f>
        <v>Band B (Mid)</v>
      </c>
      <c r="Z1112" s="27">
        <f>_xlfn.XLOOKUP(F1112,Employee_Lookups!$A$13:$A$17,Employee_Lookups!$E$13:$E$17,0)</f>
        <v>1100000</v>
      </c>
      <c r="AA1112" s="28">
        <f>ROUND(O1112/INDEX(Employee_Lookups!$E$13:$E$17,MATCH(F1112,Employee_Lookups!$A$13:$A$17,0)),3)</f>
        <v>0.99199999999999999</v>
      </c>
      <c r="AB1112">
        <f t="shared" si="122"/>
        <v>2024</v>
      </c>
      <c r="AC1112" t="str">
        <f t="shared" si="123"/>
        <v/>
      </c>
      <c r="AD1112" s="28">
        <f>ROUND((IF(ISBLANK(L1112),Employee_Lookups!$O$14,L1112)-J1112)/365.25,2)</f>
        <v>1.44</v>
      </c>
      <c r="AE1112" t="str">
        <f t="shared" si="124"/>
        <v>1 - 3 Yrs</v>
      </c>
      <c r="AF1112" t="str">
        <f t="shared" si="125"/>
        <v>Moderate Risk</v>
      </c>
    </row>
    <row r="1113" spans="1:32" x14ac:dyDescent="0.45">
      <c r="A1113" t="s">
        <v>1950</v>
      </c>
      <c r="B1113" t="s">
        <v>472</v>
      </c>
      <c r="C1113" t="s">
        <v>57</v>
      </c>
      <c r="D1113" t="s">
        <v>56</v>
      </c>
      <c r="E1113" t="s">
        <v>160</v>
      </c>
      <c r="F1113" t="s">
        <v>81</v>
      </c>
      <c r="G1113" t="s">
        <v>161</v>
      </c>
      <c r="H1113" t="s">
        <v>111</v>
      </c>
      <c r="I1113" t="s">
        <v>110</v>
      </c>
      <c r="J1113" s="26">
        <v>45496</v>
      </c>
      <c r="K1113" t="s">
        <v>162</v>
      </c>
      <c r="L1113" s="26"/>
      <c r="M1113" t="s">
        <v>163</v>
      </c>
      <c r="N1113" t="s">
        <v>95</v>
      </c>
      <c r="O1113" s="27">
        <v>849000</v>
      </c>
      <c r="P1113">
        <v>3</v>
      </c>
      <c r="Q1113" t="s">
        <v>164</v>
      </c>
      <c r="R1113">
        <v>26</v>
      </c>
      <c r="S1113" t="s">
        <v>165</v>
      </c>
      <c r="T1113">
        <f t="shared" si="119"/>
        <v>10030</v>
      </c>
      <c r="U1113" t="str">
        <f t="shared" si="120"/>
        <v>MKT</v>
      </c>
      <c r="V1113" t="str">
        <f t="shared" si="121"/>
        <v>L1</v>
      </c>
      <c r="W1113" t="str">
        <f>PROPER(TRIM(VLOOKUP(S1113,Employee_Lookups!$I$4:$M$19,2,FALSE())))</f>
        <v>Arjun Sengupta</v>
      </c>
      <c r="X1113" t="str">
        <f>VLOOKUP(C1113,Employee_Lookups!$A$4:$G$9,4,FALSE())</f>
        <v>CC-606</v>
      </c>
      <c r="Y1113" t="str">
        <f>INDEX(Employee_Lookups!$C$13:$C$17,MATCH(F1113,Employee_Lookups!$A$13:$A$17,0))</f>
        <v>Band A (Entry)</v>
      </c>
      <c r="Z1113" s="27">
        <f>_xlfn.XLOOKUP(F1113,Employee_Lookups!$A$13:$A$17,Employee_Lookups!$E$13:$E$17,0)</f>
        <v>700000</v>
      </c>
      <c r="AA1113" s="28">
        <f>ROUND(O1113/INDEX(Employee_Lookups!$E$13:$E$17,MATCH(F1113,Employee_Lookups!$A$13:$A$17,0)),3)</f>
        <v>1.2130000000000001</v>
      </c>
      <c r="AB1113">
        <f t="shared" si="122"/>
        <v>2024</v>
      </c>
      <c r="AC1113" t="str">
        <f t="shared" si="123"/>
        <v/>
      </c>
      <c r="AD1113" s="28">
        <f>ROUND((IF(ISBLANK(L1113),Employee_Lookups!$O$14,L1113)-J1113)/365.25,2)</f>
        <v>1.44</v>
      </c>
      <c r="AE1113" t="str">
        <f t="shared" si="124"/>
        <v>1 - 3 Yrs</v>
      </c>
      <c r="AF1113" t="str">
        <f t="shared" si="125"/>
        <v>Low Risk</v>
      </c>
    </row>
    <row r="1114" spans="1:32" x14ac:dyDescent="0.45">
      <c r="A1114" t="s">
        <v>1951</v>
      </c>
      <c r="B1114" t="s">
        <v>1222</v>
      </c>
      <c r="C1114" t="s">
        <v>57</v>
      </c>
      <c r="D1114" t="s">
        <v>56</v>
      </c>
      <c r="E1114" t="s">
        <v>160</v>
      </c>
      <c r="F1114" t="s">
        <v>81</v>
      </c>
      <c r="G1114" t="s">
        <v>161</v>
      </c>
      <c r="H1114" t="s">
        <v>106</v>
      </c>
      <c r="I1114" t="s">
        <v>107</v>
      </c>
      <c r="J1114" s="26">
        <v>45496</v>
      </c>
      <c r="K1114" t="s">
        <v>162</v>
      </c>
      <c r="L1114" s="26"/>
      <c r="M1114" t="s">
        <v>163</v>
      </c>
      <c r="N1114" t="s">
        <v>95</v>
      </c>
      <c r="O1114" s="27">
        <v>829000</v>
      </c>
      <c r="P1114">
        <v>4</v>
      </c>
      <c r="Q1114" t="s">
        <v>172</v>
      </c>
      <c r="R1114">
        <v>22</v>
      </c>
      <c r="S1114" t="s">
        <v>224</v>
      </c>
      <c r="T1114">
        <f t="shared" si="119"/>
        <v>11125</v>
      </c>
      <c r="U1114" t="str">
        <f t="shared" si="120"/>
        <v>MKT</v>
      </c>
      <c r="V1114" t="str">
        <f t="shared" si="121"/>
        <v>L1</v>
      </c>
      <c r="W1114" t="str">
        <f>PROPER(TRIM(VLOOKUP(S1114,Employee_Lookups!$I$4:$M$19,2,FALSE())))</f>
        <v>Tanvi Chitnis</v>
      </c>
      <c r="X1114" t="str">
        <f>VLOOKUP(C1114,Employee_Lookups!$A$4:$G$9,4,FALSE())</f>
        <v>CC-606</v>
      </c>
      <c r="Y1114" t="str">
        <f>INDEX(Employee_Lookups!$C$13:$C$17,MATCH(F1114,Employee_Lookups!$A$13:$A$17,0))</f>
        <v>Band A (Entry)</v>
      </c>
      <c r="Z1114" s="27">
        <f>_xlfn.XLOOKUP(F1114,Employee_Lookups!$A$13:$A$17,Employee_Lookups!$E$13:$E$17,0)</f>
        <v>700000</v>
      </c>
      <c r="AA1114" s="28">
        <f>ROUND(O1114/INDEX(Employee_Lookups!$E$13:$E$17,MATCH(F1114,Employee_Lookups!$A$13:$A$17,0)),3)</f>
        <v>1.1839999999999999</v>
      </c>
      <c r="AB1114">
        <f t="shared" si="122"/>
        <v>2024</v>
      </c>
      <c r="AC1114" t="str">
        <f t="shared" si="123"/>
        <v/>
      </c>
      <c r="AD1114" s="28">
        <f>ROUND((IF(ISBLANK(L1114),Employee_Lookups!$O$14,L1114)-J1114)/365.25,2)</f>
        <v>1.44</v>
      </c>
      <c r="AE1114" t="str">
        <f t="shared" si="124"/>
        <v>1 - 3 Yrs</v>
      </c>
      <c r="AF1114" t="str">
        <f t="shared" si="125"/>
        <v>High Risk</v>
      </c>
    </row>
    <row r="1115" spans="1:32" x14ac:dyDescent="0.45">
      <c r="A1115" t="s">
        <v>1952</v>
      </c>
      <c r="B1115" t="s">
        <v>493</v>
      </c>
      <c r="C1115" t="s">
        <v>53</v>
      </c>
      <c r="D1115" t="s">
        <v>52</v>
      </c>
      <c r="E1115" t="s">
        <v>185</v>
      </c>
      <c r="F1115" t="s">
        <v>82</v>
      </c>
      <c r="G1115" t="s">
        <v>186</v>
      </c>
      <c r="H1115" t="s">
        <v>109</v>
      </c>
      <c r="I1115" t="s">
        <v>110</v>
      </c>
      <c r="J1115" s="26">
        <v>45498</v>
      </c>
      <c r="K1115" t="s">
        <v>162</v>
      </c>
      <c r="L1115" s="26"/>
      <c r="M1115" t="s">
        <v>163</v>
      </c>
      <c r="N1115" t="s">
        <v>96</v>
      </c>
      <c r="O1115" s="27">
        <v>1301000</v>
      </c>
      <c r="P1115">
        <v>3</v>
      </c>
      <c r="Q1115" t="s">
        <v>172</v>
      </c>
      <c r="R1115">
        <v>21</v>
      </c>
      <c r="S1115" t="s">
        <v>189</v>
      </c>
      <c r="T1115">
        <f t="shared" si="119"/>
        <v>10313</v>
      </c>
      <c r="U1115" t="str">
        <f t="shared" si="120"/>
        <v>SAL</v>
      </c>
      <c r="V1115" t="str">
        <f t="shared" si="121"/>
        <v>L2</v>
      </c>
      <c r="W1115" t="str">
        <f>PROPER(TRIM(VLOOKUP(S1115,Employee_Lookups!$I$4:$M$19,2,FALSE())))</f>
        <v>Priya Sharma</v>
      </c>
      <c r="X1115" t="str">
        <f>VLOOKUP(C1115,Employee_Lookups!$A$4:$G$9,4,FALSE())</f>
        <v>CC-202</v>
      </c>
      <c r="Y1115" t="str">
        <f>INDEX(Employee_Lookups!$C$13:$C$17,MATCH(F1115,Employee_Lookups!$A$13:$A$17,0))</f>
        <v>Band B (Mid)</v>
      </c>
      <c r="Z1115" s="27">
        <f>_xlfn.XLOOKUP(F1115,Employee_Lookups!$A$13:$A$17,Employee_Lookups!$E$13:$E$17,0)</f>
        <v>1100000</v>
      </c>
      <c r="AA1115" s="28">
        <f>ROUND(O1115/INDEX(Employee_Lookups!$E$13:$E$17,MATCH(F1115,Employee_Lookups!$A$13:$A$17,0)),3)</f>
        <v>1.1830000000000001</v>
      </c>
      <c r="AB1115">
        <f t="shared" si="122"/>
        <v>2024</v>
      </c>
      <c r="AC1115" t="str">
        <f t="shared" si="123"/>
        <v/>
      </c>
      <c r="AD1115" s="28">
        <f>ROUND((IF(ISBLANK(L1115),Employee_Lookups!$O$14,L1115)-J1115)/365.25,2)</f>
        <v>1.43</v>
      </c>
      <c r="AE1115" t="str">
        <f t="shared" si="124"/>
        <v>1 - 3 Yrs</v>
      </c>
      <c r="AF1115" t="str">
        <f t="shared" si="125"/>
        <v>Moderate Risk</v>
      </c>
    </row>
    <row r="1116" spans="1:32" x14ac:dyDescent="0.45">
      <c r="A1116" t="s">
        <v>1953</v>
      </c>
      <c r="B1116" t="s">
        <v>1523</v>
      </c>
      <c r="C1116" t="s">
        <v>53</v>
      </c>
      <c r="D1116" t="s">
        <v>52</v>
      </c>
      <c r="E1116" t="s">
        <v>185</v>
      </c>
      <c r="F1116" t="s">
        <v>82</v>
      </c>
      <c r="G1116" t="s">
        <v>186</v>
      </c>
      <c r="H1116" t="s">
        <v>108</v>
      </c>
      <c r="I1116" t="s">
        <v>107</v>
      </c>
      <c r="J1116" s="26">
        <v>45498</v>
      </c>
      <c r="K1116" t="s">
        <v>162</v>
      </c>
      <c r="L1116" s="26"/>
      <c r="M1116" t="s">
        <v>163</v>
      </c>
      <c r="N1116" t="s">
        <v>96</v>
      </c>
      <c r="O1116" s="27">
        <v>864000</v>
      </c>
      <c r="P1116">
        <v>3</v>
      </c>
      <c r="Q1116" t="s">
        <v>172</v>
      </c>
      <c r="R1116">
        <v>31</v>
      </c>
      <c r="S1116" t="s">
        <v>237</v>
      </c>
      <c r="T1116">
        <f t="shared" si="119"/>
        <v>10481</v>
      </c>
      <c r="U1116" t="str">
        <f t="shared" si="120"/>
        <v>SAL</v>
      </c>
      <c r="V1116" t="str">
        <f t="shared" si="121"/>
        <v>L2</v>
      </c>
      <c r="W1116" t="str">
        <f>PROPER(TRIM(VLOOKUP(S1116,Employee_Lookups!$I$4:$M$19,2,FALSE())))</f>
        <v>Karan Malhotra</v>
      </c>
      <c r="X1116" t="str">
        <f>VLOOKUP(C1116,Employee_Lookups!$A$4:$G$9,4,FALSE())</f>
        <v>CC-202</v>
      </c>
      <c r="Y1116" t="str">
        <f>INDEX(Employee_Lookups!$C$13:$C$17,MATCH(F1116,Employee_Lookups!$A$13:$A$17,0))</f>
        <v>Band B (Mid)</v>
      </c>
      <c r="Z1116" s="27">
        <f>_xlfn.XLOOKUP(F1116,Employee_Lookups!$A$13:$A$17,Employee_Lookups!$E$13:$E$17,0)</f>
        <v>1100000</v>
      </c>
      <c r="AA1116" s="28">
        <f>ROUND(O1116/INDEX(Employee_Lookups!$E$13:$E$17,MATCH(F1116,Employee_Lookups!$A$13:$A$17,0)),3)</f>
        <v>0.78500000000000003</v>
      </c>
      <c r="AB1116">
        <f t="shared" si="122"/>
        <v>2024</v>
      </c>
      <c r="AC1116" t="str">
        <f t="shared" si="123"/>
        <v/>
      </c>
      <c r="AD1116" s="28">
        <f>ROUND((IF(ISBLANK(L1116),Employee_Lookups!$O$14,L1116)-J1116)/365.25,2)</f>
        <v>1.43</v>
      </c>
      <c r="AE1116" t="str">
        <f t="shared" si="124"/>
        <v>1 - 3 Yrs</v>
      </c>
      <c r="AF1116" t="str">
        <f t="shared" si="125"/>
        <v>High Risk</v>
      </c>
    </row>
    <row r="1117" spans="1:32" x14ac:dyDescent="0.45">
      <c r="A1117" t="s">
        <v>1954</v>
      </c>
      <c r="B1117" t="s">
        <v>1932</v>
      </c>
      <c r="C1117" t="s">
        <v>55</v>
      </c>
      <c r="D1117" t="s">
        <v>54</v>
      </c>
      <c r="E1117" t="s">
        <v>229</v>
      </c>
      <c r="F1117" t="s">
        <v>82</v>
      </c>
      <c r="G1117" t="s">
        <v>230</v>
      </c>
      <c r="H1117" t="s">
        <v>106</v>
      </c>
      <c r="I1117" t="s">
        <v>107</v>
      </c>
      <c r="J1117" s="26">
        <v>45499</v>
      </c>
      <c r="K1117" t="s">
        <v>162</v>
      </c>
      <c r="L1117" s="26"/>
      <c r="M1117" t="s">
        <v>163</v>
      </c>
      <c r="N1117" t="s">
        <v>99</v>
      </c>
      <c r="O1117" s="27">
        <v>1090000</v>
      </c>
      <c r="P1117">
        <v>2</v>
      </c>
      <c r="Q1117" t="s">
        <v>164</v>
      </c>
      <c r="R1117">
        <v>20</v>
      </c>
      <c r="S1117" t="s">
        <v>262</v>
      </c>
      <c r="T1117">
        <f t="shared" si="119"/>
        <v>10400</v>
      </c>
      <c r="U1117" t="str">
        <f t="shared" si="120"/>
        <v>OPS</v>
      </c>
      <c r="V1117" t="str">
        <f t="shared" si="121"/>
        <v>L2</v>
      </c>
      <c r="W1117" t="str">
        <f>PROPER(TRIM(VLOOKUP(S1117,Employee_Lookups!$I$4:$M$19,2,FALSE())))</f>
        <v>Ananya Iyer</v>
      </c>
      <c r="X1117" t="str">
        <f>VLOOKUP(C1117,Employee_Lookups!$A$4:$G$9,4,FALSE())</f>
        <v>CC-303</v>
      </c>
      <c r="Y1117" t="str">
        <f>INDEX(Employee_Lookups!$C$13:$C$17,MATCH(F1117,Employee_Lookups!$A$13:$A$17,0))</f>
        <v>Band B (Mid)</v>
      </c>
      <c r="Z1117" s="27">
        <f>_xlfn.XLOOKUP(F1117,Employee_Lookups!$A$13:$A$17,Employee_Lookups!$E$13:$E$17,0)</f>
        <v>1100000</v>
      </c>
      <c r="AA1117" s="28">
        <f>ROUND(O1117/INDEX(Employee_Lookups!$E$13:$E$17,MATCH(F1117,Employee_Lookups!$A$13:$A$17,0)),3)</f>
        <v>0.99099999999999999</v>
      </c>
      <c r="AB1117">
        <f t="shared" si="122"/>
        <v>2024</v>
      </c>
      <c r="AC1117" t="str">
        <f t="shared" si="123"/>
        <v/>
      </c>
      <c r="AD1117" s="28">
        <f>ROUND((IF(ISBLANK(L1117),Employee_Lookups!$O$14,L1117)-J1117)/365.25,2)</f>
        <v>1.43</v>
      </c>
      <c r="AE1117" t="str">
        <f t="shared" si="124"/>
        <v>1 - 3 Yrs</v>
      </c>
      <c r="AF1117" t="str">
        <f t="shared" si="125"/>
        <v>Moderate Risk</v>
      </c>
    </row>
    <row r="1118" spans="1:32" x14ac:dyDescent="0.45">
      <c r="A1118" t="s">
        <v>1955</v>
      </c>
      <c r="B1118" t="s">
        <v>1956</v>
      </c>
      <c r="C1118" t="s">
        <v>51</v>
      </c>
      <c r="D1118" t="s">
        <v>50</v>
      </c>
      <c r="E1118" t="s">
        <v>181</v>
      </c>
      <c r="F1118" t="s">
        <v>81</v>
      </c>
      <c r="G1118" t="s">
        <v>182</v>
      </c>
      <c r="H1118" t="s">
        <v>111</v>
      </c>
      <c r="I1118" t="s">
        <v>110</v>
      </c>
      <c r="J1118" s="26">
        <v>45500</v>
      </c>
      <c r="K1118" t="s">
        <v>162</v>
      </c>
      <c r="L1118" s="26"/>
      <c r="M1118" t="s">
        <v>163</v>
      </c>
      <c r="N1118" t="s">
        <v>99</v>
      </c>
      <c r="O1118" s="27">
        <v>842000</v>
      </c>
      <c r="P1118">
        <v>3</v>
      </c>
      <c r="Q1118" t="s">
        <v>172</v>
      </c>
      <c r="R1118">
        <v>53</v>
      </c>
      <c r="S1118" t="s">
        <v>197</v>
      </c>
      <c r="T1118">
        <f t="shared" si="119"/>
        <v>10618</v>
      </c>
      <c r="U1118" t="str">
        <f t="shared" si="120"/>
        <v>ENG</v>
      </c>
      <c r="V1118" t="str">
        <f t="shared" si="121"/>
        <v>L1</v>
      </c>
      <c r="W1118" t="str">
        <f>PROPER(TRIM(VLOOKUP(S1118,Employee_Lookups!$I$4:$M$19,2,FALSE())))</f>
        <v>Rohan Verma</v>
      </c>
      <c r="X1118" t="str">
        <f>VLOOKUP(C1118,Employee_Lookups!$A$4:$G$9,4,FALSE())</f>
        <v>CC-101</v>
      </c>
      <c r="Y1118" t="str">
        <f>INDEX(Employee_Lookups!$C$13:$C$17,MATCH(F1118,Employee_Lookups!$A$13:$A$17,0))</f>
        <v>Band A (Entry)</v>
      </c>
      <c r="Z1118" s="27">
        <f>_xlfn.XLOOKUP(F1118,Employee_Lookups!$A$13:$A$17,Employee_Lookups!$E$13:$E$17,0)</f>
        <v>700000</v>
      </c>
      <c r="AA1118" s="28">
        <f>ROUND(O1118/INDEX(Employee_Lookups!$E$13:$E$17,MATCH(F1118,Employee_Lookups!$A$13:$A$17,0)),3)</f>
        <v>1.2030000000000001</v>
      </c>
      <c r="AB1118">
        <f t="shared" si="122"/>
        <v>2024</v>
      </c>
      <c r="AC1118" t="str">
        <f t="shared" si="123"/>
        <v/>
      </c>
      <c r="AD1118" s="28">
        <f>ROUND((IF(ISBLANK(L1118),Employee_Lookups!$O$14,L1118)-J1118)/365.25,2)</f>
        <v>1.43</v>
      </c>
      <c r="AE1118" t="str">
        <f t="shared" si="124"/>
        <v>1 - 3 Yrs</v>
      </c>
      <c r="AF1118" t="str">
        <f t="shared" si="125"/>
        <v>Moderate Risk</v>
      </c>
    </row>
    <row r="1119" spans="1:32" x14ac:dyDescent="0.45">
      <c r="A1119" t="s">
        <v>1957</v>
      </c>
      <c r="B1119" t="s">
        <v>1958</v>
      </c>
      <c r="C1119" t="s">
        <v>55</v>
      </c>
      <c r="D1119" t="s">
        <v>54</v>
      </c>
      <c r="E1119" t="s">
        <v>277</v>
      </c>
      <c r="F1119" t="s">
        <v>81</v>
      </c>
      <c r="G1119" t="s">
        <v>278</v>
      </c>
      <c r="H1119" t="s">
        <v>109</v>
      </c>
      <c r="I1119" t="s">
        <v>110</v>
      </c>
      <c r="J1119" s="26">
        <v>45501</v>
      </c>
      <c r="K1119" t="s">
        <v>162</v>
      </c>
      <c r="L1119" s="26"/>
      <c r="M1119" t="s">
        <v>163</v>
      </c>
      <c r="N1119" t="s">
        <v>96</v>
      </c>
      <c r="O1119" s="27">
        <v>681000</v>
      </c>
      <c r="P1119">
        <v>1</v>
      </c>
      <c r="Q1119" t="s">
        <v>172</v>
      </c>
      <c r="R1119">
        <v>10</v>
      </c>
      <c r="S1119" t="s">
        <v>262</v>
      </c>
      <c r="T1119">
        <f t="shared" si="119"/>
        <v>10167</v>
      </c>
      <c r="U1119" t="str">
        <f t="shared" si="120"/>
        <v>OPS</v>
      </c>
      <c r="V1119" t="str">
        <f t="shared" si="121"/>
        <v>L1</v>
      </c>
      <c r="W1119" t="str">
        <f>PROPER(TRIM(VLOOKUP(S1119,Employee_Lookups!$I$4:$M$19,2,FALSE())))</f>
        <v>Ananya Iyer</v>
      </c>
      <c r="X1119" t="str">
        <f>VLOOKUP(C1119,Employee_Lookups!$A$4:$G$9,4,FALSE())</f>
        <v>CC-303</v>
      </c>
      <c r="Y1119" t="str">
        <f>INDEX(Employee_Lookups!$C$13:$C$17,MATCH(F1119,Employee_Lookups!$A$13:$A$17,0))</f>
        <v>Band A (Entry)</v>
      </c>
      <c r="Z1119" s="27">
        <f>_xlfn.XLOOKUP(F1119,Employee_Lookups!$A$13:$A$17,Employee_Lookups!$E$13:$E$17,0)</f>
        <v>700000</v>
      </c>
      <c r="AA1119" s="28">
        <f>ROUND(O1119/INDEX(Employee_Lookups!$E$13:$E$17,MATCH(F1119,Employee_Lookups!$A$13:$A$17,0)),3)</f>
        <v>0.97299999999999998</v>
      </c>
      <c r="AB1119">
        <f t="shared" si="122"/>
        <v>2024</v>
      </c>
      <c r="AC1119" t="str">
        <f t="shared" si="123"/>
        <v/>
      </c>
      <c r="AD1119" s="28">
        <f>ROUND((IF(ISBLANK(L1119),Employee_Lookups!$O$14,L1119)-J1119)/365.25,2)</f>
        <v>1.43</v>
      </c>
      <c r="AE1119" t="str">
        <f t="shared" si="124"/>
        <v>1 - 3 Yrs</v>
      </c>
      <c r="AF1119" t="str">
        <f t="shared" si="125"/>
        <v>Moderate Risk</v>
      </c>
    </row>
    <row r="1120" spans="1:32" x14ac:dyDescent="0.45">
      <c r="A1120" t="s">
        <v>1959</v>
      </c>
      <c r="B1120" t="s">
        <v>1784</v>
      </c>
      <c r="C1120" t="s">
        <v>57</v>
      </c>
      <c r="D1120" t="s">
        <v>56</v>
      </c>
      <c r="E1120" t="s">
        <v>160</v>
      </c>
      <c r="F1120" t="s">
        <v>81</v>
      </c>
      <c r="G1120" t="s">
        <v>161</v>
      </c>
      <c r="H1120" t="s">
        <v>106</v>
      </c>
      <c r="I1120" t="s">
        <v>107</v>
      </c>
      <c r="J1120" s="26">
        <v>45505</v>
      </c>
      <c r="K1120" t="s">
        <v>162</v>
      </c>
      <c r="L1120" s="26"/>
      <c r="M1120" t="s">
        <v>163</v>
      </c>
      <c r="N1120" t="s">
        <v>97</v>
      </c>
      <c r="O1120" s="27">
        <v>727000</v>
      </c>
      <c r="P1120">
        <v>3</v>
      </c>
      <c r="Q1120" t="s">
        <v>172</v>
      </c>
      <c r="R1120">
        <v>31</v>
      </c>
      <c r="S1120" t="s">
        <v>165</v>
      </c>
      <c r="T1120">
        <f t="shared" si="119"/>
        <v>10683</v>
      </c>
      <c r="U1120" t="str">
        <f t="shared" si="120"/>
        <v>MKT</v>
      </c>
      <c r="V1120" t="str">
        <f t="shared" si="121"/>
        <v>L1</v>
      </c>
      <c r="W1120" t="str">
        <f>PROPER(TRIM(VLOOKUP(S1120,Employee_Lookups!$I$4:$M$19,2,FALSE())))</f>
        <v>Arjun Sengupta</v>
      </c>
      <c r="X1120" t="str">
        <f>VLOOKUP(C1120,Employee_Lookups!$A$4:$G$9,4,FALSE())</f>
        <v>CC-606</v>
      </c>
      <c r="Y1120" t="str">
        <f>INDEX(Employee_Lookups!$C$13:$C$17,MATCH(F1120,Employee_Lookups!$A$13:$A$17,0))</f>
        <v>Band A (Entry)</v>
      </c>
      <c r="Z1120" s="27">
        <f>_xlfn.XLOOKUP(F1120,Employee_Lookups!$A$13:$A$17,Employee_Lookups!$E$13:$E$17,0)</f>
        <v>700000</v>
      </c>
      <c r="AA1120" s="28">
        <f>ROUND(O1120/INDEX(Employee_Lookups!$E$13:$E$17,MATCH(F1120,Employee_Lookups!$A$13:$A$17,0)),3)</f>
        <v>1.0389999999999999</v>
      </c>
      <c r="AB1120">
        <f t="shared" si="122"/>
        <v>2024</v>
      </c>
      <c r="AC1120" t="str">
        <f t="shared" si="123"/>
        <v/>
      </c>
      <c r="AD1120" s="28">
        <f>ROUND((IF(ISBLANK(L1120),Employee_Lookups!$O$14,L1120)-J1120)/365.25,2)</f>
        <v>1.42</v>
      </c>
      <c r="AE1120" t="str">
        <f t="shared" si="124"/>
        <v>1 - 3 Yrs</v>
      </c>
      <c r="AF1120" t="str">
        <f t="shared" si="125"/>
        <v>Moderate Risk</v>
      </c>
    </row>
    <row r="1121" spans="1:32" x14ac:dyDescent="0.45">
      <c r="A1121" t="s">
        <v>1960</v>
      </c>
      <c r="B1121" t="s">
        <v>290</v>
      </c>
      <c r="C1121" t="s">
        <v>51</v>
      </c>
      <c r="D1121" t="s">
        <v>50</v>
      </c>
      <c r="E1121" t="s">
        <v>176</v>
      </c>
      <c r="F1121" t="s">
        <v>82</v>
      </c>
      <c r="G1121" t="s">
        <v>177</v>
      </c>
      <c r="H1121" t="s">
        <v>106</v>
      </c>
      <c r="I1121" t="s">
        <v>107</v>
      </c>
      <c r="J1121" s="26">
        <v>45506</v>
      </c>
      <c r="K1121" t="s">
        <v>162</v>
      </c>
      <c r="L1121" s="26"/>
      <c r="M1121" t="s">
        <v>163</v>
      </c>
      <c r="N1121" t="s">
        <v>96</v>
      </c>
      <c r="O1121" s="27">
        <v>1334000</v>
      </c>
      <c r="P1121">
        <v>3</v>
      </c>
      <c r="Q1121" t="s">
        <v>164</v>
      </c>
      <c r="R1121">
        <v>39</v>
      </c>
      <c r="S1121" t="s">
        <v>219</v>
      </c>
      <c r="T1121">
        <f t="shared" si="119"/>
        <v>10282</v>
      </c>
      <c r="U1121" t="str">
        <f t="shared" si="120"/>
        <v>ENG</v>
      </c>
      <c r="V1121" t="str">
        <f t="shared" si="121"/>
        <v>L2</v>
      </c>
      <c r="W1121" t="str">
        <f>PROPER(TRIM(VLOOKUP(S1121,Employee_Lookups!$I$4:$M$19,2,FALSE())))</f>
        <v>Neha Kulkarni</v>
      </c>
      <c r="X1121" t="str">
        <f>VLOOKUP(C1121,Employee_Lookups!$A$4:$G$9,4,FALSE())</f>
        <v>CC-101</v>
      </c>
      <c r="Y1121" t="str">
        <f>INDEX(Employee_Lookups!$C$13:$C$17,MATCH(F1121,Employee_Lookups!$A$13:$A$17,0))</f>
        <v>Band B (Mid)</v>
      </c>
      <c r="Z1121" s="27">
        <f>_xlfn.XLOOKUP(F1121,Employee_Lookups!$A$13:$A$17,Employee_Lookups!$E$13:$E$17,0)</f>
        <v>1100000</v>
      </c>
      <c r="AA1121" s="28">
        <f>ROUND(O1121/INDEX(Employee_Lookups!$E$13:$E$17,MATCH(F1121,Employee_Lookups!$A$13:$A$17,0)),3)</f>
        <v>1.2130000000000001</v>
      </c>
      <c r="AB1121">
        <f t="shared" si="122"/>
        <v>2024</v>
      </c>
      <c r="AC1121" t="str">
        <f t="shared" si="123"/>
        <v/>
      </c>
      <c r="AD1121" s="28">
        <f>ROUND((IF(ISBLANK(L1121),Employee_Lookups!$O$14,L1121)-J1121)/365.25,2)</f>
        <v>1.41</v>
      </c>
      <c r="AE1121" t="str">
        <f t="shared" si="124"/>
        <v>1 - 3 Yrs</v>
      </c>
      <c r="AF1121" t="str">
        <f t="shared" si="125"/>
        <v>Low Risk</v>
      </c>
    </row>
    <row r="1122" spans="1:32" x14ac:dyDescent="0.45">
      <c r="A1122" t="s">
        <v>1961</v>
      </c>
      <c r="B1122" t="s">
        <v>531</v>
      </c>
      <c r="C1122" t="s">
        <v>53</v>
      </c>
      <c r="D1122" t="s">
        <v>52</v>
      </c>
      <c r="E1122" t="s">
        <v>185</v>
      </c>
      <c r="F1122" t="s">
        <v>82</v>
      </c>
      <c r="G1122" t="s">
        <v>186</v>
      </c>
      <c r="H1122" t="s">
        <v>108</v>
      </c>
      <c r="I1122" t="s">
        <v>107</v>
      </c>
      <c r="J1122" s="26">
        <v>45506</v>
      </c>
      <c r="K1122" t="s">
        <v>170</v>
      </c>
      <c r="L1122" s="26">
        <v>45753</v>
      </c>
      <c r="M1122" t="s">
        <v>171</v>
      </c>
      <c r="N1122" t="s">
        <v>99</v>
      </c>
      <c r="O1122" s="27">
        <v>1216000</v>
      </c>
      <c r="P1122">
        <v>4</v>
      </c>
      <c r="Q1122" t="s">
        <v>164</v>
      </c>
      <c r="R1122">
        <v>31</v>
      </c>
      <c r="S1122" t="s">
        <v>189</v>
      </c>
      <c r="T1122">
        <f t="shared" si="119"/>
        <v>10130</v>
      </c>
      <c r="U1122" t="str">
        <f t="shared" si="120"/>
        <v>SAL</v>
      </c>
      <c r="V1122" t="str">
        <f t="shared" si="121"/>
        <v>L2</v>
      </c>
      <c r="W1122" t="str">
        <f>PROPER(TRIM(VLOOKUP(S1122,Employee_Lookups!$I$4:$M$19,2,FALSE())))</f>
        <v>Priya Sharma</v>
      </c>
      <c r="X1122" t="str">
        <f>VLOOKUP(C1122,Employee_Lookups!$A$4:$G$9,4,FALSE())</f>
        <v>CC-202</v>
      </c>
      <c r="Y1122" t="str">
        <f>INDEX(Employee_Lookups!$C$13:$C$17,MATCH(F1122,Employee_Lookups!$A$13:$A$17,0))</f>
        <v>Band B (Mid)</v>
      </c>
      <c r="Z1122" s="27">
        <f>_xlfn.XLOOKUP(F1122,Employee_Lookups!$A$13:$A$17,Employee_Lookups!$E$13:$E$17,0)</f>
        <v>1100000</v>
      </c>
      <c r="AA1122" s="28">
        <f>ROUND(O1122/INDEX(Employee_Lookups!$E$13:$E$17,MATCH(F1122,Employee_Lookups!$A$13:$A$17,0)),3)</f>
        <v>1.105</v>
      </c>
      <c r="AB1122">
        <f t="shared" si="122"/>
        <v>2024</v>
      </c>
      <c r="AC1122">
        <f t="shared" si="123"/>
        <v>2025</v>
      </c>
      <c r="AD1122" s="28">
        <f>ROUND((IF(ISBLANK(L1122),Employee_Lookups!$O$14,L1122)-J1122)/365.25,2)</f>
        <v>0.68</v>
      </c>
      <c r="AE1122" t="str">
        <f t="shared" si="124"/>
        <v>&lt; 1 Yr (New)</v>
      </c>
      <c r="AF1122" t="str">
        <f t="shared" si="125"/>
        <v>Exited</v>
      </c>
    </row>
    <row r="1123" spans="1:32" x14ac:dyDescent="0.45">
      <c r="A1123" t="s">
        <v>1962</v>
      </c>
      <c r="B1123" t="s">
        <v>1805</v>
      </c>
      <c r="C1123" t="s">
        <v>51</v>
      </c>
      <c r="D1123" t="s">
        <v>50</v>
      </c>
      <c r="E1123" t="s">
        <v>176</v>
      </c>
      <c r="F1123" t="s">
        <v>82</v>
      </c>
      <c r="G1123" t="s">
        <v>177</v>
      </c>
      <c r="H1123" t="s">
        <v>108</v>
      </c>
      <c r="I1123" t="s">
        <v>107</v>
      </c>
      <c r="J1123" s="26">
        <v>45507</v>
      </c>
      <c r="K1123" t="s">
        <v>162</v>
      </c>
      <c r="L1123" s="26"/>
      <c r="M1123" t="s">
        <v>163</v>
      </c>
      <c r="N1123" t="s">
        <v>99</v>
      </c>
      <c r="O1123" s="27">
        <v>1012000</v>
      </c>
      <c r="P1123">
        <v>5</v>
      </c>
      <c r="Q1123" t="s">
        <v>172</v>
      </c>
      <c r="R1123">
        <v>34</v>
      </c>
      <c r="S1123" t="s">
        <v>178</v>
      </c>
      <c r="T1123">
        <f t="shared" si="119"/>
        <v>10105</v>
      </c>
      <c r="U1123" t="str">
        <f t="shared" si="120"/>
        <v>ENG</v>
      </c>
      <c r="V1123" t="str">
        <f t="shared" si="121"/>
        <v>L2</v>
      </c>
      <c r="W1123" t="str">
        <f>PROPER(TRIM(VLOOKUP(S1123,Employee_Lookups!$I$4:$M$19,2,FALSE())))</f>
        <v>Aarav Deshmukh</v>
      </c>
      <c r="X1123" t="str">
        <f>VLOOKUP(C1123,Employee_Lookups!$A$4:$G$9,4,FALSE())</f>
        <v>CC-101</v>
      </c>
      <c r="Y1123" t="str">
        <f>INDEX(Employee_Lookups!$C$13:$C$17,MATCH(F1123,Employee_Lookups!$A$13:$A$17,0))</f>
        <v>Band B (Mid)</v>
      </c>
      <c r="Z1123" s="27">
        <f>_xlfn.XLOOKUP(F1123,Employee_Lookups!$A$13:$A$17,Employee_Lookups!$E$13:$E$17,0)</f>
        <v>1100000</v>
      </c>
      <c r="AA1123" s="28">
        <f>ROUND(O1123/INDEX(Employee_Lookups!$E$13:$E$17,MATCH(F1123,Employee_Lookups!$A$13:$A$17,0)),3)</f>
        <v>0.92</v>
      </c>
      <c r="AB1123">
        <f t="shared" si="122"/>
        <v>2024</v>
      </c>
      <c r="AC1123" t="str">
        <f t="shared" si="123"/>
        <v/>
      </c>
      <c r="AD1123" s="28">
        <f>ROUND((IF(ISBLANK(L1123),Employee_Lookups!$O$14,L1123)-J1123)/365.25,2)</f>
        <v>1.41</v>
      </c>
      <c r="AE1123" t="str">
        <f t="shared" si="124"/>
        <v>1 - 3 Yrs</v>
      </c>
      <c r="AF1123" t="str">
        <f t="shared" si="125"/>
        <v>High Risk</v>
      </c>
    </row>
    <row r="1124" spans="1:32" x14ac:dyDescent="0.45">
      <c r="A1124" t="s">
        <v>1963</v>
      </c>
      <c r="B1124" t="s">
        <v>1964</v>
      </c>
      <c r="C1124" t="s">
        <v>61</v>
      </c>
      <c r="D1124" t="s">
        <v>60</v>
      </c>
      <c r="E1124" t="s">
        <v>356</v>
      </c>
      <c r="F1124" t="s">
        <v>81</v>
      </c>
      <c r="G1124" t="s">
        <v>357</v>
      </c>
      <c r="H1124" t="s">
        <v>109</v>
      </c>
      <c r="I1124" t="s">
        <v>110</v>
      </c>
      <c r="J1124" s="26">
        <v>45507</v>
      </c>
      <c r="K1124" t="s">
        <v>162</v>
      </c>
      <c r="L1124" s="26"/>
      <c r="M1124" t="s">
        <v>163</v>
      </c>
      <c r="N1124" t="s">
        <v>97</v>
      </c>
      <c r="O1124" s="27">
        <v>817000</v>
      </c>
      <c r="P1124">
        <v>2</v>
      </c>
      <c r="Q1124" t="s">
        <v>164</v>
      </c>
      <c r="R1124">
        <v>26</v>
      </c>
      <c r="S1124" t="s">
        <v>253</v>
      </c>
      <c r="T1124">
        <f t="shared" si="119"/>
        <v>10100</v>
      </c>
      <c r="U1124" t="str">
        <f t="shared" si="120"/>
        <v>-HR</v>
      </c>
      <c r="V1124" t="str">
        <f t="shared" si="121"/>
        <v>L1</v>
      </c>
      <c r="W1124" t="str">
        <f>PROPER(TRIM(VLOOKUP(S1124,Employee_Lookups!$I$4:$M$19,2,FALSE())))</f>
        <v>Nikhil Chatterjee</v>
      </c>
      <c r="X1124" t="str">
        <f>VLOOKUP(C1124,Employee_Lookups!$A$4:$G$9,4,FALSE())</f>
        <v>CC-505</v>
      </c>
      <c r="Y1124" t="str">
        <f>INDEX(Employee_Lookups!$C$13:$C$17,MATCH(F1124,Employee_Lookups!$A$13:$A$17,0))</f>
        <v>Band A (Entry)</v>
      </c>
      <c r="Z1124" s="27">
        <f>_xlfn.XLOOKUP(F1124,Employee_Lookups!$A$13:$A$17,Employee_Lookups!$E$13:$E$17,0)</f>
        <v>700000</v>
      </c>
      <c r="AA1124" s="28">
        <f>ROUND(O1124/INDEX(Employee_Lookups!$E$13:$E$17,MATCH(F1124,Employee_Lookups!$A$13:$A$17,0)),3)</f>
        <v>1.167</v>
      </c>
      <c r="AB1124">
        <f t="shared" si="122"/>
        <v>2024</v>
      </c>
      <c r="AC1124" t="str">
        <f t="shared" si="123"/>
        <v/>
      </c>
      <c r="AD1124" s="28">
        <f>ROUND((IF(ISBLANK(L1124),Employee_Lookups!$O$14,L1124)-J1124)/365.25,2)</f>
        <v>1.41</v>
      </c>
      <c r="AE1124" t="str">
        <f t="shared" si="124"/>
        <v>1 - 3 Yrs</v>
      </c>
      <c r="AF1124" t="str">
        <f t="shared" si="125"/>
        <v>Moderate Risk</v>
      </c>
    </row>
    <row r="1125" spans="1:32" x14ac:dyDescent="0.45">
      <c r="A1125" t="s">
        <v>1965</v>
      </c>
      <c r="B1125" t="s">
        <v>1966</v>
      </c>
      <c r="C1125" t="s">
        <v>51</v>
      </c>
      <c r="D1125" t="s">
        <v>50</v>
      </c>
      <c r="E1125" t="s">
        <v>181</v>
      </c>
      <c r="F1125" t="s">
        <v>81</v>
      </c>
      <c r="G1125" t="s">
        <v>182</v>
      </c>
      <c r="H1125" t="s">
        <v>106</v>
      </c>
      <c r="I1125" t="s">
        <v>107</v>
      </c>
      <c r="J1125" s="26">
        <v>45509</v>
      </c>
      <c r="K1125" t="s">
        <v>162</v>
      </c>
      <c r="L1125" s="26"/>
      <c r="M1125" t="s">
        <v>163</v>
      </c>
      <c r="N1125" t="s">
        <v>97</v>
      </c>
      <c r="O1125" s="27">
        <v>602000</v>
      </c>
      <c r="P1125">
        <v>4</v>
      </c>
      <c r="Q1125" t="s">
        <v>172</v>
      </c>
      <c r="R1125">
        <v>39</v>
      </c>
      <c r="S1125" t="s">
        <v>197</v>
      </c>
      <c r="T1125">
        <f t="shared" si="119"/>
        <v>11414</v>
      </c>
      <c r="U1125" t="str">
        <f t="shared" si="120"/>
        <v>ENG</v>
      </c>
      <c r="V1125" t="str">
        <f t="shared" si="121"/>
        <v>L1</v>
      </c>
      <c r="W1125" t="str">
        <f>PROPER(TRIM(VLOOKUP(S1125,Employee_Lookups!$I$4:$M$19,2,FALSE())))</f>
        <v>Rohan Verma</v>
      </c>
      <c r="X1125" t="str">
        <f>VLOOKUP(C1125,Employee_Lookups!$A$4:$G$9,4,FALSE())</f>
        <v>CC-101</v>
      </c>
      <c r="Y1125" t="str">
        <f>INDEX(Employee_Lookups!$C$13:$C$17,MATCH(F1125,Employee_Lookups!$A$13:$A$17,0))</f>
        <v>Band A (Entry)</v>
      </c>
      <c r="Z1125" s="27">
        <f>_xlfn.XLOOKUP(F1125,Employee_Lookups!$A$13:$A$17,Employee_Lookups!$E$13:$E$17,0)</f>
        <v>700000</v>
      </c>
      <c r="AA1125" s="28">
        <f>ROUND(O1125/INDEX(Employee_Lookups!$E$13:$E$17,MATCH(F1125,Employee_Lookups!$A$13:$A$17,0)),3)</f>
        <v>0.86</v>
      </c>
      <c r="AB1125">
        <f t="shared" si="122"/>
        <v>2024</v>
      </c>
      <c r="AC1125" t="str">
        <f t="shared" si="123"/>
        <v/>
      </c>
      <c r="AD1125" s="28">
        <f>ROUND((IF(ISBLANK(L1125),Employee_Lookups!$O$14,L1125)-J1125)/365.25,2)</f>
        <v>1.4</v>
      </c>
      <c r="AE1125" t="str">
        <f t="shared" si="124"/>
        <v>1 - 3 Yrs</v>
      </c>
      <c r="AF1125" t="str">
        <f t="shared" si="125"/>
        <v>High Risk</v>
      </c>
    </row>
    <row r="1126" spans="1:32" x14ac:dyDescent="0.45">
      <c r="A1126" t="s">
        <v>1967</v>
      </c>
      <c r="B1126" t="s">
        <v>1968</v>
      </c>
      <c r="C1126" t="s">
        <v>53</v>
      </c>
      <c r="D1126" t="s">
        <v>52</v>
      </c>
      <c r="E1126" t="s">
        <v>322</v>
      </c>
      <c r="F1126" t="s">
        <v>81</v>
      </c>
      <c r="G1126" t="s">
        <v>323</v>
      </c>
      <c r="H1126" t="s">
        <v>106</v>
      </c>
      <c r="I1126" t="s">
        <v>107</v>
      </c>
      <c r="J1126" s="26">
        <v>45509</v>
      </c>
      <c r="K1126" t="s">
        <v>162</v>
      </c>
      <c r="L1126" s="26"/>
      <c r="M1126" t="s">
        <v>163</v>
      </c>
      <c r="N1126" t="s">
        <v>97</v>
      </c>
      <c r="O1126" s="27">
        <v>645000</v>
      </c>
      <c r="P1126">
        <v>2</v>
      </c>
      <c r="Q1126" t="s">
        <v>172</v>
      </c>
      <c r="R1126">
        <v>4</v>
      </c>
      <c r="S1126" t="s">
        <v>194</v>
      </c>
      <c r="T1126">
        <f t="shared" si="119"/>
        <v>11272</v>
      </c>
      <c r="U1126" t="str">
        <f t="shared" si="120"/>
        <v>SAL</v>
      </c>
      <c r="V1126" t="str">
        <f t="shared" si="121"/>
        <v>L1</v>
      </c>
      <c r="W1126" t="str">
        <f>PROPER(TRIM(VLOOKUP(S1126,Employee_Lookups!$I$4:$M$19,2,FALSE())))</f>
        <v>Vikramaditya Joshi</v>
      </c>
      <c r="X1126" t="str">
        <f>VLOOKUP(C1126,Employee_Lookups!$A$4:$G$9,4,FALSE())</f>
        <v>CC-202</v>
      </c>
      <c r="Y1126" t="str">
        <f>INDEX(Employee_Lookups!$C$13:$C$17,MATCH(F1126,Employee_Lookups!$A$13:$A$17,0))</f>
        <v>Band A (Entry)</v>
      </c>
      <c r="Z1126" s="27">
        <f>_xlfn.XLOOKUP(F1126,Employee_Lookups!$A$13:$A$17,Employee_Lookups!$E$13:$E$17,0)</f>
        <v>700000</v>
      </c>
      <c r="AA1126" s="28">
        <f>ROUND(O1126/INDEX(Employee_Lookups!$E$13:$E$17,MATCH(F1126,Employee_Lookups!$A$13:$A$17,0)),3)</f>
        <v>0.92100000000000004</v>
      </c>
      <c r="AB1126">
        <f t="shared" si="122"/>
        <v>2024</v>
      </c>
      <c r="AC1126" t="str">
        <f t="shared" si="123"/>
        <v/>
      </c>
      <c r="AD1126" s="28">
        <f>ROUND((IF(ISBLANK(L1126),Employee_Lookups!$O$14,L1126)-J1126)/365.25,2)</f>
        <v>1.4</v>
      </c>
      <c r="AE1126" t="str">
        <f t="shared" si="124"/>
        <v>1 - 3 Yrs</v>
      </c>
      <c r="AF1126" t="str">
        <f t="shared" si="125"/>
        <v>High Risk</v>
      </c>
    </row>
    <row r="1127" spans="1:32" x14ac:dyDescent="0.45">
      <c r="A1127" t="s">
        <v>1969</v>
      </c>
      <c r="B1127" t="s">
        <v>1970</v>
      </c>
      <c r="C1127" t="s">
        <v>55</v>
      </c>
      <c r="D1127" t="s">
        <v>54</v>
      </c>
      <c r="E1127" t="s">
        <v>229</v>
      </c>
      <c r="F1127" t="s">
        <v>82</v>
      </c>
      <c r="G1127" t="s">
        <v>230</v>
      </c>
      <c r="H1127" t="s">
        <v>111</v>
      </c>
      <c r="I1127" t="s">
        <v>110</v>
      </c>
      <c r="J1127" s="26">
        <v>45512</v>
      </c>
      <c r="K1127" t="s">
        <v>162</v>
      </c>
      <c r="L1127" s="26"/>
      <c r="M1127" t="s">
        <v>163</v>
      </c>
      <c r="N1127" t="s">
        <v>95</v>
      </c>
      <c r="O1127" s="27">
        <v>952000</v>
      </c>
      <c r="P1127">
        <v>3</v>
      </c>
      <c r="Q1127" t="s">
        <v>172</v>
      </c>
      <c r="R1127">
        <v>32</v>
      </c>
      <c r="S1127" t="s">
        <v>262</v>
      </c>
      <c r="T1127">
        <f t="shared" si="119"/>
        <v>11213</v>
      </c>
      <c r="U1127" t="str">
        <f t="shared" si="120"/>
        <v>OPS</v>
      </c>
      <c r="V1127" t="str">
        <f t="shared" si="121"/>
        <v>L2</v>
      </c>
      <c r="W1127" t="str">
        <f>PROPER(TRIM(VLOOKUP(S1127,Employee_Lookups!$I$4:$M$19,2,FALSE())))</f>
        <v>Ananya Iyer</v>
      </c>
      <c r="X1127" t="str">
        <f>VLOOKUP(C1127,Employee_Lookups!$A$4:$G$9,4,FALSE())</f>
        <v>CC-303</v>
      </c>
      <c r="Y1127" t="str">
        <f>INDEX(Employee_Lookups!$C$13:$C$17,MATCH(F1127,Employee_Lookups!$A$13:$A$17,0))</f>
        <v>Band B (Mid)</v>
      </c>
      <c r="Z1127" s="27">
        <f>_xlfn.XLOOKUP(F1127,Employee_Lookups!$A$13:$A$17,Employee_Lookups!$E$13:$E$17,0)</f>
        <v>1100000</v>
      </c>
      <c r="AA1127" s="28">
        <f>ROUND(O1127/INDEX(Employee_Lookups!$E$13:$E$17,MATCH(F1127,Employee_Lookups!$A$13:$A$17,0)),3)</f>
        <v>0.86499999999999999</v>
      </c>
      <c r="AB1127">
        <f t="shared" si="122"/>
        <v>2024</v>
      </c>
      <c r="AC1127" t="str">
        <f t="shared" si="123"/>
        <v/>
      </c>
      <c r="AD1127" s="28">
        <f>ROUND((IF(ISBLANK(L1127),Employee_Lookups!$O$14,L1127)-J1127)/365.25,2)</f>
        <v>1.4</v>
      </c>
      <c r="AE1127" t="str">
        <f t="shared" si="124"/>
        <v>1 - 3 Yrs</v>
      </c>
      <c r="AF1127" t="str">
        <f t="shared" si="125"/>
        <v>High Risk</v>
      </c>
    </row>
    <row r="1128" spans="1:32" x14ac:dyDescent="0.45">
      <c r="A1128" t="s">
        <v>1971</v>
      </c>
      <c r="B1128" t="s">
        <v>1407</v>
      </c>
      <c r="C1128" t="s">
        <v>59</v>
      </c>
      <c r="D1128" t="s">
        <v>58</v>
      </c>
      <c r="E1128" t="s">
        <v>211</v>
      </c>
      <c r="F1128" t="s">
        <v>82</v>
      </c>
      <c r="G1128" t="s">
        <v>212</v>
      </c>
      <c r="H1128" t="s">
        <v>111</v>
      </c>
      <c r="I1128" t="s">
        <v>110</v>
      </c>
      <c r="J1128" s="26">
        <v>45512</v>
      </c>
      <c r="K1128" t="s">
        <v>162</v>
      </c>
      <c r="L1128" s="26"/>
      <c r="M1128" t="s">
        <v>163</v>
      </c>
      <c r="N1128" t="s">
        <v>96</v>
      </c>
      <c r="O1128" s="27">
        <v>1264000</v>
      </c>
      <c r="P1128">
        <v>4</v>
      </c>
      <c r="Q1128" t="s">
        <v>164</v>
      </c>
      <c r="R1128">
        <v>48</v>
      </c>
      <c r="S1128" t="s">
        <v>214</v>
      </c>
      <c r="T1128">
        <f t="shared" si="119"/>
        <v>10151</v>
      </c>
      <c r="U1128" t="str">
        <f t="shared" si="120"/>
        <v>FIN</v>
      </c>
      <c r="V1128" t="str">
        <f t="shared" si="121"/>
        <v>L2</v>
      </c>
      <c r="W1128" t="str">
        <f>PROPER(TRIM(VLOOKUP(S1128,Employee_Lookups!$I$4:$M$19,2,FALSE())))</f>
        <v>Aditya Gokhale</v>
      </c>
      <c r="X1128" t="str">
        <f>VLOOKUP(C1128,Employee_Lookups!$A$4:$G$9,4,FALSE())</f>
        <v>CC-404</v>
      </c>
      <c r="Y1128" t="str">
        <f>INDEX(Employee_Lookups!$C$13:$C$17,MATCH(F1128,Employee_Lookups!$A$13:$A$17,0))</f>
        <v>Band B (Mid)</v>
      </c>
      <c r="Z1128" s="27">
        <f>_xlfn.XLOOKUP(F1128,Employee_Lookups!$A$13:$A$17,Employee_Lookups!$E$13:$E$17,0)</f>
        <v>1100000</v>
      </c>
      <c r="AA1128" s="28">
        <f>ROUND(O1128/INDEX(Employee_Lookups!$E$13:$E$17,MATCH(F1128,Employee_Lookups!$A$13:$A$17,0)),3)</f>
        <v>1.149</v>
      </c>
      <c r="AB1128">
        <f t="shared" si="122"/>
        <v>2024</v>
      </c>
      <c r="AC1128" t="str">
        <f t="shared" si="123"/>
        <v/>
      </c>
      <c r="AD1128" s="28">
        <f>ROUND((IF(ISBLANK(L1128),Employee_Lookups!$O$14,L1128)-J1128)/365.25,2)</f>
        <v>1.4</v>
      </c>
      <c r="AE1128" t="str">
        <f t="shared" si="124"/>
        <v>1 - 3 Yrs</v>
      </c>
      <c r="AF1128" t="str">
        <f t="shared" si="125"/>
        <v>Low Risk</v>
      </c>
    </row>
    <row r="1129" spans="1:32" x14ac:dyDescent="0.45">
      <c r="A1129" t="s">
        <v>1972</v>
      </c>
      <c r="B1129" t="s">
        <v>1162</v>
      </c>
      <c r="C1129" t="s">
        <v>55</v>
      </c>
      <c r="D1129" t="s">
        <v>54</v>
      </c>
      <c r="E1129" t="s">
        <v>229</v>
      </c>
      <c r="F1129" t="s">
        <v>82</v>
      </c>
      <c r="G1129" t="s">
        <v>230</v>
      </c>
      <c r="H1129" t="s">
        <v>111</v>
      </c>
      <c r="I1129" t="s">
        <v>110</v>
      </c>
      <c r="J1129" s="26">
        <v>45513</v>
      </c>
      <c r="K1129" t="s">
        <v>162</v>
      </c>
      <c r="L1129" s="26"/>
      <c r="M1129" t="s">
        <v>163</v>
      </c>
      <c r="N1129" t="s">
        <v>99</v>
      </c>
      <c r="O1129" s="27">
        <v>895000</v>
      </c>
      <c r="P1129">
        <v>3</v>
      </c>
      <c r="Q1129" t="s">
        <v>164</v>
      </c>
      <c r="R1129">
        <v>35</v>
      </c>
      <c r="S1129" t="s">
        <v>173</v>
      </c>
      <c r="T1129">
        <f t="shared" si="119"/>
        <v>10390</v>
      </c>
      <c r="U1129" t="str">
        <f t="shared" si="120"/>
        <v>OPS</v>
      </c>
      <c r="V1129" t="str">
        <f t="shared" si="121"/>
        <v>L2</v>
      </c>
      <c r="W1129" t="str">
        <f>PROPER(TRIM(VLOOKUP(S1129,Employee_Lookups!$I$4:$M$19,2,FALSE())))</f>
        <v>Deepak Patil</v>
      </c>
      <c r="X1129" t="str">
        <f>VLOOKUP(C1129,Employee_Lookups!$A$4:$G$9,4,FALSE())</f>
        <v>CC-303</v>
      </c>
      <c r="Y1129" t="str">
        <f>INDEX(Employee_Lookups!$C$13:$C$17,MATCH(F1129,Employee_Lookups!$A$13:$A$17,0))</f>
        <v>Band B (Mid)</v>
      </c>
      <c r="Z1129" s="27">
        <f>_xlfn.XLOOKUP(F1129,Employee_Lookups!$A$13:$A$17,Employee_Lookups!$E$13:$E$17,0)</f>
        <v>1100000</v>
      </c>
      <c r="AA1129" s="28">
        <f>ROUND(O1129/INDEX(Employee_Lookups!$E$13:$E$17,MATCH(F1129,Employee_Lookups!$A$13:$A$17,0)),3)</f>
        <v>0.81399999999999995</v>
      </c>
      <c r="AB1129">
        <f t="shared" si="122"/>
        <v>2024</v>
      </c>
      <c r="AC1129" t="str">
        <f t="shared" si="123"/>
        <v/>
      </c>
      <c r="AD1129" s="28">
        <f>ROUND((IF(ISBLANK(L1129),Employee_Lookups!$O$14,L1129)-J1129)/365.25,2)</f>
        <v>1.39</v>
      </c>
      <c r="AE1129" t="str">
        <f t="shared" si="124"/>
        <v>1 - 3 Yrs</v>
      </c>
      <c r="AF1129" t="str">
        <f t="shared" si="125"/>
        <v>Low Risk</v>
      </c>
    </row>
    <row r="1130" spans="1:32" x14ac:dyDescent="0.45">
      <c r="A1130" t="s">
        <v>1973</v>
      </c>
      <c r="B1130" t="s">
        <v>914</v>
      </c>
      <c r="C1130" t="s">
        <v>51</v>
      </c>
      <c r="D1130" t="s">
        <v>50</v>
      </c>
      <c r="E1130" t="s">
        <v>176</v>
      </c>
      <c r="F1130" t="s">
        <v>82</v>
      </c>
      <c r="G1130" t="s">
        <v>177</v>
      </c>
      <c r="H1130" t="s">
        <v>106</v>
      </c>
      <c r="I1130" t="s">
        <v>107</v>
      </c>
      <c r="J1130" s="26">
        <v>45513</v>
      </c>
      <c r="K1130" t="s">
        <v>170</v>
      </c>
      <c r="L1130" s="26">
        <v>45608</v>
      </c>
      <c r="M1130" t="s">
        <v>171</v>
      </c>
      <c r="N1130" t="s">
        <v>98</v>
      </c>
      <c r="O1130" s="27">
        <v>1322000</v>
      </c>
      <c r="P1130">
        <v>2</v>
      </c>
      <c r="Q1130" t="s">
        <v>172</v>
      </c>
      <c r="R1130">
        <v>23</v>
      </c>
      <c r="S1130" t="s">
        <v>197</v>
      </c>
      <c r="T1130">
        <f t="shared" si="119"/>
        <v>10388</v>
      </c>
      <c r="U1130" t="str">
        <f t="shared" si="120"/>
        <v>ENG</v>
      </c>
      <c r="V1130" t="str">
        <f t="shared" si="121"/>
        <v>L2</v>
      </c>
      <c r="W1130" t="str">
        <f>PROPER(TRIM(VLOOKUP(S1130,Employee_Lookups!$I$4:$M$19,2,FALSE())))</f>
        <v>Rohan Verma</v>
      </c>
      <c r="X1130" t="str">
        <f>VLOOKUP(C1130,Employee_Lookups!$A$4:$G$9,4,FALSE())</f>
        <v>CC-101</v>
      </c>
      <c r="Y1130" t="str">
        <f>INDEX(Employee_Lookups!$C$13:$C$17,MATCH(F1130,Employee_Lookups!$A$13:$A$17,0))</f>
        <v>Band B (Mid)</v>
      </c>
      <c r="Z1130" s="27">
        <f>_xlfn.XLOOKUP(F1130,Employee_Lookups!$A$13:$A$17,Employee_Lookups!$E$13:$E$17,0)</f>
        <v>1100000</v>
      </c>
      <c r="AA1130" s="28">
        <f>ROUND(O1130/INDEX(Employee_Lookups!$E$13:$E$17,MATCH(F1130,Employee_Lookups!$A$13:$A$17,0)),3)</f>
        <v>1.202</v>
      </c>
      <c r="AB1130">
        <f t="shared" si="122"/>
        <v>2024</v>
      </c>
      <c r="AC1130">
        <f t="shared" si="123"/>
        <v>2024</v>
      </c>
      <c r="AD1130" s="28">
        <f>ROUND((IF(ISBLANK(L1130),Employee_Lookups!$O$14,L1130)-J1130)/365.25,2)</f>
        <v>0.26</v>
      </c>
      <c r="AE1130" t="str">
        <f t="shared" si="124"/>
        <v>&lt; 1 Yr (New)</v>
      </c>
      <c r="AF1130" t="str">
        <f t="shared" si="125"/>
        <v>Exited</v>
      </c>
    </row>
    <row r="1131" spans="1:32" x14ac:dyDescent="0.45">
      <c r="A1131" t="s">
        <v>1974</v>
      </c>
      <c r="B1131" t="s">
        <v>1249</v>
      </c>
      <c r="C1131" t="s">
        <v>51</v>
      </c>
      <c r="D1131" t="s">
        <v>50</v>
      </c>
      <c r="E1131" t="s">
        <v>176</v>
      </c>
      <c r="F1131" t="s">
        <v>82</v>
      </c>
      <c r="G1131" t="s">
        <v>177</v>
      </c>
      <c r="H1131" t="s">
        <v>108</v>
      </c>
      <c r="I1131" t="s">
        <v>107</v>
      </c>
      <c r="J1131" s="26">
        <v>45513</v>
      </c>
      <c r="K1131" t="s">
        <v>162</v>
      </c>
      <c r="L1131" s="26"/>
      <c r="M1131" t="s">
        <v>163</v>
      </c>
      <c r="N1131" t="s">
        <v>98</v>
      </c>
      <c r="O1131" s="27">
        <v>1270000</v>
      </c>
      <c r="P1131">
        <v>4</v>
      </c>
      <c r="Q1131" t="s">
        <v>164</v>
      </c>
      <c r="R1131">
        <v>40</v>
      </c>
      <c r="S1131" t="s">
        <v>178</v>
      </c>
      <c r="T1131">
        <f t="shared" si="119"/>
        <v>10999</v>
      </c>
      <c r="U1131" t="str">
        <f t="shared" si="120"/>
        <v>ENG</v>
      </c>
      <c r="V1131" t="str">
        <f t="shared" si="121"/>
        <v>L2</v>
      </c>
      <c r="W1131" t="str">
        <f>PROPER(TRIM(VLOOKUP(S1131,Employee_Lookups!$I$4:$M$19,2,FALSE())))</f>
        <v>Aarav Deshmukh</v>
      </c>
      <c r="X1131" t="str">
        <f>VLOOKUP(C1131,Employee_Lookups!$A$4:$G$9,4,FALSE())</f>
        <v>CC-101</v>
      </c>
      <c r="Y1131" t="str">
        <f>INDEX(Employee_Lookups!$C$13:$C$17,MATCH(F1131,Employee_Lookups!$A$13:$A$17,0))</f>
        <v>Band B (Mid)</v>
      </c>
      <c r="Z1131" s="27">
        <f>_xlfn.XLOOKUP(F1131,Employee_Lookups!$A$13:$A$17,Employee_Lookups!$E$13:$E$17,0)</f>
        <v>1100000</v>
      </c>
      <c r="AA1131" s="28">
        <f>ROUND(O1131/INDEX(Employee_Lookups!$E$13:$E$17,MATCH(F1131,Employee_Lookups!$A$13:$A$17,0)),3)</f>
        <v>1.155</v>
      </c>
      <c r="AB1131">
        <f t="shared" si="122"/>
        <v>2024</v>
      </c>
      <c r="AC1131" t="str">
        <f t="shared" si="123"/>
        <v/>
      </c>
      <c r="AD1131" s="28">
        <f>ROUND((IF(ISBLANK(L1131),Employee_Lookups!$O$14,L1131)-J1131)/365.25,2)</f>
        <v>1.39</v>
      </c>
      <c r="AE1131" t="str">
        <f t="shared" si="124"/>
        <v>1 - 3 Yrs</v>
      </c>
      <c r="AF1131" t="str">
        <f t="shared" si="125"/>
        <v>Low Risk</v>
      </c>
    </row>
    <row r="1132" spans="1:32" x14ac:dyDescent="0.45">
      <c r="A1132" t="s">
        <v>1975</v>
      </c>
      <c r="B1132" t="s">
        <v>1976</v>
      </c>
      <c r="C1132" t="s">
        <v>51</v>
      </c>
      <c r="D1132" t="s">
        <v>50</v>
      </c>
      <c r="E1132" t="s">
        <v>181</v>
      </c>
      <c r="F1132" t="s">
        <v>81</v>
      </c>
      <c r="G1132" t="s">
        <v>182</v>
      </c>
      <c r="H1132" t="s">
        <v>109</v>
      </c>
      <c r="I1132" t="s">
        <v>110</v>
      </c>
      <c r="J1132" s="26">
        <v>45514</v>
      </c>
      <c r="K1132" t="s">
        <v>162</v>
      </c>
      <c r="L1132" s="26"/>
      <c r="M1132" t="s">
        <v>163</v>
      </c>
      <c r="N1132" t="s">
        <v>95</v>
      </c>
      <c r="O1132" s="27">
        <v>847000</v>
      </c>
      <c r="P1132">
        <v>2</v>
      </c>
      <c r="Q1132" t="s">
        <v>164</v>
      </c>
      <c r="R1132">
        <v>23</v>
      </c>
      <c r="S1132" t="s">
        <v>244</v>
      </c>
      <c r="T1132">
        <f t="shared" si="119"/>
        <v>10094</v>
      </c>
      <c r="U1132" t="str">
        <f t="shared" si="120"/>
        <v>ENG</v>
      </c>
      <c r="V1132" t="str">
        <f t="shared" si="121"/>
        <v>L1</v>
      </c>
      <c r="W1132" t="str">
        <f>PROPER(TRIM(VLOOKUP(S1132,Employee_Lookups!$I$4:$M$19,2,FALSE())))</f>
        <v>Siddharth Nair</v>
      </c>
      <c r="X1132" t="str">
        <f>VLOOKUP(C1132,Employee_Lookups!$A$4:$G$9,4,FALSE())</f>
        <v>CC-101</v>
      </c>
      <c r="Y1132" t="str">
        <f>INDEX(Employee_Lookups!$C$13:$C$17,MATCH(F1132,Employee_Lookups!$A$13:$A$17,0))</f>
        <v>Band A (Entry)</v>
      </c>
      <c r="Z1132" s="27">
        <f>_xlfn.XLOOKUP(F1132,Employee_Lookups!$A$13:$A$17,Employee_Lookups!$E$13:$E$17,0)</f>
        <v>700000</v>
      </c>
      <c r="AA1132" s="28">
        <f>ROUND(O1132/INDEX(Employee_Lookups!$E$13:$E$17,MATCH(F1132,Employee_Lookups!$A$13:$A$17,0)),3)</f>
        <v>1.21</v>
      </c>
      <c r="AB1132">
        <f t="shared" si="122"/>
        <v>2024</v>
      </c>
      <c r="AC1132" t="str">
        <f t="shared" si="123"/>
        <v/>
      </c>
      <c r="AD1132" s="28">
        <f>ROUND((IF(ISBLANK(L1132),Employee_Lookups!$O$14,L1132)-J1132)/365.25,2)</f>
        <v>1.39</v>
      </c>
      <c r="AE1132" t="str">
        <f t="shared" si="124"/>
        <v>1 - 3 Yrs</v>
      </c>
      <c r="AF1132" t="str">
        <f t="shared" si="125"/>
        <v>Moderate Risk</v>
      </c>
    </row>
    <row r="1133" spans="1:32" x14ac:dyDescent="0.45">
      <c r="A1133" t="s">
        <v>1977</v>
      </c>
      <c r="B1133" t="s">
        <v>228</v>
      </c>
      <c r="C1133" t="s">
        <v>51</v>
      </c>
      <c r="D1133" t="s">
        <v>50</v>
      </c>
      <c r="E1133" t="s">
        <v>176</v>
      </c>
      <c r="F1133" t="s">
        <v>82</v>
      </c>
      <c r="G1133" t="s">
        <v>177</v>
      </c>
      <c r="H1133" t="s">
        <v>108</v>
      </c>
      <c r="I1133" t="s">
        <v>107</v>
      </c>
      <c r="J1133" s="26">
        <v>45514</v>
      </c>
      <c r="K1133" t="s">
        <v>187</v>
      </c>
      <c r="L1133" s="26">
        <v>45632</v>
      </c>
      <c r="M1133" t="s">
        <v>282</v>
      </c>
      <c r="N1133" t="s">
        <v>98</v>
      </c>
      <c r="O1133" s="27">
        <v>1279000</v>
      </c>
      <c r="P1133">
        <v>3</v>
      </c>
      <c r="Q1133" t="s">
        <v>172</v>
      </c>
      <c r="R1133">
        <v>28</v>
      </c>
      <c r="S1133" t="s">
        <v>197</v>
      </c>
      <c r="T1133">
        <f t="shared" si="119"/>
        <v>10592</v>
      </c>
      <c r="U1133" t="str">
        <f t="shared" si="120"/>
        <v>ENG</v>
      </c>
      <c r="V1133" t="str">
        <f t="shared" si="121"/>
        <v>L2</v>
      </c>
      <c r="W1133" t="str">
        <f>PROPER(TRIM(VLOOKUP(S1133,Employee_Lookups!$I$4:$M$19,2,FALSE())))</f>
        <v>Rohan Verma</v>
      </c>
      <c r="X1133" t="str">
        <f>VLOOKUP(C1133,Employee_Lookups!$A$4:$G$9,4,FALSE())</f>
        <v>CC-101</v>
      </c>
      <c r="Y1133" t="str">
        <f>INDEX(Employee_Lookups!$C$13:$C$17,MATCH(F1133,Employee_Lookups!$A$13:$A$17,0))</f>
        <v>Band B (Mid)</v>
      </c>
      <c r="Z1133" s="27">
        <f>_xlfn.XLOOKUP(F1133,Employee_Lookups!$A$13:$A$17,Employee_Lookups!$E$13:$E$17,0)</f>
        <v>1100000</v>
      </c>
      <c r="AA1133" s="28">
        <f>ROUND(O1133/INDEX(Employee_Lookups!$E$13:$E$17,MATCH(F1133,Employee_Lookups!$A$13:$A$17,0)),3)</f>
        <v>1.163</v>
      </c>
      <c r="AB1133">
        <f t="shared" si="122"/>
        <v>2024</v>
      </c>
      <c r="AC1133">
        <f t="shared" si="123"/>
        <v>2024</v>
      </c>
      <c r="AD1133" s="28">
        <f>ROUND((IF(ISBLANK(L1133),Employee_Lookups!$O$14,L1133)-J1133)/365.25,2)</f>
        <v>0.32</v>
      </c>
      <c r="AE1133" t="str">
        <f t="shared" si="124"/>
        <v>&lt; 1 Yr (New)</v>
      </c>
      <c r="AF1133" t="str">
        <f t="shared" si="125"/>
        <v>Exited</v>
      </c>
    </row>
    <row r="1134" spans="1:32" x14ac:dyDescent="0.45">
      <c r="A1134" t="s">
        <v>1978</v>
      </c>
      <c r="B1134" t="s">
        <v>675</v>
      </c>
      <c r="C1134" t="s">
        <v>51</v>
      </c>
      <c r="D1134" t="s">
        <v>50</v>
      </c>
      <c r="E1134" t="s">
        <v>181</v>
      </c>
      <c r="F1134" t="s">
        <v>81</v>
      </c>
      <c r="G1134" t="s">
        <v>182</v>
      </c>
      <c r="H1134" t="s">
        <v>106</v>
      </c>
      <c r="I1134" t="s">
        <v>107</v>
      </c>
      <c r="J1134" s="26">
        <v>45515</v>
      </c>
      <c r="K1134" t="s">
        <v>187</v>
      </c>
      <c r="L1134" s="26">
        <v>45735</v>
      </c>
      <c r="M1134" t="s">
        <v>269</v>
      </c>
      <c r="N1134" t="s">
        <v>95</v>
      </c>
      <c r="O1134" s="27">
        <v>639000</v>
      </c>
      <c r="P1134">
        <v>4</v>
      </c>
      <c r="Q1134" t="s">
        <v>172</v>
      </c>
      <c r="R1134">
        <v>43</v>
      </c>
      <c r="S1134" t="s">
        <v>178</v>
      </c>
      <c r="T1134">
        <f t="shared" si="119"/>
        <v>11256</v>
      </c>
      <c r="U1134" t="str">
        <f t="shared" si="120"/>
        <v>ENG</v>
      </c>
      <c r="V1134" t="str">
        <f t="shared" si="121"/>
        <v>L1</v>
      </c>
      <c r="W1134" t="str">
        <f>PROPER(TRIM(VLOOKUP(S1134,Employee_Lookups!$I$4:$M$19,2,FALSE())))</f>
        <v>Aarav Deshmukh</v>
      </c>
      <c r="X1134" t="str">
        <f>VLOOKUP(C1134,Employee_Lookups!$A$4:$G$9,4,FALSE())</f>
        <v>CC-101</v>
      </c>
      <c r="Y1134" t="str">
        <f>INDEX(Employee_Lookups!$C$13:$C$17,MATCH(F1134,Employee_Lookups!$A$13:$A$17,0))</f>
        <v>Band A (Entry)</v>
      </c>
      <c r="Z1134" s="27">
        <f>_xlfn.XLOOKUP(F1134,Employee_Lookups!$A$13:$A$17,Employee_Lookups!$E$13:$E$17,0)</f>
        <v>700000</v>
      </c>
      <c r="AA1134" s="28">
        <f>ROUND(O1134/INDEX(Employee_Lookups!$E$13:$E$17,MATCH(F1134,Employee_Lookups!$A$13:$A$17,0)),3)</f>
        <v>0.91300000000000003</v>
      </c>
      <c r="AB1134">
        <f t="shared" si="122"/>
        <v>2024</v>
      </c>
      <c r="AC1134">
        <f t="shared" si="123"/>
        <v>2025</v>
      </c>
      <c r="AD1134" s="28">
        <f>ROUND((IF(ISBLANK(L1134),Employee_Lookups!$O$14,L1134)-J1134)/365.25,2)</f>
        <v>0.6</v>
      </c>
      <c r="AE1134" t="str">
        <f t="shared" si="124"/>
        <v>&lt; 1 Yr (New)</v>
      </c>
      <c r="AF1134" t="str">
        <f t="shared" si="125"/>
        <v>Exited</v>
      </c>
    </row>
    <row r="1135" spans="1:32" x14ac:dyDescent="0.45">
      <c r="A1135" t="s">
        <v>1979</v>
      </c>
      <c r="B1135" t="s">
        <v>1980</v>
      </c>
      <c r="C1135" t="s">
        <v>53</v>
      </c>
      <c r="D1135" t="s">
        <v>52</v>
      </c>
      <c r="E1135" t="s">
        <v>322</v>
      </c>
      <c r="F1135" t="s">
        <v>81</v>
      </c>
      <c r="G1135" t="s">
        <v>323</v>
      </c>
      <c r="H1135" t="s">
        <v>111</v>
      </c>
      <c r="I1135" t="s">
        <v>110</v>
      </c>
      <c r="J1135" s="26">
        <v>45519</v>
      </c>
      <c r="K1135" t="s">
        <v>162</v>
      </c>
      <c r="L1135" s="26"/>
      <c r="M1135" t="s">
        <v>163</v>
      </c>
      <c r="N1135" t="s">
        <v>96</v>
      </c>
      <c r="O1135" s="27">
        <v>586000</v>
      </c>
      <c r="P1135">
        <v>4</v>
      </c>
      <c r="Q1135" t="s">
        <v>172</v>
      </c>
      <c r="R1135">
        <v>45</v>
      </c>
      <c r="S1135" t="s">
        <v>194</v>
      </c>
      <c r="T1135">
        <f t="shared" si="119"/>
        <v>10389</v>
      </c>
      <c r="U1135" t="str">
        <f t="shared" si="120"/>
        <v>SAL</v>
      </c>
      <c r="V1135" t="str">
        <f t="shared" si="121"/>
        <v>L1</v>
      </c>
      <c r="W1135" t="str">
        <f>PROPER(TRIM(VLOOKUP(S1135,Employee_Lookups!$I$4:$M$19,2,FALSE())))</f>
        <v>Vikramaditya Joshi</v>
      </c>
      <c r="X1135" t="str">
        <f>VLOOKUP(C1135,Employee_Lookups!$A$4:$G$9,4,FALSE())</f>
        <v>CC-202</v>
      </c>
      <c r="Y1135" t="str">
        <f>INDEX(Employee_Lookups!$C$13:$C$17,MATCH(F1135,Employee_Lookups!$A$13:$A$17,0))</f>
        <v>Band A (Entry)</v>
      </c>
      <c r="Z1135" s="27">
        <f>_xlfn.XLOOKUP(F1135,Employee_Lookups!$A$13:$A$17,Employee_Lookups!$E$13:$E$17,0)</f>
        <v>700000</v>
      </c>
      <c r="AA1135" s="28">
        <f>ROUND(O1135/INDEX(Employee_Lookups!$E$13:$E$17,MATCH(F1135,Employee_Lookups!$A$13:$A$17,0)),3)</f>
        <v>0.83699999999999997</v>
      </c>
      <c r="AB1135">
        <f t="shared" si="122"/>
        <v>2024</v>
      </c>
      <c r="AC1135" t="str">
        <f t="shared" si="123"/>
        <v/>
      </c>
      <c r="AD1135" s="28">
        <f>ROUND((IF(ISBLANK(L1135),Employee_Lookups!$O$14,L1135)-J1135)/365.25,2)</f>
        <v>1.38</v>
      </c>
      <c r="AE1135" t="str">
        <f t="shared" si="124"/>
        <v>1 - 3 Yrs</v>
      </c>
      <c r="AF1135" t="str">
        <f t="shared" si="125"/>
        <v>High Risk</v>
      </c>
    </row>
    <row r="1136" spans="1:32" x14ac:dyDescent="0.45">
      <c r="A1136" t="s">
        <v>1981</v>
      </c>
      <c r="B1136" t="s">
        <v>976</v>
      </c>
      <c r="C1136" t="s">
        <v>51</v>
      </c>
      <c r="D1136" t="s">
        <v>50</v>
      </c>
      <c r="E1136" t="s">
        <v>176</v>
      </c>
      <c r="F1136" t="s">
        <v>82</v>
      </c>
      <c r="G1136" t="s">
        <v>177</v>
      </c>
      <c r="H1136" t="s">
        <v>106</v>
      </c>
      <c r="I1136" t="s">
        <v>107</v>
      </c>
      <c r="J1136" s="26">
        <v>45522</v>
      </c>
      <c r="K1136" t="s">
        <v>162</v>
      </c>
      <c r="L1136" s="26"/>
      <c r="M1136" t="s">
        <v>163</v>
      </c>
      <c r="N1136" t="s">
        <v>97</v>
      </c>
      <c r="O1136" s="27">
        <v>895000</v>
      </c>
      <c r="P1136">
        <v>4</v>
      </c>
      <c r="Q1136" t="s">
        <v>172</v>
      </c>
      <c r="R1136">
        <v>52</v>
      </c>
      <c r="S1136" t="s">
        <v>197</v>
      </c>
      <c r="T1136">
        <f t="shared" si="119"/>
        <v>10607</v>
      </c>
      <c r="U1136" t="str">
        <f t="shared" si="120"/>
        <v>ENG</v>
      </c>
      <c r="V1136" t="str">
        <f t="shared" si="121"/>
        <v>L2</v>
      </c>
      <c r="W1136" t="str">
        <f>PROPER(TRIM(VLOOKUP(S1136,Employee_Lookups!$I$4:$M$19,2,FALSE())))</f>
        <v>Rohan Verma</v>
      </c>
      <c r="X1136" t="str">
        <f>VLOOKUP(C1136,Employee_Lookups!$A$4:$G$9,4,FALSE())</f>
        <v>CC-101</v>
      </c>
      <c r="Y1136" t="str">
        <f>INDEX(Employee_Lookups!$C$13:$C$17,MATCH(F1136,Employee_Lookups!$A$13:$A$17,0))</f>
        <v>Band B (Mid)</v>
      </c>
      <c r="Z1136" s="27">
        <f>_xlfn.XLOOKUP(F1136,Employee_Lookups!$A$13:$A$17,Employee_Lookups!$E$13:$E$17,0)</f>
        <v>1100000</v>
      </c>
      <c r="AA1136" s="28">
        <f>ROUND(O1136/INDEX(Employee_Lookups!$E$13:$E$17,MATCH(F1136,Employee_Lookups!$A$13:$A$17,0)),3)</f>
        <v>0.81399999999999995</v>
      </c>
      <c r="AB1136">
        <f t="shared" si="122"/>
        <v>2024</v>
      </c>
      <c r="AC1136" t="str">
        <f t="shared" si="123"/>
        <v/>
      </c>
      <c r="AD1136" s="28">
        <f>ROUND((IF(ISBLANK(L1136),Employee_Lookups!$O$14,L1136)-J1136)/365.25,2)</f>
        <v>1.37</v>
      </c>
      <c r="AE1136" t="str">
        <f t="shared" si="124"/>
        <v>1 - 3 Yrs</v>
      </c>
      <c r="AF1136" t="str">
        <f t="shared" si="125"/>
        <v>High Risk</v>
      </c>
    </row>
    <row r="1137" spans="1:32" x14ac:dyDescent="0.45">
      <c r="A1137" t="s">
        <v>1982</v>
      </c>
      <c r="B1137" t="s">
        <v>1560</v>
      </c>
      <c r="C1137" t="s">
        <v>59</v>
      </c>
      <c r="D1137" t="s">
        <v>58</v>
      </c>
      <c r="E1137" t="s">
        <v>211</v>
      </c>
      <c r="F1137" t="s">
        <v>82</v>
      </c>
      <c r="G1137" t="s">
        <v>212</v>
      </c>
      <c r="H1137" t="s">
        <v>108</v>
      </c>
      <c r="I1137" t="s">
        <v>107</v>
      </c>
      <c r="J1137" s="26">
        <v>45523</v>
      </c>
      <c r="K1137" t="s">
        <v>162</v>
      </c>
      <c r="L1137" s="26"/>
      <c r="M1137" t="s">
        <v>163</v>
      </c>
      <c r="N1137" t="s">
        <v>95</v>
      </c>
      <c r="O1137" s="27">
        <v>1246000</v>
      </c>
      <c r="P1137">
        <v>3</v>
      </c>
      <c r="Q1137" t="s">
        <v>164</v>
      </c>
      <c r="R1137">
        <v>29</v>
      </c>
      <c r="S1137" t="s">
        <v>214</v>
      </c>
      <c r="T1137">
        <f t="shared" si="119"/>
        <v>10174</v>
      </c>
      <c r="U1137" t="str">
        <f t="shared" si="120"/>
        <v>FIN</v>
      </c>
      <c r="V1137" t="str">
        <f t="shared" si="121"/>
        <v>L2</v>
      </c>
      <c r="W1137" t="str">
        <f>PROPER(TRIM(VLOOKUP(S1137,Employee_Lookups!$I$4:$M$19,2,FALSE())))</f>
        <v>Aditya Gokhale</v>
      </c>
      <c r="X1137" t="str">
        <f>VLOOKUP(C1137,Employee_Lookups!$A$4:$G$9,4,FALSE())</f>
        <v>CC-404</v>
      </c>
      <c r="Y1137" t="str">
        <f>INDEX(Employee_Lookups!$C$13:$C$17,MATCH(F1137,Employee_Lookups!$A$13:$A$17,0))</f>
        <v>Band B (Mid)</v>
      </c>
      <c r="Z1137" s="27">
        <f>_xlfn.XLOOKUP(F1137,Employee_Lookups!$A$13:$A$17,Employee_Lookups!$E$13:$E$17,0)</f>
        <v>1100000</v>
      </c>
      <c r="AA1137" s="28">
        <f>ROUND(O1137/INDEX(Employee_Lookups!$E$13:$E$17,MATCH(F1137,Employee_Lookups!$A$13:$A$17,0)),3)</f>
        <v>1.133</v>
      </c>
      <c r="AB1137">
        <f t="shared" si="122"/>
        <v>2024</v>
      </c>
      <c r="AC1137" t="str">
        <f t="shared" si="123"/>
        <v/>
      </c>
      <c r="AD1137" s="28">
        <f>ROUND((IF(ISBLANK(L1137),Employee_Lookups!$O$14,L1137)-J1137)/365.25,2)</f>
        <v>1.37</v>
      </c>
      <c r="AE1137" t="str">
        <f t="shared" si="124"/>
        <v>1 - 3 Yrs</v>
      </c>
      <c r="AF1137" t="str">
        <f t="shared" si="125"/>
        <v>Low Risk</v>
      </c>
    </row>
    <row r="1138" spans="1:32" x14ac:dyDescent="0.45">
      <c r="A1138" t="s">
        <v>1983</v>
      </c>
      <c r="B1138" t="s">
        <v>1984</v>
      </c>
      <c r="C1138" t="s">
        <v>53</v>
      </c>
      <c r="D1138" t="s">
        <v>52</v>
      </c>
      <c r="E1138" t="s">
        <v>192</v>
      </c>
      <c r="F1138" t="s">
        <v>83</v>
      </c>
      <c r="G1138" t="s">
        <v>193</v>
      </c>
      <c r="H1138" t="s">
        <v>109</v>
      </c>
      <c r="I1138" t="s">
        <v>110</v>
      </c>
      <c r="J1138" s="26">
        <v>45524</v>
      </c>
      <c r="K1138" t="s">
        <v>187</v>
      </c>
      <c r="L1138" s="26">
        <v>45694</v>
      </c>
      <c r="M1138" t="s">
        <v>269</v>
      </c>
      <c r="N1138" t="s">
        <v>98</v>
      </c>
      <c r="O1138" s="27">
        <v>2097000</v>
      </c>
      <c r="P1138">
        <v>3</v>
      </c>
      <c r="Q1138" t="s">
        <v>164</v>
      </c>
      <c r="R1138">
        <v>46</v>
      </c>
      <c r="S1138" t="s">
        <v>194</v>
      </c>
      <c r="T1138">
        <f t="shared" si="119"/>
        <v>10035</v>
      </c>
      <c r="U1138" t="str">
        <f t="shared" si="120"/>
        <v>SAL</v>
      </c>
      <c r="V1138" t="str">
        <f t="shared" si="121"/>
        <v>L3</v>
      </c>
      <c r="W1138" t="str">
        <f>PROPER(TRIM(VLOOKUP(S1138,Employee_Lookups!$I$4:$M$19,2,FALSE())))</f>
        <v>Vikramaditya Joshi</v>
      </c>
      <c r="X1138" t="str">
        <f>VLOOKUP(C1138,Employee_Lookups!$A$4:$G$9,4,FALSE())</f>
        <v>CC-202</v>
      </c>
      <c r="Y1138" t="str">
        <f>INDEX(Employee_Lookups!$C$13:$C$17,MATCH(F1138,Employee_Lookups!$A$13:$A$17,0))</f>
        <v>Band C (Senior)</v>
      </c>
      <c r="Z1138" s="27">
        <f>_xlfn.XLOOKUP(F1138,Employee_Lookups!$A$13:$A$17,Employee_Lookups!$E$13:$E$17,0)</f>
        <v>1725000</v>
      </c>
      <c r="AA1138" s="28">
        <f>ROUND(O1138/INDEX(Employee_Lookups!$E$13:$E$17,MATCH(F1138,Employee_Lookups!$A$13:$A$17,0)),3)</f>
        <v>1.216</v>
      </c>
      <c r="AB1138">
        <f t="shared" si="122"/>
        <v>2024</v>
      </c>
      <c r="AC1138">
        <f t="shared" si="123"/>
        <v>2025</v>
      </c>
      <c r="AD1138" s="28">
        <f>ROUND((IF(ISBLANK(L1138),Employee_Lookups!$O$14,L1138)-J1138)/365.25,2)</f>
        <v>0.47</v>
      </c>
      <c r="AE1138" t="str">
        <f t="shared" si="124"/>
        <v>&lt; 1 Yr (New)</v>
      </c>
      <c r="AF1138" t="str">
        <f t="shared" si="125"/>
        <v>Exited</v>
      </c>
    </row>
    <row r="1139" spans="1:32" x14ac:dyDescent="0.45">
      <c r="A1139" t="s">
        <v>1985</v>
      </c>
      <c r="B1139" t="s">
        <v>1198</v>
      </c>
      <c r="C1139" t="s">
        <v>57</v>
      </c>
      <c r="D1139" t="s">
        <v>56</v>
      </c>
      <c r="E1139" t="s">
        <v>391</v>
      </c>
      <c r="F1139" t="s">
        <v>83</v>
      </c>
      <c r="G1139" t="s">
        <v>392</v>
      </c>
      <c r="H1139" t="s">
        <v>112</v>
      </c>
      <c r="I1139" t="s">
        <v>113</v>
      </c>
      <c r="J1139" s="26">
        <v>45524</v>
      </c>
      <c r="K1139" t="s">
        <v>187</v>
      </c>
      <c r="L1139" s="26">
        <v>45786</v>
      </c>
      <c r="M1139" t="s">
        <v>308</v>
      </c>
      <c r="N1139" t="s">
        <v>99</v>
      </c>
      <c r="O1139" s="27">
        <v>2064000</v>
      </c>
      <c r="P1139">
        <v>3</v>
      </c>
      <c r="Q1139" t="s">
        <v>164</v>
      </c>
      <c r="R1139">
        <v>63</v>
      </c>
      <c r="S1139" t="s">
        <v>224</v>
      </c>
      <c r="T1139">
        <f t="shared" si="119"/>
        <v>10139</v>
      </c>
      <c r="U1139" t="str">
        <f t="shared" si="120"/>
        <v>MKT</v>
      </c>
      <c r="V1139" t="str">
        <f t="shared" si="121"/>
        <v>L3</v>
      </c>
      <c r="W1139" t="str">
        <f>PROPER(TRIM(VLOOKUP(S1139,Employee_Lookups!$I$4:$M$19,2,FALSE())))</f>
        <v>Tanvi Chitnis</v>
      </c>
      <c r="X1139" t="str">
        <f>VLOOKUP(C1139,Employee_Lookups!$A$4:$G$9,4,FALSE())</f>
        <v>CC-606</v>
      </c>
      <c r="Y1139" t="str">
        <f>INDEX(Employee_Lookups!$C$13:$C$17,MATCH(F1139,Employee_Lookups!$A$13:$A$17,0))</f>
        <v>Band C (Senior)</v>
      </c>
      <c r="Z1139" s="27">
        <f>_xlfn.XLOOKUP(F1139,Employee_Lookups!$A$13:$A$17,Employee_Lookups!$E$13:$E$17,0)</f>
        <v>1725000</v>
      </c>
      <c r="AA1139" s="28">
        <f>ROUND(O1139/INDEX(Employee_Lookups!$E$13:$E$17,MATCH(F1139,Employee_Lookups!$A$13:$A$17,0)),3)</f>
        <v>1.1970000000000001</v>
      </c>
      <c r="AB1139">
        <f t="shared" si="122"/>
        <v>2024</v>
      </c>
      <c r="AC1139">
        <f t="shared" si="123"/>
        <v>2025</v>
      </c>
      <c r="AD1139" s="28">
        <f>ROUND((IF(ISBLANK(L1139),Employee_Lookups!$O$14,L1139)-J1139)/365.25,2)</f>
        <v>0.72</v>
      </c>
      <c r="AE1139" t="str">
        <f t="shared" si="124"/>
        <v>&lt; 1 Yr (New)</v>
      </c>
      <c r="AF1139" t="str">
        <f t="shared" si="125"/>
        <v>Exited</v>
      </c>
    </row>
    <row r="1140" spans="1:32" x14ac:dyDescent="0.45">
      <c r="A1140" t="s">
        <v>1986</v>
      </c>
      <c r="B1140" t="s">
        <v>1987</v>
      </c>
      <c r="C1140" t="s">
        <v>57</v>
      </c>
      <c r="D1140" t="s">
        <v>56</v>
      </c>
      <c r="E1140" t="s">
        <v>160</v>
      </c>
      <c r="F1140" t="s">
        <v>81</v>
      </c>
      <c r="G1140" t="s">
        <v>161</v>
      </c>
      <c r="H1140" t="s">
        <v>108</v>
      </c>
      <c r="I1140" t="s">
        <v>107</v>
      </c>
      <c r="J1140" s="26">
        <v>45524</v>
      </c>
      <c r="K1140" t="s">
        <v>162</v>
      </c>
      <c r="L1140" s="26"/>
      <c r="M1140" t="s">
        <v>163</v>
      </c>
      <c r="N1140" t="s">
        <v>99</v>
      </c>
      <c r="O1140" s="27">
        <v>812000</v>
      </c>
      <c r="P1140">
        <v>3</v>
      </c>
      <c r="Q1140" t="s">
        <v>164</v>
      </c>
      <c r="R1140">
        <v>29</v>
      </c>
      <c r="S1140" t="s">
        <v>224</v>
      </c>
      <c r="T1140">
        <f t="shared" si="119"/>
        <v>10276</v>
      </c>
      <c r="U1140" t="str">
        <f t="shared" si="120"/>
        <v>MKT</v>
      </c>
      <c r="V1140" t="str">
        <f t="shared" si="121"/>
        <v>L1</v>
      </c>
      <c r="W1140" t="str">
        <f>PROPER(TRIM(VLOOKUP(S1140,Employee_Lookups!$I$4:$M$19,2,FALSE())))</f>
        <v>Tanvi Chitnis</v>
      </c>
      <c r="X1140" t="str">
        <f>VLOOKUP(C1140,Employee_Lookups!$A$4:$G$9,4,FALSE())</f>
        <v>CC-606</v>
      </c>
      <c r="Y1140" t="str">
        <f>INDEX(Employee_Lookups!$C$13:$C$17,MATCH(F1140,Employee_Lookups!$A$13:$A$17,0))</f>
        <v>Band A (Entry)</v>
      </c>
      <c r="Z1140" s="27">
        <f>_xlfn.XLOOKUP(F1140,Employee_Lookups!$A$13:$A$17,Employee_Lookups!$E$13:$E$17,0)</f>
        <v>700000</v>
      </c>
      <c r="AA1140" s="28">
        <f>ROUND(O1140/INDEX(Employee_Lookups!$E$13:$E$17,MATCH(F1140,Employee_Lookups!$A$13:$A$17,0)),3)</f>
        <v>1.1599999999999999</v>
      </c>
      <c r="AB1140">
        <f t="shared" si="122"/>
        <v>2024</v>
      </c>
      <c r="AC1140" t="str">
        <f t="shared" si="123"/>
        <v/>
      </c>
      <c r="AD1140" s="28">
        <f>ROUND((IF(ISBLANK(L1140),Employee_Lookups!$O$14,L1140)-J1140)/365.25,2)</f>
        <v>1.36</v>
      </c>
      <c r="AE1140" t="str">
        <f t="shared" si="124"/>
        <v>1 - 3 Yrs</v>
      </c>
      <c r="AF1140" t="str">
        <f t="shared" si="125"/>
        <v>Low Risk</v>
      </c>
    </row>
    <row r="1141" spans="1:32" x14ac:dyDescent="0.45">
      <c r="A1141" t="s">
        <v>1988</v>
      </c>
      <c r="B1141" t="s">
        <v>1980</v>
      </c>
      <c r="C1141" t="s">
        <v>51</v>
      </c>
      <c r="D1141" t="s">
        <v>50</v>
      </c>
      <c r="E1141" t="s">
        <v>181</v>
      </c>
      <c r="F1141" t="s">
        <v>81</v>
      </c>
      <c r="G1141" t="s">
        <v>182</v>
      </c>
      <c r="H1141" t="s">
        <v>109</v>
      </c>
      <c r="I1141" t="s">
        <v>110</v>
      </c>
      <c r="J1141" s="26">
        <v>45530</v>
      </c>
      <c r="K1141" t="s">
        <v>162</v>
      </c>
      <c r="L1141" s="26"/>
      <c r="M1141" t="s">
        <v>163</v>
      </c>
      <c r="N1141" t="s">
        <v>95</v>
      </c>
      <c r="O1141" s="27">
        <v>792000</v>
      </c>
      <c r="P1141">
        <v>5</v>
      </c>
      <c r="Q1141" t="s">
        <v>164</v>
      </c>
      <c r="R1141">
        <v>41</v>
      </c>
      <c r="S1141" t="s">
        <v>197</v>
      </c>
      <c r="T1141">
        <f t="shared" si="119"/>
        <v>10929</v>
      </c>
      <c r="U1141" t="str">
        <f t="shared" si="120"/>
        <v>ENG</v>
      </c>
      <c r="V1141" t="str">
        <f t="shared" si="121"/>
        <v>L1</v>
      </c>
      <c r="W1141" t="str">
        <f>PROPER(TRIM(VLOOKUP(S1141,Employee_Lookups!$I$4:$M$19,2,FALSE())))</f>
        <v>Rohan Verma</v>
      </c>
      <c r="X1141" t="str">
        <f>VLOOKUP(C1141,Employee_Lookups!$A$4:$G$9,4,FALSE())</f>
        <v>CC-101</v>
      </c>
      <c r="Y1141" t="str">
        <f>INDEX(Employee_Lookups!$C$13:$C$17,MATCH(F1141,Employee_Lookups!$A$13:$A$17,0))</f>
        <v>Band A (Entry)</v>
      </c>
      <c r="Z1141" s="27">
        <f>_xlfn.XLOOKUP(F1141,Employee_Lookups!$A$13:$A$17,Employee_Lookups!$E$13:$E$17,0)</f>
        <v>700000</v>
      </c>
      <c r="AA1141" s="28">
        <f>ROUND(O1141/INDEX(Employee_Lookups!$E$13:$E$17,MATCH(F1141,Employee_Lookups!$A$13:$A$17,0)),3)</f>
        <v>1.131</v>
      </c>
      <c r="AB1141">
        <f t="shared" si="122"/>
        <v>2024</v>
      </c>
      <c r="AC1141" t="str">
        <f t="shared" si="123"/>
        <v/>
      </c>
      <c r="AD1141" s="28">
        <f>ROUND((IF(ISBLANK(L1141),Employee_Lookups!$O$14,L1141)-J1141)/365.25,2)</f>
        <v>1.35</v>
      </c>
      <c r="AE1141" t="str">
        <f t="shared" si="124"/>
        <v>1 - 3 Yrs</v>
      </c>
      <c r="AF1141" t="str">
        <f t="shared" si="125"/>
        <v>Low Risk</v>
      </c>
    </row>
    <row r="1142" spans="1:32" x14ac:dyDescent="0.45">
      <c r="A1142" t="s">
        <v>1989</v>
      </c>
      <c r="B1142" t="s">
        <v>1745</v>
      </c>
      <c r="C1142" t="s">
        <v>51</v>
      </c>
      <c r="D1142" t="s">
        <v>50</v>
      </c>
      <c r="E1142" t="s">
        <v>397</v>
      </c>
      <c r="F1142" t="s">
        <v>84</v>
      </c>
      <c r="G1142" t="s">
        <v>398</v>
      </c>
      <c r="H1142" t="s">
        <v>109</v>
      </c>
      <c r="I1142" t="s">
        <v>110</v>
      </c>
      <c r="J1142" s="26">
        <v>45530</v>
      </c>
      <c r="K1142" t="s">
        <v>162</v>
      </c>
      <c r="L1142" s="26"/>
      <c r="M1142" t="s">
        <v>163</v>
      </c>
      <c r="N1142" t="s">
        <v>98</v>
      </c>
      <c r="O1142" s="27">
        <v>2561000</v>
      </c>
      <c r="P1142">
        <v>3</v>
      </c>
      <c r="Q1142" t="s">
        <v>164</v>
      </c>
      <c r="R1142">
        <v>43</v>
      </c>
      <c r="S1142" t="s">
        <v>178</v>
      </c>
      <c r="T1142">
        <f t="shared" si="119"/>
        <v>11055</v>
      </c>
      <c r="U1142" t="str">
        <f t="shared" si="120"/>
        <v>ENG</v>
      </c>
      <c r="V1142" t="str">
        <f t="shared" si="121"/>
        <v>L4</v>
      </c>
      <c r="W1142" t="str">
        <f>PROPER(TRIM(VLOOKUP(S1142,Employee_Lookups!$I$4:$M$19,2,FALSE())))</f>
        <v>Aarav Deshmukh</v>
      </c>
      <c r="X1142" t="str">
        <f>VLOOKUP(C1142,Employee_Lookups!$A$4:$G$9,4,FALSE())</f>
        <v>CC-101</v>
      </c>
      <c r="Y1142" t="str">
        <f>INDEX(Employee_Lookups!$C$13:$C$17,MATCH(F1142,Employee_Lookups!$A$13:$A$17,0))</f>
        <v>Band D (Leadership)</v>
      </c>
      <c r="Z1142" s="27">
        <f>_xlfn.XLOOKUP(F1142,Employee_Lookups!$A$13:$A$17,Employee_Lookups!$E$13:$E$17,0)</f>
        <v>2750000</v>
      </c>
      <c r="AA1142" s="28">
        <f>ROUND(O1142/INDEX(Employee_Lookups!$E$13:$E$17,MATCH(F1142,Employee_Lookups!$A$13:$A$17,0)),3)</f>
        <v>0.93100000000000005</v>
      </c>
      <c r="AB1142">
        <f t="shared" si="122"/>
        <v>2024</v>
      </c>
      <c r="AC1142" t="str">
        <f t="shared" si="123"/>
        <v/>
      </c>
      <c r="AD1142" s="28">
        <f>ROUND((IF(ISBLANK(L1142),Employee_Lookups!$O$14,L1142)-J1142)/365.25,2)</f>
        <v>1.35</v>
      </c>
      <c r="AE1142" t="str">
        <f t="shared" si="124"/>
        <v>1 - 3 Yrs</v>
      </c>
      <c r="AF1142" t="str">
        <f t="shared" si="125"/>
        <v>Low Risk</v>
      </c>
    </row>
    <row r="1143" spans="1:32" x14ac:dyDescent="0.45">
      <c r="A1143" t="s">
        <v>1990</v>
      </c>
      <c r="B1143" t="s">
        <v>947</v>
      </c>
      <c r="C1143" t="s">
        <v>53</v>
      </c>
      <c r="D1143" t="s">
        <v>52</v>
      </c>
      <c r="E1143" t="s">
        <v>185</v>
      </c>
      <c r="F1143" t="s">
        <v>82</v>
      </c>
      <c r="G1143" t="s">
        <v>186</v>
      </c>
      <c r="H1143" t="s">
        <v>111</v>
      </c>
      <c r="I1143" t="s">
        <v>110</v>
      </c>
      <c r="J1143" s="26">
        <v>45530</v>
      </c>
      <c r="K1143" t="s">
        <v>162</v>
      </c>
      <c r="L1143" s="26"/>
      <c r="M1143" t="s">
        <v>163</v>
      </c>
      <c r="N1143" t="s">
        <v>95</v>
      </c>
      <c r="O1143" s="27">
        <v>999000</v>
      </c>
      <c r="P1143">
        <v>2</v>
      </c>
      <c r="Q1143" t="s">
        <v>172</v>
      </c>
      <c r="R1143">
        <v>22</v>
      </c>
      <c r="S1143" t="s">
        <v>237</v>
      </c>
      <c r="T1143">
        <f t="shared" si="119"/>
        <v>11297</v>
      </c>
      <c r="U1143" t="str">
        <f t="shared" si="120"/>
        <v>SAL</v>
      </c>
      <c r="V1143" t="str">
        <f t="shared" si="121"/>
        <v>L2</v>
      </c>
      <c r="W1143" t="str">
        <f>PROPER(TRIM(VLOOKUP(S1143,Employee_Lookups!$I$4:$M$19,2,FALSE())))</f>
        <v>Karan Malhotra</v>
      </c>
      <c r="X1143" t="str">
        <f>VLOOKUP(C1143,Employee_Lookups!$A$4:$G$9,4,FALSE())</f>
        <v>CC-202</v>
      </c>
      <c r="Y1143" t="str">
        <f>INDEX(Employee_Lookups!$C$13:$C$17,MATCH(F1143,Employee_Lookups!$A$13:$A$17,0))</f>
        <v>Band B (Mid)</v>
      </c>
      <c r="Z1143" s="27">
        <f>_xlfn.XLOOKUP(F1143,Employee_Lookups!$A$13:$A$17,Employee_Lookups!$E$13:$E$17,0)</f>
        <v>1100000</v>
      </c>
      <c r="AA1143" s="28">
        <f>ROUND(O1143/INDEX(Employee_Lookups!$E$13:$E$17,MATCH(F1143,Employee_Lookups!$A$13:$A$17,0)),3)</f>
        <v>0.90800000000000003</v>
      </c>
      <c r="AB1143">
        <f t="shared" si="122"/>
        <v>2024</v>
      </c>
      <c r="AC1143" t="str">
        <f t="shared" si="123"/>
        <v/>
      </c>
      <c r="AD1143" s="28">
        <f>ROUND((IF(ISBLANK(L1143),Employee_Lookups!$O$14,L1143)-J1143)/365.25,2)</f>
        <v>1.35</v>
      </c>
      <c r="AE1143" t="str">
        <f t="shared" si="124"/>
        <v>1 - 3 Yrs</v>
      </c>
      <c r="AF1143" t="str">
        <f t="shared" si="125"/>
        <v>High Risk</v>
      </c>
    </row>
    <row r="1144" spans="1:32" x14ac:dyDescent="0.45">
      <c r="A1144" t="s">
        <v>1991</v>
      </c>
      <c r="B1144" t="s">
        <v>1375</v>
      </c>
      <c r="C1144" t="s">
        <v>57</v>
      </c>
      <c r="D1144" t="s">
        <v>56</v>
      </c>
      <c r="E1144" t="s">
        <v>222</v>
      </c>
      <c r="F1144" t="s">
        <v>82</v>
      </c>
      <c r="G1144" t="s">
        <v>223</v>
      </c>
      <c r="H1144" t="s">
        <v>108</v>
      </c>
      <c r="I1144" t="s">
        <v>107</v>
      </c>
      <c r="J1144" s="26">
        <v>45538</v>
      </c>
      <c r="K1144" t="s">
        <v>162</v>
      </c>
      <c r="L1144" s="26"/>
      <c r="M1144" t="s">
        <v>163</v>
      </c>
      <c r="N1144" t="s">
        <v>95</v>
      </c>
      <c r="O1144" s="27">
        <v>926000</v>
      </c>
      <c r="P1144">
        <v>2</v>
      </c>
      <c r="Q1144" t="s">
        <v>172</v>
      </c>
      <c r="R1144">
        <v>32</v>
      </c>
      <c r="S1144" t="s">
        <v>165</v>
      </c>
      <c r="T1144">
        <f t="shared" si="119"/>
        <v>11372</v>
      </c>
      <c r="U1144" t="str">
        <f t="shared" si="120"/>
        <v>MKT</v>
      </c>
      <c r="V1144" t="str">
        <f t="shared" si="121"/>
        <v>L2</v>
      </c>
      <c r="W1144" t="str">
        <f>PROPER(TRIM(VLOOKUP(S1144,Employee_Lookups!$I$4:$M$19,2,FALSE())))</f>
        <v>Arjun Sengupta</v>
      </c>
      <c r="X1144" t="str">
        <f>VLOOKUP(C1144,Employee_Lookups!$A$4:$G$9,4,FALSE())</f>
        <v>CC-606</v>
      </c>
      <c r="Y1144" t="str">
        <f>INDEX(Employee_Lookups!$C$13:$C$17,MATCH(F1144,Employee_Lookups!$A$13:$A$17,0))</f>
        <v>Band B (Mid)</v>
      </c>
      <c r="Z1144" s="27">
        <f>_xlfn.XLOOKUP(F1144,Employee_Lookups!$A$13:$A$17,Employee_Lookups!$E$13:$E$17,0)</f>
        <v>1100000</v>
      </c>
      <c r="AA1144" s="28">
        <f>ROUND(O1144/INDEX(Employee_Lookups!$E$13:$E$17,MATCH(F1144,Employee_Lookups!$A$13:$A$17,0)),3)</f>
        <v>0.84199999999999997</v>
      </c>
      <c r="AB1144">
        <f t="shared" si="122"/>
        <v>2024</v>
      </c>
      <c r="AC1144" t="str">
        <f t="shared" si="123"/>
        <v/>
      </c>
      <c r="AD1144" s="28">
        <f>ROUND((IF(ISBLANK(L1144),Employee_Lookups!$O$14,L1144)-J1144)/365.25,2)</f>
        <v>1.33</v>
      </c>
      <c r="AE1144" t="str">
        <f t="shared" si="124"/>
        <v>1 - 3 Yrs</v>
      </c>
      <c r="AF1144" t="str">
        <f t="shared" si="125"/>
        <v>High Risk</v>
      </c>
    </row>
    <row r="1145" spans="1:32" x14ac:dyDescent="0.45">
      <c r="A1145" t="s">
        <v>1992</v>
      </c>
      <c r="B1145" t="s">
        <v>1993</v>
      </c>
      <c r="C1145" t="s">
        <v>57</v>
      </c>
      <c r="D1145" t="s">
        <v>56</v>
      </c>
      <c r="E1145" t="s">
        <v>391</v>
      </c>
      <c r="F1145" t="s">
        <v>83</v>
      </c>
      <c r="G1145" t="s">
        <v>392</v>
      </c>
      <c r="H1145" t="s">
        <v>108</v>
      </c>
      <c r="I1145" t="s">
        <v>107</v>
      </c>
      <c r="J1145" s="26">
        <v>45540</v>
      </c>
      <c r="K1145" t="s">
        <v>162</v>
      </c>
      <c r="L1145" s="26"/>
      <c r="M1145" t="s">
        <v>163</v>
      </c>
      <c r="N1145" t="s">
        <v>97</v>
      </c>
      <c r="O1145" s="27">
        <v>1815000</v>
      </c>
      <c r="P1145">
        <v>3</v>
      </c>
      <c r="Q1145" t="s">
        <v>172</v>
      </c>
      <c r="R1145">
        <v>39</v>
      </c>
      <c r="S1145" t="s">
        <v>224</v>
      </c>
      <c r="T1145">
        <f t="shared" si="119"/>
        <v>10297</v>
      </c>
      <c r="U1145" t="str">
        <f t="shared" si="120"/>
        <v>MKT</v>
      </c>
      <c r="V1145" t="str">
        <f t="shared" si="121"/>
        <v>L3</v>
      </c>
      <c r="W1145" t="str">
        <f>PROPER(TRIM(VLOOKUP(S1145,Employee_Lookups!$I$4:$M$19,2,FALSE())))</f>
        <v>Tanvi Chitnis</v>
      </c>
      <c r="X1145" t="str">
        <f>VLOOKUP(C1145,Employee_Lookups!$A$4:$G$9,4,FALSE())</f>
        <v>CC-606</v>
      </c>
      <c r="Y1145" t="str">
        <f>INDEX(Employee_Lookups!$C$13:$C$17,MATCH(F1145,Employee_Lookups!$A$13:$A$17,0))</f>
        <v>Band C (Senior)</v>
      </c>
      <c r="Z1145" s="27">
        <f>_xlfn.XLOOKUP(F1145,Employee_Lookups!$A$13:$A$17,Employee_Lookups!$E$13:$E$17,0)</f>
        <v>1725000</v>
      </c>
      <c r="AA1145" s="28">
        <f>ROUND(O1145/INDEX(Employee_Lookups!$E$13:$E$17,MATCH(F1145,Employee_Lookups!$A$13:$A$17,0)),3)</f>
        <v>1.052</v>
      </c>
      <c r="AB1145">
        <f t="shared" si="122"/>
        <v>2024</v>
      </c>
      <c r="AC1145" t="str">
        <f t="shared" si="123"/>
        <v/>
      </c>
      <c r="AD1145" s="28">
        <f>ROUND((IF(ISBLANK(L1145),Employee_Lookups!$O$14,L1145)-J1145)/365.25,2)</f>
        <v>1.32</v>
      </c>
      <c r="AE1145" t="str">
        <f t="shared" si="124"/>
        <v>1 - 3 Yrs</v>
      </c>
      <c r="AF1145" t="str">
        <f t="shared" si="125"/>
        <v>Moderate Risk</v>
      </c>
    </row>
    <row r="1146" spans="1:32" x14ac:dyDescent="0.45">
      <c r="A1146" t="s">
        <v>1994</v>
      </c>
      <c r="B1146" t="s">
        <v>556</v>
      </c>
      <c r="C1146" t="s">
        <v>61</v>
      </c>
      <c r="D1146" t="s">
        <v>60</v>
      </c>
      <c r="E1146" t="s">
        <v>356</v>
      </c>
      <c r="F1146" t="s">
        <v>81</v>
      </c>
      <c r="G1146" t="s">
        <v>357</v>
      </c>
      <c r="H1146" t="s">
        <v>109</v>
      </c>
      <c r="I1146" t="s">
        <v>110</v>
      </c>
      <c r="J1146" s="26">
        <v>45543</v>
      </c>
      <c r="K1146" t="s">
        <v>162</v>
      </c>
      <c r="L1146" s="26"/>
      <c r="M1146" t="s">
        <v>163</v>
      </c>
      <c r="N1146" t="s">
        <v>95</v>
      </c>
      <c r="O1146" s="27">
        <v>706000</v>
      </c>
      <c r="P1146">
        <v>3</v>
      </c>
      <c r="Q1146" t="s">
        <v>164</v>
      </c>
      <c r="R1146">
        <v>29</v>
      </c>
      <c r="S1146" t="s">
        <v>253</v>
      </c>
      <c r="T1146">
        <f t="shared" si="119"/>
        <v>10514</v>
      </c>
      <c r="U1146" t="str">
        <f t="shared" si="120"/>
        <v>-HR</v>
      </c>
      <c r="V1146" t="str">
        <f t="shared" si="121"/>
        <v>L1</v>
      </c>
      <c r="W1146" t="str">
        <f>PROPER(TRIM(VLOOKUP(S1146,Employee_Lookups!$I$4:$M$19,2,FALSE())))</f>
        <v>Nikhil Chatterjee</v>
      </c>
      <c r="X1146" t="str">
        <f>VLOOKUP(C1146,Employee_Lookups!$A$4:$G$9,4,FALSE())</f>
        <v>CC-505</v>
      </c>
      <c r="Y1146" t="str">
        <f>INDEX(Employee_Lookups!$C$13:$C$17,MATCH(F1146,Employee_Lookups!$A$13:$A$17,0))</f>
        <v>Band A (Entry)</v>
      </c>
      <c r="Z1146" s="27">
        <f>_xlfn.XLOOKUP(F1146,Employee_Lookups!$A$13:$A$17,Employee_Lookups!$E$13:$E$17,0)</f>
        <v>700000</v>
      </c>
      <c r="AA1146" s="28">
        <f>ROUND(O1146/INDEX(Employee_Lookups!$E$13:$E$17,MATCH(F1146,Employee_Lookups!$A$13:$A$17,0)),3)</f>
        <v>1.0089999999999999</v>
      </c>
      <c r="AB1146">
        <f t="shared" si="122"/>
        <v>2024</v>
      </c>
      <c r="AC1146" t="str">
        <f t="shared" si="123"/>
        <v/>
      </c>
      <c r="AD1146" s="28">
        <f>ROUND((IF(ISBLANK(L1146),Employee_Lookups!$O$14,L1146)-J1146)/365.25,2)</f>
        <v>1.31</v>
      </c>
      <c r="AE1146" t="str">
        <f t="shared" si="124"/>
        <v>1 - 3 Yrs</v>
      </c>
      <c r="AF1146" t="str">
        <f t="shared" si="125"/>
        <v>Low Risk</v>
      </c>
    </row>
    <row r="1147" spans="1:32" x14ac:dyDescent="0.45">
      <c r="A1147" t="s">
        <v>1995</v>
      </c>
      <c r="B1147" t="s">
        <v>1472</v>
      </c>
      <c r="C1147" t="s">
        <v>57</v>
      </c>
      <c r="D1147" t="s">
        <v>56</v>
      </c>
      <c r="E1147" t="s">
        <v>160</v>
      </c>
      <c r="F1147" t="s">
        <v>81</v>
      </c>
      <c r="G1147" t="s">
        <v>161</v>
      </c>
      <c r="H1147" t="s">
        <v>112</v>
      </c>
      <c r="I1147" t="s">
        <v>113</v>
      </c>
      <c r="J1147" s="26">
        <v>45544</v>
      </c>
      <c r="K1147" t="s">
        <v>162</v>
      </c>
      <c r="L1147" s="26"/>
      <c r="M1147" t="s">
        <v>163</v>
      </c>
      <c r="N1147" t="s">
        <v>97</v>
      </c>
      <c r="O1147" s="27">
        <v>601000</v>
      </c>
      <c r="P1147">
        <v>3</v>
      </c>
      <c r="Q1147" t="s">
        <v>164</v>
      </c>
      <c r="R1147">
        <v>54</v>
      </c>
      <c r="S1147" t="s">
        <v>165</v>
      </c>
      <c r="T1147">
        <f t="shared" si="119"/>
        <v>10347</v>
      </c>
      <c r="U1147" t="str">
        <f t="shared" si="120"/>
        <v>MKT</v>
      </c>
      <c r="V1147" t="str">
        <f t="shared" si="121"/>
        <v>L1</v>
      </c>
      <c r="W1147" t="str">
        <f>PROPER(TRIM(VLOOKUP(S1147,Employee_Lookups!$I$4:$M$19,2,FALSE())))</f>
        <v>Arjun Sengupta</v>
      </c>
      <c r="X1147" t="str">
        <f>VLOOKUP(C1147,Employee_Lookups!$A$4:$G$9,4,FALSE())</f>
        <v>CC-606</v>
      </c>
      <c r="Y1147" t="str">
        <f>INDEX(Employee_Lookups!$C$13:$C$17,MATCH(F1147,Employee_Lookups!$A$13:$A$17,0))</f>
        <v>Band A (Entry)</v>
      </c>
      <c r="Z1147" s="27">
        <f>_xlfn.XLOOKUP(F1147,Employee_Lookups!$A$13:$A$17,Employee_Lookups!$E$13:$E$17,0)</f>
        <v>700000</v>
      </c>
      <c r="AA1147" s="28">
        <f>ROUND(O1147/INDEX(Employee_Lookups!$E$13:$E$17,MATCH(F1147,Employee_Lookups!$A$13:$A$17,0)),3)</f>
        <v>0.85899999999999999</v>
      </c>
      <c r="AB1147">
        <f t="shared" si="122"/>
        <v>2024</v>
      </c>
      <c r="AC1147" t="str">
        <f t="shared" si="123"/>
        <v/>
      </c>
      <c r="AD1147" s="28">
        <f>ROUND((IF(ISBLANK(L1147),Employee_Lookups!$O$14,L1147)-J1147)/365.25,2)</f>
        <v>1.31</v>
      </c>
      <c r="AE1147" t="str">
        <f t="shared" si="124"/>
        <v>1 - 3 Yrs</v>
      </c>
      <c r="AF1147" t="str">
        <f t="shared" si="125"/>
        <v>Low Risk</v>
      </c>
    </row>
    <row r="1148" spans="1:32" x14ac:dyDescent="0.45">
      <c r="A1148" t="s">
        <v>1996</v>
      </c>
      <c r="B1148" t="s">
        <v>1926</v>
      </c>
      <c r="C1148" t="s">
        <v>53</v>
      </c>
      <c r="D1148" t="s">
        <v>52</v>
      </c>
      <c r="E1148" t="s">
        <v>192</v>
      </c>
      <c r="F1148" t="s">
        <v>83</v>
      </c>
      <c r="G1148" t="s">
        <v>193</v>
      </c>
      <c r="H1148" t="s">
        <v>111</v>
      </c>
      <c r="I1148" t="s">
        <v>110</v>
      </c>
      <c r="J1148" s="26">
        <v>45545</v>
      </c>
      <c r="K1148" t="s">
        <v>162</v>
      </c>
      <c r="L1148" s="26"/>
      <c r="M1148" t="s">
        <v>163</v>
      </c>
      <c r="N1148" t="s">
        <v>97</v>
      </c>
      <c r="O1148" s="27">
        <v>1904000</v>
      </c>
      <c r="P1148">
        <v>1</v>
      </c>
      <c r="Q1148" t="s">
        <v>172</v>
      </c>
      <c r="R1148">
        <v>14</v>
      </c>
      <c r="S1148" t="s">
        <v>237</v>
      </c>
      <c r="T1148">
        <f t="shared" si="119"/>
        <v>11000</v>
      </c>
      <c r="U1148" t="str">
        <f t="shared" si="120"/>
        <v>SAL</v>
      </c>
      <c r="V1148" t="str">
        <f t="shared" si="121"/>
        <v>L3</v>
      </c>
      <c r="W1148" t="str">
        <f>PROPER(TRIM(VLOOKUP(S1148,Employee_Lookups!$I$4:$M$19,2,FALSE())))</f>
        <v>Karan Malhotra</v>
      </c>
      <c r="X1148" t="str">
        <f>VLOOKUP(C1148,Employee_Lookups!$A$4:$G$9,4,FALSE())</f>
        <v>CC-202</v>
      </c>
      <c r="Y1148" t="str">
        <f>INDEX(Employee_Lookups!$C$13:$C$17,MATCH(F1148,Employee_Lookups!$A$13:$A$17,0))</f>
        <v>Band C (Senior)</v>
      </c>
      <c r="Z1148" s="27">
        <f>_xlfn.XLOOKUP(F1148,Employee_Lookups!$A$13:$A$17,Employee_Lookups!$E$13:$E$17,0)</f>
        <v>1725000</v>
      </c>
      <c r="AA1148" s="28">
        <f>ROUND(O1148/INDEX(Employee_Lookups!$E$13:$E$17,MATCH(F1148,Employee_Lookups!$A$13:$A$17,0)),3)</f>
        <v>1.1040000000000001</v>
      </c>
      <c r="AB1148">
        <f t="shared" si="122"/>
        <v>2024</v>
      </c>
      <c r="AC1148" t="str">
        <f t="shared" si="123"/>
        <v/>
      </c>
      <c r="AD1148" s="28">
        <f>ROUND((IF(ISBLANK(L1148),Employee_Lookups!$O$14,L1148)-J1148)/365.25,2)</f>
        <v>1.31</v>
      </c>
      <c r="AE1148" t="str">
        <f t="shared" si="124"/>
        <v>1 - 3 Yrs</v>
      </c>
      <c r="AF1148" t="str">
        <f t="shared" si="125"/>
        <v>Moderate Risk</v>
      </c>
    </row>
    <row r="1149" spans="1:32" x14ac:dyDescent="0.45">
      <c r="A1149" t="s">
        <v>1997</v>
      </c>
      <c r="B1149" t="s">
        <v>1287</v>
      </c>
      <c r="C1149" t="s">
        <v>51</v>
      </c>
      <c r="D1149" t="s">
        <v>50</v>
      </c>
      <c r="E1149" t="s">
        <v>176</v>
      </c>
      <c r="F1149" t="s">
        <v>82</v>
      </c>
      <c r="G1149" t="s">
        <v>177</v>
      </c>
      <c r="H1149" t="s">
        <v>111</v>
      </c>
      <c r="I1149" t="s">
        <v>110</v>
      </c>
      <c r="J1149" s="26">
        <v>45549</v>
      </c>
      <c r="K1149" t="s">
        <v>162</v>
      </c>
      <c r="L1149" s="26"/>
      <c r="M1149" t="s">
        <v>163</v>
      </c>
      <c r="N1149" t="s">
        <v>99</v>
      </c>
      <c r="O1149" s="27">
        <v>1091000</v>
      </c>
      <c r="P1149">
        <v>3</v>
      </c>
      <c r="Q1149" t="s">
        <v>164</v>
      </c>
      <c r="R1149">
        <v>58</v>
      </c>
      <c r="S1149" t="s">
        <v>178</v>
      </c>
      <c r="T1149">
        <f t="shared" si="119"/>
        <v>10497</v>
      </c>
      <c r="U1149" t="str">
        <f t="shared" si="120"/>
        <v>ENG</v>
      </c>
      <c r="V1149" t="str">
        <f t="shared" si="121"/>
        <v>L2</v>
      </c>
      <c r="W1149" t="str">
        <f>PROPER(TRIM(VLOOKUP(S1149,Employee_Lookups!$I$4:$M$19,2,FALSE())))</f>
        <v>Aarav Deshmukh</v>
      </c>
      <c r="X1149" t="str">
        <f>VLOOKUP(C1149,Employee_Lookups!$A$4:$G$9,4,FALSE())</f>
        <v>CC-101</v>
      </c>
      <c r="Y1149" t="str">
        <f>INDEX(Employee_Lookups!$C$13:$C$17,MATCH(F1149,Employee_Lookups!$A$13:$A$17,0))</f>
        <v>Band B (Mid)</v>
      </c>
      <c r="Z1149" s="27">
        <f>_xlfn.XLOOKUP(F1149,Employee_Lookups!$A$13:$A$17,Employee_Lookups!$E$13:$E$17,0)</f>
        <v>1100000</v>
      </c>
      <c r="AA1149" s="28">
        <f>ROUND(O1149/INDEX(Employee_Lookups!$E$13:$E$17,MATCH(F1149,Employee_Lookups!$A$13:$A$17,0)),3)</f>
        <v>0.99199999999999999</v>
      </c>
      <c r="AB1149">
        <f t="shared" si="122"/>
        <v>2024</v>
      </c>
      <c r="AC1149" t="str">
        <f t="shared" si="123"/>
        <v/>
      </c>
      <c r="AD1149" s="28">
        <f>ROUND((IF(ISBLANK(L1149),Employee_Lookups!$O$14,L1149)-J1149)/365.25,2)</f>
        <v>1.3</v>
      </c>
      <c r="AE1149" t="str">
        <f t="shared" si="124"/>
        <v>1 - 3 Yrs</v>
      </c>
      <c r="AF1149" t="str">
        <f t="shared" si="125"/>
        <v>Low Risk</v>
      </c>
    </row>
    <row r="1150" spans="1:32" x14ac:dyDescent="0.45">
      <c r="A1150" t="s">
        <v>1998</v>
      </c>
      <c r="B1150" t="s">
        <v>1244</v>
      </c>
      <c r="C1150" t="s">
        <v>51</v>
      </c>
      <c r="D1150" t="s">
        <v>50</v>
      </c>
      <c r="E1150" t="s">
        <v>176</v>
      </c>
      <c r="F1150" t="s">
        <v>82</v>
      </c>
      <c r="G1150" t="s">
        <v>177</v>
      </c>
      <c r="H1150" t="s">
        <v>106</v>
      </c>
      <c r="I1150" t="s">
        <v>107</v>
      </c>
      <c r="J1150" s="26">
        <v>45552</v>
      </c>
      <c r="K1150" t="s">
        <v>162</v>
      </c>
      <c r="L1150" s="26"/>
      <c r="M1150" t="s">
        <v>163</v>
      </c>
      <c r="N1150" t="s">
        <v>98</v>
      </c>
      <c r="O1150" s="27">
        <v>1235000</v>
      </c>
      <c r="P1150">
        <v>4</v>
      </c>
      <c r="Q1150" t="s">
        <v>172</v>
      </c>
      <c r="R1150">
        <v>46</v>
      </c>
      <c r="S1150" t="s">
        <v>197</v>
      </c>
      <c r="T1150">
        <f t="shared" si="119"/>
        <v>10785</v>
      </c>
      <c r="U1150" t="str">
        <f t="shared" si="120"/>
        <v>ENG</v>
      </c>
      <c r="V1150" t="str">
        <f t="shared" si="121"/>
        <v>L2</v>
      </c>
      <c r="W1150" t="str">
        <f>PROPER(TRIM(VLOOKUP(S1150,Employee_Lookups!$I$4:$M$19,2,FALSE())))</f>
        <v>Rohan Verma</v>
      </c>
      <c r="X1150" t="str">
        <f>VLOOKUP(C1150,Employee_Lookups!$A$4:$G$9,4,FALSE())</f>
        <v>CC-101</v>
      </c>
      <c r="Y1150" t="str">
        <f>INDEX(Employee_Lookups!$C$13:$C$17,MATCH(F1150,Employee_Lookups!$A$13:$A$17,0))</f>
        <v>Band B (Mid)</v>
      </c>
      <c r="Z1150" s="27">
        <f>_xlfn.XLOOKUP(F1150,Employee_Lookups!$A$13:$A$17,Employee_Lookups!$E$13:$E$17,0)</f>
        <v>1100000</v>
      </c>
      <c r="AA1150" s="28">
        <f>ROUND(O1150/INDEX(Employee_Lookups!$E$13:$E$17,MATCH(F1150,Employee_Lookups!$A$13:$A$17,0)),3)</f>
        <v>1.123</v>
      </c>
      <c r="AB1150">
        <f t="shared" si="122"/>
        <v>2024</v>
      </c>
      <c r="AC1150" t="str">
        <f t="shared" si="123"/>
        <v/>
      </c>
      <c r="AD1150" s="28">
        <f>ROUND((IF(ISBLANK(L1150),Employee_Lookups!$O$14,L1150)-J1150)/365.25,2)</f>
        <v>1.29</v>
      </c>
      <c r="AE1150" t="str">
        <f t="shared" si="124"/>
        <v>1 - 3 Yrs</v>
      </c>
      <c r="AF1150" t="str">
        <f t="shared" si="125"/>
        <v>High Risk</v>
      </c>
    </row>
    <row r="1151" spans="1:32" x14ac:dyDescent="0.45">
      <c r="A1151" t="s">
        <v>1999</v>
      </c>
      <c r="B1151" t="s">
        <v>2000</v>
      </c>
      <c r="C1151" t="s">
        <v>53</v>
      </c>
      <c r="D1151" t="s">
        <v>52</v>
      </c>
      <c r="E1151" t="s">
        <v>322</v>
      </c>
      <c r="F1151" t="s">
        <v>81</v>
      </c>
      <c r="G1151" t="s">
        <v>323</v>
      </c>
      <c r="H1151" t="s">
        <v>109</v>
      </c>
      <c r="I1151" t="s">
        <v>110</v>
      </c>
      <c r="J1151" s="26">
        <v>45554</v>
      </c>
      <c r="K1151" t="s">
        <v>162</v>
      </c>
      <c r="L1151" s="26"/>
      <c r="M1151" t="s">
        <v>163</v>
      </c>
      <c r="N1151" t="s">
        <v>95</v>
      </c>
      <c r="O1151" s="27">
        <v>843000</v>
      </c>
      <c r="P1151">
        <v>3</v>
      </c>
      <c r="Q1151" t="s">
        <v>172</v>
      </c>
      <c r="R1151">
        <v>26</v>
      </c>
      <c r="S1151" t="s">
        <v>189</v>
      </c>
      <c r="T1151">
        <f t="shared" si="119"/>
        <v>10741</v>
      </c>
      <c r="U1151" t="str">
        <f t="shared" si="120"/>
        <v>SAL</v>
      </c>
      <c r="V1151" t="str">
        <f t="shared" si="121"/>
        <v>L1</v>
      </c>
      <c r="W1151" t="str">
        <f>PROPER(TRIM(VLOOKUP(S1151,Employee_Lookups!$I$4:$M$19,2,FALSE())))</f>
        <v>Priya Sharma</v>
      </c>
      <c r="X1151" t="str">
        <f>VLOOKUP(C1151,Employee_Lookups!$A$4:$G$9,4,FALSE())</f>
        <v>CC-202</v>
      </c>
      <c r="Y1151" t="str">
        <f>INDEX(Employee_Lookups!$C$13:$C$17,MATCH(F1151,Employee_Lookups!$A$13:$A$17,0))</f>
        <v>Band A (Entry)</v>
      </c>
      <c r="Z1151" s="27">
        <f>_xlfn.XLOOKUP(F1151,Employee_Lookups!$A$13:$A$17,Employee_Lookups!$E$13:$E$17,0)</f>
        <v>700000</v>
      </c>
      <c r="AA1151" s="28">
        <f>ROUND(O1151/INDEX(Employee_Lookups!$E$13:$E$17,MATCH(F1151,Employee_Lookups!$A$13:$A$17,0)),3)</f>
        <v>1.204</v>
      </c>
      <c r="AB1151">
        <f t="shared" si="122"/>
        <v>2024</v>
      </c>
      <c r="AC1151" t="str">
        <f t="shared" si="123"/>
        <v/>
      </c>
      <c r="AD1151" s="28">
        <f>ROUND((IF(ISBLANK(L1151),Employee_Lookups!$O$14,L1151)-J1151)/365.25,2)</f>
        <v>1.28</v>
      </c>
      <c r="AE1151" t="str">
        <f t="shared" si="124"/>
        <v>1 - 3 Yrs</v>
      </c>
      <c r="AF1151" t="str">
        <f t="shared" si="125"/>
        <v>Moderate Risk</v>
      </c>
    </row>
    <row r="1152" spans="1:32" x14ac:dyDescent="0.45">
      <c r="A1152" t="s">
        <v>2001</v>
      </c>
      <c r="B1152" t="s">
        <v>1708</v>
      </c>
      <c r="C1152" t="s">
        <v>51</v>
      </c>
      <c r="D1152" t="s">
        <v>50</v>
      </c>
      <c r="E1152" t="s">
        <v>181</v>
      </c>
      <c r="F1152" t="s">
        <v>81</v>
      </c>
      <c r="G1152" t="s">
        <v>182</v>
      </c>
      <c r="H1152" t="s">
        <v>109</v>
      </c>
      <c r="I1152" t="s">
        <v>110</v>
      </c>
      <c r="J1152" s="26">
        <v>45556</v>
      </c>
      <c r="K1152" t="s">
        <v>187</v>
      </c>
      <c r="L1152" s="26">
        <v>45889</v>
      </c>
      <c r="M1152" t="s">
        <v>188</v>
      </c>
      <c r="N1152" t="s">
        <v>95</v>
      </c>
      <c r="O1152" s="27">
        <v>795000</v>
      </c>
      <c r="P1152">
        <v>3</v>
      </c>
      <c r="Q1152" t="s">
        <v>164</v>
      </c>
      <c r="R1152">
        <v>33</v>
      </c>
      <c r="S1152" t="s">
        <v>219</v>
      </c>
      <c r="T1152">
        <f t="shared" si="119"/>
        <v>10487</v>
      </c>
      <c r="U1152" t="str">
        <f t="shared" si="120"/>
        <v>ENG</v>
      </c>
      <c r="V1152" t="str">
        <f t="shared" si="121"/>
        <v>L1</v>
      </c>
      <c r="W1152" t="str">
        <f>PROPER(TRIM(VLOOKUP(S1152,Employee_Lookups!$I$4:$M$19,2,FALSE())))</f>
        <v>Neha Kulkarni</v>
      </c>
      <c r="X1152" t="str">
        <f>VLOOKUP(C1152,Employee_Lookups!$A$4:$G$9,4,FALSE())</f>
        <v>CC-101</v>
      </c>
      <c r="Y1152" t="str">
        <f>INDEX(Employee_Lookups!$C$13:$C$17,MATCH(F1152,Employee_Lookups!$A$13:$A$17,0))</f>
        <v>Band A (Entry)</v>
      </c>
      <c r="Z1152" s="27">
        <f>_xlfn.XLOOKUP(F1152,Employee_Lookups!$A$13:$A$17,Employee_Lookups!$E$13:$E$17,0)</f>
        <v>700000</v>
      </c>
      <c r="AA1152" s="28">
        <f>ROUND(O1152/INDEX(Employee_Lookups!$E$13:$E$17,MATCH(F1152,Employee_Lookups!$A$13:$A$17,0)),3)</f>
        <v>1.1359999999999999</v>
      </c>
      <c r="AB1152">
        <f t="shared" si="122"/>
        <v>2024</v>
      </c>
      <c r="AC1152">
        <f t="shared" si="123"/>
        <v>2025</v>
      </c>
      <c r="AD1152" s="28">
        <f>ROUND((IF(ISBLANK(L1152),Employee_Lookups!$O$14,L1152)-J1152)/365.25,2)</f>
        <v>0.91</v>
      </c>
      <c r="AE1152" t="str">
        <f t="shared" si="124"/>
        <v>&lt; 1 Yr (New)</v>
      </c>
      <c r="AF1152" t="str">
        <f t="shared" si="125"/>
        <v>Exited</v>
      </c>
    </row>
    <row r="1153" spans="1:32" x14ac:dyDescent="0.45">
      <c r="A1153" t="s">
        <v>2002</v>
      </c>
      <c r="B1153" t="s">
        <v>1222</v>
      </c>
      <c r="C1153" t="s">
        <v>51</v>
      </c>
      <c r="D1153" t="s">
        <v>50</v>
      </c>
      <c r="E1153" t="s">
        <v>181</v>
      </c>
      <c r="F1153" t="s">
        <v>81</v>
      </c>
      <c r="G1153" t="s">
        <v>182</v>
      </c>
      <c r="H1153" t="s">
        <v>109</v>
      </c>
      <c r="I1153" t="s">
        <v>110</v>
      </c>
      <c r="J1153" s="26">
        <v>45557</v>
      </c>
      <c r="K1153" t="s">
        <v>162</v>
      </c>
      <c r="L1153" s="26"/>
      <c r="M1153" t="s">
        <v>163</v>
      </c>
      <c r="N1153" t="s">
        <v>97</v>
      </c>
      <c r="O1153" s="27">
        <v>651000</v>
      </c>
      <c r="P1153">
        <v>4</v>
      </c>
      <c r="Q1153" t="s">
        <v>164</v>
      </c>
      <c r="R1153">
        <v>52</v>
      </c>
      <c r="S1153" t="s">
        <v>197</v>
      </c>
      <c r="T1153">
        <f t="shared" si="119"/>
        <v>10056</v>
      </c>
      <c r="U1153" t="str">
        <f t="shared" si="120"/>
        <v>ENG</v>
      </c>
      <c r="V1153" t="str">
        <f t="shared" si="121"/>
        <v>L1</v>
      </c>
      <c r="W1153" t="str">
        <f>PROPER(TRIM(VLOOKUP(S1153,Employee_Lookups!$I$4:$M$19,2,FALSE())))</f>
        <v>Rohan Verma</v>
      </c>
      <c r="X1153" t="str">
        <f>VLOOKUP(C1153,Employee_Lookups!$A$4:$G$9,4,FALSE())</f>
        <v>CC-101</v>
      </c>
      <c r="Y1153" t="str">
        <f>INDEX(Employee_Lookups!$C$13:$C$17,MATCH(F1153,Employee_Lookups!$A$13:$A$17,0))</f>
        <v>Band A (Entry)</v>
      </c>
      <c r="Z1153" s="27">
        <f>_xlfn.XLOOKUP(F1153,Employee_Lookups!$A$13:$A$17,Employee_Lookups!$E$13:$E$17,0)</f>
        <v>700000</v>
      </c>
      <c r="AA1153" s="28">
        <f>ROUND(O1153/INDEX(Employee_Lookups!$E$13:$E$17,MATCH(F1153,Employee_Lookups!$A$13:$A$17,0)),3)</f>
        <v>0.93</v>
      </c>
      <c r="AB1153">
        <f t="shared" si="122"/>
        <v>2024</v>
      </c>
      <c r="AC1153" t="str">
        <f t="shared" si="123"/>
        <v/>
      </c>
      <c r="AD1153" s="28">
        <f>ROUND((IF(ISBLANK(L1153),Employee_Lookups!$O$14,L1153)-J1153)/365.25,2)</f>
        <v>1.27</v>
      </c>
      <c r="AE1153" t="str">
        <f t="shared" si="124"/>
        <v>1 - 3 Yrs</v>
      </c>
      <c r="AF1153" t="str">
        <f t="shared" si="125"/>
        <v>Low Risk</v>
      </c>
    </row>
    <row r="1154" spans="1:32" x14ac:dyDescent="0.45">
      <c r="A1154" t="s">
        <v>2003</v>
      </c>
      <c r="B1154" t="s">
        <v>410</v>
      </c>
      <c r="C1154" t="s">
        <v>51</v>
      </c>
      <c r="D1154" t="s">
        <v>50</v>
      </c>
      <c r="E1154" t="s">
        <v>181</v>
      </c>
      <c r="F1154" t="s">
        <v>81</v>
      </c>
      <c r="G1154" t="s">
        <v>182</v>
      </c>
      <c r="H1154" t="s">
        <v>108</v>
      </c>
      <c r="I1154" t="s">
        <v>107</v>
      </c>
      <c r="J1154" s="26">
        <v>45559</v>
      </c>
      <c r="K1154" t="s">
        <v>170</v>
      </c>
      <c r="L1154" s="26">
        <v>45882</v>
      </c>
      <c r="M1154" t="s">
        <v>171</v>
      </c>
      <c r="N1154" t="s">
        <v>96</v>
      </c>
      <c r="O1154" s="27">
        <v>806000</v>
      </c>
      <c r="P1154">
        <v>2</v>
      </c>
      <c r="Q1154" t="s">
        <v>164</v>
      </c>
      <c r="R1154">
        <v>14</v>
      </c>
      <c r="S1154" t="s">
        <v>178</v>
      </c>
      <c r="T1154">
        <f t="shared" ref="T1154:T1217" si="126">VALUE(MID(A1154,5,5))</f>
        <v>11220</v>
      </c>
      <c r="U1154" t="str">
        <f t="shared" ref="U1154:U1217" si="127">LEFT(E1154,3)</f>
        <v>ENG</v>
      </c>
      <c r="V1154" t="str">
        <f t="shared" ref="V1154:V1217" si="128">RIGHT(E1154,2)</f>
        <v>L1</v>
      </c>
      <c r="W1154" t="str">
        <f>PROPER(TRIM(VLOOKUP(S1154,Employee_Lookups!$I$4:$M$19,2,FALSE())))</f>
        <v>Aarav Deshmukh</v>
      </c>
      <c r="X1154" t="str">
        <f>VLOOKUP(C1154,Employee_Lookups!$A$4:$G$9,4,FALSE())</f>
        <v>CC-101</v>
      </c>
      <c r="Y1154" t="str">
        <f>INDEX(Employee_Lookups!$C$13:$C$17,MATCH(F1154,Employee_Lookups!$A$13:$A$17,0))</f>
        <v>Band A (Entry)</v>
      </c>
      <c r="Z1154" s="27">
        <f>_xlfn.XLOOKUP(F1154,Employee_Lookups!$A$13:$A$17,Employee_Lookups!$E$13:$E$17,0)</f>
        <v>700000</v>
      </c>
      <c r="AA1154" s="28">
        <f>ROUND(O1154/INDEX(Employee_Lookups!$E$13:$E$17,MATCH(F1154,Employee_Lookups!$A$13:$A$17,0)),3)</f>
        <v>1.151</v>
      </c>
      <c r="AB1154">
        <f t="shared" ref="AB1154:AB1217" si="129">YEAR(J1154)</f>
        <v>2024</v>
      </c>
      <c r="AC1154">
        <f t="shared" ref="AC1154:AC1217" si="130">IF(ISBLANK(L1154),"",YEAR(L1154))</f>
        <v>2025</v>
      </c>
      <c r="AD1154" s="28">
        <f>ROUND((IF(ISBLANK(L1154),Employee_Lookups!$O$14,L1154)-J1154)/365.25,2)</f>
        <v>0.88</v>
      </c>
      <c r="AE1154" t="str">
        <f t="shared" ref="AE1154:AE1217" si="131">IF(AD1154&lt;1,"&lt; 1 Yr (New)",IF(AD1154&lt;3,"1 - 3 Yrs",IF(AD1154&lt;5,"3 - 5 Yrs","5+ Yrs")))</f>
        <v>&lt; 1 Yr (New)</v>
      </c>
      <c r="AF1154" t="str">
        <f t="shared" ref="AF1154:AF1217" si="132">IF(K1154&lt;&gt;"Active","Exited",IF(AND(Q1154="Yes",OR(P1154&gt;=4,AA1154&lt;0.95)),"High Risk",IF(OR(Q1154="Yes",AND(NOT(ISBLANK(P1154)),P1154&lt;=2)),"Moderate Risk","Low Risk")))</f>
        <v>Exited</v>
      </c>
    </row>
    <row r="1155" spans="1:32" x14ac:dyDescent="0.45">
      <c r="A1155" t="s">
        <v>2004</v>
      </c>
      <c r="B1155" t="s">
        <v>2005</v>
      </c>
      <c r="C1155" t="s">
        <v>55</v>
      </c>
      <c r="D1155" t="s">
        <v>54</v>
      </c>
      <c r="E1155" t="s">
        <v>277</v>
      </c>
      <c r="F1155" t="s">
        <v>81</v>
      </c>
      <c r="G1155" t="s">
        <v>278</v>
      </c>
      <c r="H1155" t="s">
        <v>109</v>
      </c>
      <c r="I1155" t="s">
        <v>110</v>
      </c>
      <c r="J1155" s="26">
        <v>45560</v>
      </c>
      <c r="K1155" t="s">
        <v>162</v>
      </c>
      <c r="L1155" s="26"/>
      <c r="M1155" t="s">
        <v>163</v>
      </c>
      <c r="N1155" t="s">
        <v>95</v>
      </c>
      <c r="O1155" s="27">
        <v>695000</v>
      </c>
      <c r="P1155">
        <v>4</v>
      </c>
      <c r="Q1155" t="s">
        <v>172</v>
      </c>
      <c r="R1155">
        <v>36</v>
      </c>
      <c r="S1155" t="s">
        <v>274</v>
      </c>
      <c r="T1155">
        <f t="shared" si="126"/>
        <v>10659</v>
      </c>
      <c r="U1155" t="str">
        <f t="shared" si="127"/>
        <v>OPS</v>
      </c>
      <c r="V1155" t="str">
        <f t="shared" si="128"/>
        <v>L1</v>
      </c>
      <c r="W1155" t="str">
        <f>PROPER(TRIM(VLOOKUP(S1155,Employee_Lookups!$I$4:$M$19,2,FALSE())))</f>
        <v>Meera Krishnan</v>
      </c>
      <c r="X1155" t="str">
        <f>VLOOKUP(C1155,Employee_Lookups!$A$4:$G$9,4,FALSE())</f>
        <v>CC-303</v>
      </c>
      <c r="Y1155" t="str">
        <f>INDEX(Employee_Lookups!$C$13:$C$17,MATCH(F1155,Employee_Lookups!$A$13:$A$17,0))</f>
        <v>Band A (Entry)</v>
      </c>
      <c r="Z1155" s="27">
        <f>_xlfn.XLOOKUP(F1155,Employee_Lookups!$A$13:$A$17,Employee_Lookups!$E$13:$E$17,0)</f>
        <v>700000</v>
      </c>
      <c r="AA1155" s="28">
        <f>ROUND(O1155/INDEX(Employee_Lookups!$E$13:$E$17,MATCH(F1155,Employee_Lookups!$A$13:$A$17,0)),3)</f>
        <v>0.99299999999999999</v>
      </c>
      <c r="AB1155">
        <f t="shared" si="129"/>
        <v>2024</v>
      </c>
      <c r="AC1155" t="str">
        <f t="shared" si="130"/>
        <v/>
      </c>
      <c r="AD1155" s="28">
        <f>ROUND((IF(ISBLANK(L1155),Employee_Lookups!$O$14,L1155)-J1155)/365.25,2)</f>
        <v>1.26</v>
      </c>
      <c r="AE1155" t="str">
        <f t="shared" si="131"/>
        <v>1 - 3 Yrs</v>
      </c>
      <c r="AF1155" t="str">
        <f t="shared" si="132"/>
        <v>High Risk</v>
      </c>
    </row>
    <row r="1156" spans="1:32" x14ac:dyDescent="0.45">
      <c r="A1156" t="s">
        <v>2006</v>
      </c>
      <c r="B1156" t="s">
        <v>246</v>
      </c>
      <c r="C1156" t="s">
        <v>51</v>
      </c>
      <c r="D1156" t="s">
        <v>50</v>
      </c>
      <c r="E1156" t="s">
        <v>176</v>
      </c>
      <c r="F1156" t="s">
        <v>82</v>
      </c>
      <c r="G1156" t="s">
        <v>177</v>
      </c>
      <c r="H1156" t="s">
        <v>109</v>
      </c>
      <c r="I1156" t="s">
        <v>110</v>
      </c>
      <c r="J1156" s="26">
        <v>45560</v>
      </c>
      <c r="K1156" t="s">
        <v>162</v>
      </c>
      <c r="L1156" s="26"/>
      <c r="M1156" t="s">
        <v>163</v>
      </c>
      <c r="N1156" t="s">
        <v>99</v>
      </c>
      <c r="O1156" s="27">
        <v>951000</v>
      </c>
      <c r="P1156">
        <v>3</v>
      </c>
      <c r="Q1156" t="s">
        <v>164</v>
      </c>
      <c r="R1156">
        <v>52</v>
      </c>
      <c r="S1156" t="s">
        <v>219</v>
      </c>
      <c r="T1156">
        <f t="shared" si="126"/>
        <v>10021</v>
      </c>
      <c r="U1156" t="str">
        <f t="shared" si="127"/>
        <v>ENG</v>
      </c>
      <c r="V1156" t="str">
        <f t="shared" si="128"/>
        <v>L2</v>
      </c>
      <c r="W1156" t="str">
        <f>PROPER(TRIM(VLOOKUP(S1156,Employee_Lookups!$I$4:$M$19,2,FALSE())))</f>
        <v>Neha Kulkarni</v>
      </c>
      <c r="X1156" t="str">
        <f>VLOOKUP(C1156,Employee_Lookups!$A$4:$G$9,4,FALSE())</f>
        <v>CC-101</v>
      </c>
      <c r="Y1156" t="str">
        <f>INDEX(Employee_Lookups!$C$13:$C$17,MATCH(F1156,Employee_Lookups!$A$13:$A$17,0))</f>
        <v>Band B (Mid)</v>
      </c>
      <c r="Z1156" s="27">
        <f>_xlfn.XLOOKUP(F1156,Employee_Lookups!$A$13:$A$17,Employee_Lookups!$E$13:$E$17,0)</f>
        <v>1100000</v>
      </c>
      <c r="AA1156" s="28">
        <f>ROUND(O1156/INDEX(Employee_Lookups!$E$13:$E$17,MATCH(F1156,Employee_Lookups!$A$13:$A$17,0)),3)</f>
        <v>0.86499999999999999</v>
      </c>
      <c r="AB1156">
        <f t="shared" si="129"/>
        <v>2024</v>
      </c>
      <c r="AC1156" t="str">
        <f t="shared" si="130"/>
        <v/>
      </c>
      <c r="AD1156" s="28">
        <f>ROUND((IF(ISBLANK(L1156),Employee_Lookups!$O$14,L1156)-J1156)/365.25,2)</f>
        <v>1.26</v>
      </c>
      <c r="AE1156" t="str">
        <f t="shared" si="131"/>
        <v>1 - 3 Yrs</v>
      </c>
      <c r="AF1156" t="str">
        <f t="shared" si="132"/>
        <v>Low Risk</v>
      </c>
    </row>
    <row r="1157" spans="1:32" x14ac:dyDescent="0.45">
      <c r="A1157" t="s">
        <v>2007</v>
      </c>
      <c r="B1157" t="s">
        <v>2008</v>
      </c>
      <c r="C1157" t="s">
        <v>51</v>
      </c>
      <c r="D1157" t="s">
        <v>50</v>
      </c>
      <c r="E1157" t="s">
        <v>397</v>
      </c>
      <c r="F1157" t="s">
        <v>84</v>
      </c>
      <c r="G1157" t="s">
        <v>398</v>
      </c>
      <c r="H1157" t="s">
        <v>106</v>
      </c>
      <c r="I1157" t="s">
        <v>107</v>
      </c>
      <c r="J1157" s="26">
        <v>45560</v>
      </c>
      <c r="K1157" t="s">
        <v>162</v>
      </c>
      <c r="L1157" s="26"/>
      <c r="M1157" t="s">
        <v>163</v>
      </c>
      <c r="N1157" t="s">
        <v>95</v>
      </c>
      <c r="O1157" s="27">
        <v>2897000</v>
      </c>
      <c r="P1157">
        <v>4</v>
      </c>
      <c r="Q1157" t="s">
        <v>164</v>
      </c>
      <c r="R1157">
        <v>28</v>
      </c>
      <c r="S1157" t="s">
        <v>219</v>
      </c>
      <c r="T1157">
        <f t="shared" si="126"/>
        <v>10612</v>
      </c>
      <c r="U1157" t="str">
        <f t="shared" si="127"/>
        <v>ENG</v>
      </c>
      <c r="V1157" t="str">
        <f t="shared" si="128"/>
        <v>L4</v>
      </c>
      <c r="W1157" t="str">
        <f>PROPER(TRIM(VLOOKUP(S1157,Employee_Lookups!$I$4:$M$19,2,FALSE())))</f>
        <v>Neha Kulkarni</v>
      </c>
      <c r="X1157" t="str">
        <f>VLOOKUP(C1157,Employee_Lookups!$A$4:$G$9,4,FALSE())</f>
        <v>CC-101</v>
      </c>
      <c r="Y1157" t="str">
        <f>INDEX(Employee_Lookups!$C$13:$C$17,MATCH(F1157,Employee_Lookups!$A$13:$A$17,0))</f>
        <v>Band D (Leadership)</v>
      </c>
      <c r="Z1157" s="27">
        <f>_xlfn.XLOOKUP(F1157,Employee_Lookups!$A$13:$A$17,Employee_Lookups!$E$13:$E$17,0)</f>
        <v>2750000</v>
      </c>
      <c r="AA1157" s="28">
        <f>ROUND(O1157/INDEX(Employee_Lookups!$E$13:$E$17,MATCH(F1157,Employee_Lookups!$A$13:$A$17,0)),3)</f>
        <v>1.0529999999999999</v>
      </c>
      <c r="AB1157">
        <f t="shared" si="129"/>
        <v>2024</v>
      </c>
      <c r="AC1157" t="str">
        <f t="shared" si="130"/>
        <v/>
      </c>
      <c r="AD1157" s="28">
        <f>ROUND((IF(ISBLANK(L1157),Employee_Lookups!$O$14,L1157)-J1157)/365.25,2)</f>
        <v>1.26</v>
      </c>
      <c r="AE1157" t="str">
        <f t="shared" si="131"/>
        <v>1 - 3 Yrs</v>
      </c>
      <c r="AF1157" t="str">
        <f t="shared" si="132"/>
        <v>Low Risk</v>
      </c>
    </row>
    <row r="1158" spans="1:32" x14ac:dyDescent="0.45">
      <c r="A1158" t="s">
        <v>2009</v>
      </c>
      <c r="B1158" t="s">
        <v>749</v>
      </c>
      <c r="C1158" t="s">
        <v>55</v>
      </c>
      <c r="D1158" t="s">
        <v>54</v>
      </c>
      <c r="E1158" t="s">
        <v>229</v>
      </c>
      <c r="F1158" t="s">
        <v>82</v>
      </c>
      <c r="G1158" t="s">
        <v>230</v>
      </c>
      <c r="H1158" t="s">
        <v>108</v>
      </c>
      <c r="I1158" t="s">
        <v>107</v>
      </c>
      <c r="J1158" s="26">
        <v>45561</v>
      </c>
      <c r="K1158" t="s">
        <v>162</v>
      </c>
      <c r="L1158" s="26"/>
      <c r="M1158" t="s">
        <v>163</v>
      </c>
      <c r="N1158" t="s">
        <v>99</v>
      </c>
      <c r="O1158" s="27">
        <v>1220000</v>
      </c>
      <c r="P1158">
        <v>3</v>
      </c>
      <c r="Q1158" t="s">
        <v>164</v>
      </c>
      <c r="R1158">
        <v>44</v>
      </c>
      <c r="S1158" t="s">
        <v>262</v>
      </c>
      <c r="T1158">
        <f t="shared" si="126"/>
        <v>10378</v>
      </c>
      <c r="U1158" t="str">
        <f t="shared" si="127"/>
        <v>OPS</v>
      </c>
      <c r="V1158" t="str">
        <f t="shared" si="128"/>
        <v>L2</v>
      </c>
      <c r="W1158" t="str">
        <f>PROPER(TRIM(VLOOKUP(S1158,Employee_Lookups!$I$4:$M$19,2,FALSE())))</f>
        <v>Ananya Iyer</v>
      </c>
      <c r="X1158" t="str">
        <f>VLOOKUP(C1158,Employee_Lookups!$A$4:$G$9,4,FALSE())</f>
        <v>CC-303</v>
      </c>
      <c r="Y1158" t="str">
        <f>INDEX(Employee_Lookups!$C$13:$C$17,MATCH(F1158,Employee_Lookups!$A$13:$A$17,0))</f>
        <v>Band B (Mid)</v>
      </c>
      <c r="Z1158" s="27">
        <f>_xlfn.XLOOKUP(F1158,Employee_Lookups!$A$13:$A$17,Employee_Lookups!$E$13:$E$17,0)</f>
        <v>1100000</v>
      </c>
      <c r="AA1158" s="28">
        <f>ROUND(O1158/INDEX(Employee_Lookups!$E$13:$E$17,MATCH(F1158,Employee_Lookups!$A$13:$A$17,0)),3)</f>
        <v>1.109</v>
      </c>
      <c r="AB1158">
        <f t="shared" si="129"/>
        <v>2024</v>
      </c>
      <c r="AC1158" t="str">
        <f t="shared" si="130"/>
        <v/>
      </c>
      <c r="AD1158" s="28">
        <f>ROUND((IF(ISBLANK(L1158),Employee_Lookups!$O$14,L1158)-J1158)/365.25,2)</f>
        <v>1.26</v>
      </c>
      <c r="AE1158" t="str">
        <f t="shared" si="131"/>
        <v>1 - 3 Yrs</v>
      </c>
      <c r="AF1158" t="str">
        <f t="shared" si="132"/>
        <v>Low Risk</v>
      </c>
    </row>
    <row r="1159" spans="1:32" x14ac:dyDescent="0.45">
      <c r="A1159" t="s">
        <v>2010</v>
      </c>
      <c r="B1159" t="s">
        <v>528</v>
      </c>
      <c r="C1159" t="s">
        <v>51</v>
      </c>
      <c r="D1159" t="s">
        <v>50</v>
      </c>
      <c r="E1159" t="s">
        <v>181</v>
      </c>
      <c r="F1159" t="s">
        <v>81</v>
      </c>
      <c r="G1159" t="s">
        <v>182</v>
      </c>
      <c r="H1159" t="s">
        <v>112</v>
      </c>
      <c r="I1159" t="s">
        <v>113</v>
      </c>
      <c r="J1159" s="26">
        <v>45562</v>
      </c>
      <c r="K1159" t="s">
        <v>162</v>
      </c>
      <c r="L1159" s="26"/>
      <c r="M1159" t="s">
        <v>163</v>
      </c>
      <c r="N1159" t="s">
        <v>99</v>
      </c>
      <c r="O1159" s="27">
        <v>697000</v>
      </c>
      <c r="P1159">
        <v>3</v>
      </c>
      <c r="Q1159" t="s">
        <v>164</v>
      </c>
      <c r="R1159">
        <v>46</v>
      </c>
      <c r="S1159" t="s">
        <v>197</v>
      </c>
      <c r="T1159">
        <f t="shared" si="126"/>
        <v>10238</v>
      </c>
      <c r="U1159" t="str">
        <f t="shared" si="127"/>
        <v>ENG</v>
      </c>
      <c r="V1159" t="str">
        <f t="shared" si="128"/>
        <v>L1</v>
      </c>
      <c r="W1159" t="str">
        <f>PROPER(TRIM(VLOOKUP(S1159,Employee_Lookups!$I$4:$M$19,2,FALSE())))</f>
        <v>Rohan Verma</v>
      </c>
      <c r="X1159" t="str">
        <f>VLOOKUP(C1159,Employee_Lookups!$A$4:$G$9,4,FALSE())</f>
        <v>CC-101</v>
      </c>
      <c r="Y1159" t="str">
        <f>INDEX(Employee_Lookups!$C$13:$C$17,MATCH(F1159,Employee_Lookups!$A$13:$A$17,0))</f>
        <v>Band A (Entry)</v>
      </c>
      <c r="Z1159" s="27">
        <f>_xlfn.XLOOKUP(F1159,Employee_Lookups!$A$13:$A$17,Employee_Lookups!$E$13:$E$17,0)</f>
        <v>700000</v>
      </c>
      <c r="AA1159" s="28">
        <f>ROUND(O1159/INDEX(Employee_Lookups!$E$13:$E$17,MATCH(F1159,Employee_Lookups!$A$13:$A$17,0)),3)</f>
        <v>0.996</v>
      </c>
      <c r="AB1159">
        <f t="shared" si="129"/>
        <v>2024</v>
      </c>
      <c r="AC1159" t="str">
        <f t="shared" si="130"/>
        <v/>
      </c>
      <c r="AD1159" s="28">
        <f>ROUND((IF(ISBLANK(L1159),Employee_Lookups!$O$14,L1159)-J1159)/365.25,2)</f>
        <v>1.26</v>
      </c>
      <c r="AE1159" t="str">
        <f t="shared" si="131"/>
        <v>1 - 3 Yrs</v>
      </c>
      <c r="AF1159" t="str">
        <f t="shared" si="132"/>
        <v>Low Risk</v>
      </c>
    </row>
    <row r="1160" spans="1:32" x14ac:dyDescent="0.45">
      <c r="A1160" t="s">
        <v>2011</v>
      </c>
      <c r="B1160" t="s">
        <v>1495</v>
      </c>
      <c r="C1160" t="s">
        <v>55</v>
      </c>
      <c r="D1160" t="s">
        <v>54</v>
      </c>
      <c r="E1160" t="s">
        <v>277</v>
      </c>
      <c r="F1160" t="s">
        <v>81</v>
      </c>
      <c r="G1160" t="s">
        <v>278</v>
      </c>
      <c r="H1160" t="s">
        <v>106</v>
      </c>
      <c r="I1160" t="s">
        <v>107</v>
      </c>
      <c r="J1160" s="26">
        <v>45567</v>
      </c>
      <c r="K1160" t="s">
        <v>162</v>
      </c>
      <c r="L1160" s="26"/>
      <c r="M1160" t="s">
        <v>163</v>
      </c>
      <c r="N1160" t="s">
        <v>99</v>
      </c>
      <c r="O1160" s="27">
        <v>830000</v>
      </c>
      <c r="P1160">
        <v>3</v>
      </c>
      <c r="Q1160" t="s">
        <v>172</v>
      </c>
      <c r="R1160">
        <v>29</v>
      </c>
      <c r="S1160" t="s">
        <v>274</v>
      </c>
      <c r="T1160">
        <f t="shared" si="126"/>
        <v>10485</v>
      </c>
      <c r="U1160" t="str">
        <f t="shared" si="127"/>
        <v>OPS</v>
      </c>
      <c r="V1160" t="str">
        <f t="shared" si="128"/>
        <v>L1</v>
      </c>
      <c r="W1160" t="str">
        <f>PROPER(TRIM(VLOOKUP(S1160,Employee_Lookups!$I$4:$M$19,2,FALSE())))</f>
        <v>Meera Krishnan</v>
      </c>
      <c r="X1160" t="str">
        <f>VLOOKUP(C1160,Employee_Lookups!$A$4:$G$9,4,FALSE())</f>
        <v>CC-303</v>
      </c>
      <c r="Y1160" t="str">
        <f>INDEX(Employee_Lookups!$C$13:$C$17,MATCH(F1160,Employee_Lookups!$A$13:$A$17,0))</f>
        <v>Band A (Entry)</v>
      </c>
      <c r="Z1160" s="27">
        <f>_xlfn.XLOOKUP(F1160,Employee_Lookups!$A$13:$A$17,Employee_Lookups!$E$13:$E$17,0)</f>
        <v>700000</v>
      </c>
      <c r="AA1160" s="28">
        <f>ROUND(O1160/INDEX(Employee_Lookups!$E$13:$E$17,MATCH(F1160,Employee_Lookups!$A$13:$A$17,0)),3)</f>
        <v>1.1859999999999999</v>
      </c>
      <c r="AB1160">
        <f t="shared" si="129"/>
        <v>2024</v>
      </c>
      <c r="AC1160" t="str">
        <f t="shared" si="130"/>
        <v/>
      </c>
      <c r="AD1160" s="28">
        <f>ROUND((IF(ISBLANK(L1160),Employee_Lookups!$O$14,L1160)-J1160)/365.25,2)</f>
        <v>1.25</v>
      </c>
      <c r="AE1160" t="str">
        <f t="shared" si="131"/>
        <v>1 - 3 Yrs</v>
      </c>
      <c r="AF1160" t="str">
        <f t="shared" si="132"/>
        <v>Moderate Risk</v>
      </c>
    </row>
    <row r="1161" spans="1:32" x14ac:dyDescent="0.45">
      <c r="A1161" t="s">
        <v>2012</v>
      </c>
      <c r="B1161" t="s">
        <v>1066</v>
      </c>
      <c r="C1161" t="s">
        <v>51</v>
      </c>
      <c r="D1161" t="s">
        <v>50</v>
      </c>
      <c r="E1161" t="s">
        <v>181</v>
      </c>
      <c r="F1161" t="s">
        <v>81</v>
      </c>
      <c r="G1161" t="s">
        <v>182</v>
      </c>
      <c r="H1161" t="s">
        <v>111</v>
      </c>
      <c r="I1161" t="s">
        <v>110</v>
      </c>
      <c r="J1161" s="26">
        <v>45567</v>
      </c>
      <c r="K1161" t="s">
        <v>170</v>
      </c>
      <c r="L1161" s="26">
        <v>45847</v>
      </c>
      <c r="M1161" t="s">
        <v>171</v>
      </c>
      <c r="N1161" t="s">
        <v>96</v>
      </c>
      <c r="O1161" s="27">
        <v>711000</v>
      </c>
      <c r="P1161">
        <v>2</v>
      </c>
      <c r="Q1161" t="s">
        <v>164</v>
      </c>
      <c r="R1161">
        <v>4</v>
      </c>
      <c r="S1161" t="s">
        <v>197</v>
      </c>
      <c r="T1161">
        <f t="shared" si="126"/>
        <v>10744</v>
      </c>
      <c r="U1161" t="str">
        <f t="shared" si="127"/>
        <v>ENG</v>
      </c>
      <c r="V1161" t="str">
        <f t="shared" si="128"/>
        <v>L1</v>
      </c>
      <c r="W1161" t="str">
        <f>PROPER(TRIM(VLOOKUP(S1161,Employee_Lookups!$I$4:$M$19,2,FALSE())))</f>
        <v>Rohan Verma</v>
      </c>
      <c r="X1161" t="str">
        <f>VLOOKUP(C1161,Employee_Lookups!$A$4:$G$9,4,FALSE())</f>
        <v>CC-101</v>
      </c>
      <c r="Y1161" t="str">
        <f>INDEX(Employee_Lookups!$C$13:$C$17,MATCH(F1161,Employee_Lookups!$A$13:$A$17,0))</f>
        <v>Band A (Entry)</v>
      </c>
      <c r="Z1161" s="27">
        <f>_xlfn.XLOOKUP(F1161,Employee_Lookups!$A$13:$A$17,Employee_Lookups!$E$13:$E$17,0)</f>
        <v>700000</v>
      </c>
      <c r="AA1161" s="28">
        <f>ROUND(O1161/INDEX(Employee_Lookups!$E$13:$E$17,MATCH(F1161,Employee_Lookups!$A$13:$A$17,0)),3)</f>
        <v>1.016</v>
      </c>
      <c r="AB1161">
        <f t="shared" si="129"/>
        <v>2024</v>
      </c>
      <c r="AC1161">
        <f t="shared" si="130"/>
        <v>2025</v>
      </c>
      <c r="AD1161" s="28">
        <f>ROUND((IF(ISBLANK(L1161),Employee_Lookups!$O$14,L1161)-J1161)/365.25,2)</f>
        <v>0.77</v>
      </c>
      <c r="AE1161" t="str">
        <f t="shared" si="131"/>
        <v>&lt; 1 Yr (New)</v>
      </c>
      <c r="AF1161" t="str">
        <f t="shared" si="132"/>
        <v>Exited</v>
      </c>
    </row>
    <row r="1162" spans="1:32" x14ac:dyDescent="0.45">
      <c r="A1162" t="s">
        <v>2013</v>
      </c>
      <c r="B1162" t="s">
        <v>1101</v>
      </c>
      <c r="C1162" t="s">
        <v>51</v>
      </c>
      <c r="D1162" t="s">
        <v>50</v>
      </c>
      <c r="E1162" t="s">
        <v>181</v>
      </c>
      <c r="F1162" t="s">
        <v>81</v>
      </c>
      <c r="G1162" t="s">
        <v>182</v>
      </c>
      <c r="H1162" t="s">
        <v>106</v>
      </c>
      <c r="I1162" t="s">
        <v>107</v>
      </c>
      <c r="J1162" s="26">
        <v>45567</v>
      </c>
      <c r="K1162" t="s">
        <v>162</v>
      </c>
      <c r="L1162" s="26"/>
      <c r="M1162" t="s">
        <v>163</v>
      </c>
      <c r="N1162" t="s">
        <v>96</v>
      </c>
      <c r="O1162" s="27">
        <v>662000</v>
      </c>
      <c r="P1162">
        <v>3</v>
      </c>
      <c r="Q1162" t="s">
        <v>164</v>
      </c>
      <c r="R1162">
        <v>50</v>
      </c>
      <c r="S1162" t="s">
        <v>197</v>
      </c>
      <c r="T1162">
        <f t="shared" si="126"/>
        <v>10890</v>
      </c>
      <c r="U1162" t="str">
        <f t="shared" si="127"/>
        <v>ENG</v>
      </c>
      <c r="V1162" t="str">
        <f t="shared" si="128"/>
        <v>L1</v>
      </c>
      <c r="W1162" t="str">
        <f>PROPER(TRIM(VLOOKUP(S1162,Employee_Lookups!$I$4:$M$19,2,FALSE())))</f>
        <v>Rohan Verma</v>
      </c>
      <c r="X1162" t="str">
        <f>VLOOKUP(C1162,Employee_Lookups!$A$4:$G$9,4,FALSE())</f>
        <v>CC-101</v>
      </c>
      <c r="Y1162" t="str">
        <f>INDEX(Employee_Lookups!$C$13:$C$17,MATCH(F1162,Employee_Lookups!$A$13:$A$17,0))</f>
        <v>Band A (Entry)</v>
      </c>
      <c r="Z1162" s="27">
        <f>_xlfn.XLOOKUP(F1162,Employee_Lookups!$A$13:$A$17,Employee_Lookups!$E$13:$E$17,0)</f>
        <v>700000</v>
      </c>
      <c r="AA1162" s="28">
        <f>ROUND(O1162/INDEX(Employee_Lookups!$E$13:$E$17,MATCH(F1162,Employee_Lookups!$A$13:$A$17,0)),3)</f>
        <v>0.94599999999999995</v>
      </c>
      <c r="AB1162">
        <f t="shared" si="129"/>
        <v>2024</v>
      </c>
      <c r="AC1162" t="str">
        <f t="shared" si="130"/>
        <v/>
      </c>
      <c r="AD1162" s="28">
        <f>ROUND((IF(ISBLANK(L1162),Employee_Lookups!$O$14,L1162)-J1162)/365.25,2)</f>
        <v>1.25</v>
      </c>
      <c r="AE1162" t="str">
        <f t="shared" si="131"/>
        <v>1 - 3 Yrs</v>
      </c>
      <c r="AF1162" t="str">
        <f t="shared" si="132"/>
        <v>Low Risk</v>
      </c>
    </row>
    <row r="1163" spans="1:32" x14ac:dyDescent="0.45">
      <c r="A1163" t="s">
        <v>2014</v>
      </c>
      <c r="B1163" t="s">
        <v>2015</v>
      </c>
      <c r="C1163" t="s">
        <v>51</v>
      </c>
      <c r="D1163" t="s">
        <v>50</v>
      </c>
      <c r="E1163" t="s">
        <v>181</v>
      </c>
      <c r="F1163" t="s">
        <v>81</v>
      </c>
      <c r="G1163" t="s">
        <v>182</v>
      </c>
      <c r="H1163" t="s">
        <v>106</v>
      </c>
      <c r="I1163" t="s">
        <v>107</v>
      </c>
      <c r="J1163" s="26">
        <v>45569</v>
      </c>
      <c r="K1163" t="s">
        <v>162</v>
      </c>
      <c r="L1163" s="26"/>
      <c r="M1163" t="s">
        <v>163</v>
      </c>
      <c r="N1163" t="s">
        <v>99</v>
      </c>
      <c r="O1163" s="27">
        <v>601000</v>
      </c>
      <c r="P1163">
        <v>3</v>
      </c>
      <c r="Q1163" t="s">
        <v>164</v>
      </c>
      <c r="R1163">
        <v>30</v>
      </c>
      <c r="S1163" t="s">
        <v>197</v>
      </c>
      <c r="T1163">
        <f t="shared" si="126"/>
        <v>11166</v>
      </c>
      <c r="U1163" t="str">
        <f t="shared" si="127"/>
        <v>ENG</v>
      </c>
      <c r="V1163" t="str">
        <f t="shared" si="128"/>
        <v>L1</v>
      </c>
      <c r="W1163" t="str">
        <f>PROPER(TRIM(VLOOKUP(S1163,Employee_Lookups!$I$4:$M$19,2,FALSE())))</f>
        <v>Rohan Verma</v>
      </c>
      <c r="X1163" t="str">
        <f>VLOOKUP(C1163,Employee_Lookups!$A$4:$G$9,4,FALSE())</f>
        <v>CC-101</v>
      </c>
      <c r="Y1163" t="str">
        <f>INDEX(Employee_Lookups!$C$13:$C$17,MATCH(F1163,Employee_Lookups!$A$13:$A$17,0))</f>
        <v>Band A (Entry)</v>
      </c>
      <c r="Z1163" s="27">
        <f>_xlfn.XLOOKUP(F1163,Employee_Lookups!$A$13:$A$17,Employee_Lookups!$E$13:$E$17,0)</f>
        <v>700000</v>
      </c>
      <c r="AA1163" s="28">
        <f>ROUND(O1163/INDEX(Employee_Lookups!$E$13:$E$17,MATCH(F1163,Employee_Lookups!$A$13:$A$17,0)),3)</f>
        <v>0.85899999999999999</v>
      </c>
      <c r="AB1163">
        <f t="shared" si="129"/>
        <v>2024</v>
      </c>
      <c r="AC1163" t="str">
        <f t="shared" si="130"/>
        <v/>
      </c>
      <c r="AD1163" s="28">
        <f>ROUND((IF(ISBLANK(L1163),Employee_Lookups!$O$14,L1163)-J1163)/365.25,2)</f>
        <v>1.24</v>
      </c>
      <c r="AE1163" t="str">
        <f t="shared" si="131"/>
        <v>1 - 3 Yrs</v>
      </c>
      <c r="AF1163" t="str">
        <f t="shared" si="132"/>
        <v>Low Risk</v>
      </c>
    </row>
    <row r="1164" spans="1:32" x14ac:dyDescent="0.45">
      <c r="A1164" t="s">
        <v>2016</v>
      </c>
      <c r="B1164" t="s">
        <v>2017</v>
      </c>
      <c r="C1164" t="s">
        <v>61</v>
      </c>
      <c r="D1164" t="s">
        <v>60</v>
      </c>
      <c r="E1164" t="s">
        <v>251</v>
      </c>
      <c r="F1164" t="s">
        <v>82</v>
      </c>
      <c r="G1164" t="s">
        <v>252</v>
      </c>
      <c r="H1164" t="s">
        <v>108</v>
      </c>
      <c r="I1164" t="s">
        <v>107</v>
      </c>
      <c r="J1164" s="26">
        <v>45569</v>
      </c>
      <c r="K1164" t="s">
        <v>162</v>
      </c>
      <c r="L1164" s="26"/>
      <c r="M1164" t="s">
        <v>163</v>
      </c>
      <c r="N1164" t="s">
        <v>97</v>
      </c>
      <c r="O1164" s="27">
        <v>1122000</v>
      </c>
      <c r="P1164">
        <v>3</v>
      </c>
      <c r="Q1164" t="s">
        <v>172</v>
      </c>
      <c r="R1164">
        <v>13</v>
      </c>
      <c r="S1164" t="s">
        <v>319</v>
      </c>
      <c r="T1164">
        <f t="shared" si="126"/>
        <v>10343</v>
      </c>
      <c r="U1164" t="str">
        <f t="shared" si="127"/>
        <v>-HR</v>
      </c>
      <c r="V1164" t="str">
        <f t="shared" si="128"/>
        <v>L2</v>
      </c>
      <c r="W1164" t="str">
        <f>PROPER(TRIM(VLOOKUP(S1164,Employee_Lookups!$I$4:$M$19,2,FALSE())))</f>
        <v>Kavita Menon</v>
      </c>
      <c r="X1164" t="str">
        <f>VLOOKUP(C1164,Employee_Lookups!$A$4:$G$9,4,FALSE())</f>
        <v>CC-505</v>
      </c>
      <c r="Y1164" t="str">
        <f>INDEX(Employee_Lookups!$C$13:$C$17,MATCH(F1164,Employee_Lookups!$A$13:$A$17,0))</f>
        <v>Band B (Mid)</v>
      </c>
      <c r="Z1164" s="27">
        <f>_xlfn.XLOOKUP(F1164,Employee_Lookups!$A$13:$A$17,Employee_Lookups!$E$13:$E$17,0)</f>
        <v>1100000</v>
      </c>
      <c r="AA1164" s="28">
        <f>ROUND(O1164/INDEX(Employee_Lookups!$E$13:$E$17,MATCH(F1164,Employee_Lookups!$A$13:$A$17,0)),3)</f>
        <v>1.02</v>
      </c>
      <c r="AB1164">
        <f t="shared" si="129"/>
        <v>2024</v>
      </c>
      <c r="AC1164" t="str">
        <f t="shared" si="130"/>
        <v/>
      </c>
      <c r="AD1164" s="28">
        <f>ROUND((IF(ISBLANK(L1164),Employee_Lookups!$O$14,L1164)-J1164)/365.25,2)</f>
        <v>1.24</v>
      </c>
      <c r="AE1164" t="str">
        <f t="shared" si="131"/>
        <v>1 - 3 Yrs</v>
      </c>
      <c r="AF1164" t="str">
        <f t="shared" si="132"/>
        <v>Moderate Risk</v>
      </c>
    </row>
    <row r="1165" spans="1:32" x14ac:dyDescent="0.45">
      <c r="A1165" t="s">
        <v>2018</v>
      </c>
      <c r="B1165" t="s">
        <v>1131</v>
      </c>
      <c r="C1165" t="s">
        <v>61</v>
      </c>
      <c r="D1165" t="s">
        <v>60</v>
      </c>
      <c r="E1165" t="s">
        <v>923</v>
      </c>
      <c r="F1165" t="s">
        <v>85</v>
      </c>
      <c r="G1165" t="s">
        <v>924</v>
      </c>
      <c r="H1165" t="s">
        <v>108</v>
      </c>
      <c r="I1165" t="s">
        <v>107</v>
      </c>
      <c r="J1165" s="26">
        <v>45570</v>
      </c>
      <c r="K1165" t="s">
        <v>162</v>
      </c>
      <c r="L1165" s="26"/>
      <c r="M1165" t="s">
        <v>163</v>
      </c>
      <c r="N1165" t="s">
        <v>99</v>
      </c>
      <c r="O1165" s="27">
        <v>5017000</v>
      </c>
      <c r="P1165">
        <v>2</v>
      </c>
      <c r="Q1165" t="s">
        <v>164</v>
      </c>
      <c r="R1165">
        <v>45</v>
      </c>
      <c r="S1165" t="s">
        <v>319</v>
      </c>
      <c r="T1165">
        <f t="shared" si="126"/>
        <v>10797</v>
      </c>
      <c r="U1165" t="str">
        <f t="shared" si="127"/>
        <v>-HR</v>
      </c>
      <c r="V1165" t="str">
        <f t="shared" si="128"/>
        <v>L5</v>
      </c>
      <c r="W1165" t="str">
        <f>PROPER(TRIM(VLOOKUP(S1165,Employee_Lookups!$I$4:$M$19,2,FALSE())))</f>
        <v>Kavita Menon</v>
      </c>
      <c r="X1165" t="str">
        <f>VLOOKUP(C1165,Employee_Lookups!$A$4:$G$9,4,FALSE())</f>
        <v>CC-505</v>
      </c>
      <c r="Y1165" t="str">
        <f>INDEX(Employee_Lookups!$C$13:$C$17,MATCH(F1165,Employee_Lookups!$A$13:$A$17,0))</f>
        <v>Band E (Executive)</v>
      </c>
      <c r="Z1165" s="27">
        <f>_xlfn.XLOOKUP(F1165,Employee_Lookups!$A$13:$A$17,Employee_Lookups!$E$13:$E$17,0)</f>
        <v>4300000</v>
      </c>
      <c r="AA1165" s="28">
        <f>ROUND(O1165/INDEX(Employee_Lookups!$E$13:$E$17,MATCH(F1165,Employee_Lookups!$A$13:$A$17,0)),3)</f>
        <v>1.167</v>
      </c>
      <c r="AB1165">
        <f t="shared" si="129"/>
        <v>2024</v>
      </c>
      <c r="AC1165" t="str">
        <f t="shared" si="130"/>
        <v/>
      </c>
      <c r="AD1165" s="28">
        <f>ROUND((IF(ISBLANK(L1165),Employee_Lookups!$O$14,L1165)-J1165)/365.25,2)</f>
        <v>1.24</v>
      </c>
      <c r="AE1165" t="str">
        <f t="shared" si="131"/>
        <v>1 - 3 Yrs</v>
      </c>
      <c r="AF1165" t="str">
        <f t="shared" si="132"/>
        <v>Moderate Risk</v>
      </c>
    </row>
    <row r="1166" spans="1:32" x14ac:dyDescent="0.45">
      <c r="A1166" t="s">
        <v>2019</v>
      </c>
      <c r="B1166" t="s">
        <v>2020</v>
      </c>
      <c r="C1166" t="s">
        <v>51</v>
      </c>
      <c r="D1166" t="s">
        <v>50</v>
      </c>
      <c r="E1166" t="s">
        <v>176</v>
      </c>
      <c r="F1166" t="s">
        <v>82</v>
      </c>
      <c r="G1166" t="s">
        <v>177</v>
      </c>
      <c r="H1166" t="s">
        <v>108</v>
      </c>
      <c r="I1166" t="s">
        <v>107</v>
      </c>
      <c r="J1166" s="26">
        <v>45572</v>
      </c>
      <c r="K1166" t="s">
        <v>162</v>
      </c>
      <c r="L1166" s="26"/>
      <c r="M1166" t="s">
        <v>163</v>
      </c>
      <c r="N1166" t="s">
        <v>97</v>
      </c>
      <c r="O1166" s="27">
        <v>856000</v>
      </c>
      <c r="P1166">
        <v>3</v>
      </c>
      <c r="Q1166" t="s">
        <v>172</v>
      </c>
      <c r="R1166">
        <v>27</v>
      </c>
      <c r="S1166" t="s">
        <v>197</v>
      </c>
      <c r="T1166">
        <f t="shared" si="126"/>
        <v>11024</v>
      </c>
      <c r="U1166" t="str">
        <f t="shared" si="127"/>
        <v>ENG</v>
      </c>
      <c r="V1166" t="str">
        <f t="shared" si="128"/>
        <v>L2</v>
      </c>
      <c r="W1166" t="str">
        <f>PROPER(TRIM(VLOOKUP(S1166,Employee_Lookups!$I$4:$M$19,2,FALSE())))</f>
        <v>Rohan Verma</v>
      </c>
      <c r="X1166" t="str">
        <f>VLOOKUP(C1166,Employee_Lookups!$A$4:$G$9,4,FALSE())</f>
        <v>CC-101</v>
      </c>
      <c r="Y1166" t="str">
        <f>INDEX(Employee_Lookups!$C$13:$C$17,MATCH(F1166,Employee_Lookups!$A$13:$A$17,0))</f>
        <v>Band B (Mid)</v>
      </c>
      <c r="Z1166" s="27">
        <f>_xlfn.XLOOKUP(F1166,Employee_Lookups!$A$13:$A$17,Employee_Lookups!$E$13:$E$17,0)</f>
        <v>1100000</v>
      </c>
      <c r="AA1166" s="28">
        <f>ROUND(O1166/INDEX(Employee_Lookups!$E$13:$E$17,MATCH(F1166,Employee_Lookups!$A$13:$A$17,0)),3)</f>
        <v>0.77800000000000002</v>
      </c>
      <c r="AB1166">
        <f t="shared" si="129"/>
        <v>2024</v>
      </c>
      <c r="AC1166" t="str">
        <f t="shared" si="130"/>
        <v/>
      </c>
      <c r="AD1166" s="28">
        <f>ROUND((IF(ISBLANK(L1166),Employee_Lookups!$O$14,L1166)-J1166)/365.25,2)</f>
        <v>1.23</v>
      </c>
      <c r="AE1166" t="str">
        <f t="shared" si="131"/>
        <v>1 - 3 Yrs</v>
      </c>
      <c r="AF1166" t="str">
        <f t="shared" si="132"/>
        <v>High Risk</v>
      </c>
    </row>
    <row r="1167" spans="1:32" x14ac:dyDescent="0.45">
      <c r="A1167" t="s">
        <v>2021</v>
      </c>
      <c r="B1167" t="s">
        <v>1253</v>
      </c>
      <c r="C1167" t="s">
        <v>61</v>
      </c>
      <c r="D1167" t="s">
        <v>60</v>
      </c>
      <c r="E1167" t="s">
        <v>923</v>
      </c>
      <c r="F1167" t="s">
        <v>85</v>
      </c>
      <c r="G1167" t="s">
        <v>924</v>
      </c>
      <c r="H1167" t="s">
        <v>108</v>
      </c>
      <c r="I1167" t="s">
        <v>107</v>
      </c>
      <c r="J1167" s="26">
        <v>45572</v>
      </c>
      <c r="K1167" t="s">
        <v>187</v>
      </c>
      <c r="L1167" s="26">
        <v>45887</v>
      </c>
      <c r="M1167" t="s">
        <v>188</v>
      </c>
      <c r="N1167" t="s">
        <v>99</v>
      </c>
      <c r="O1167" s="27">
        <v>4676000</v>
      </c>
      <c r="P1167">
        <v>3</v>
      </c>
      <c r="Q1167" t="s">
        <v>172</v>
      </c>
      <c r="R1167">
        <v>0</v>
      </c>
      <c r="S1167" t="s">
        <v>253</v>
      </c>
      <c r="T1167">
        <f t="shared" si="126"/>
        <v>10050</v>
      </c>
      <c r="U1167" t="str">
        <f t="shared" si="127"/>
        <v>-HR</v>
      </c>
      <c r="V1167" t="str">
        <f t="shared" si="128"/>
        <v>L5</v>
      </c>
      <c r="W1167" t="str">
        <f>PROPER(TRIM(VLOOKUP(S1167,Employee_Lookups!$I$4:$M$19,2,FALSE())))</f>
        <v>Nikhil Chatterjee</v>
      </c>
      <c r="X1167" t="str">
        <f>VLOOKUP(C1167,Employee_Lookups!$A$4:$G$9,4,FALSE())</f>
        <v>CC-505</v>
      </c>
      <c r="Y1167" t="str">
        <f>INDEX(Employee_Lookups!$C$13:$C$17,MATCH(F1167,Employee_Lookups!$A$13:$A$17,0))</f>
        <v>Band E (Executive)</v>
      </c>
      <c r="Z1167" s="27">
        <f>_xlfn.XLOOKUP(F1167,Employee_Lookups!$A$13:$A$17,Employee_Lookups!$E$13:$E$17,0)</f>
        <v>4300000</v>
      </c>
      <c r="AA1167" s="28">
        <f>ROUND(O1167/INDEX(Employee_Lookups!$E$13:$E$17,MATCH(F1167,Employee_Lookups!$A$13:$A$17,0)),3)</f>
        <v>1.087</v>
      </c>
      <c r="AB1167">
        <f t="shared" si="129"/>
        <v>2024</v>
      </c>
      <c r="AC1167">
        <f t="shared" si="130"/>
        <v>2025</v>
      </c>
      <c r="AD1167" s="28">
        <f>ROUND((IF(ISBLANK(L1167),Employee_Lookups!$O$14,L1167)-J1167)/365.25,2)</f>
        <v>0.86</v>
      </c>
      <c r="AE1167" t="str">
        <f t="shared" si="131"/>
        <v>&lt; 1 Yr (New)</v>
      </c>
      <c r="AF1167" t="str">
        <f t="shared" si="132"/>
        <v>Exited</v>
      </c>
    </row>
    <row r="1168" spans="1:32" x14ac:dyDescent="0.45">
      <c r="A1168" t="s">
        <v>2022</v>
      </c>
      <c r="B1168" t="s">
        <v>554</v>
      </c>
      <c r="C1168" t="s">
        <v>51</v>
      </c>
      <c r="D1168" t="s">
        <v>50</v>
      </c>
      <c r="E1168" t="s">
        <v>181</v>
      </c>
      <c r="F1168" t="s">
        <v>81</v>
      </c>
      <c r="G1168" t="s">
        <v>182</v>
      </c>
      <c r="H1168" t="s">
        <v>108</v>
      </c>
      <c r="I1168" t="s">
        <v>107</v>
      </c>
      <c r="J1168" s="26">
        <v>45573</v>
      </c>
      <c r="K1168" t="s">
        <v>170</v>
      </c>
      <c r="L1168" s="26">
        <v>45669</v>
      </c>
      <c r="M1168" t="s">
        <v>171</v>
      </c>
      <c r="N1168" t="s">
        <v>96</v>
      </c>
      <c r="O1168" s="27">
        <v>684000</v>
      </c>
      <c r="P1168">
        <v>1</v>
      </c>
      <c r="Q1168" t="s">
        <v>164</v>
      </c>
      <c r="R1168">
        <v>24</v>
      </c>
      <c r="S1168" t="s">
        <v>219</v>
      </c>
      <c r="T1168">
        <f t="shared" si="126"/>
        <v>10359</v>
      </c>
      <c r="U1168" t="str">
        <f t="shared" si="127"/>
        <v>ENG</v>
      </c>
      <c r="V1168" t="str">
        <f t="shared" si="128"/>
        <v>L1</v>
      </c>
      <c r="W1168" t="str">
        <f>PROPER(TRIM(VLOOKUP(S1168,Employee_Lookups!$I$4:$M$19,2,FALSE())))</f>
        <v>Neha Kulkarni</v>
      </c>
      <c r="X1168" t="str">
        <f>VLOOKUP(C1168,Employee_Lookups!$A$4:$G$9,4,FALSE())</f>
        <v>CC-101</v>
      </c>
      <c r="Y1168" t="str">
        <f>INDEX(Employee_Lookups!$C$13:$C$17,MATCH(F1168,Employee_Lookups!$A$13:$A$17,0))</f>
        <v>Band A (Entry)</v>
      </c>
      <c r="Z1168" s="27">
        <f>_xlfn.XLOOKUP(F1168,Employee_Lookups!$A$13:$A$17,Employee_Lookups!$E$13:$E$17,0)</f>
        <v>700000</v>
      </c>
      <c r="AA1168" s="28">
        <f>ROUND(O1168/INDEX(Employee_Lookups!$E$13:$E$17,MATCH(F1168,Employee_Lookups!$A$13:$A$17,0)),3)</f>
        <v>0.97699999999999998</v>
      </c>
      <c r="AB1168">
        <f t="shared" si="129"/>
        <v>2024</v>
      </c>
      <c r="AC1168">
        <f t="shared" si="130"/>
        <v>2025</v>
      </c>
      <c r="AD1168" s="28">
        <f>ROUND((IF(ISBLANK(L1168),Employee_Lookups!$O$14,L1168)-J1168)/365.25,2)</f>
        <v>0.26</v>
      </c>
      <c r="AE1168" t="str">
        <f t="shared" si="131"/>
        <v>&lt; 1 Yr (New)</v>
      </c>
      <c r="AF1168" t="str">
        <f t="shared" si="132"/>
        <v>Exited</v>
      </c>
    </row>
    <row r="1169" spans="1:32" x14ac:dyDescent="0.45">
      <c r="A1169" t="s">
        <v>2023</v>
      </c>
      <c r="B1169" t="s">
        <v>2024</v>
      </c>
      <c r="C1169" t="s">
        <v>51</v>
      </c>
      <c r="D1169" t="s">
        <v>50</v>
      </c>
      <c r="E1169" t="s">
        <v>181</v>
      </c>
      <c r="F1169" t="s">
        <v>81</v>
      </c>
      <c r="G1169" t="s">
        <v>182</v>
      </c>
      <c r="H1169" t="s">
        <v>112</v>
      </c>
      <c r="I1169" t="s">
        <v>113</v>
      </c>
      <c r="J1169" s="26">
        <v>45575</v>
      </c>
      <c r="K1169" t="s">
        <v>162</v>
      </c>
      <c r="L1169" s="26"/>
      <c r="M1169" t="s">
        <v>163</v>
      </c>
      <c r="N1169" t="s">
        <v>97</v>
      </c>
      <c r="O1169" s="27">
        <v>724000</v>
      </c>
      <c r="P1169">
        <v>5</v>
      </c>
      <c r="Q1169" t="s">
        <v>164</v>
      </c>
      <c r="R1169">
        <v>38</v>
      </c>
      <c r="S1169" t="s">
        <v>219</v>
      </c>
      <c r="T1169">
        <f t="shared" si="126"/>
        <v>11358</v>
      </c>
      <c r="U1169" t="str">
        <f t="shared" si="127"/>
        <v>ENG</v>
      </c>
      <c r="V1169" t="str">
        <f t="shared" si="128"/>
        <v>L1</v>
      </c>
      <c r="W1169" t="str">
        <f>PROPER(TRIM(VLOOKUP(S1169,Employee_Lookups!$I$4:$M$19,2,FALSE())))</f>
        <v>Neha Kulkarni</v>
      </c>
      <c r="X1169" t="str">
        <f>VLOOKUP(C1169,Employee_Lookups!$A$4:$G$9,4,FALSE())</f>
        <v>CC-101</v>
      </c>
      <c r="Y1169" t="str">
        <f>INDEX(Employee_Lookups!$C$13:$C$17,MATCH(F1169,Employee_Lookups!$A$13:$A$17,0))</f>
        <v>Band A (Entry)</v>
      </c>
      <c r="Z1169" s="27">
        <f>_xlfn.XLOOKUP(F1169,Employee_Lookups!$A$13:$A$17,Employee_Lookups!$E$13:$E$17,0)</f>
        <v>700000</v>
      </c>
      <c r="AA1169" s="28">
        <f>ROUND(O1169/INDEX(Employee_Lookups!$E$13:$E$17,MATCH(F1169,Employee_Lookups!$A$13:$A$17,0)),3)</f>
        <v>1.034</v>
      </c>
      <c r="AB1169">
        <f t="shared" si="129"/>
        <v>2024</v>
      </c>
      <c r="AC1169" t="str">
        <f t="shared" si="130"/>
        <v/>
      </c>
      <c r="AD1169" s="28">
        <f>ROUND((IF(ISBLANK(L1169),Employee_Lookups!$O$14,L1169)-J1169)/365.25,2)</f>
        <v>1.22</v>
      </c>
      <c r="AE1169" t="str">
        <f t="shared" si="131"/>
        <v>1 - 3 Yrs</v>
      </c>
      <c r="AF1169" t="str">
        <f t="shared" si="132"/>
        <v>Low Risk</v>
      </c>
    </row>
    <row r="1170" spans="1:32" x14ac:dyDescent="0.45">
      <c r="A1170" t="s">
        <v>2025</v>
      </c>
      <c r="B1170" t="s">
        <v>1432</v>
      </c>
      <c r="C1170" t="s">
        <v>51</v>
      </c>
      <c r="D1170" t="s">
        <v>50</v>
      </c>
      <c r="E1170" t="s">
        <v>397</v>
      </c>
      <c r="F1170" t="s">
        <v>84</v>
      </c>
      <c r="G1170" t="s">
        <v>398</v>
      </c>
      <c r="H1170" t="s">
        <v>109</v>
      </c>
      <c r="I1170" t="s">
        <v>110</v>
      </c>
      <c r="J1170" s="26">
        <v>45576</v>
      </c>
      <c r="K1170" t="s">
        <v>162</v>
      </c>
      <c r="L1170" s="26"/>
      <c r="M1170" t="s">
        <v>163</v>
      </c>
      <c r="N1170" t="s">
        <v>98</v>
      </c>
      <c r="O1170" s="27">
        <v>3358000</v>
      </c>
      <c r="P1170">
        <v>5</v>
      </c>
      <c r="Q1170" t="s">
        <v>164</v>
      </c>
      <c r="R1170">
        <v>19</v>
      </c>
      <c r="S1170" t="s">
        <v>219</v>
      </c>
      <c r="T1170">
        <f t="shared" si="126"/>
        <v>10413</v>
      </c>
      <c r="U1170" t="str">
        <f t="shared" si="127"/>
        <v>ENG</v>
      </c>
      <c r="V1170" t="str">
        <f t="shared" si="128"/>
        <v>L4</v>
      </c>
      <c r="W1170" t="str">
        <f>PROPER(TRIM(VLOOKUP(S1170,Employee_Lookups!$I$4:$M$19,2,FALSE())))</f>
        <v>Neha Kulkarni</v>
      </c>
      <c r="X1170" t="str">
        <f>VLOOKUP(C1170,Employee_Lookups!$A$4:$G$9,4,FALSE())</f>
        <v>CC-101</v>
      </c>
      <c r="Y1170" t="str">
        <f>INDEX(Employee_Lookups!$C$13:$C$17,MATCH(F1170,Employee_Lookups!$A$13:$A$17,0))</f>
        <v>Band D (Leadership)</v>
      </c>
      <c r="Z1170" s="27">
        <f>_xlfn.XLOOKUP(F1170,Employee_Lookups!$A$13:$A$17,Employee_Lookups!$E$13:$E$17,0)</f>
        <v>2750000</v>
      </c>
      <c r="AA1170" s="28">
        <f>ROUND(O1170/INDEX(Employee_Lookups!$E$13:$E$17,MATCH(F1170,Employee_Lookups!$A$13:$A$17,0)),3)</f>
        <v>1.2210000000000001</v>
      </c>
      <c r="AB1170">
        <f t="shared" si="129"/>
        <v>2024</v>
      </c>
      <c r="AC1170" t="str">
        <f t="shared" si="130"/>
        <v/>
      </c>
      <c r="AD1170" s="28">
        <f>ROUND((IF(ISBLANK(L1170),Employee_Lookups!$O$14,L1170)-J1170)/365.25,2)</f>
        <v>1.22</v>
      </c>
      <c r="AE1170" t="str">
        <f t="shared" si="131"/>
        <v>1 - 3 Yrs</v>
      </c>
      <c r="AF1170" t="str">
        <f t="shared" si="132"/>
        <v>Low Risk</v>
      </c>
    </row>
    <row r="1171" spans="1:32" x14ac:dyDescent="0.45">
      <c r="A1171" t="s">
        <v>2026</v>
      </c>
      <c r="B1171" t="s">
        <v>1219</v>
      </c>
      <c r="C1171" t="s">
        <v>51</v>
      </c>
      <c r="D1171" t="s">
        <v>50</v>
      </c>
      <c r="E1171" t="s">
        <v>176</v>
      </c>
      <c r="F1171" t="s">
        <v>82</v>
      </c>
      <c r="G1171" t="s">
        <v>177</v>
      </c>
      <c r="H1171" t="s">
        <v>106</v>
      </c>
      <c r="I1171" t="s">
        <v>107</v>
      </c>
      <c r="J1171" s="26">
        <v>45577</v>
      </c>
      <c r="K1171" t="s">
        <v>162</v>
      </c>
      <c r="L1171" s="26"/>
      <c r="M1171" t="s">
        <v>163</v>
      </c>
      <c r="N1171" t="s">
        <v>95</v>
      </c>
      <c r="O1171" s="27">
        <v>1259000</v>
      </c>
      <c r="P1171">
        <v>3</v>
      </c>
      <c r="Q1171" t="s">
        <v>172</v>
      </c>
      <c r="R1171">
        <v>34</v>
      </c>
      <c r="S1171" t="s">
        <v>244</v>
      </c>
      <c r="T1171">
        <f t="shared" si="126"/>
        <v>10719</v>
      </c>
      <c r="U1171" t="str">
        <f t="shared" si="127"/>
        <v>ENG</v>
      </c>
      <c r="V1171" t="str">
        <f t="shared" si="128"/>
        <v>L2</v>
      </c>
      <c r="W1171" t="str">
        <f>PROPER(TRIM(VLOOKUP(S1171,Employee_Lookups!$I$4:$M$19,2,FALSE())))</f>
        <v>Siddharth Nair</v>
      </c>
      <c r="X1171" t="str">
        <f>VLOOKUP(C1171,Employee_Lookups!$A$4:$G$9,4,FALSE())</f>
        <v>CC-101</v>
      </c>
      <c r="Y1171" t="str">
        <f>INDEX(Employee_Lookups!$C$13:$C$17,MATCH(F1171,Employee_Lookups!$A$13:$A$17,0))</f>
        <v>Band B (Mid)</v>
      </c>
      <c r="Z1171" s="27">
        <f>_xlfn.XLOOKUP(F1171,Employee_Lookups!$A$13:$A$17,Employee_Lookups!$E$13:$E$17,0)</f>
        <v>1100000</v>
      </c>
      <c r="AA1171" s="28">
        <f>ROUND(O1171/INDEX(Employee_Lookups!$E$13:$E$17,MATCH(F1171,Employee_Lookups!$A$13:$A$17,0)),3)</f>
        <v>1.145</v>
      </c>
      <c r="AB1171">
        <f t="shared" si="129"/>
        <v>2024</v>
      </c>
      <c r="AC1171" t="str">
        <f t="shared" si="130"/>
        <v/>
      </c>
      <c r="AD1171" s="28">
        <f>ROUND((IF(ISBLANK(L1171),Employee_Lookups!$O$14,L1171)-J1171)/365.25,2)</f>
        <v>1.22</v>
      </c>
      <c r="AE1171" t="str">
        <f t="shared" si="131"/>
        <v>1 - 3 Yrs</v>
      </c>
      <c r="AF1171" t="str">
        <f t="shared" si="132"/>
        <v>Moderate Risk</v>
      </c>
    </row>
    <row r="1172" spans="1:32" x14ac:dyDescent="0.45">
      <c r="A1172" t="s">
        <v>2027</v>
      </c>
      <c r="B1172" t="s">
        <v>550</v>
      </c>
      <c r="C1172" t="s">
        <v>53</v>
      </c>
      <c r="D1172" t="s">
        <v>52</v>
      </c>
      <c r="E1172" t="s">
        <v>200</v>
      </c>
      <c r="F1172" t="s">
        <v>84</v>
      </c>
      <c r="G1172" t="s">
        <v>201</v>
      </c>
      <c r="H1172" t="s">
        <v>108</v>
      </c>
      <c r="I1172" t="s">
        <v>107</v>
      </c>
      <c r="J1172" s="26">
        <v>45578</v>
      </c>
      <c r="K1172" t="s">
        <v>162</v>
      </c>
      <c r="L1172" s="26"/>
      <c r="M1172" t="s">
        <v>163</v>
      </c>
      <c r="N1172" t="s">
        <v>96</v>
      </c>
      <c r="O1172" s="27">
        <v>3025000</v>
      </c>
      <c r="P1172">
        <v>2</v>
      </c>
      <c r="Q1172" t="s">
        <v>164</v>
      </c>
      <c r="R1172">
        <v>11</v>
      </c>
      <c r="S1172" t="s">
        <v>237</v>
      </c>
      <c r="T1172">
        <f t="shared" si="126"/>
        <v>10735</v>
      </c>
      <c r="U1172" t="str">
        <f t="shared" si="127"/>
        <v>SAL</v>
      </c>
      <c r="V1172" t="str">
        <f t="shared" si="128"/>
        <v>L4</v>
      </c>
      <c r="W1172" t="str">
        <f>PROPER(TRIM(VLOOKUP(S1172,Employee_Lookups!$I$4:$M$19,2,FALSE())))</f>
        <v>Karan Malhotra</v>
      </c>
      <c r="X1172" t="str">
        <f>VLOOKUP(C1172,Employee_Lookups!$A$4:$G$9,4,FALSE())</f>
        <v>CC-202</v>
      </c>
      <c r="Y1172" t="str">
        <f>INDEX(Employee_Lookups!$C$13:$C$17,MATCH(F1172,Employee_Lookups!$A$13:$A$17,0))</f>
        <v>Band D (Leadership)</v>
      </c>
      <c r="Z1172" s="27">
        <f>_xlfn.XLOOKUP(F1172,Employee_Lookups!$A$13:$A$17,Employee_Lookups!$E$13:$E$17,0)</f>
        <v>2750000</v>
      </c>
      <c r="AA1172" s="28">
        <f>ROUND(O1172/INDEX(Employee_Lookups!$E$13:$E$17,MATCH(F1172,Employee_Lookups!$A$13:$A$17,0)),3)</f>
        <v>1.1000000000000001</v>
      </c>
      <c r="AB1172">
        <f t="shared" si="129"/>
        <v>2024</v>
      </c>
      <c r="AC1172" t="str">
        <f t="shared" si="130"/>
        <v/>
      </c>
      <c r="AD1172" s="28">
        <f>ROUND((IF(ISBLANK(L1172),Employee_Lookups!$O$14,L1172)-J1172)/365.25,2)</f>
        <v>1.22</v>
      </c>
      <c r="AE1172" t="str">
        <f t="shared" si="131"/>
        <v>1 - 3 Yrs</v>
      </c>
      <c r="AF1172" t="str">
        <f t="shared" si="132"/>
        <v>Moderate Risk</v>
      </c>
    </row>
    <row r="1173" spans="1:32" x14ac:dyDescent="0.45">
      <c r="A1173" t="s">
        <v>2028</v>
      </c>
      <c r="B1173" t="s">
        <v>2029</v>
      </c>
      <c r="C1173" t="s">
        <v>59</v>
      </c>
      <c r="D1173" t="s">
        <v>58</v>
      </c>
      <c r="E1173" t="s">
        <v>287</v>
      </c>
      <c r="F1173" t="s">
        <v>83</v>
      </c>
      <c r="G1173" t="s">
        <v>288</v>
      </c>
      <c r="H1173" t="s">
        <v>109</v>
      </c>
      <c r="I1173" t="s">
        <v>110</v>
      </c>
      <c r="J1173" s="26">
        <v>45578</v>
      </c>
      <c r="K1173" t="s">
        <v>162</v>
      </c>
      <c r="L1173" s="26"/>
      <c r="M1173" t="s">
        <v>163</v>
      </c>
      <c r="N1173" t="s">
        <v>98</v>
      </c>
      <c r="O1173" s="27">
        <v>1611000</v>
      </c>
      <c r="P1173">
        <v>3</v>
      </c>
      <c r="Q1173" t="s">
        <v>164</v>
      </c>
      <c r="R1173">
        <v>44</v>
      </c>
      <c r="S1173" t="s">
        <v>214</v>
      </c>
      <c r="T1173">
        <f t="shared" si="126"/>
        <v>10336</v>
      </c>
      <c r="U1173" t="str">
        <f t="shared" si="127"/>
        <v>FIN</v>
      </c>
      <c r="V1173" t="str">
        <f t="shared" si="128"/>
        <v>L3</v>
      </c>
      <c r="W1173" t="str">
        <f>PROPER(TRIM(VLOOKUP(S1173,Employee_Lookups!$I$4:$M$19,2,FALSE())))</f>
        <v>Aditya Gokhale</v>
      </c>
      <c r="X1173" t="str">
        <f>VLOOKUP(C1173,Employee_Lookups!$A$4:$G$9,4,FALSE())</f>
        <v>CC-404</v>
      </c>
      <c r="Y1173" t="str">
        <f>INDEX(Employee_Lookups!$C$13:$C$17,MATCH(F1173,Employee_Lookups!$A$13:$A$17,0))</f>
        <v>Band C (Senior)</v>
      </c>
      <c r="Z1173" s="27">
        <f>_xlfn.XLOOKUP(F1173,Employee_Lookups!$A$13:$A$17,Employee_Lookups!$E$13:$E$17,0)</f>
        <v>1725000</v>
      </c>
      <c r="AA1173" s="28">
        <f>ROUND(O1173/INDEX(Employee_Lookups!$E$13:$E$17,MATCH(F1173,Employee_Lookups!$A$13:$A$17,0)),3)</f>
        <v>0.93400000000000005</v>
      </c>
      <c r="AB1173">
        <f t="shared" si="129"/>
        <v>2024</v>
      </c>
      <c r="AC1173" t="str">
        <f t="shared" si="130"/>
        <v/>
      </c>
      <c r="AD1173" s="28">
        <f>ROUND((IF(ISBLANK(L1173),Employee_Lookups!$O$14,L1173)-J1173)/365.25,2)</f>
        <v>1.22</v>
      </c>
      <c r="AE1173" t="str">
        <f t="shared" si="131"/>
        <v>1 - 3 Yrs</v>
      </c>
      <c r="AF1173" t="str">
        <f t="shared" si="132"/>
        <v>Low Risk</v>
      </c>
    </row>
    <row r="1174" spans="1:32" x14ac:dyDescent="0.45">
      <c r="A1174" t="s">
        <v>2030</v>
      </c>
      <c r="B1174" t="s">
        <v>2031</v>
      </c>
      <c r="C1174" t="s">
        <v>55</v>
      </c>
      <c r="D1174" t="s">
        <v>54</v>
      </c>
      <c r="E1174" t="s">
        <v>229</v>
      </c>
      <c r="F1174" t="s">
        <v>82</v>
      </c>
      <c r="G1174" t="s">
        <v>230</v>
      </c>
      <c r="H1174" t="s">
        <v>111</v>
      </c>
      <c r="I1174" t="s">
        <v>110</v>
      </c>
      <c r="J1174" s="26">
        <v>45579</v>
      </c>
      <c r="K1174" t="s">
        <v>162</v>
      </c>
      <c r="L1174" s="26"/>
      <c r="M1174" t="s">
        <v>163</v>
      </c>
      <c r="N1174" t="s">
        <v>98</v>
      </c>
      <c r="O1174" s="27">
        <v>1243000</v>
      </c>
      <c r="P1174">
        <v>3</v>
      </c>
      <c r="Q1174" t="s">
        <v>172</v>
      </c>
      <c r="R1174">
        <v>42</v>
      </c>
      <c r="S1174" t="s">
        <v>262</v>
      </c>
      <c r="T1174">
        <f t="shared" si="126"/>
        <v>10049</v>
      </c>
      <c r="U1174" t="str">
        <f t="shared" si="127"/>
        <v>OPS</v>
      </c>
      <c r="V1174" t="str">
        <f t="shared" si="128"/>
        <v>L2</v>
      </c>
      <c r="W1174" t="str">
        <f>PROPER(TRIM(VLOOKUP(S1174,Employee_Lookups!$I$4:$M$19,2,FALSE())))</f>
        <v>Ananya Iyer</v>
      </c>
      <c r="X1174" t="str">
        <f>VLOOKUP(C1174,Employee_Lookups!$A$4:$G$9,4,FALSE())</f>
        <v>CC-303</v>
      </c>
      <c r="Y1174" t="str">
        <f>INDEX(Employee_Lookups!$C$13:$C$17,MATCH(F1174,Employee_Lookups!$A$13:$A$17,0))</f>
        <v>Band B (Mid)</v>
      </c>
      <c r="Z1174" s="27">
        <f>_xlfn.XLOOKUP(F1174,Employee_Lookups!$A$13:$A$17,Employee_Lookups!$E$13:$E$17,0)</f>
        <v>1100000</v>
      </c>
      <c r="AA1174" s="28">
        <f>ROUND(O1174/INDEX(Employee_Lookups!$E$13:$E$17,MATCH(F1174,Employee_Lookups!$A$13:$A$17,0)),3)</f>
        <v>1.1299999999999999</v>
      </c>
      <c r="AB1174">
        <f t="shared" si="129"/>
        <v>2024</v>
      </c>
      <c r="AC1174" t="str">
        <f t="shared" si="130"/>
        <v/>
      </c>
      <c r="AD1174" s="28">
        <f>ROUND((IF(ISBLANK(L1174),Employee_Lookups!$O$14,L1174)-J1174)/365.25,2)</f>
        <v>1.21</v>
      </c>
      <c r="AE1174" t="str">
        <f t="shared" si="131"/>
        <v>1 - 3 Yrs</v>
      </c>
      <c r="AF1174" t="str">
        <f t="shared" si="132"/>
        <v>Moderate Risk</v>
      </c>
    </row>
    <row r="1175" spans="1:32" x14ac:dyDescent="0.45">
      <c r="A1175" t="s">
        <v>2032</v>
      </c>
      <c r="B1175" t="s">
        <v>205</v>
      </c>
      <c r="C1175" t="s">
        <v>53</v>
      </c>
      <c r="D1175" t="s">
        <v>52</v>
      </c>
      <c r="E1175" t="s">
        <v>200</v>
      </c>
      <c r="F1175" t="s">
        <v>84</v>
      </c>
      <c r="G1175" t="s">
        <v>201</v>
      </c>
      <c r="H1175" t="s">
        <v>106</v>
      </c>
      <c r="I1175" t="s">
        <v>107</v>
      </c>
      <c r="J1175" s="26">
        <v>45580</v>
      </c>
      <c r="K1175" t="s">
        <v>162</v>
      </c>
      <c r="L1175" s="26"/>
      <c r="M1175" t="s">
        <v>163</v>
      </c>
      <c r="N1175" t="s">
        <v>98</v>
      </c>
      <c r="O1175" s="27">
        <v>2496000</v>
      </c>
      <c r="P1175">
        <v>2</v>
      </c>
      <c r="Q1175" t="s">
        <v>164</v>
      </c>
      <c r="R1175">
        <v>13</v>
      </c>
      <c r="S1175" t="s">
        <v>189</v>
      </c>
      <c r="T1175">
        <f t="shared" si="126"/>
        <v>11058</v>
      </c>
      <c r="U1175" t="str">
        <f t="shared" si="127"/>
        <v>SAL</v>
      </c>
      <c r="V1175" t="str">
        <f t="shared" si="128"/>
        <v>L4</v>
      </c>
      <c r="W1175" t="str">
        <f>PROPER(TRIM(VLOOKUP(S1175,Employee_Lookups!$I$4:$M$19,2,FALSE())))</f>
        <v>Priya Sharma</v>
      </c>
      <c r="X1175" t="str">
        <f>VLOOKUP(C1175,Employee_Lookups!$A$4:$G$9,4,FALSE())</f>
        <v>CC-202</v>
      </c>
      <c r="Y1175" t="str">
        <f>INDEX(Employee_Lookups!$C$13:$C$17,MATCH(F1175,Employee_Lookups!$A$13:$A$17,0))</f>
        <v>Band D (Leadership)</v>
      </c>
      <c r="Z1175" s="27">
        <f>_xlfn.XLOOKUP(F1175,Employee_Lookups!$A$13:$A$17,Employee_Lookups!$E$13:$E$17,0)</f>
        <v>2750000</v>
      </c>
      <c r="AA1175" s="28">
        <f>ROUND(O1175/INDEX(Employee_Lookups!$E$13:$E$17,MATCH(F1175,Employee_Lookups!$A$13:$A$17,0)),3)</f>
        <v>0.90800000000000003</v>
      </c>
      <c r="AB1175">
        <f t="shared" si="129"/>
        <v>2024</v>
      </c>
      <c r="AC1175" t="str">
        <f t="shared" si="130"/>
        <v/>
      </c>
      <c r="AD1175" s="28">
        <f>ROUND((IF(ISBLANK(L1175),Employee_Lookups!$O$14,L1175)-J1175)/365.25,2)</f>
        <v>1.21</v>
      </c>
      <c r="AE1175" t="str">
        <f t="shared" si="131"/>
        <v>1 - 3 Yrs</v>
      </c>
      <c r="AF1175" t="str">
        <f t="shared" si="132"/>
        <v>Moderate Risk</v>
      </c>
    </row>
    <row r="1176" spans="1:32" x14ac:dyDescent="0.45">
      <c r="A1176" t="s">
        <v>2033</v>
      </c>
      <c r="B1176" t="s">
        <v>969</v>
      </c>
      <c r="C1176" t="s">
        <v>57</v>
      </c>
      <c r="D1176" t="s">
        <v>56</v>
      </c>
      <c r="E1176" t="s">
        <v>391</v>
      </c>
      <c r="F1176" t="s">
        <v>83</v>
      </c>
      <c r="G1176" t="s">
        <v>392</v>
      </c>
      <c r="H1176" t="s">
        <v>109</v>
      </c>
      <c r="I1176" t="s">
        <v>110</v>
      </c>
      <c r="J1176" s="26">
        <v>45581</v>
      </c>
      <c r="K1176" t="s">
        <v>162</v>
      </c>
      <c r="L1176" s="26"/>
      <c r="M1176" t="s">
        <v>163</v>
      </c>
      <c r="N1176" t="s">
        <v>97</v>
      </c>
      <c r="O1176" s="27">
        <v>1677000</v>
      </c>
      <c r="P1176">
        <v>4</v>
      </c>
      <c r="Q1176" t="s">
        <v>172</v>
      </c>
      <c r="R1176">
        <v>36</v>
      </c>
      <c r="S1176" t="s">
        <v>165</v>
      </c>
      <c r="T1176">
        <f t="shared" si="126"/>
        <v>10791</v>
      </c>
      <c r="U1176" t="str">
        <f t="shared" si="127"/>
        <v>MKT</v>
      </c>
      <c r="V1176" t="str">
        <f t="shared" si="128"/>
        <v>L3</v>
      </c>
      <c r="W1176" t="str">
        <f>PROPER(TRIM(VLOOKUP(S1176,Employee_Lookups!$I$4:$M$19,2,FALSE())))</f>
        <v>Arjun Sengupta</v>
      </c>
      <c r="X1176" t="str">
        <f>VLOOKUP(C1176,Employee_Lookups!$A$4:$G$9,4,FALSE())</f>
        <v>CC-606</v>
      </c>
      <c r="Y1176" t="str">
        <f>INDEX(Employee_Lookups!$C$13:$C$17,MATCH(F1176,Employee_Lookups!$A$13:$A$17,0))</f>
        <v>Band C (Senior)</v>
      </c>
      <c r="Z1176" s="27">
        <f>_xlfn.XLOOKUP(F1176,Employee_Lookups!$A$13:$A$17,Employee_Lookups!$E$13:$E$17,0)</f>
        <v>1725000</v>
      </c>
      <c r="AA1176" s="28">
        <f>ROUND(O1176/INDEX(Employee_Lookups!$E$13:$E$17,MATCH(F1176,Employee_Lookups!$A$13:$A$17,0)),3)</f>
        <v>0.97199999999999998</v>
      </c>
      <c r="AB1176">
        <f t="shared" si="129"/>
        <v>2024</v>
      </c>
      <c r="AC1176" t="str">
        <f t="shared" si="130"/>
        <v/>
      </c>
      <c r="AD1176" s="28">
        <f>ROUND((IF(ISBLANK(L1176),Employee_Lookups!$O$14,L1176)-J1176)/365.25,2)</f>
        <v>1.21</v>
      </c>
      <c r="AE1176" t="str">
        <f t="shared" si="131"/>
        <v>1 - 3 Yrs</v>
      </c>
      <c r="AF1176" t="str">
        <f t="shared" si="132"/>
        <v>High Risk</v>
      </c>
    </row>
    <row r="1177" spans="1:32" x14ac:dyDescent="0.45">
      <c r="A1177" t="s">
        <v>2034</v>
      </c>
      <c r="B1177" t="s">
        <v>1759</v>
      </c>
      <c r="C1177" t="s">
        <v>51</v>
      </c>
      <c r="D1177" t="s">
        <v>50</v>
      </c>
      <c r="E1177" t="s">
        <v>176</v>
      </c>
      <c r="F1177" t="s">
        <v>82</v>
      </c>
      <c r="G1177" t="s">
        <v>177</v>
      </c>
      <c r="H1177" t="s">
        <v>106</v>
      </c>
      <c r="I1177" t="s">
        <v>107</v>
      </c>
      <c r="J1177" s="26">
        <v>45584</v>
      </c>
      <c r="K1177" t="s">
        <v>162</v>
      </c>
      <c r="L1177" s="26"/>
      <c r="M1177" t="s">
        <v>163</v>
      </c>
      <c r="N1177" t="s">
        <v>96</v>
      </c>
      <c r="O1177" s="27">
        <v>1205000</v>
      </c>
      <c r="P1177">
        <v>3</v>
      </c>
      <c r="Q1177" t="s">
        <v>164</v>
      </c>
      <c r="R1177">
        <v>20</v>
      </c>
      <c r="S1177" t="s">
        <v>244</v>
      </c>
      <c r="T1177">
        <f t="shared" si="126"/>
        <v>10503</v>
      </c>
      <c r="U1177" t="str">
        <f t="shared" si="127"/>
        <v>ENG</v>
      </c>
      <c r="V1177" t="str">
        <f t="shared" si="128"/>
        <v>L2</v>
      </c>
      <c r="W1177" t="str">
        <f>PROPER(TRIM(VLOOKUP(S1177,Employee_Lookups!$I$4:$M$19,2,FALSE())))</f>
        <v>Siddharth Nair</v>
      </c>
      <c r="X1177" t="str">
        <f>VLOOKUP(C1177,Employee_Lookups!$A$4:$G$9,4,FALSE())</f>
        <v>CC-101</v>
      </c>
      <c r="Y1177" t="str">
        <f>INDEX(Employee_Lookups!$C$13:$C$17,MATCH(F1177,Employee_Lookups!$A$13:$A$17,0))</f>
        <v>Band B (Mid)</v>
      </c>
      <c r="Z1177" s="27">
        <f>_xlfn.XLOOKUP(F1177,Employee_Lookups!$A$13:$A$17,Employee_Lookups!$E$13:$E$17,0)</f>
        <v>1100000</v>
      </c>
      <c r="AA1177" s="28">
        <f>ROUND(O1177/INDEX(Employee_Lookups!$E$13:$E$17,MATCH(F1177,Employee_Lookups!$A$13:$A$17,0)),3)</f>
        <v>1.095</v>
      </c>
      <c r="AB1177">
        <f t="shared" si="129"/>
        <v>2024</v>
      </c>
      <c r="AC1177" t="str">
        <f t="shared" si="130"/>
        <v/>
      </c>
      <c r="AD1177" s="28">
        <f>ROUND((IF(ISBLANK(L1177),Employee_Lookups!$O$14,L1177)-J1177)/365.25,2)</f>
        <v>1.2</v>
      </c>
      <c r="AE1177" t="str">
        <f t="shared" si="131"/>
        <v>1 - 3 Yrs</v>
      </c>
      <c r="AF1177" t="str">
        <f t="shared" si="132"/>
        <v>Low Risk</v>
      </c>
    </row>
    <row r="1178" spans="1:32" x14ac:dyDescent="0.45">
      <c r="A1178" t="s">
        <v>2035</v>
      </c>
      <c r="B1178" t="s">
        <v>1315</v>
      </c>
      <c r="C1178" t="s">
        <v>51</v>
      </c>
      <c r="D1178" t="s">
        <v>50</v>
      </c>
      <c r="E1178" t="s">
        <v>181</v>
      </c>
      <c r="F1178" t="s">
        <v>81</v>
      </c>
      <c r="G1178" t="s">
        <v>182</v>
      </c>
      <c r="H1178" t="s">
        <v>106</v>
      </c>
      <c r="I1178" t="s">
        <v>107</v>
      </c>
      <c r="J1178" s="26">
        <v>45584</v>
      </c>
      <c r="K1178" t="s">
        <v>162</v>
      </c>
      <c r="L1178" s="26"/>
      <c r="M1178" t="s">
        <v>163</v>
      </c>
      <c r="N1178" t="s">
        <v>97</v>
      </c>
      <c r="O1178" s="27">
        <v>694000</v>
      </c>
      <c r="P1178">
        <v>3</v>
      </c>
      <c r="Q1178" t="s">
        <v>164</v>
      </c>
      <c r="R1178">
        <v>22</v>
      </c>
      <c r="S1178" t="s">
        <v>178</v>
      </c>
      <c r="T1178">
        <f t="shared" si="126"/>
        <v>11148</v>
      </c>
      <c r="U1178" t="str">
        <f t="shared" si="127"/>
        <v>ENG</v>
      </c>
      <c r="V1178" t="str">
        <f t="shared" si="128"/>
        <v>L1</v>
      </c>
      <c r="W1178" t="str">
        <f>PROPER(TRIM(VLOOKUP(S1178,Employee_Lookups!$I$4:$M$19,2,FALSE())))</f>
        <v>Aarav Deshmukh</v>
      </c>
      <c r="X1178" t="str">
        <f>VLOOKUP(C1178,Employee_Lookups!$A$4:$G$9,4,FALSE())</f>
        <v>CC-101</v>
      </c>
      <c r="Y1178" t="str">
        <f>INDEX(Employee_Lookups!$C$13:$C$17,MATCH(F1178,Employee_Lookups!$A$13:$A$17,0))</f>
        <v>Band A (Entry)</v>
      </c>
      <c r="Z1178" s="27">
        <f>_xlfn.XLOOKUP(F1178,Employee_Lookups!$A$13:$A$17,Employee_Lookups!$E$13:$E$17,0)</f>
        <v>700000</v>
      </c>
      <c r="AA1178" s="28">
        <f>ROUND(O1178/INDEX(Employee_Lookups!$E$13:$E$17,MATCH(F1178,Employee_Lookups!$A$13:$A$17,0)),3)</f>
        <v>0.99099999999999999</v>
      </c>
      <c r="AB1178">
        <f t="shared" si="129"/>
        <v>2024</v>
      </c>
      <c r="AC1178" t="str">
        <f t="shared" si="130"/>
        <v/>
      </c>
      <c r="AD1178" s="28">
        <f>ROUND((IF(ISBLANK(L1178),Employee_Lookups!$O$14,L1178)-J1178)/365.25,2)</f>
        <v>1.2</v>
      </c>
      <c r="AE1178" t="str">
        <f t="shared" si="131"/>
        <v>1 - 3 Yrs</v>
      </c>
      <c r="AF1178" t="str">
        <f t="shared" si="132"/>
        <v>Low Risk</v>
      </c>
    </row>
    <row r="1179" spans="1:32" x14ac:dyDescent="0.45">
      <c r="A1179" t="s">
        <v>2036</v>
      </c>
      <c r="B1179" t="s">
        <v>1775</v>
      </c>
      <c r="C1179" t="s">
        <v>51</v>
      </c>
      <c r="D1179" t="s">
        <v>50</v>
      </c>
      <c r="E1179" t="s">
        <v>176</v>
      </c>
      <c r="F1179" t="s">
        <v>82</v>
      </c>
      <c r="G1179" t="s">
        <v>177</v>
      </c>
      <c r="H1179" t="s">
        <v>108</v>
      </c>
      <c r="I1179" t="s">
        <v>107</v>
      </c>
      <c r="J1179" s="26">
        <v>45585</v>
      </c>
      <c r="K1179" t="s">
        <v>162</v>
      </c>
      <c r="L1179" s="26"/>
      <c r="M1179" t="s">
        <v>163</v>
      </c>
      <c r="N1179" t="s">
        <v>99</v>
      </c>
      <c r="O1179" s="27">
        <v>1228000</v>
      </c>
      <c r="P1179">
        <v>3</v>
      </c>
      <c r="Q1179" t="s">
        <v>164</v>
      </c>
      <c r="R1179">
        <v>56</v>
      </c>
      <c r="S1179" t="s">
        <v>197</v>
      </c>
      <c r="T1179">
        <f t="shared" si="126"/>
        <v>10931</v>
      </c>
      <c r="U1179" t="str">
        <f t="shared" si="127"/>
        <v>ENG</v>
      </c>
      <c r="V1179" t="str">
        <f t="shared" si="128"/>
        <v>L2</v>
      </c>
      <c r="W1179" t="str">
        <f>PROPER(TRIM(VLOOKUP(S1179,Employee_Lookups!$I$4:$M$19,2,FALSE())))</f>
        <v>Rohan Verma</v>
      </c>
      <c r="X1179" t="str">
        <f>VLOOKUP(C1179,Employee_Lookups!$A$4:$G$9,4,FALSE())</f>
        <v>CC-101</v>
      </c>
      <c r="Y1179" t="str">
        <f>INDEX(Employee_Lookups!$C$13:$C$17,MATCH(F1179,Employee_Lookups!$A$13:$A$17,0))</f>
        <v>Band B (Mid)</v>
      </c>
      <c r="Z1179" s="27">
        <f>_xlfn.XLOOKUP(F1179,Employee_Lookups!$A$13:$A$17,Employee_Lookups!$E$13:$E$17,0)</f>
        <v>1100000</v>
      </c>
      <c r="AA1179" s="28">
        <f>ROUND(O1179/INDEX(Employee_Lookups!$E$13:$E$17,MATCH(F1179,Employee_Lookups!$A$13:$A$17,0)),3)</f>
        <v>1.1160000000000001</v>
      </c>
      <c r="AB1179">
        <f t="shared" si="129"/>
        <v>2024</v>
      </c>
      <c r="AC1179" t="str">
        <f t="shared" si="130"/>
        <v/>
      </c>
      <c r="AD1179" s="28">
        <f>ROUND((IF(ISBLANK(L1179),Employee_Lookups!$O$14,L1179)-J1179)/365.25,2)</f>
        <v>1.2</v>
      </c>
      <c r="AE1179" t="str">
        <f t="shared" si="131"/>
        <v>1 - 3 Yrs</v>
      </c>
      <c r="AF1179" t="str">
        <f t="shared" si="132"/>
        <v>Low Risk</v>
      </c>
    </row>
    <row r="1180" spans="1:32" x14ac:dyDescent="0.45">
      <c r="A1180" t="s">
        <v>2037</v>
      </c>
      <c r="B1180" t="s">
        <v>1179</v>
      </c>
      <c r="C1180" t="s">
        <v>55</v>
      </c>
      <c r="D1180" t="s">
        <v>54</v>
      </c>
      <c r="E1180" t="s">
        <v>229</v>
      </c>
      <c r="F1180" t="s">
        <v>82</v>
      </c>
      <c r="G1180" t="s">
        <v>230</v>
      </c>
      <c r="H1180" t="s">
        <v>106</v>
      </c>
      <c r="I1180" t="s">
        <v>107</v>
      </c>
      <c r="J1180" s="26">
        <v>45587</v>
      </c>
      <c r="K1180" t="s">
        <v>162</v>
      </c>
      <c r="L1180" s="26"/>
      <c r="M1180" t="s">
        <v>163</v>
      </c>
      <c r="N1180" t="s">
        <v>95</v>
      </c>
      <c r="O1180" s="27">
        <v>1298000</v>
      </c>
      <c r="P1180">
        <v>4</v>
      </c>
      <c r="Q1180" t="s">
        <v>164</v>
      </c>
      <c r="R1180">
        <v>51</v>
      </c>
      <c r="S1180" t="s">
        <v>262</v>
      </c>
      <c r="T1180">
        <f t="shared" si="126"/>
        <v>10247</v>
      </c>
      <c r="U1180" t="str">
        <f t="shared" si="127"/>
        <v>OPS</v>
      </c>
      <c r="V1180" t="str">
        <f t="shared" si="128"/>
        <v>L2</v>
      </c>
      <c r="W1180" t="str">
        <f>PROPER(TRIM(VLOOKUP(S1180,Employee_Lookups!$I$4:$M$19,2,FALSE())))</f>
        <v>Ananya Iyer</v>
      </c>
      <c r="X1180" t="str">
        <f>VLOOKUP(C1180,Employee_Lookups!$A$4:$G$9,4,FALSE())</f>
        <v>CC-303</v>
      </c>
      <c r="Y1180" t="str">
        <f>INDEX(Employee_Lookups!$C$13:$C$17,MATCH(F1180,Employee_Lookups!$A$13:$A$17,0))</f>
        <v>Band B (Mid)</v>
      </c>
      <c r="Z1180" s="27">
        <f>_xlfn.XLOOKUP(F1180,Employee_Lookups!$A$13:$A$17,Employee_Lookups!$E$13:$E$17,0)</f>
        <v>1100000</v>
      </c>
      <c r="AA1180" s="28">
        <f>ROUND(O1180/INDEX(Employee_Lookups!$E$13:$E$17,MATCH(F1180,Employee_Lookups!$A$13:$A$17,0)),3)</f>
        <v>1.18</v>
      </c>
      <c r="AB1180">
        <f t="shared" si="129"/>
        <v>2024</v>
      </c>
      <c r="AC1180" t="str">
        <f t="shared" si="130"/>
        <v/>
      </c>
      <c r="AD1180" s="28">
        <f>ROUND((IF(ISBLANK(L1180),Employee_Lookups!$O$14,L1180)-J1180)/365.25,2)</f>
        <v>1.19</v>
      </c>
      <c r="AE1180" t="str">
        <f t="shared" si="131"/>
        <v>1 - 3 Yrs</v>
      </c>
      <c r="AF1180" t="str">
        <f t="shared" si="132"/>
        <v>Low Risk</v>
      </c>
    </row>
    <row r="1181" spans="1:32" x14ac:dyDescent="0.45">
      <c r="A1181" t="s">
        <v>2038</v>
      </c>
      <c r="B1181" t="s">
        <v>1249</v>
      </c>
      <c r="C1181" t="s">
        <v>51</v>
      </c>
      <c r="D1181" t="s">
        <v>50</v>
      </c>
      <c r="E1181" t="s">
        <v>176</v>
      </c>
      <c r="F1181" t="s">
        <v>82</v>
      </c>
      <c r="G1181" t="s">
        <v>177</v>
      </c>
      <c r="H1181" t="s">
        <v>108</v>
      </c>
      <c r="I1181" t="s">
        <v>107</v>
      </c>
      <c r="J1181" s="26">
        <v>45587</v>
      </c>
      <c r="K1181" t="s">
        <v>187</v>
      </c>
      <c r="L1181" s="26">
        <v>45814</v>
      </c>
      <c r="M1181" t="s">
        <v>282</v>
      </c>
      <c r="N1181" t="s">
        <v>99</v>
      </c>
      <c r="O1181" s="27">
        <v>867000</v>
      </c>
      <c r="P1181">
        <v>4</v>
      </c>
      <c r="Q1181" t="s">
        <v>164</v>
      </c>
      <c r="R1181">
        <v>39</v>
      </c>
      <c r="S1181" t="s">
        <v>219</v>
      </c>
      <c r="T1181">
        <f t="shared" si="126"/>
        <v>10209</v>
      </c>
      <c r="U1181" t="str">
        <f t="shared" si="127"/>
        <v>ENG</v>
      </c>
      <c r="V1181" t="str">
        <f t="shared" si="128"/>
        <v>L2</v>
      </c>
      <c r="W1181" t="str">
        <f>PROPER(TRIM(VLOOKUP(S1181,Employee_Lookups!$I$4:$M$19,2,FALSE())))</f>
        <v>Neha Kulkarni</v>
      </c>
      <c r="X1181" t="str">
        <f>VLOOKUP(C1181,Employee_Lookups!$A$4:$G$9,4,FALSE())</f>
        <v>CC-101</v>
      </c>
      <c r="Y1181" t="str">
        <f>INDEX(Employee_Lookups!$C$13:$C$17,MATCH(F1181,Employee_Lookups!$A$13:$A$17,0))</f>
        <v>Band B (Mid)</v>
      </c>
      <c r="Z1181" s="27">
        <f>_xlfn.XLOOKUP(F1181,Employee_Lookups!$A$13:$A$17,Employee_Lookups!$E$13:$E$17,0)</f>
        <v>1100000</v>
      </c>
      <c r="AA1181" s="28">
        <f>ROUND(O1181/INDEX(Employee_Lookups!$E$13:$E$17,MATCH(F1181,Employee_Lookups!$A$13:$A$17,0)),3)</f>
        <v>0.78800000000000003</v>
      </c>
      <c r="AB1181">
        <f t="shared" si="129"/>
        <v>2024</v>
      </c>
      <c r="AC1181">
        <f t="shared" si="130"/>
        <v>2025</v>
      </c>
      <c r="AD1181" s="28">
        <f>ROUND((IF(ISBLANK(L1181),Employee_Lookups!$O$14,L1181)-J1181)/365.25,2)</f>
        <v>0.62</v>
      </c>
      <c r="AE1181" t="str">
        <f t="shared" si="131"/>
        <v>&lt; 1 Yr (New)</v>
      </c>
      <c r="AF1181" t="str">
        <f t="shared" si="132"/>
        <v>Exited</v>
      </c>
    </row>
    <row r="1182" spans="1:32" x14ac:dyDescent="0.45">
      <c r="A1182" t="s">
        <v>2039</v>
      </c>
      <c r="B1182" t="s">
        <v>734</v>
      </c>
      <c r="C1182" t="s">
        <v>55</v>
      </c>
      <c r="D1182" t="s">
        <v>54</v>
      </c>
      <c r="E1182" t="s">
        <v>277</v>
      </c>
      <c r="F1182" t="s">
        <v>81</v>
      </c>
      <c r="G1182" t="s">
        <v>278</v>
      </c>
      <c r="H1182" t="s">
        <v>108</v>
      </c>
      <c r="I1182" t="s">
        <v>107</v>
      </c>
      <c r="J1182" s="26">
        <v>45589</v>
      </c>
      <c r="K1182" t="s">
        <v>162</v>
      </c>
      <c r="L1182" s="26"/>
      <c r="M1182" t="s">
        <v>163</v>
      </c>
      <c r="N1182" t="s">
        <v>95</v>
      </c>
      <c r="O1182" s="27">
        <v>706000</v>
      </c>
      <c r="P1182">
        <v>3</v>
      </c>
      <c r="Q1182" t="s">
        <v>164</v>
      </c>
      <c r="R1182">
        <v>41</v>
      </c>
      <c r="S1182" t="s">
        <v>173</v>
      </c>
      <c r="T1182">
        <f t="shared" si="126"/>
        <v>11408</v>
      </c>
      <c r="U1182" t="str">
        <f t="shared" si="127"/>
        <v>OPS</v>
      </c>
      <c r="V1182" t="str">
        <f t="shared" si="128"/>
        <v>L1</v>
      </c>
      <c r="W1182" t="str">
        <f>PROPER(TRIM(VLOOKUP(S1182,Employee_Lookups!$I$4:$M$19,2,FALSE())))</f>
        <v>Deepak Patil</v>
      </c>
      <c r="X1182" t="str">
        <f>VLOOKUP(C1182,Employee_Lookups!$A$4:$G$9,4,FALSE())</f>
        <v>CC-303</v>
      </c>
      <c r="Y1182" t="str">
        <f>INDEX(Employee_Lookups!$C$13:$C$17,MATCH(F1182,Employee_Lookups!$A$13:$A$17,0))</f>
        <v>Band A (Entry)</v>
      </c>
      <c r="Z1182" s="27">
        <f>_xlfn.XLOOKUP(F1182,Employee_Lookups!$A$13:$A$17,Employee_Lookups!$E$13:$E$17,0)</f>
        <v>700000</v>
      </c>
      <c r="AA1182" s="28">
        <f>ROUND(O1182/INDEX(Employee_Lookups!$E$13:$E$17,MATCH(F1182,Employee_Lookups!$A$13:$A$17,0)),3)</f>
        <v>1.0089999999999999</v>
      </c>
      <c r="AB1182">
        <f t="shared" si="129"/>
        <v>2024</v>
      </c>
      <c r="AC1182" t="str">
        <f t="shared" si="130"/>
        <v/>
      </c>
      <c r="AD1182" s="28">
        <f>ROUND((IF(ISBLANK(L1182),Employee_Lookups!$O$14,L1182)-J1182)/365.25,2)</f>
        <v>1.19</v>
      </c>
      <c r="AE1182" t="str">
        <f t="shared" si="131"/>
        <v>1 - 3 Yrs</v>
      </c>
      <c r="AF1182" t="str">
        <f t="shared" si="132"/>
        <v>Low Risk</v>
      </c>
    </row>
    <row r="1183" spans="1:32" x14ac:dyDescent="0.45">
      <c r="A1183" t="s">
        <v>2040</v>
      </c>
      <c r="B1183" t="s">
        <v>1571</v>
      </c>
      <c r="C1183" t="s">
        <v>51</v>
      </c>
      <c r="D1183" t="s">
        <v>50</v>
      </c>
      <c r="E1183" t="s">
        <v>181</v>
      </c>
      <c r="F1183" t="s">
        <v>81</v>
      </c>
      <c r="G1183" t="s">
        <v>182</v>
      </c>
      <c r="H1183" t="s">
        <v>106</v>
      </c>
      <c r="I1183" t="s">
        <v>107</v>
      </c>
      <c r="J1183" s="26">
        <v>45590</v>
      </c>
      <c r="K1183" t="s">
        <v>162</v>
      </c>
      <c r="L1183" s="26"/>
      <c r="M1183" t="s">
        <v>163</v>
      </c>
      <c r="N1183" t="s">
        <v>95</v>
      </c>
      <c r="O1183" s="27">
        <v>692000</v>
      </c>
      <c r="P1183">
        <v>5</v>
      </c>
      <c r="Q1183" t="s">
        <v>164</v>
      </c>
      <c r="R1183">
        <v>0</v>
      </c>
      <c r="S1183" t="s">
        <v>244</v>
      </c>
      <c r="T1183">
        <f t="shared" si="126"/>
        <v>11051</v>
      </c>
      <c r="U1183" t="str">
        <f t="shared" si="127"/>
        <v>ENG</v>
      </c>
      <c r="V1183" t="str">
        <f t="shared" si="128"/>
        <v>L1</v>
      </c>
      <c r="W1183" t="str">
        <f>PROPER(TRIM(VLOOKUP(S1183,Employee_Lookups!$I$4:$M$19,2,FALSE())))</f>
        <v>Siddharth Nair</v>
      </c>
      <c r="X1183" t="str">
        <f>VLOOKUP(C1183,Employee_Lookups!$A$4:$G$9,4,FALSE())</f>
        <v>CC-101</v>
      </c>
      <c r="Y1183" t="str">
        <f>INDEX(Employee_Lookups!$C$13:$C$17,MATCH(F1183,Employee_Lookups!$A$13:$A$17,0))</f>
        <v>Band A (Entry)</v>
      </c>
      <c r="Z1183" s="27">
        <f>_xlfn.XLOOKUP(F1183,Employee_Lookups!$A$13:$A$17,Employee_Lookups!$E$13:$E$17,0)</f>
        <v>700000</v>
      </c>
      <c r="AA1183" s="28">
        <f>ROUND(O1183/INDEX(Employee_Lookups!$E$13:$E$17,MATCH(F1183,Employee_Lookups!$A$13:$A$17,0)),3)</f>
        <v>0.98899999999999999</v>
      </c>
      <c r="AB1183">
        <f t="shared" si="129"/>
        <v>2024</v>
      </c>
      <c r="AC1183" t="str">
        <f t="shared" si="130"/>
        <v/>
      </c>
      <c r="AD1183" s="28">
        <f>ROUND((IF(ISBLANK(L1183),Employee_Lookups!$O$14,L1183)-J1183)/365.25,2)</f>
        <v>1.18</v>
      </c>
      <c r="AE1183" t="str">
        <f t="shared" si="131"/>
        <v>1 - 3 Yrs</v>
      </c>
      <c r="AF1183" t="str">
        <f t="shared" si="132"/>
        <v>Low Risk</v>
      </c>
    </row>
    <row r="1184" spans="1:32" x14ac:dyDescent="0.45">
      <c r="A1184" t="s">
        <v>2041</v>
      </c>
      <c r="B1184" t="s">
        <v>642</v>
      </c>
      <c r="C1184" t="s">
        <v>53</v>
      </c>
      <c r="D1184" t="s">
        <v>52</v>
      </c>
      <c r="E1184" t="s">
        <v>322</v>
      </c>
      <c r="F1184" t="s">
        <v>81</v>
      </c>
      <c r="G1184" t="s">
        <v>323</v>
      </c>
      <c r="H1184" t="s">
        <v>108</v>
      </c>
      <c r="I1184" t="s">
        <v>107</v>
      </c>
      <c r="J1184" s="26">
        <v>45592</v>
      </c>
      <c r="K1184" t="s">
        <v>162</v>
      </c>
      <c r="L1184" s="26"/>
      <c r="M1184" t="s">
        <v>163</v>
      </c>
      <c r="N1184" t="s">
        <v>97</v>
      </c>
      <c r="O1184" s="27">
        <v>628000</v>
      </c>
      <c r="P1184">
        <v>3</v>
      </c>
      <c r="Q1184" t="s">
        <v>172</v>
      </c>
      <c r="R1184">
        <v>37</v>
      </c>
      <c r="S1184" t="s">
        <v>194</v>
      </c>
      <c r="T1184">
        <f t="shared" si="126"/>
        <v>10523</v>
      </c>
      <c r="U1184" t="str">
        <f t="shared" si="127"/>
        <v>SAL</v>
      </c>
      <c r="V1184" t="str">
        <f t="shared" si="128"/>
        <v>L1</v>
      </c>
      <c r="W1184" t="str">
        <f>PROPER(TRIM(VLOOKUP(S1184,Employee_Lookups!$I$4:$M$19,2,FALSE())))</f>
        <v>Vikramaditya Joshi</v>
      </c>
      <c r="X1184" t="str">
        <f>VLOOKUP(C1184,Employee_Lookups!$A$4:$G$9,4,FALSE())</f>
        <v>CC-202</v>
      </c>
      <c r="Y1184" t="str">
        <f>INDEX(Employee_Lookups!$C$13:$C$17,MATCH(F1184,Employee_Lookups!$A$13:$A$17,0))</f>
        <v>Band A (Entry)</v>
      </c>
      <c r="Z1184" s="27">
        <f>_xlfn.XLOOKUP(F1184,Employee_Lookups!$A$13:$A$17,Employee_Lookups!$E$13:$E$17,0)</f>
        <v>700000</v>
      </c>
      <c r="AA1184" s="28">
        <f>ROUND(O1184/INDEX(Employee_Lookups!$E$13:$E$17,MATCH(F1184,Employee_Lookups!$A$13:$A$17,0)),3)</f>
        <v>0.89700000000000002</v>
      </c>
      <c r="AB1184">
        <f t="shared" si="129"/>
        <v>2024</v>
      </c>
      <c r="AC1184" t="str">
        <f t="shared" si="130"/>
        <v/>
      </c>
      <c r="AD1184" s="28">
        <f>ROUND((IF(ISBLANK(L1184),Employee_Lookups!$O$14,L1184)-J1184)/365.25,2)</f>
        <v>1.18</v>
      </c>
      <c r="AE1184" t="str">
        <f t="shared" si="131"/>
        <v>1 - 3 Yrs</v>
      </c>
      <c r="AF1184" t="str">
        <f t="shared" si="132"/>
        <v>High Risk</v>
      </c>
    </row>
    <row r="1185" spans="1:32" x14ac:dyDescent="0.45">
      <c r="A1185" t="s">
        <v>2042</v>
      </c>
      <c r="B1185" t="s">
        <v>435</v>
      </c>
      <c r="C1185" t="s">
        <v>59</v>
      </c>
      <c r="D1185" t="s">
        <v>58</v>
      </c>
      <c r="E1185" t="s">
        <v>206</v>
      </c>
      <c r="F1185" t="s">
        <v>81</v>
      </c>
      <c r="G1185" t="s">
        <v>207</v>
      </c>
      <c r="H1185" t="s">
        <v>108</v>
      </c>
      <c r="I1185" t="s">
        <v>107</v>
      </c>
      <c r="J1185" s="26">
        <v>45592</v>
      </c>
      <c r="K1185" t="s">
        <v>162</v>
      </c>
      <c r="L1185" s="26"/>
      <c r="M1185" t="s">
        <v>163</v>
      </c>
      <c r="N1185" t="s">
        <v>96</v>
      </c>
      <c r="O1185" s="27">
        <v>579000</v>
      </c>
      <c r="P1185">
        <v>4</v>
      </c>
      <c r="Q1185" t="s">
        <v>164</v>
      </c>
      <c r="R1185">
        <v>53</v>
      </c>
      <c r="S1185" t="s">
        <v>214</v>
      </c>
      <c r="T1185">
        <f t="shared" si="126"/>
        <v>11165</v>
      </c>
      <c r="U1185" t="str">
        <f t="shared" si="127"/>
        <v>FIN</v>
      </c>
      <c r="V1185" t="str">
        <f t="shared" si="128"/>
        <v>L1</v>
      </c>
      <c r="W1185" t="str">
        <f>PROPER(TRIM(VLOOKUP(S1185,Employee_Lookups!$I$4:$M$19,2,FALSE())))</f>
        <v>Aditya Gokhale</v>
      </c>
      <c r="X1185" t="str">
        <f>VLOOKUP(C1185,Employee_Lookups!$A$4:$G$9,4,FALSE())</f>
        <v>CC-404</v>
      </c>
      <c r="Y1185" t="str">
        <f>INDEX(Employee_Lookups!$C$13:$C$17,MATCH(F1185,Employee_Lookups!$A$13:$A$17,0))</f>
        <v>Band A (Entry)</v>
      </c>
      <c r="Z1185" s="27">
        <f>_xlfn.XLOOKUP(F1185,Employee_Lookups!$A$13:$A$17,Employee_Lookups!$E$13:$E$17,0)</f>
        <v>700000</v>
      </c>
      <c r="AA1185" s="28">
        <f>ROUND(O1185/INDEX(Employee_Lookups!$E$13:$E$17,MATCH(F1185,Employee_Lookups!$A$13:$A$17,0)),3)</f>
        <v>0.82699999999999996</v>
      </c>
      <c r="AB1185">
        <f t="shared" si="129"/>
        <v>2024</v>
      </c>
      <c r="AC1185" t="str">
        <f t="shared" si="130"/>
        <v/>
      </c>
      <c r="AD1185" s="28">
        <f>ROUND((IF(ISBLANK(L1185),Employee_Lookups!$O$14,L1185)-J1185)/365.25,2)</f>
        <v>1.18</v>
      </c>
      <c r="AE1185" t="str">
        <f t="shared" si="131"/>
        <v>1 - 3 Yrs</v>
      </c>
      <c r="AF1185" t="str">
        <f t="shared" si="132"/>
        <v>Low Risk</v>
      </c>
    </row>
    <row r="1186" spans="1:32" x14ac:dyDescent="0.45">
      <c r="A1186" t="s">
        <v>2043</v>
      </c>
      <c r="B1186" t="s">
        <v>2044</v>
      </c>
      <c r="C1186" t="s">
        <v>51</v>
      </c>
      <c r="D1186" t="s">
        <v>50</v>
      </c>
      <c r="E1186" t="s">
        <v>181</v>
      </c>
      <c r="F1186" t="s">
        <v>81</v>
      </c>
      <c r="G1186" t="s">
        <v>182</v>
      </c>
      <c r="H1186" t="s">
        <v>109</v>
      </c>
      <c r="I1186" t="s">
        <v>110</v>
      </c>
      <c r="J1186" s="26">
        <v>45597</v>
      </c>
      <c r="K1186" t="s">
        <v>162</v>
      </c>
      <c r="L1186" s="26"/>
      <c r="M1186" t="s">
        <v>163</v>
      </c>
      <c r="N1186" t="s">
        <v>98</v>
      </c>
      <c r="O1186" s="27">
        <v>758000</v>
      </c>
      <c r="P1186">
        <v>4</v>
      </c>
      <c r="Q1186" t="s">
        <v>164</v>
      </c>
      <c r="R1186">
        <v>37</v>
      </c>
      <c r="S1186" t="s">
        <v>219</v>
      </c>
      <c r="T1186">
        <f t="shared" si="126"/>
        <v>11012</v>
      </c>
      <c r="U1186" t="str">
        <f t="shared" si="127"/>
        <v>ENG</v>
      </c>
      <c r="V1186" t="str">
        <f t="shared" si="128"/>
        <v>L1</v>
      </c>
      <c r="W1186" t="str">
        <f>PROPER(TRIM(VLOOKUP(S1186,Employee_Lookups!$I$4:$M$19,2,FALSE())))</f>
        <v>Neha Kulkarni</v>
      </c>
      <c r="X1186" t="str">
        <f>VLOOKUP(C1186,Employee_Lookups!$A$4:$G$9,4,FALSE())</f>
        <v>CC-101</v>
      </c>
      <c r="Y1186" t="str">
        <f>INDEX(Employee_Lookups!$C$13:$C$17,MATCH(F1186,Employee_Lookups!$A$13:$A$17,0))</f>
        <v>Band A (Entry)</v>
      </c>
      <c r="Z1186" s="27">
        <f>_xlfn.XLOOKUP(F1186,Employee_Lookups!$A$13:$A$17,Employee_Lookups!$E$13:$E$17,0)</f>
        <v>700000</v>
      </c>
      <c r="AA1186" s="28">
        <f>ROUND(O1186/INDEX(Employee_Lookups!$E$13:$E$17,MATCH(F1186,Employee_Lookups!$A$13:$A$17,0)),3)</f>
        <v>1.083</v>
      </c>
      <c r="AB1186">
        <f t="shared" si="129"/>
        <v>2024</v>
      </c>
      <c r="AC1186" t="str">
        <f t="shared" si="130"/>
        <v/>
      </c>
      <c r="AD1186" s="28">
        <f>ROUND((IF(ISBLANK(L1186),Employee_Lookups!$O$14,L1186)-J1186)/365.25,2)</f>
        <v>1.1599999999999999</v>
      </c>
      <c r="AE1186" t="str">
        <f t="shared" si="131"/>
        <v>1 - 3 Yrs</v>
      </c>
      <c r="AF1186" t="str">
        <f t="shared" si="132"/>
        <v>Low Risk</v>
      </c>
    </row>
    <row r="1187" spans="1:32" x14ac:dyDescent="0.45">
      <c r="A1187" t="s">
        <v>2045</v>
      </c>
      <c r="B1187" t="s">
        <v>1212</v>
      </c>
      <c r="C1187" t="s">
        <v>61</v>
      </c>
      <c r="D1187" t="s">
        <v>60</v>
      </c>
      <c r="E1187" t="s">
        <v>356</v>
      </c>
      <c r="F1187" t="s">
        <v>81</v>
      </c>
      <c r="G1187" t="s">
        <v>357</v>
      </c>
      <c r="H1187" t="s">
        <v>106</v>
      </c>
      <c r="I1187" t="s">
        <v>107</v>
      </c>
      <c r="J1187" s="26">
        <v>45597</v>
      </c>
      <c r="K1187" t="s">
        <v>162</v>
      </c>
      <c r="L1187" s="26"/>
      <c r="M1187" t="s">
        <v>163</v>
      </c>
      <c r="N1187" t="s">
        <v>99</v>
      </c>
      <c r="O1187" s="27">
        <v>756000</v>
      </c>
      <c r="P1187">
        <v>3</v>
      </c>
      <c r="Q1187" t="s">
        <v>172</v>
      </c>
      <c r="R1187">
        <v>29</v>
      </c>
      <c r="S1187" t="s">
        <v>319</v>
      </c>
      <c r="T1187">
        <f t="shared" si="126"/>
        <v>10673</v>
      </c>
      <c r="U1187" t="str">
        <f t="shared" si="127"/>
        <v>-HR</v>
      </c>
      <c r="V1187" t="str">
        <f t="shared" si="128"/>
        <v>L1</v>
      </c>
      <c r="W1187" t="str">
        <f>PROPER(TRIM(VLOOKUP(S1187,Employee_Lookups!$I$4:$M$19,2,FALSE())))</f>
        <v>Kavita Menon</v>
      </c>
      <c r="X1187" t="str">
        <f>VLOOKUP(C1187,Employee_Lookups!$A$4:$G$9,4,FALSE())</f>
        <v>CC-505</v>
      </c>
      <c r="Y1187" t="str">
        <f>INDEX(Employee_Lookups!$C$13:$C$17,MATCH(F1187,Employee_Lookups!$A$13:$A$17,0))</f>
        <v>Band A (Entry)</v>
      </c>
      <c r="Z1187" s="27">
        <f>_xlfn.XLOOKUP(F1187,Employee_Lookups!$A$13:$A$17,Employee_Lookups!$E$13:$E$17,0)</f>
        <v>700000</v>
      </c>
      <c r="AA1187" s="28">
        <f>ROUND(O1187/INDEX(Employee_Lookups!$E$13:$E$17,MATCH(F1187,Employee_Lookups!$A$13:$A$17,0)),3)</f>
        <v>1.08</v>
      </c>
      <c r="AB1187">
        <f t="shared" si="129"/>
        <v>2024</v>
      </c>
      <c r="AC1187" t="str">
        <f t="shared" si="130"/>
        <v/>
      </c>
      <c r="AD1187" s="28">
        <f>ROUND((IF(ISBLANK(L1187),Employee_Lookups!$O$14,L1187)-J1187)/365.25,2)</f>
        <v>1.1599999999999999</v>
      </c>
      <c r="AE1187" t="str">
        <f t="shared" si="131"/>
        <v>1 - 3 Yrs</v>
      </c>
      <c r="AF1187" t="str">
        <f t="shared" si="132"/>
        <v>Moderate Risk</v>
      </c>
    </row>
    <row r="1188" spans="1:32" x14ac:dyDescent="0.45">
      <c r="A1188" t="s">
        <v>2046</v>
      </c>
      <c r="B1188" t="s">
        <v>2047</v>
      </c>
      <c r="C1188" t="s">
        <v>55</v>
      </c>
      <c r="D1188" t="s">
        <v>54</v>
      </c>
      <c r="E1188" t="s">
        <v>537</v>
      </c>
      <c r="F1188" t="s">
        <v>85</v>
      </c>
      <c r="G1188" t="s">
        <v>538</v>
      </c>
      <c r="H1188" t="s">
        <v>106</v>
      </c>
      <c r="I1188" t="s">
        <v>107</v>
      </c>
      <c r="J1188" s="26">
        <v>45598</v>
      </c>
      <c r="K1188" t="s">
        <v>162</v>
      </c>
      <c r="L1188" s="26"/>
      <c r="M1188" t="s">
        <v>163</v>
      </c>
      <c r="N1188" t="s">
        <v>98</v>
      </c>
      <c r="O1188" s="27">
        <v>3497000</v>
      </c>
      <c r="P1188">
        <v>3</v>
      </c>
      <c r="Q1188" t="s">
        <v>172</v>
      </c>
      <c r="R1188">
        <v>10</v>
      </c>
      <c r="S1188" t="s">
        <v>173</v>
      </c>
      <c r="T1188">
        <f t="shared" si="126"/>
        <v>10718</v>
      </c>
      <c r="U1188" t="str">
        <f t="shared" si="127"/>
        <v>OPS</v>
      </c>
      <c r="V1188" t="str">
        <f t="shared" si="128"/>
        <v>L5</v>
      </c>
      <c r="W1188" t="str">
        <f>PROPER(TRIM(VLOOKUP(S1188,Employee_Lookups!$I$4:$M$19,2,FALSE())))</f>
        <v>Deepak Patil</v>
      </c>
      <c r="X1188" t="str">
        <f>VLOOKUP(C1188,Employee_Lookups!$A$4:$G$9,4,FALSE())</f>
        <v>CC-303</v>
      </c>
      <c r="Y1188" t="str">
        <f>INDEX(Employee_Lookups!$C$13:$C$17,MATCH(F1188,Employee_Lookups!$A$13:$A$17,0))</f>
        <v>Band E (Executive)</v>
      </c>
      <c r="Z1188" s="27">
        <f>_xlfn.XLOOKUP(F1188,Employee_Lookups!$A$13:$A$17,Employee_Lookups!$E$13:$E$17,0)</f>
        <v>4300000</v>
      </c>
      <c r="AA1188" s="28">
        <f>ROUND(O1188/INDEX(Employee_Lookups!$E$13:$E$17,MATCH(F1188,Employee_Lookups!$A$13:$A$17,0)),3)</f>
        <v>0.81299999999999994</v>
      </c>
      <c r="AB1188">
        <f t="shared" si="129"/>
        <v>2024</v>
      </c>
      <c r="AC1188" t="str">
        <f t="shared" si="130"/>
        <v/>
      </c>
      <c r="AD1188" s="28">
        <f>ROUND((IF(ISBLANK(L1188),Employee_Lookups!$O$14,L1188)-J1188)/365.25,2)</f>
        <v>1.1599999999999999</v>
      </c>
      <c r="AE1188" t="str">
        <f t="shared" si="131"/>
        <v>1 - 3 Yrs</v>
      </c>
      <c r="AF1188" t="str">
        <f t="shared" si="132"/>
        <v>High Risk</v>
      </c>
    </row>
    <row r="1189" spans="1:32" x14ac:dyDescent="0.45">
      <c r="A1189" t="s">
        <v>2048</v>
      </c>
      <c r="B1189" t="s">
        <v>2049</v>
      </c>
      <c r="C1189" t="s">
        <v>55</v>
      </c>
      <c r="D1189" t="s">
        <v>54</v>
      </c>
      <c r="E1189" t="s">
        <v>277</v>
      </c>
      <c r="F1189" t="s">
        <v>81</v>
      </c>
      <c r="G1189" t="s">
        <v>278</v>
      </c>
      <c r="H1189" t="s">
        <v>106</v>
      </c>
      <c r="I1189" t="s">
        <v>107</v>
      </c>
      <c r="J1189" s="26">
        <v>45599</v>
      </c>
      <c r="K1189" t="s">
        <v>162</v>
      </c>
      <c r="L1189" s="26"/>
      <c r="M1189" t="s">
        <v>163</v>
      </c>
      <c r="N1189" t="s">
        <v>97</v>
      </c>
      <c r="O1189" s="27">
        <v>689000</v>
      </c>
      <c r="P1189">
        <v>3</v>
      </c>
      <c r="Q1189" t="s">
        <v>164</v>
      </c>
      <c r="R1189">
        <v>29</v>
      </c>
      <c r="S1189" t="s">
        <v>262</v>
      </c>
      <c r="T1189">
        <f t="shared" si="126"/>
        <v>10136</v>
      </c>
      <c r="U1189" t="str">
        <f t="shared" si="127"/>
        <v>OPS</v>
      </c>
      <c r="V1189" t="str">
        <f t="shared" si="128"/>
        <v>L1</v>
      </c>
      <c r="W1189" t="str">
        <f>PROPER(TRIM(VLOOKUP(S1189,Employee_Lookups!$I$4:$M$19,2,FALSE())))</f>
        <v>Ananya Iyer</v>
      </c>
      <c r="X1189" t="str">
        <f>VLOOKUP(C1189,Employee_Lookups!$A$4:$G$9,4,FALSE())</f>
        <v>CC-303</v>
      </c>
      <c r="Y1189" t="str">
        <f>INDEX(Employee_Lookups!$C$13:$C$17,MATCH(F1189,Employee_Lookups!$A$13:$A$17,0))</f>
        <v>Band A (Entry)</v>
      </c>
      <c r="Z1189" s="27">
        <f>_xlfn.XLOOKUP(F1189,Employee_Lookups!$A$13:$A$17,Employee_Lookups!$E$13:$E$17,0)</f>
        <v>700000</v>
      </c>
      <c r="AA1189" s="28">
        <f>ROUND(O1189/INDEX(Employee_Lookups!$E$13:$E$17,MATCH(F1189,Employee_Lookups!$A$13:$A$17,0)),3)</f>
        <v>0.98399999999999999</v>
      </c>
      <c r="AB1189">
        <f t="shared" si="129"/>
        <v>2024</v>
      </c>
      <c r="AC1189" t="str">
        <f t="shared" si="130"/>
        <v/>
      </c>
      <c r="AD1189" s="28">
        <f>ROUND((IF(ISBLANK(L1189),Employee_Lookups!$O$14,L1189)-J1189)/365.25,2)</f>
        <v>1.1599999999999999</v>
      </c>
      <c r="AE1189" t="str">
        <f t="shared" si="131"/>
        <v>1 - 3 Yrs</v>
      </c>
      <c r="AF1189" t="str">
        <f t="shared" si="132"/>
        <v>Low Risk</v>
      </c>
    </row>
    <row r="1190" spans="1:32" x14ac:dyDescent="0.45">
      <c r="A1190" t="s">
        <v>2050</v>
      </c>
      <c r="B1190" t="s">
        <v>570</v>
      </c>
      <c r="C1190" t="s">
        <v>53</v>
      </c>
      <c r="D1190" t="s">
        <v>52</v>
      </c>
      <c r="E1190" t="s">
        <v>185</v>
      </c>
      <c r="F1190" t="s">
        <v>82</v>
      </c>
      <c r="G1190" t="s">
        <v>186</v>
      </c>
      <c r="H1190" t="s">
        <v>109</v>
      </c>
      <c r="I1190" t="s">
        <v>110</v>
      </c>
      <c r="J1190" s="26">
        <v>45599</v>
      </c>
      <c r="K1190" t="s">
        <v>162</v>
      </c>
      <c r="L1190" s="26"/>
      <c r="M1190" t="s">
        <v>163</v>
      </c>
      <c r="N1190" t="s">
        <v>99</v>
      </c>
      <c r="O1190" s="27">
        <v>1116000</v>
      </c>
      <c r="P1190">
        <v>3</v>
      </c>
      <c r="Q1190" t="s">
        <v>164</v>
      </c>
      <c r="R1190">
        <v>56</v>
      </c>
      <c r="S1190" t="s">
        <v>237</v>
      </c>
      <c r="T1190">
        <f t="shared" si="126"/>
        <v>10725</v>
      </c>
      <c r="U1190" t="str">
        <f t="shared" si="127"/>
        <v>SAL</v>
      </c>
      <c r="V1190" t="str">
        <f t="shared" si="128"/>
        <v>L2</v>
      </c>
      <c r="W1190" t="str">
        <f>PROPER(TRIM(VLOOKUP(S1190,Employee_Lookups!$I$4:$M$19,2,FALSE())))</f>
        <v>Karan Malhotra</v>
      </c>
      <c r="X1190" t="str">
        <f>VLOOKUP(C1190,Employee_Lookups!$A$4:$G$9,4,FALSE())</f>
        <v>CC-202</v>
      </c>
      <c r="Y1190" t="str">
        <f>INDEX(Employee_Lookups!$C$13:$C$17,MATCH(F1190,Employee_Lookups!$A$13:$A$17,0))</f>
        <v>Band B (Mid)</v>
      </c>
      <c r="Z1190" s="27">
        <f>_xlfn.XLOOKUP(F1190,Employee_Lookups!$A$13:$A$17,Employee_Lookups!$E$13:$E$17,0)</f>
        <v>1100000</v>
      </c>
      <c r="AA1190" s="28">
        <f>ROUND(O1190/INDEX(Employee_Lookups!$E$13:$E$17,MATCH(F1190,Employee_Lookups!$A$13:$A$17,0)),3)</f>
        <v>1.0149999999999999</v>
      </c>
      <c r="AB1190">
        <f t="shared" si="129"/>
        <v>2024</v>
      </c>
      <c r="AC1190" t="str">
        <f t="shared" si="130"/>
        <v/>
      </c>
      <c r="AD1190" s="28">
        <f>ROUND((IF(ISBLANK(L1190),Employee_Lookups!$O$14,L1190)-J1190)/365.25,2)</f>
        <v>1.1599999999999999</v>
      </c>
      <c r="AE1190" t="str">
        <f t="shared" si="131"/>
        <v>1 - 3 Yrs</v>
      </c>
      <c r="AF1190" t="str">
        <f t="shared" si="132"/>
        <v>Low Risk</v>
      </c>
    </row>
    <row r="1191" spans="1:32" x14ac:dyDescent="0.45">
      <c r="A1191" t="s">
        <v>2051</v>
      </c>
      <c r="B1191" t="s">
        <v>1355</v>
      </c>
      <c r="C1191" t="s">
        <v>57</v>
      </c>
      <c r="D1191" t="s">
        <v>56</v>
      </c>
      <c r="E1191" t="s">
        <v>160</v>
      </c>
      <c r="F1191" t="s">
        <v>81</v>
      </c>
      <c r="G1191" t="s">
        <v>161</v>
      </c>
      <c r="H1191" t="s">
        <v>108</v>
      </c>
      <c r="I1191" t="s">
        <v>107</v>
      </c>
      <c r="J1191" s="26">
        <v>45603</v>
      </c>
      <c r="K1191" t="s">
        <v>162</v>
      </c>
      <c r="L1191" s="26"/>
      <c r="M1191" t="s">
        <v>163</v>
      </c>
      <c r="N1191" t="s">
        <v>99</v>
      </c>
      <c r="O1191" s="27">
        <v>697000</v>
      </c>
      <c r="P1191">
        <v>5</v>
      </c>
      <c r="Q1191" t="s">
        <v>164</v>
      </c>
      <c r="R1191">
        <v>45</v>
      </c>
      <c r="S1191" t="s">
        <v>224</v>
      </c>
      <c r="T1191">
        <f t="shared" si="126"/>
        <v>10267</v>
      </c>
      <c r="U1191" t="str">
        <f t="shared" si="127"/>
        <v>MKT</v>
      </c>
      <c r="V1191" t="str">
        <f t="shared" si="128"/>
        <v>L1</v>
      </c>
      <c r="W1191" t="str">
        <f>PROPER(TRIM(VLOOKUP(S1191,Employee_Lookups!$I$4:$M$19,2,FALSE())))</f>
        <v>Tanvi Chitnis</v>
      </c>
      <c r="X1191" t="str">
        <f>VLOOKUP(C1191,Employee_Lookups!$A$4:$G$9,4,FALSE())</f>
        <v>CC-606</v>
      </c>
      <c r="Y1191" t="str">
        <f>INDEX(Employee_Lookups!$C$13:$C$17,MATCH(F1191,Employee_Lookups!$A$13:$A$17,0))</f>
        <v>Band A (Entry)</v>
      </c>
      <c r="Z1191" s="27">
        <f>_xlfn.XLOOKUP(F1191,Employee_Lookups!$A$13:$A$17,Employee_Lookups!$E$13:$E$17,0)</f>
        <v>700000</v>
      </c>
      <c r="AA1191" s="28">
        <f>ROUND(O1191/INDEX(Employee_Lookups!$E$13:$E$17,MATCH(F1191,Employee_Lookups!$A$13:$A$17,0)),3)</f>
        <v>0.996</v>
      </c>
      <c r="AB1191">
        <f t="shared" si="129"/>
        <v>2024</v>
      </c>
      <c r="AC1191" t="str">
        <f t="shared" si="130"/>
        <v/>
      </c>
      <c r="AD1191" s="28">
        <f>ROUND((IF(ISBLANK(L1191),Employee_Lookups!$O$14,L1191)-J1191)/365.25,2)</f>
        <v>1.1499999999999999</v>
      </c>
      <c r="AE1191" t="str">
        <f t="shared" si="131"/>
        <v>1 - 3 Yrs</v>
      </c>
      <c r="AF1191" t="str">
        <f t="shared" si="132"/>
        <v>Low Risk</v>
      </c>
    </row>
    <row r="1192" spans="1:32" x14ac:dyDescent="0.45">
      <c r="A1192" t="s">
        <v>2052</v>
      </c>
      <c r="B1192" t="s">
        <v>1851</v>
      </c>
      <c r="C1192" t="s">
        <v>51</v>
      </c>
      <c r="D1192" t="s">
        <v>50</v>
      </c>
      <c r="E1192" t="s">
        <v>176</v>
      </c>
      <c r="F1192" t="s">
        <v>82</v>
      </c>
      <c r="G1192" t="s">
        <v>177</v>
      </c>
      <c r="H1192" t="s">
        <v>108</v>
      </c>
      <c r="I1192" t="s">
        <v>107</v>
      </c>
      <c r="J1192" s="26">
        <v>45604</v>
      </c>
      <c r="K1192" t="s">
        <v>162</v>
      </c>
      <c r="L1192" s="26"/>
      <c r="M1192" t="s">
        <v>163</v>
      </c>
      <c r="N1192" t="s">
        <v>99</v>
      </c>
      <c r="O1192" s="27">
        <v>1265000</v>
      </c>
      <c r="P1192">
        <v>3</v>
      </c>
      <c r="Q1192" t="s">
        <v>172</v>
      </c>
      <c r="R1192">
        <v>43</v>
      </c>
      <c r="S1192" t="s">
        <v>178</v>
      </c>
      <c r="T1192">
        <f t="shared" si="126"/>
        <v>11188</v>
      </c>
      <c r="U1192" t="str">
        <f t="shared" si="127"/>
        <v>ENG</v>
      </c>
      <c r="V1192" t="str">
        <f t="shared" si="128"/>
        <v>L2</v>
      </c>
      <c r="W1192" t="str">
        <f>PROPER(TRIM(VLOOKUP(S1192,Employee_Lookups!$I$4:$M$19,2,FALSE())))</f>
        <v>Aarav Deshmukh</v>
      </c>
      <c r="X1192" t="str">
        <f>VLOOKUP(C1192,Employee_Lookups!$A$4:$G$9,4,FALSE())</f>
        <v>CC-101</v>
      </c>
      <c r="Y1192" t="str">
        <f>INDEX(Employee_Lookups!$C$13:$C$17,MATCH(F1192,Employee_Lookups!$A$13:$A$17,0))</f>
        <v>Band B (Mid)</v>
      </c>
      <c r="Z1192" s="27">
        <f>_xlfn.XLOOKUP(F1192,Employee_Lookups!$A$13:$A$17,Employee_Lookups!$E$13:$E$17,0)</f>
        <v>1100000</v>
      </c>
      <c r="AA1192" s="28">
        <f>ROUND(O1192/INDEX(Employee_Lookups!$E$13:$E$17,MATCH(F1192,Employee_Lookups!$A$13:$A$17,0)),3)</f>
        <v>1.1499999999999999</v>
      </c>
      <c r="AB1192">
        <f t="shared" si="129"/>
        <v>2024</v>
      </c>
      <c r="AC1192" t="str">
        <f t="shared" si="130"/>
        <v/>
      </c>
      <c r="AD1192" s="28">
        <f>ROUND((IF(ISBLANK(L1192),Employee_Lookups!$O$14,L1192)-J1192)/365.25,2)</f>
        <v>1.1399999999999999</v>
      </c>
      <c r="AE1192" t="str">
        <f t="shared" si="131"/>
        <v>1 - 3 Yrs</v>
      </c>
      <c r="AF1192" t="str">
        <f t="shared" si="132"/>
        <v>Moderate Risk</v>
      </c>
    </row>
    <row r="1193" spans="1:32" x14ac:dyDescent="0.45">
      <c r="A1193" t="s">
        <v>2053</v>
      </c>
      <c r="B1193" t="s">
        <v>464</v>
      </c>
      <c r="C1193" t="s">
        <v>51</v>
      </c>
      <c r="D1193" t="s">
        <v>50</v>
      </c>
      <c r="E1193" t="s">
        <v>181</v>
      </c>
      <c r="F1193" t="s">
        <v>81</v>
      </c>
      <c r="G1193" t="s">
        <v>182</v>
      </c>
      <c r="H1193" t="s">
        <v>106</v>
      </c>
      <c r="I1193" t="s">
        <v>107</v>
      </c>
      <c r="J1193" s="26">
        <v>45606</v>
      </c>
      <c r="K1193" t="s">
        <v>162</v>
      </c>
      <c r="L1193" s="26"/>
      <c r="M1193" t="s">
        <v>163</v>
      </c>
      <c r="N1193" t="s">
        <v>99</v>
      </c>
      <c r="O1193" s="27">
        <v>614000</v>
      </c>
      <c r="P1193">
        <v>2</v>
      </c>
      <c r="Q1193" t="s">
        <v>164</v>
      </c>
      <c r="R1193">
        <v>30</v>
      </c>
      <c r="S1193" t="s">
        <v>178</v>
      </c>
      <c r="T1193">
        <f t="shared" si="126"/>
        <v>11281</v>
      </c>
      <c r="U1193" t="str">
        <f t="shared" si="127"/>
        <v>ENG</v>
      </c>
      <c r="V1193" t="str">
        <f t="shared" si="128"/>
        <v>L1</v>
      </c>
      <c r="W1193" t="str">
        <f>PROPER(TRIM(VLOOKUP(S1193,Employee_Lookups!$I$4:$M$19,2,FALSE())))</f>
        <v>Aarav Deshmukh</v>
      </c>
      <c r="X1193" t="str">
        <f>VLOOKUP(C1193,Employee_Lookups!$A$4:$G$9,4,FALSE())</f>
        <v>CC-101</v>
      </c>
      <c r="Y1193" t="str">
        <f>INDEX(Employee_Lookups!$C$13:$C$17,MATCH(F1193,Employee_Lookups!$A$13:$A$17,0))</f>
        <v>Band A (Entry)</v>
      </c>
      <c r="Z1193" s="27">
        <f>_xlfn.XLOOKUP(F1193,Employee_Lookups!$A$13:$A$17,Employee_Lookups!$E$13:$E$17,0)</f>
        <v>700000</v>
      </c>
      <c r="AA1193" s="28">
        <f>ROUND(O1193/INDEX(Employee_Lookups!$E$13:$E$17,MATCH(F1193,Employee_Lookups!$A$13:$A$17,0)),3)</f>
        <v>0.877</v>
      </c>
      <c r="AB1193">
        <f t="shared" si="129"/>
        <v>2024</v>
      </c>
      <c r="AC1193" t="str">
        <f t="shared" si="130"/>
        <v/>
      </c>
      <c r="AD1193" s="28">
        <f>ROUND((IF(ISBLANK(L1193),Employee_Lookups!$O$14,L1193)-J1193)/365.25,2)</f>
        <v>1.1399999999999999</v>
      </c>
      <c r="AE1193" t="str">
        <f t="shared" si="131"/>
        <v>1 - 3 Yrs</v>
      </c>
      <c r="AF1193" t="str">
        <f t="shared" si="132"/>
        <v>Moderate Risk</v>
      </c>
    </row>
    <row r="1194" spans="1:32" x14ac:dyDescent="0.45">
      <c r="A1194" t="s">
        <v>2054</v>
      </c>
      <c r="B1194" t="s">
        <v>736</v>
      </c>
      <c r="C1194" t="s">
        <v>51</v>
      </c>
      <c r="D1194" t="s">
        <v>50</v>
      </c>
      <c r="E1194" t="s">
        <v>181</v>
      </c>
      <c r="F1194" t="s">
        <v>81</v>
      </c>
      <c r="G1194" t="s">
        <v>182</v>
      </c>
      <c r="H1194" t="s">
        <v>109</v>
      </c>
      <c r="I1194" t="s">
        <v>110</v>
      </c>
      <c r="J1194" s="26">
        <v>45607</v>
      </c>
      <c r="K1194" t="s">
        <v>162</v>
      </c>
      <c r="L1194" s="26"/>
      <c r="M1194" t="s">
        <v>163</v>
      </c>
      <c r="N1194" t="s">
        <v>95</v>
      </c>
      <c r="O1194" s="27">
        <v>766000</v>
      </c>
      <c r="P1194">
        <v>1</v>
      </c>
      <c r="Q1194" t="s">
        <v>164</v>
      </c>
      <c r="R1194">
        <v>26</v>
      </c>
      <c r="S1194" t="s">
        <v>244</v>
      </c>
      <c r="T1194">
        <f t="shared" si="126"/>
        <v>10451</v>
      </c>
      <c r="U1194" t="str">
        <f t="shared" si="127"/>
        <v>ENG</v>
      </c>
      <c r="V1194" t="str">
        <f t="shared" si="128"/>
        <v>L1</v>
      </c>
      <c r="W1194" t="str">
        <f>PROPER(TRIM(VLOOKUP(S1194,Employee_Lookups!$I$4:$M$19,2,FALSE())))</f>
        <v>Siddharth Nair</v>
      </c>
      <c r="X1194" t="str">
        <f>VLOOKUP(C1194,Employee_Lookups!$A$4:$G$9,4,FALSE())</f>
        <v>CC-101</v>
      </c>
      <c r="Y1194" t="str">
        <f>INDEX(Employee_Lookups!$C$13:$C$17,MATCH(F1194,Employee_Lookups!$A$13:$A$17,0))</f>
        <v>Band A (Entry)</v>
      </c>
      <c r="Z1194" s="27">
        <f>_xlfn.XLOOKUP(F1194,Employee_Lookups!$A$13:$A$17,Employee_Lookups!$E$13:$E$17,0)</f>
        <v>700000</v>
      </c>
      <c r="AA1194" s="28">
        <f>ROUND(O1194/INDEX(Employee_Lookups!$E$13:$E$17,MATCH(F1194,Employee_Lookups!$A$13:$A$17,0)),3)</f>
        <v>1.0940000000000001</v>
      </c>
      <c r="AB1194">
        <f t="shared" si="129"/>
        <v>2024</v>
      </c>
      <c r="AC1194" t="str">
        <f t="shared" si="130"/>
        <v/>
      </c>
      <c r="AD1194" s="28">
        <f>ROUND((IF(ISBLANK(L1194),Employee_Lookups!$O$14,L1194)-J1194)/365.25,2)</f>
        <v>1.1399999999999999</v>
      </c>
      <c r="AE1194" t="str">
        <f t="shared" si="131"/>
        <v>1 - 3 Yrs</v>
      </c>
      <c r="AF1194" t="str">
        <f t="shared" si="132"/>
        <v>Moderate Risk</v>
      </c>
    </row>
    <row r="1195" spans="1:32" x14ac:dyDescent="0.45">
      <c r="A1195" t="s">
        <v>2055</v>
      </c>
      <c r="B1195" t="s">
        <v>1323</v>
      </c>
      <c r="C1195" t="s">
        <v>51</v>
      </c>
      <c r="D1195" t="s">
        <v>50</v>
      </c>
      <c r="E1195" t="s">
        <v>176</v>
      </c>
      <c r="F1195" t="s">
        <v>82</v>
      </c>
      <c r="G1195" t="s">
        <v>177</v>
      </c>
      <c r="H1195" t="s">
        <v>106</v>
      </c>
      <c r="I1195" t="s">
        <v>107</v>
      </c>
      <c r="J1195" s="26">
        <v>45607</v>
      </c>
      <c r="K1195" t="s">
        <v>162</v>
      </c>
      <c r="L1195" s="26"/>
      <c r="M1195" t="s">
        <v>163</v>
      </c>
      <c r="N1195" t="s">
        <v>99</v>
      </c>
      <c r="O1195" s="27">
        <v>1064000</v>
      </c>
      <c r="P1195">
        <v>3</v>
      </c>
      <c r="Q1195" t="s">
        <v>164</v>
      </c>
      <c r="R1195">
        <v>22</v>
      </c>
      <c r="S1195" t="s">
        <v>178</v>
      </c>
      <c r="T1195">
        <f t="shared" si="126"/>
        <v>10868</v>
      </c>
      <c r="U1195" t="str">
        <f t="shared" si="127"/>
        <v>ENG</v>
      </c>
      <c r="V1195" t="str">
        <f t="shared" si="128"/>
        <v>L2</v>
      </c>
      <c r="W1195" t="str">
        <f>PROPER(TRIM(VLOOKUP(S1195,Employee_Lookups!$I$4:$M$19,2,FALSE())))</f>
        <v>Aarav Deshmukh</v>
      </c>
      <c r="X1195" t="str">
        <f>VLOOKUP(C1195,Employee_Lookups!$A$4:$G$9,4,FALSE())</f>
        <v>CC-101</v>
      </c>
      <c r="Y1195" t="str">
        <f>INDEX(Employee_Lookups!$C$13:$C$17,MATCH(F1195,Employee_Lookups!$A$13:$A$17,0))</f>
        <v>Band B (Mid)</v>
      </c>
      <c r="Z1195" s="27">
        <f>_xlfn.XLOOKUP(F1195,Employee_Lookups!$A$13:$A$17,Employee_Lookups!$E$13:$E$17,0)</f>
        <v>1100000</v>
      </c>
      <c r="AA1195" s="28">
        <f>ROUND(O1195/INDEX(Employee_Lookups!$E$13:$E$17,MATCH(F1195,Employee_Lookups!$A$13:$A$17,0)),3)</f>
        <v>0.96699999999999997</v>
      </c>
      <c r="AB1195">
        <f t="shared" si="129"/>
        <v>2024</v>
      </c>
      <c r="AC1195" t="str">
        <f t="shared" si="130"/>
        <v/>
      </c>
      <c r="AD1195" s="28">
        <f>ROUND((IF(ISBLANK(L1195),Employee_Lookups!$O$14,L1195)-J1195)/365.25,2)</f>
        <v>1.1399999999999999</v>
      </c>
      <c r="AE1195" t="str">
        <f t="shared" si="131"/>
        <v>1 - 3 Yrs</v>
      </c>
      <c r="AF1195" t="str">
        <f t="shared" si="132"/>
        <v>Low Risk</v>
      </c>
    </row>
    <row r="1196" spans="1:32" x14ac:dyDescent="0.45">
      <c r="A1196" t="s">
        <v>2056</v>
      </c>
      <c r="B1196" t="s">
        <v>479</v>
      </c>
      <c r="C1196" t="s">
        <v>51</v>
      </c>
      <c r="D1196" t="s">
        <v>50</v>
      </c>
      <c r="E1196" t="s">
        <v>217</v>
      </c>
      <c r="F1196" t="s">
        <v>83</v>
      </c>
      <c r="G1196" t="s">
        <v>218</v>
      </c>
      <c r="H1196" t="s">
        <v>108</v>
      </c>
      <c r="I1196" t="s">
        <v>107</v>
      </c>
      <c r="J1196" s="26">
        <v>45609</v>
      </c>
      <c r="K1196" t="s">
        <v>162</v>
      </c>
      <c r="L1196" s="26"/>
      <c r="M1196" t="s">
        <v>163</v>
      </c>
      <c r="N1196" t="s">
        <v>98</v>
      </c>
      <c r="O1196" s="27">
        <v>1552000</v>
      </c>
      <c r="P1196">
        <v>4</v>
      </c>
      <c r="Q1196" t="s">
        <v>172</v>
      </c>
      <c r="R1196">
        <v>47</v>
      </c>
      <c r="S1196" t="s">
        <v>219</v>
      </c>
      <c r="T1196">
        <f t="shared" si="126"/>
        <v>10314</v>
      </c>
      <c r="U1196" t="str">
        <f t="shared" si="127"/>
        <v>ENG</v>
      </c>
      <c r="V1196" t="str">
        <f t="shared" si="128"/>
        <v>L3</v>
      </c>
      <c r="W1196" t="str">
        <f>PROPER(TRIM(VLOOKUP(S1196,Employee_Lookups!$I$4:$M$19,2,FALSE())))</f>
        <v>Neha Kulkarni</v>
      </c>
      <c r="X1196" t="str">
        <f>VLOOKUP(C1196,Employee_Lookups!$A$4:$G$9,4,FALSE())</f>
        <v>CC-101</v>
      </c>
      <c r="Y1196" t="str">
        <f>INDEX(Employee_Lookups!$C$13:$C$17,MATCH(F1196,Employee_Lookups!$A$13:$A$17,0))</f>
        <v>Band C (Senior)</v>
      </c>
      <c r="Z1196" s="27">
        <f>_xlfn.XLOOKUP(F1196,Employee_Lookups!$A$13:$A$17,Employee_Lookups!$E$13:$E$17,0)</f>
        <v>1725000</v>
      </c>
      <c r="AA1196" s="28">
        <f>ROUND(O1196/INDEX(Employee_Lookups!$E$13:$E$17,MATCH(F1196,Employee_Lookups!$A$13:$A$17,0)),3)</f>
        <v>0.9</v>
      </c>
      <c r="AB1196">
        <f t="shared" si="129"/>
        <v>2024</v>
      </c>
      <c r="AC1196" t="str">
        <f t="shared" si="130"/>
        <v/>
      </c>
      <c r="AD1196" s="28">
        <f>ROUND((IF(ISBLANK(L1196),Employee_Lookups!$O$14,L1196)-J1196)/365.25,2)</f>
        <v>1.1299999999999999</v>
      </c>
      <c r="AE1196" t="str">
        <f t="shared" si="131"/>
        <v>1 - 3 Yrs</v>
      </c>
      <c r="AF1196" t="str">
        <f t="shared" si="132"/>
        <v>High Risk</v>
      </c>
    </row>
    <row r="1197" spans="1:32" x14ac:dyDescent="0.45">
      <c r="A1197" t="s">
        <v>2057</v>
      </c>
      <c r="B1197" t="s">
        <v>1099</v>
      </c>
      <c r="C1197" t="s">
        <v>55</v>
      </c>
      <c r="D1197" t="s">
        <v>54</v>
      </c>
      <c r="E1197" t="s">
        <v>229</v>
      </c>
      <c r="F1197" t="s">
        <v>82</v>
      </c>
      <c r="G1197" t="s">
        <v>230</v>
      </c>
      <c r="H1197" t="s">
        <v>111</v>
      </c>
      <c r="I1197" t="s">
        <v>110</v>
      </c>
      <c r="J1197" s="26">
        <v>45613</v>
      </c>
      <c r="K1197" t="s">
        <v>162</v>
      </c>
      <c r="L1197" s="26"/>
      <c r="M1197" t="s">
        <v>163</v>
      </c>
      <c r="N1197" t="s">
        <v>99</v>
      </c>
      <c r="O1197" s="27">
        <v>1031000</v>
      </c>
      <c r="P1197">
        <v>3</v>
      </c>
      <c r="Q1197" t="s">
        <v>172</v>
      </c>
      <c r="R1197">
        <v>36</v>
      </c>
      <c r="S1197" t="s">
        <v>262</v>
      </c>
      <c r="T1197">
        <f t="shared" si="126"/>
        <v>11014</v>
      </c>
      <c r="U1197" t="str">
        <f t="shared" si="127"/>
        <v>OPS</v>
      </c>
      <c r="V1197" t="str">
        <f t="shared" si="128"/>
        <v>L2</v>
      </c>
      <c r="W1197" t="str">
        <f>PROPER(TRIM(VLOOKUP(S1197,Employee_Lookups!$I$4:$M$19,2,FALSE())))</f>
        <v>Ananya Iyer</v>
      </c>
      <c r="X1197" t="str">
        <f>VLOOKUP(C1197,Employee_Lookups!$A$4:$G$9,4,FALSE())</f>
        <v>CC-303</v>
      </c>
      <c r="Y1197" t="str">
        <f>INDEX(Employee_Lookups!$C$13:$C$17,MATCH(F1197,Employee_Lookups!$A$13:$A$17,0))</f>
        <v>Band B (Mid)</v>
      </c>
      <c r="Z1197" s="27">
        <f>_xlfn.XLOOKUP(F1197,Employee_Lookups!$A$13:$A$17,Employee_Lookups!$E$13:$E$17,0)</f>
        <v>1100000</v>
      </c>
      <c r="AA1197" s="28">
        <f>ROUND(O1197/INDEX(Employee_Lookups!$E$13:$E$17,MATCH(F1197,Employee_Lookups!$A$13:$A$17,0)),3)</f>
        <v>0.93700000000000006</v>
      </c>
      <c r="AB1197">
        <f t="shared" si="129"/>
        <v>2024</v>
      </c>
      <c r="AC1197" t="str">
        <f t="shared" si="130"/>
        <v/>
      </c>
      <c r="AD1197" s="28">
        <f>ROUND((IF(ISBLANK(L1197),Employee_Lookups!$O$14,L1197)-J1197)/365.25,2)</f>
        <v>1.1200000000000001</v>
      </c>
      <c r="AE1197" t="str">
        <f t="shared" si="131"/>
        <v>1 - 3 Yrs</v>
      </c>
      <c r="AF1197" t="str">
        <f t="shared" si="132"/>
        <v>High Risk</v>
      </c>
    </row>
    <row r="1198" spans="1:32" x14ac:dyDescent="0.45">
      <c r="A1198" t="s">
        <v>2058</v>
      </c>
      <c r="B1198" t="s">
        <v>546</v>
      </c>
      <c r="C1198" t="s">
        <v>61</v>
      </c>
      <c r="D1198" t="s">
        <v>60</v>
      </c>
      <c r="E1198" t="s">
        <v>484</v>
      </c>
      <c r="F1198" t="s">
        <v>83</v>
      </c>
      <c r="G1198" t="s">
        <v>485</v>
      </c>
      <c r="H1198" t="s">
        <v>108</v>
      </c>
      <c r="I1198" t="s">
        <v>107</v>
      </c>
      <c r="J1198" s="26">
        <v>45613</v>
      </c>
      <c r="K1198" t="s">
        <v>162</v>
      </c>
      <c r="L1198" s="26"/>
      <c r="M1198" t="s">
        <v>163</v>
      </c>
      <c r="N1198" t="s">
        <v>97</v>
      </c>
      <c r="O1198" s="27">
        <v>1452000</v>
      </c>
      <c r="P1198">
        <v>3</v>
      </c>
      <c r="Q1198" t="s">
        <v>164</v>
      </c>
      <c r="R1198">
        <v>59</v>
      </c>
      <c r="S1198" t="s">
        <v>253</v>
      </c>
      <c r="T1198">
        <f t="shared" si="126"/>
        <v>11173</v>
      </c>
      <c r="U1198" t="str">
        <f t="shared" si="127"/>
        <v>-HR</v>
      </c>
      <c r="V1198" t="str">
        <f t="shared" si="128"/>
        <v>L3</v>
      </c>
      <c r="W1198" t="str">
        <f>PROPER(TRIM(VLOOKUP(S1198,Employee_Lookups!$I$4:$M$19,2,FALSE())))</f>
        <v>Nikhil Chatterjee</v>
      </c>
      <c r="X1198" t="str">
        <f>VLOOKUP(C1198,Employee_Lookups!$A$4:$G$9,4,FALSE())</f>
        <v>CC-505</v>
      </c>
      <c r="Y1198" t="str">
        <f>INDEX(Employee_Lookups!$C$13:$C$17,MATCH(F1198,Employee_Lookups!$A$13:$A$17,0))</f>
        <v>Band C (Senior)</v>
      </c>
      <c r="Z1198" s="27">
        <f>_xlfn.XLOOKUP(F1198,Employee_Lookups!$A$13:$A$17,Employee_Lookups!$E$13:$E$17,0)</f>
        <v>1725000</v>
      </c>
      <c r="AA1198" s="28">
        <f>ROUND(O1198/INDEX(Employee_Lookups!$E$13:$E$17,MATCH(F1198,Employee_Lookups!$A$13:$A$17,0)),3)</f>
        <v>0.84199999999999997</v>
      </c>
      <c r="AB1198">
        <f t="shared" si="129"/>
        <v>2024</v>
      </c>
      <c r="AC1198" t="str">
        <f t="shared" si="130"/>
        <v/>
      </c>
      <c r="AD1198" s="28">
        <f>ROUND((IF(ISBLANK(L1198),Employee_Lookups!$O$14,L1198)-J1198)/365.25,2)</f>
        <v>1.1200000000000001</v>
      </c>
      <c r="AE1198" t="str">
        <f t="shared" si="131"/>
        <v>1 - 3 Yrs</v>
      </c>
      <c r="AF1198" t="str">
        <f t="shared" si="132"/>
        <v>Low Risk</v>
      </c>
    </row>
    <row r="1199" spans="1:32" x14ac:dyDescent="0.45">
      <c r="A1199" t="s">
        <v>2059</v>
      </c>
      <c r="B1199" t="s">
        <v>636</v>
      </c>
      <c r="C1199" t="s">
        <v>51</v>
      </c>
      <c r="D1199" t="s">
        <v>50</v>
      </c>
      <c r="E1199" t="s">
        <v>181</v>
      </c>
      <c r="F1199" t="s">
        <v>81</v>
      </c>
      <c r="G1199" t="s">
        <v>182</v>
      </c>
      <c r="H1199" t="s">
        <v>111</v>
      </c>
      <c r="I1199" t="s">
        <v>110</v>
      </c>
      <c r="J1199" s="26">
        <v>45615</v>
      </c>
      <c r="K1199" t="s">
        <v>162</v>
      </c>
      <c r="L1199" s="26"/>
      <c r="M1199" t="s">
        <v>163</v>
      </c>
      <c r="N1199" t="s">
        <v>96</v>
      </c>
      <c r="O1199" s="27">
        <v>790000</v>
      </c>
      <c r="P1199">
        <v>3</v>
      </c>
      <c r="Q1199" t="s">
        <v>164</v>
      </c>
      <c r="R1199">
        <v>53</v>
      </c>
      <c r="S1199" t="s">
        <v>219</v>
      </c>
      <c r="T1199">
        <f t="shared" si="126"/>
        <v>10902</v>
      </c>
      <c r="U1199" t="str">
        <f t="shared" si="127"/>
        <v>ENG</v>
      </c>
      <c r="V1199" t="str">
        <f t="shared" si="128"/>
        <v>L1</v>
      </c>
      <c r="W1199" t="str">
        <f>PROPER(TRIM(VLOOKUP(S1199,Employee_Lookups!$I$4:$M$19,2,FALSE())))</f>
        <v>Neha Kulkarni</v>
      </c>
      <c r="X1199" t="str">
        <f>VLOOKUP(C1199,Employee_Lookups!$A$4:$G$9,4,FALSE())</f>
        <v>CC-101</v>
      </c>
      <c r="Y1199" t="str">
        <f>INDEX(Employee_Lookups!$C$13:$C$17,MATCH(F1199,Employee_Lookups!$A$13:$A$17,0))</f>
        <v>Band A (Entry)</v>
      </c>
      <c r="Z1199" s="27">
        <f>_xlfn.XLOOKUP(F1199,Employee_Lookups!$A$13:$A$17,Employee_Lookups!$E$13:$E$17,0)</f>
        <v>700000</v>
      </c>
      <c r="AA1199" s="28">
        <f>ROUND(O1199/INDEX(Employee_Lookups!$E$13:$E$17,MATCH(F1199,Employee_Lookups!$A$13:$A$17,0)),3)</f>
        <v>1.129</v>
      </c>
      <c r="AB1199">
        <f t="shared" si="129"/>
        <v>2024</v>
      </c>
      <c r="AC1199" t="str">
        <f t="shared" si="130"/>
        <v/>
      </c>
      <c r="AD1199" s="28">
        <f>ROUND((IF(ISBLANK(L1199),Employee_Lookups!$O$14,L1199)-J1199)/365.25,2)</f>
        <v>1.1100000000000001</v>
      </c>
      <c r="AE1199" t="str">
        <f t="shared" si="131"/>
        <v>1 - 3 Yrs</v>
      </c>
      <c r="AF1199" t="str">
        <f t="shared" si="132"/>
        <v>Low Risk</v>
      </c>
    </row>
    <row r="1200" spans="1:32" x14ac:dyDescent="0.45">
      <c r="A1200" t="s">
        <v>2060</v>
      </c>
      <c r="B1200" t="s">
        <v>394</v>
      </c>
      <c r="C1200" t="s">
        <v>57</v>
      </c>
      <c r="D1200" t="s">
        <v>56</v>
      </c>
      <c r="E1200" t="s">
        <v>160</v>
      </c>
      <c r="F1200" t="s">
        <v>81</v>
      </c>
      <c r="G1200" t="s">
        <v>161</v>
      </c>
      <c r="H1200" t="s">
        <v>108</v>
      </c>
      <c r="I1200" t="s">
        <v>107</v>
      </c>
      <c r="J1200" s="26">
        <v>45618</v>
      </c>
      <c r="K1200" t="s">
        <v>162</v>
      </c>
      <c r="L1200" s="26"/>
      <c r="M1200" t="s">
        <v>163</v>
      </c>
      <c r="N1200" t="s">
        <v>98</v>
      </c>
      <c r="O1200" s="27">
        <v>559000</v>
      </c>
      <c r="P1200">
        <v>4</v>
      </c>
      <c r="Q1200" t="s">
        <v>164</v>
      </c>
      <c r="R1200">
        <v>31</v>
      </c>
      <c r="S1200" t="s">
        <v>224</v>
      </c>
      <c r="T1200">
        <f t="shared" si="126"/>
        <v>10333</v>
      </c>
      <c r="U1200" t="str">
        <f t="shared" si="127"/>
        <v>MKT</v>
      </c>
      <c r="V1200" t="str">
        <f t="shared" si="128"/>
        <v>L1</v>
      </c>
      <c r="W1200" t="str">
        <f>PROPER(TRIM(VLOOKUP(S1200,Employee_Lookups!$I$4:$M$19,2,FALSE())))</f>
        <v>Tanvi Chitnis</v>
      </c>
      <c r="X1200" t="str">
        <f>VLOOKUP(C1200,Employee_Lookups!$A$4:$G$9,4,FALSE())</f>
        <v>CC-606</v>
      </c>
      <c r="Y1200" t="str">
        <f>INDEX(Employee_Lookups!$C$13:$C$17,MATCH(F1200,Employee_Lookups!$A$13:$A$17,0))</f>
        <v>Band A (Entry)</v>
      </c>
      <c r="Z1200" s="27">
        <f>_xlfn.XLOOKUP(F1200,Employee_Lookups!$A$13:$A$17,Employee_Lookups!$E$13:$E$17,0)</f>
        <v>700000</v>
      </c>
      <c r="AA1200" s="28">
        <f>ROUND(O1200/INDEX(Employee_Lookups!$E$13:$E$17,MATCH(F1200,Employee_Lookups!$A$13:$A$17,0)),3)</f>
        <v>0.79900000000000004</v>
      </c>
      <c r="AB1200">
        <f t="shared" si="129"/>
        <v>2024</v>
      </c>
      <c r="AC1200" t="str">
        <f t="shared" si="130"/>
        <v/>
      </c>
      <c r="AD1200" s="28">
        <f>ROUND((IF(ISBLANK(L1200),Employee_Lookups!$O$14,L1200)-J1200)/365.25,2)</f>
        <v>1.1100000000000001</v>
      </c>
      <c r="AE1200" t="str">
        <f t="shared" si="131"/>
        <v>1 - 3 Yrs</v>
      </c>
      <c r="AF1200" t="str">
        <f t="shared" si="132"/>
        <v>Low Risk</v>
      </c>
    </row>
    <row r="1201" spans="1:32" x14ac:dyDescent="0.45">
      <c r="A1201" t="s">
        <v>2061</v>
      </c>
      <c r="B1201" t="s">
        <v>1851</v>
      </c>
      <c r="C1201" t="s">
        <v>61</v>
      </c>
      <c r="D1201" t="s">
        <v>60</v>
      </c>
      <c r="E1201" t="s">
        <v>356</v>
      </c>
      <c r="F1201" t="s">
        <v>81</v>
      </c>
      <c r="G1201" t="s">
        <v>357</v>
      </c>
      <c r="H1201" t="s">
        <v>108</v>
      </c>
      <c r="I1201" t="s">
        <v>107</v>
      </c>
      <c r="J1201" s="26">
        <v>45619</v>
      </c>
      <c r="K1201" t="s">
        <v>162</v>
      </c>
      <c r="L1201" s="26"/>
      <c r="M1201" t="s">
        <v>163</v>
      </c>
      <c r="N1201" t="s">
        <v>95</v>
      </c>
      <c r="O1201" s="27">
        <v>567000</v>
      </c>
      <c r="P1201">
        <v>2</v>
      </c>
      <c r="Q1201" t="s">
        <v>164</v>
      </c>
      <c r="R1201">
        <v>23</v>
      </c>
      <c r="S1201" t="s">
        <v>253</v>
      </c>
      <c r="T1201">
        <f t="shared" si="126"/>
        <v>11103</v>
      </c>
      <c r="U1201" t="str">
        <f t="shared" si="127"/>
        <v>-HR</v>
      </c>
      <c r="V1201" t="str">
        <f t="shared" si="128"/>
        <v>L1</v>
      </c>
      <c r="W1201" t="str">
        <f>PROPER(TRIM(VLOOKUP(S1201,Employee_Lookups!$I$4:$M$19,2,FALSE())))</f>
        <v>Nikhil Chatterjee</v>
      </c>
      <c r="X1201" t="str">
        <f>VLOOKUP(C1201,Employee_Lookups!$A$4:$G$9,4,FALSE())</f>
        <v>CC-505</v>
      </c>
      <c r="Y1201" t="str">
        <f>INDEX(Employee_Lookups!$C$13:$C$17,MATCH(F1201,Employee_Lookups!$A$13:$A$17,0))</f>
        <v>Band A (Entry)</v>
      </c>
      <c r="Z1201" s="27">
        <f>_xlfn.XLOOKUP(F1201,Employee_Lookups!$A$13:$A$17,Employee_Lookups!$E$13:$E$17,0)</f>
        <v>700000</v>
      </c>
      <c r="AA1201" s="28">
        <f>ROUND(O1201/INDEX(Employee_Lookups!$E$13:$E$17,MATCH(F1201,Employee_Lookups!$A$13:$A$17,0)),3)</f>
        <v>0.81</v>
      </c>
      <c r="AB1201">
        <f t="shared" si="129"/>
        <v>2024</v>
      </c>
      <c r="AC1201" t="str">
        <f t="shared" si="130"/>
        <v/>
      </c>
      <c r="AD1201" s="28">
        <f>ROUND((IF(ISBLANK(L1201),Employee_Lookups!$O$14,L1201)-J1201)/365.25,2)</f>
        <v>1.1000000000000001</v>
      </c>
      <c r="AE1201" t="str">
        <f t="shared" si="131"/>
        <v>1 - 3 Yrs</v>
      </c>
      <c r="AF1201" t="str">
        <f t="shared" si="132"/>
        <v>Moderate Risk</v>
      </c>
    </row>
    <row r="1202" spans="1:32" x14ac:dyDescent="0.45">
      <c r="A1202" t="s">
        <v>2062</v>
      </c>
      <c r="B1202" t="s">
        <v>587</v>
      </c>
      <c r="C1202" t="s">
        <v>51</v>
      </c>
      <c r="D1202" t="s">
        <v>50</v>
      </c>
      <c r="E1202" t="s">
        <v>176</v>
      </c>
      <c r="F1202" t="s">
        <v>82</v>
      </c>
      <c r="G1202" t="s">
        <v>177</v>
      </c>
      <c r="H1202" t="s">
        <v>106</v>
      </c>
      <c r="I1202" t="s">
        <v>107</v>
      </c>
      <c r="J1202" s="26">
        <v>45620</v>
      </c>
      <c r="K1202" t="s">
        <v>187</v>
      </c>
      <c r="L1202" s="26">
        <v>45660</v>
      </c>
      <c r="M1202" t="s">
        <v>213</v>
      </c>
      <c r="N1202" t="s">
        <v>99</v>
      </c>
      <c r="O1202" s="27">
        <v>938000</v>
      </c>
      <c r="P1202">
        <v>4</v>
      </c>
      <c r="Q1202" t="s">
        <v>164</v>
      </c>
      <c r="R1202">
        <v>34</v>
      </c>
      <c r="S1202" t="s">
        <v>197</v>
      </c>
      <c r="T1202">
        <f t="shared" si="126"/>
        <v>10373</v>
      </c>
      <c r="U1202" t="str">
        <f t="shared" si="127"/>
        <v>ENG</v>
      </c>
      <c r="V1202" t="str">
        <f t="shared" si="128"/>
        <v>L2</v>
      </c>
      <c r="W1202" t="str">
        <f>PROPER(TRIM(VLOOKUP(S1202,Employee_Lookups!$I$4:$M$19,2,FALSE())))</f>
        <v>Rohan Verma</v>
      </c>
      <c r="X1202" t="str">
        <f>VLOOKUP(C1202,Employee_Lookups!$A$4:$G$9,4,FALSE())</f>
        <v>CC-101</v>
      </c>
      <c r="Y1202" t="str">
        <f>INDEX(Employee_Lookups!$C$13:$C$17,MATCH(F1202,Employee_Lookups!$A$13:$A$17,0))</f>
        <v>Band B (Mid)</v>
      </c>
      <c r="Z1202" s="27">
        <f>_xlfn.XLOOKUP(F1202,Employee_Lookups!$A$13:$A$17,Employee_Lookups!$E$13:$E$17,0)</f>
        <v>1100000</v>
      </c>
      <c r="AA1202" s="28">
        <f>ROUND(O1202/INDEX(Employee_Lookups!$E$13:$E$17,MATCH(F1202,Employee_Lookups!$A$13:$A$17,0)),3)</f>
        <v>0.85299999999999998</v>
      </c>
      <c r="AB1202">
        <f t="shared" si="129"/>
        <v>2024</v>
      </c>
      <c r="AC1202">
        <f t="shared" si="130"/>
        <v>2025</v>
      </c>
      <c r="AD1202" s="28">
        <f>ROUND((IF(ISBLANK(L1202),Employee_Lookups!$O$14,L1202)-J1202)/365.25,2)</f>
        <v>0.11</v>
      </c>
      <c r="AE1202" t="str">
        <f t="shared" si="131"/>
        <v>&lt; 1 Yr (New)</v>
      </c>
      <c r="AF1202" t="str">
        <f t="shared" si="132"/>
        <v>Exited</v>
      </c>
    </row>
    <row r="1203" spans="1:32" x14ac:dyDescent="0.45">
      <c r="A1203" t="s">
        <v>2063</v>
      </c>
      <c r="B1203" t="s">
        <v>652</v>
      </c>
      <c r="C1203" t="s">
        <v>51</v>
      </c>
      <c r="D1203" t="s">
        <v>50</v>
      </c>
      <c r="E1203" t="s">
        <v>176</v>
      </c>
      <c r="F1203" t="s">
        <v>82</v>
      </c>
      <c r="G1203" t="s">
        <v>177</v>
      </c>
      <c r="H1203" t="s">
        <v>108</v>
      </c>
      <c r="I1203" t="s">
        <v>107</v>
      </c>
      <c r="J1203" s="26">
        <v>45621</v>
      </c>
      <c r="K1203" t="s">
        <v>162</v>
      </c>
      <c r="L1203" s="26"/>
      <c r="M1203" t="s">
        <v>163</v>
      </c>
      <c r="N1203" t="s">
        <v>99</v>
      </c>
      <c r="O1203" s="27">
        <v>1180000</v>
      </c>
      <c r="P1203">
        <v>2</v>
      </c>
      <c r="Q1203" t="s">
        <v>164</v>
      </c>
      <c r="R1203">
        <v>24</v>
      </c>
      <c r="S1203" t="s">
        <v>197</v>
      </c>
      <c r="T1203">
        <f t="shared" si="126"/>
        <v>10129</v>
      </c>
      <c r="U1203" t="str">
        <f t="shared" si="127"/>
        <v>ENG</v>
      </c>
      <c r="V1203" t="str">
        <f t="shared" si="128"/>
        <v>L2</v>
      </c>
      <c r="W1203" t="str">
        <f>PROPER(TRIM(VLOOKUP(S1203,Employee_Lookups!$I$4:$M$19,2,FALSE())))</f>
        <v>Rohan Verma</v>
      </c>
      <c r="X1203" t="str">
        <f>VLOOKUP(C1203,Employee_Lookups!$A$4:$G$9,4,FALSE())</f>
        <v>CC-101</v>
      </c>
      <c r="Y1203" t="str">
        <f>INDEX(Employee_Lookups!$C$13:$C$17,MATCH(F1203,Employee_Lookups!$A$13:$A$17,0))</f>
        <v>Band B (Mid)</v>
      </c>
      <c r="Z1203" s="27">
        <f>_xlfn.XLOOKUP(F1203,Employee_Lookups!$A$13:$A$17,Employee_Lookups!$E$13:$E$17,0)</f>
        <v>1100000</v>
      </c>
      <c r="AA1203" s="28">
        <f>ROUND(O1203/INDEX(Employee_Lookups!$E$13:$E$17,MATCH(F1203,Employee_Lookups!$A$13:$A$17,0)),3)</f>
        <v>1.073</v>
      </c>
      <c r="AB1203">
        <f t="shared" si="129"/>
        <v>2024</v>
      </c>
      <c r="AC1203" t="str">
        <f t="shared" si="130"/>
        <v/>
      </c>
      <c r="AD1203" s="28">
        <f>ROUND((IF(ISBLANK(L1203),Employee_Lookups!$O$14,L1203)-J1203)/365.25,2)</f>
        <v>1.1000000000000001</v>
      </c>
      <c r="AE1203" t="str">
        <f t="shared" si="131"/>
        <v>1 - 3 Yrs</v>
      </c>
      <c r="AF1203" t="str">
        <f t="shared" si="132"/>
        <v>Moderate Risk</v>
      </c>
    </row>
    <row r="1204" spans="1:32" x14ac:dyDescent="0.45">
      <c r="A1204" t="s">
        <v>2064</v>
      </c>
      <c r="B1204" t="s">
        <v>359</v>
      </c>
      <c r="C1204" t="s">
        <v>57</v>
      </c>
      <c r="D1204" t="s">
        <v>56</v>
      </c>
      <c r="E1204" t="s">
        <v>160</v>
      </c>
      <c r="F1204" t="s">
        <v>81</v>
      </c>
      <c r="G1204" t="s">
        <v>161</v>
      </c>
      <c r="H1204" t="s">
        <v>109</v>
      </c>
      <c r="I1204" t="s">
        <v>110</v>
      </c>
      <c r="J1204" s="26">
        <v>45621</v>
      </c>
      <c r="K1204" t="s">
        <v>162</v>
      </c>
      <c r="L1204" s="26"/>
      <c r="M1204" t="s">
        <v>163</v>
      </c>
      <c r="N1204" t="s">
        <v>96</v>
      </c>
      <c r="O1204" s="27">
        <v>794000</v>
      </c>
      <c r="P1204">
        <v>3</v>
      </c>
      <c r="Q1204" t="s">
        <v>164</v>
      </c>
      <c r="R1204">
        <v>48</v>
      </c>
      <c r="S1204" t="s">
        <v>165</v>
      </c>
      <c r="T1204">
        <f t="shared" si="126"/>
        <v>11311</v>
      </c>
      <c r="U1204" t="str">
        <f t="shared" si="127"/>
        <v>MKT</v>
      </c>
      <c r="V1204" t="str">
        <f t="shared" si="128"/>
        <v>L1</v>
      </c>
      <c r="W1204" t="str">
        <f>PROPER(TRIM(VLOOKUP(S1204,Employee_Lookups!$I$4:$M$19,2,FALSE())))</f>
        <v>Arjun Sengupta</v>
      </c>
      <c r="X1204" t="str">
        <f>VLOOKUP(C1204,Employee_Lookups!$A$4:$G$9,4,FALSE())</f>
        <v>CC-606</v>
      </c>
      <c r="Y1204" t="str">
        <f>INDEX(Employee_Lookups!$C$13:$C$17,MATCH(F1204,Employee_Lookups!$A$13:$A$17,0))</f>
        <v>Band A (Entry)</v>
      </c>
      <c r="Z1204" s="27">
        <f>_xlfn.XLOOKUP(F1204,Employee_Lookups!$A$13:$A$17,Employee_Lookups!$E$13:$E$17,0)</f>
        <v>700000</v>
      </c>
      <c r="AA1204" s="28">
        <f>ROUND(O1204/INDEX(Employee_Lookups!$E$13:$E$17,MATCH(F1204,Employee_Lookups!$A$13:$A$17,0)),3)</f>
        <v>1.1339999999999999</v>
      </c>
      <c r="AB1204">
        <f t="shared" si="129"/>
        <v>2024</v>
      </c>
      <c r="AC1204" t="str">
        <f t="shared" si="130"/>
        <v/>
      </c>
      <c r="AD1204" s="28">
        <f>ROUND((IF(ISBLANK(L1204),Employee_Lookups!$O$14,L1204)-J1204)/365.25,2)</f>
        <v>1.1000000000000001</v>
      </c>
      <c r="AE1204" t="str">
        <f t="shared" si="131"/>
        <v>1 - 3 Yrs</v>
      </c>
      <c r="AF1204" t="str">
        <f t="shared" si="132"/>
        <v>Low Risk</v>
      </c>
    </row>
    <row r="1205" spans="1:32" x14ac:dyDescent="0.45">
      <c r="A1205" t="s">
        <v>2065</v>
      </c>
      <c r="B1205" t="s">
        <v>1162</v>
      </c>
      <c r="C1205" t="s">
        <v>57</v>
      </c>
      <c r="D1205" t="s">
        <v>56</v>
      </c>
      <c r="E1205" t="s">
        <v>222</v>
      </c>
      <c r="F1205" t="s">
        <v>82</v>
      </c>
      <c r="G1205" t="s">
        <v>223</v>
      </c>
      <c r="H1205" t="s">
        <v>106</v>
      </c>
      <c r="I1205" t="s">
        <v>107</v>
      </c>
      <c r="J1205" s="26">
        <v>45622</v>
      </c>
      <c r="K1205" t="s">
        <v>162</v>
      </c>
      <c r="L1205" s="26"/>
      <c r="M1205" t="s">
        <v>163</v>
      </c>
      <c r="N1205" t="s">
        <v>97</v>
      </c>
      <c r="O1205" s="27">
        <v>1181000</v>
      </c>
      <c r="P1205">
        <v>3</v>
      </c>
      <c r="Q1205" t="s">
        <v>164</v>
      </c>
      <c r="R1205">
        <v>28</v>
      </c>
      <c r="S1205" t="s">
        <v>224</v>
      </c>
      <c r="T1205">
        <f t="shared" si="126"/>
        <v>11076</v>
      </c>
      <c r="U1205" t="str">
        <f t="shared" si="127"/>
        <v>MKT</v>
      </c>
      <c r="V1205" t="str">
        <f t="shared" si="128"/>
        <v>L2</v>
      </c>
      <c r="W1205" t="str">
        <f>PROPER(TRIM(VLOOKUP(S1205,Employee_Lookups!$I$4:$M$19,2,FALSE())))</f>
        <v>Tanvi Chitnis</v>
      </c>
      <c r="X1205" t="str">
        <f>VLOOKUP(C1205,Employee_Lookups!$A$4:$G$9,4,FALSE())</f>
        <v>CC-606</v>
      </c>
      <c r="Y1205" t="str">
        <f>INDEX(Employee_Lookups!$C$13:$C$17,MATCH(F1205,Employee_Lookups!$A$13:$A$17,0))</f>
        <v>Band B (Mid)</v>
      </c>
      <c r="Z1205" s="27">
        <f>_xlfn.XLOOKUP(F1205,Employee_Lookups!$A$13:$A$17,Employee_Lookups!$E$13:$E$17,0)</f>
        <v>1100000</v>
      </c>
      <c r="AA1205" s="28">
        <f>ROUND(O1205/INDEX(Employee_Lookups!$E$13:$E$17,MATCH(F1205,Employee_Lookups!$A$13:$A$17,0)),3)</f>
        <v>1.0740000000000001</v>
      </c>
      <c r="AB1205">
        <f t="shared" si="129"/>
        <v>2024</v>
      </c>
      <c r="AC1205" t="str">
        <f t="shared" si="130"/>
        <v/>
      </c>
      <c r="AD1205" s="28">
        <f>ROUND((IF(ISBLANK(L1205),Employee_Lookups!$O$14,L1205)-J1205)/365.25,2)</f>
        <v>1.1000000000000001</v>
      </c>
      <c r="AE1205" t="str">
        <f t="shared" si="131"/>
        <v>1 - 3 Yrs</v>
      </c>
      <c r="AF1205" t="str">
        <f t="shared" si="132"/>
        <v>Low Risk</v>
      </c>
    </row>
    <row r="1206" spans="1:32" x14ac:dyDescent="0.45">
      <c r="A1206" t="s">
        <v>2066</v>
      </c>
      <c r="B1206" t="s">
        <v>832</v>
      </c>
      <c r="C1206" t="s">
        <v>61</v>
      </c>
      <c r="D1206" t="s">
        <v>60</v>
      </c>
      <c r="E1206" t="s">
        <v>923</v>
      </c>
      <c r="F1206" t="s">
        <v>85</v>
      </c>
      <c r="G1206" t="s">
        <v>924</v>
      </c>
      <c r="H1206" t="s">
        <v>109</v>
      </c>
      <c r="I1206" t="s">
        <v>110</v>
      </c>
      <c r="J1206" s="26">
        <v>45622</v>
      </c>
      <c r="K1206" t="s">
        <v>162</v>
      </c>
      <c r="L1206" s="26"/>
      <c r="M1206" t="s">
        <v>163</v>
      </c>
      <c r="N1206" t="s">
        <v>96</v>
      </c>
      <c r="O1206" s="27">
        <v>3422000</v>
      </c>
      <c r="P1206">
        <v>4</v>
      </c>
      <c r="Q1206" t="s">
        <v>164</v>
      </c>
      <c r="R1206">
        <v>12</v>
      </c>
      <c r="S1206" t="s">
        <v>253</v>
      </c>
      <c r="T1206">
        <f t="shared" si="126"/>
        <v>11411</v>
      </c>
      <c r="U1206" t="str">
        <f t="shared" si="127"/>
        <v>-HR</v>
      </c>
      <c r="V1206" t="str">
        <f t="shared" si="128"/>
        <v>L5</v>
      </c>
      <c r="W1206" t="str">
        <f>PROPER(TRIM(VLOOKUP(S1206,Employee_Lookups!$I$4:$M$19,2,FALSE())))</f>
        <v>Nikhil Chatterjee</v>
      </c>
      <c r="X1206" t="str">
        <f>VLOOKUP(C1206,Employee_Lookups!$A$4:$G$9,4,FALSE())</f>
        <v>CC-505</v>
      </c>
      <c r="Y1206" t="str">
        <f>INDEX(Employee_Lookups!$C$13:$C$17,MATCH(F1206,Employee_Lookups!$A$13:$A$17,0))</f>
        <v>Band E (Executive)</v>
      </c>
      <c r="Z1206" s="27">
        <f>_xlfn.XLOOKUP(F1206,Employee_Lookups!$A$13:$A$17,Employee_Lookups!$E$13:$E$17,0)</f>
        <v>4300000</v>
      </c>
      <c r="AA1206" s="28">
        <f>ROUND(O1206/INDEX(Employee_Lookups!$E$13:$E$17,MATCH(F1206,Employee_Lookups!$A$13:$A$17,0)),3)</f>
        <v>0.79600000000000004</v>
      </c>
      <c r="AB1206">
        <f t="shared" si="129"/>
        <v>2024</v>
      </c>
      <c r="AC1206" t="str">
        <f t="shared" si="130"/>
        <v/>
      </c>
      <c r="AD1206" s="28">
        <f>ROUND((IF(ISBLANK(L1206),Employee_Lookups!$O$14,L1206)-J1206)/365.25,2)</f>
        <v>1.1000000000000001</v>
      </c>
      <c r="AE1206" t="str">
        <f t="shared" si="131"/>
        <v>1 - 3 Yrs</v>
      </c>
      <c r="AF1206" t="str">
        <f t="shared" si="132"/>
        <v>Low Risk</v>
      </c>
    </row>
    <row r="1207" spans="1:32" x14ac:dyDescent="0.45">
      <c r="A1207" t="s">
        <v>2067</v>
      </c>
      <c r="B1207" t="s">
        <v>679</v>
      </c>
      <c r="C1207" t="s">
        <v>55</v>
      </c>
      <c r="D1207" t="s">
        <v>54</v>
      </c>
      <c r="E1207" t="s">
        <v>277</v>
      </c>
      <c r="F1207" t="s">
        <v>81</v>
      </c>
      <c r="G1207" t="s">
        <v>278</v>
      </c>
      <c r="H1207" t="s">
        <v>106</v>
      </c>
      <c r="I1207" t="s">
        <v>107</v>
      </c>
      <c r="J1207" s="26">
        <v>45623</v>
      </c>
      <c r="K1207" t="s">
        <v>162</v>
      </c>
      <c r="L1207" s="26"/>
      <c r="M1207" t="s">
        <v>163</v>
      </c>
      <c r="N1207" t="s">
        <v>97</v>
      </c>
      <c r="O1207" s="27">
        <v>625000</v>
      </c>
      <c r="P1207">
        <v>5</v>
      </c>
      <c r="Q1207" t="s">
        <v>172</v>
      </c>
      <c r="R1207">
        <v>21</v>
      </c>
      <c r="S1207" t="s">
        <v>274</v>
      </c>
      <c r="T1207">
        <f t="shared" si="126"/>
        <v>10546</v>
      </c>
      <c r="U1207" t="str">
        <f t="shared" si="127"/>
        <v>OPS</v>
      </c>
      <c r="V1207" t="str">
        <f t="shared" si="128"/>
        <v>L1</v>
      </c>
      <c r="W1207" t="str">
        <f>PROPER(TRIM(VLOOKUP(S1207,Employee_Lookups!$I$4:$M$19,2,FALSE())))</f>
        <v>Meera Krishnan</v>
      </c>
      <c r="X1207" t="str">
        <f>VLOOKUP(C1207,Employee_Lookups!$A$4:$G$9,4,FALSE())</f>
        <v>CC-303</v>
      </c>
      <c r="Y1207" t="str">
        <f>INDEX(Employee_Lookups!$C$13:$C$17,MATCH(F1207,Employee_Lookups!$A$13:$A$17,0))</f>
        <v>Band A (Entry)</v>
      </c>
      <c r="Z1207" s="27">
        <f>_xlfn.XLOOKUP(F1207,Employee_Lookups!$A$13:$A$17,Employee_Lookups!$E$13:$E$17,0)</f>
        <v>700000</v>
      </c>
      <c r="AA1207" s="28">
        <f>ROUND(O1207/INDEX(Employee_Lookups!$E$13:$E$17,MATCH(F1207,Employee_Lookups!$A$13:$A$17,0)),3)</f>
        <v>0.89300000000000002</v>
      </c>
      <c r="AB1207">
        <f t="shared" si="129"/>
        <v>2024</v>
      </c>
      <c r="AC1207" t="str">
        <f t="shared" si="130"/>
        <v/>
      </c>
      <c r="AD1207" s="28">
        <f>ROUND((IF(ISBLANK(L1207),Employee_Lookups!$O$14,L1207)-J1207)/365.25,2)</f>
        <v>1.0900000000000001</v>
      </c>
      <c r="AE1207" t="str">
        <f t="shared" si="131"/>
        <v>1 - 3 Yrs</v>
      </c>
      <c r="AF1207" t="str">
        <f t="shared" si="132"/>
        <v>High Risk</v>
      </c>
    </row>
    <row r="1208" spans="1:32" x14ac:dyDescent="0.45">
      <c r="A1208" t="s">
        <v>2068</v>
      </c>
      <c r="B1208" t="s">
        <v>745</v>
      </c>
      <c r="C1208" t="s">
        <v>51</v>
      </c>
      <c r="D1208" t="s">
        <v>50</v>
      </c>
      <c r="E1208" t="s">
        <v>181</v>
      </c>
      <c r="F1208" t="s">
        <v>81</v>
      </c>
      <c r="G1208" t="s">
        <v>182</v>
      </c>
      <c r="H1208" t="s">
        <v>109</v>
      </c>
      <c r="I1208" t="s">
        <v>110</v>
      </c>
      <c r="J1208" s="26">
        <v>45623</v>
      </c>
      <c r="K1208" t="s">
        <v>162</v>
      </c>
      <c r="L1208" s="26"/>
      <c r="M1208" t="s">
        <v>163</v>
      </c>
      <c r="N1208" t="s">
        <v>97</v>
      </c>
      <c r="O1208" s="27">
        <v>587000</v>
      </c>
      <c r="P1208">
        <v>3</v>
      </c>
      <c r="Q1208" t="s">
        <v>164</v>
      </c>
      <c r="R1208">
        <v>45</v>
      </c>
      <c r="S1208" t="s">
        <v>197</v>
      </c>
      <c r="T1208">
        <f t="shared" si="126"/>
        <v>10831</v>
      </c>
      <c r="U1208" t="str">
        <f t="shared" si="127"/>
        <v>ENG</v>
      </c>
      <c r="V1208" t="str">
        <f t="shared" si="128"/>
        <v>L1</v>
      </c>
      <c r="W1208" t="str">
        <f>PROPER(TRIM(VLOOKUP(S1208,Employee_Lookups!$I$4:$M$19,2,FALSE())))</f>
        <v>Rohan Verma</v>
      </c>
      <c r="X1208" t="str">
        <f>VLOOKUP(C1208,Employee_Lookups!$A$4:$G$9,4,FALSE())</f>
        <v>CC-101</v>
      </c>
      <c r="Y1208" t="str">
        <f>INDEX(Employee_Lookups!$C$13:$C$17,MATCH(F1208,Employee_Lookups!$A$13:$A$17,0))</f>
        <v>Band A (Entry)</v>
      </c>
      <c r="Z1208" s="27">
        <f>_xlfn.XLOOKUP(F1208,Employee_Lookups!$A$13:$A$17,Employee_Lookups!$E$13:$E$17,0)</f>
        <v>700000</v>
      </c>
      <c r="AA1208" s="28">
        <f>ROUND(O1208/INDEX(Employee_Lookups!$E$13:$E$17,MATCH(F1208,Employee_Lookups!$A$13:$A$17,0)),3)</f>
        <v>0.83899999999999997</v>
      </c>
      <c r="AB1208">
        <f t="shared" si="129"/>
        <v>2024</v>
      </c>
      <c r="AC1208" t="str">
        <f t="shared" si="130"/>
        <v/>
      </c>
      <c r="AD1208" s="28">
        <f>ROUND((IF(ISBLANK(L1208),Employee_Lookups!$O$14,L1208)-J1208)/365.25,2)</f>
        <v>1.0900000000000001</v>
      </c>
      <c r="AE1208" t="str">
        <f t="shared" si="131"/>
        <v>1 - 3 Yrs</v>
      </c>
      <c r="AF1208" t="str">
        <f t="shared" si="132"/>
        <v>Low Risk</v>
      </c>
    </row>
    <row r="1209" spans="1:32" x14ac:dyDescent="0.45">
      <c r="A1209" t="s">
        <v>2069</v>
      </c>
      <c r="B1209" t="s">
        <v>2070</v>
      </c>
      <c r="C1209" t="s">
        <v>51</v>
      </c>
      <c r="D1209" t="s">
        <v>50</v>
      </c>
      <c r="E1209" t="s">
        <v>176</v>
      </c>
      <c r="F1209" t="s">
        <v>82</v>
      </c>
      <c r="G1209" t="s">
        <v>177</v>
      </c>
      <c r="H1209" t="s">
        <v>106</v>
      </c>
      <c r="I1209" t="s">
        <v>107</v>
      </c>
      <c r="J1209" s="26">
        <v>45629</v>
      </c>
      <c r="K1209" t="s">
        <v>162</v>
      </c>
      <c r="L1209" s="26"/>
      <c r="M1209" t="s">
        <v>163</v>
      </c>
      <c r="N1209" t="s">
        <v>99</v>
      </c>
      <c r="O1209" s="27">
        <v>1097000</v>
      </c>
      <c r="P1209">
        <v>5</v>
      </c>
      <c r="Q1209" t="s">
        <v>172</v>
      </c>
      <c r="R1209">
        <v>0</v>
      </c>
      <c r="S1209" t="s">
        <v>219</v>
      </c>
      <c r="T1209">
        <f t="shared" si="126"/>
        <v>11323</v>
      </c>
      <c r="U1209" t="str">
        <f t="shared" si="127"/>
        <v>ENG</v>
      </c>
      <c r="V1209" t="str">
        <f t="shared" si="128"/>
        <v>L2</v>
      </c>
      <c r="W1209" t="str">
        <f>PROPER(TRIM(VLOOKUP(S1209,Employee_Lookups!$I$4:$M$19,2,FALSE())))</f>
        <v>Neha Kulkarni</v>
      </c>
      <c r="X1209" t="str">
        <f>VLOOKUP(C1209,Employee_Lookups!$A$4:$G$9,4,FALSE())</f>
        <v>CC-101</v>
      </c>
      <c r="Y1209" t="str">
        <f>INDEX(Employee_Lookups!$C$13:$C$17,MATCH(F1209,Employee_Lookups!$A$13:$A$17,0))</f>
        <v>Band B (Mid)</v>
      </c>
      <c r="Z1209" s="27">
        <f>_xlfn.XLOOKUP(F1209,Employee_Lookups!$A$13:$A$17,Employee_Lookups!$E$13:$E$17,0)</f>
        <v>1100000</v>
      </c>
      <c r="AA1209" s="28">
        <f>ROUND(O1209/INDEX(Employee_Lookups!$E$13:$E$17,MATCH(F1209,Employee_Lookups!$A$13:$A$17,0)),3)</f>
        <v>0.997</v>
      </c>
      <c r="AB1209">
        <f t="shared" si="129"/>
        <v>2024</v>
      </c>
      <c r="AC1209" t="str">
        <f t="shared" si="130"/>
        <v/>
      </c>
      <c r="AD1209" s="28">
        <f>ROUND((IF(ISBLANK(L1209),Employee_Lookups!$O$14,L1209)-J1209)/365.25,2)</f>
        <v>1.08</v>
      </c>
      <c r="AE1209" t="str">
        <f t="shared" si="131"/>
        <v>1 - 3 Yrs</v>
      </c>
      <c r="AF1209" t="str">
        <f t="shared" si="132"/>
        <v>High Risk</v>
      </c>
    </row>
    <row r="1210" spans="1:32" x14ac:dyDescent="0.45">
      <c r="A1210" t="s">
        <v>2071</v>
      </c>
      <c r="B1210" t="s">
        <v>1162</v>
      </c>
      <c r="C1210" t="s">
        <v>57</v>
      </c>
      <c r="D1210" t="s">
        <v>56</v>
      </c>
      <c r="E1210" t="s">
        <v>160</v>
      </c>
      <c r="F1210" t="s">
        <v>81</v>
      </c>
      <c r="G1210" t="s">
        <v>161</v>
      </c>
      <c r="H1210" t="s">
        <v>111</v>
      </c>
      <c r="I1210" t="s">
        <v>110</v>
      </c>
      <c r="J1210" s="26">
        <v>45629</v>
      </c>
      <c r="K1210" t="s">
        <v>162</v>
      </c>
      <c r="L1210" s="26"/>
      <c r="M1210" t="s">
        <v>163</v>
      </c>
      <c r="N1210" t="s">
        <v>95</v>
      </c>
      <c r="O1210" s="27">
        <v>789000</v>
      </c>
      <c r="P1210">
        <v>5</v>
      </c>
      <c r="Q1210" t="s">
        <v>164</v>
      </c>
      <c r="R1210">
        <v>17</v>
      </c>
      <c r="S1210" t="s">
        <v>165</v>
      </c>
      <c r="T1210">
        <f t="shared" si="126"/>
        <v>10321</v>
      </c>
      <c r="U1210" t="str">
        <f t="shared" si="127"/>
        <v>MKT</v>
      </c>
      <c r="V1210" t="str">
        <f t="shared" si="128"/>
        <v>L1</v>
      </c>
      <c r="W1210" t="str">
        <f>PROPER(TRIM(VLOOKUP(S1210,Employee_Lookups!$I$4:$M$19,2,FALSE())))</f>
        <v>Arjun Sengupta</v>
      </c>
      <c r="X1210" t="str">
        <f>VLOOKUP(C1210,Employee_Lookups!$A$4:$G$9,4,FALSE())</f>
        <v>CC-606</v>
      </c>
      <c r="Y1210" t="str">
        <f>INDEX(Employee_Lookups!$C$13:$C$17,MATCH(F1210,Employee_Lookups!$A$13:$A$17,0))</f>
        <v>Band A (Entry)</v>
      </c>
      <c r="Z1210" s="27">
        <f>_xlfn.XLOOKUP(F1210,Employee_Lookups!$A$13:$A$17,Employee_Lookups!$E$13:$E$17,0)</f>
        <v>700000</v>
      </c>
      <c r="AA1210" s="28">
        <f>ROUND(O1210/INDEX(Employee_Lookups!$E$13:$E$17,MATCH(F1210,Employee_Lookups!$A$13:$A$17,0)),3)</f>
        <v>1.127</v>
      </c>
      <c r="AB1210">
        <f t="shared" si="129"/>
        <v>2024</v>
      </c>
      <c r="AC1210" t="str">
        <f t="shared" si="130"/>
        <v/>
      </c>
      <c r="AD1210" s="28">
        <f>ROUND((IF(ISBLANK(L1210),Employee_Lookups!$O$14,L1210)-J1210)/365.25,2)</f>
        <v>1.08</v>
      </c>
      <c r="AE1210" t="str">
        <f t="shared" si="131"/>
        <v>1 - 3 Yrs</v>
      </c>
      <c r="AF1210" t="str">
        <f t="shared" si="132"/>
        <v>Low Risk</v>
      </c>
    </row>
    <row r="1211" spans="1:32" x14ac:dyDescent="0.45">
      <c r="A1211" t="s">
        <v>2072</v>
      </c>
      <c r="B1211" t="s">
        <v>793</v>
      </c>
      <c r="C1211" t="s">
        <v>51</v>
      </c>
      <c r="D1211" t="s">
        <v>50</v>
      </c>
      <c r="E1211" t="s">
        <v>181</v>
      </c>
      <c r="F1211" t="s">
        <v>81</v>
      </c>
      <c r="G1211" t="s">
        <v>182</v>
      </c>
      <c r="H1211" t="s">
        <v>108</v>
      </c>
      <c r="I1211" t="s">
        <v>107</v>
      </c>
      <c r="J1211" s="26">
        <v>45630</v>
      </c>
      <c r="K1211" t="s">
        <v>162</v>
      </c>
      <c r="L1211" s="26"/>
      <c r="M1211" t="s">
        <v>163</v>
      </c>
      <c r="N1211" t="s">
        <v>98</v>
      </c>
      <c r="O1211" s="27">
        <v>723000</v>
      </c>
      <c r="P1211">
        <v>3</v>
      </c>
      <c r="Q1211" t="s">
        <v>164</v>
      </c>
      <c r="R1211">
        <v>37</v>
      </c>
      <c r="S1211" t="s">
        <v>244</v>
      </c>
      <c r="T1211">
        <f t="shared" si="126"/>
        <v>10638</v>
      </c>
      <c r="U1211" t="str">
        <f t="shared" si="127"/>
        <v>ENG</v>
      </c>
      <c r="V1211" t="str">
        <f t="shared" si="128"/>
        <v>L1</v>
      </c>
      <c r="W1211" t="str">
        <f>PROPER(TRIM(VLOOKUP(S1211,Employee_Lookups!$I$4:$M$19,2,FALSE())))</f>
        <v>Siddharth Nair</v>
      </c>
      <c r="X1211" t="str">
        <f>VLOOKUP(C1211,Employee_Lookups!$A$4:$G$9,4,FALSE())</f>
        <v>CC-101</v>
      </c>
      <c r="Y1211" t="str">
        <f>INDEX(Employee_Lookups!$C$13:$C$17,MATCH(F1211,Employee_Lookups!$A$13:$A$17,0))</f>
        <v>Band A (Entry)</v>
      </c>
      <c r="Z1211" s="27">
        <f>_xlfn.XLOOKUP(F1211,Employee_Lookups!$A$13:$A$17,Employee_Lookups!$E$13:$E$17,0)</f>
        <v>700000</v>
      </c>
      <c r="AA1211" s="28">
        <f>ROUND(O1211/INDEX(Employee_Lookups!$E$13:$E$17,MATCH(F1211,Employee_Lookups!$A$13:$A$17,0)),3)</f>
        <v>1.0329999999999999</v>
      </c>
      <c r="AB1211">
        <f t="shared" si="129"/>
        <v>2024</v>
      </c>
      <c r="AC1211" t="str">
        <f t="shared" si="130"/>
        <v/>
      </c>
      <c r="AD1211" s="28">
        <f>ROUND((IF(ISBLANK(L1211),Employee_Lookups!$O$14,L1211)-J1211)/365.25,2)</f>
        <v>1.07</v>
      </c>
      <c r="AE1211" t="str">
        <f t="shared" si="131"/>
        <v>1 - 3 Yrs</v>
      </c>
      <c r="AF1211" t="str">
        <f t="shared" si="132"/>
        <v>Low Risk</v>
      </c>
    </row>
    <row r="1212" spans="1:32" x14ac:dyDescent="0.45">
      <c r="A1212" t="s">
        <v>2073</v>
      </c>
      <c r="B1212" t="s">
        <v>1449</v>
      </c>
      <c r="C1212" t="s">
        <v>59</v>
      </c>
      <c r="D1212" t="s">
        <v>58</v>
      </c>
      <c r="E1212" t="s">
        <v>287</v>
      </c>
      <c r="F1212" t="s">
        <v>83</v>
      </c>
      <c r="G1212" t="s">
        <v>288</v>
      </c>
      <c r="H1212" t="s">
        <v>108</v>
      </c>
      <c r="I1212" t="s">
        <v>107</v>
      </c>
      <c r="J1212" s="26">
        <v>45630</v>
      </c>
      <c r="K1212" t="s">
        <v>162</v>
      </c>
      <c r="L1212" s="26"/>
      <c r="M1212" t="s">
        <v>163</v>
      </c>
      <c r="N1212" t="s">
        <v>96</v>
      </c>
      <c r="O1212" s="27">
        <v>1473000</v>
      </c>
      <c r="P1212">
        <v>4</v>
      </c>
      <c r="Q1212" t="s">
        <v>172</v>
      </c>
      <c r="R1212">
        <v>43</v>
      </c>
      <c r="S1212" t="s">
        <v>214</v>
      </c>
      <c r="T1212">
        <f t="shared" si="126"/>
        <v>10493</v>
      </c>
      <c r="U1212" t="str">
        <f t="shared" si="127"/>
        <v>FIN</v>
      </c>
      <c r="V1212" t="str">
        <f t="shared" si="128"/>
        <v>L3</v>
      </c>
      <c r="W1212" t="str">
        <f>PROPER(TRIM(VLOOKUP(S1212,Employee_Lookups!$I$4:$M$19,2,FALSE())))</f>
        <v>Aditya Gokhale</v>
      </c>
      <c r="X1212" t="str">
        <f>VLOOKUP(C1212,Employee_Lookups!$A$4:$G$9,4,FALSE())</f>
        <v>CC-404</v>
      </c>
      <c r="Y1212" t="str">
        <f>INDEX(Employee_Lookups!$C$13:$C$17,MATCH(F1212,Employee_Lookups!$A$13:$A$17,0))</f>
        <v>Band C (Senior)</v>
      </c>
      <c r="Z1212" s="27">
        <f>_xlfn.XLOOKUP(F1212,Employee_Lookups!$A$13:$A$17,Employee_Lookups!$E$13:$E$17,0)</f>
        <v>1725000</v>
      </c>
      <c r="AA1212" s="28">
        <f>ROUND(O1212/INDEX(Employee_Lookups!$E$13:$E$17,MATCH(F1212,Employee_Lookups!$A$13:$A$17,0)),3)</f>
        <v>0.85399999999999998</v>
      </c>
      <c r="AB1212">
        <f t="shared" si="129"/>
        <v>2024</v>
      </c>
      <c r="AC1212" t="str">
        <f t="shared" si="130"/>
        <v/>
      </c>
      <c r="AD1212" s="28">
        <f>ROUND((IF(ISBLANK(L1212),Employee_Lookups!$O$14,L1212)-J1212)/365.25,2)</f>
        <v>1.07</v>
      </c>
      <c r="AE1212" t="str">
        <f t="shared" si="131"/>
        <v>1 - 3 Yrs</v>
      </c>
      <c r="AF1212" t="str">
        <f t="shared" si="132"/>
        <v>High Risk</v>
      </c>
    </row>
    <row r="1213" spans="1:32" x14ac:dyDescent="0.45">
      <c r="A1213" t="s">
        <v>2074</v>
      </c>
      <c r="B1213" t="s">
        <v>882</v>
      </c>
      <c r="C1213" t="s">
        <v>55</v>
      </c>
      <c r="D1213" t="s">
        <v>54</v>
      </c>
      <c r="E1213" t="s">
        <v>229</v>
      </c>
      <c r="F1213" t="s">
        <v>82</v>
      </c>
      <c r="G1213" t="s">
        <v>230</v>
      </c>
      <c r="H1213" t="s">
        <v>106</v>
      </c>
      <c r="I1213" t="s">
        <v>107</v>
      </c>
      <c r="J1213" s="26">
        <v>45631</v>
      </c>
      <c r="K1213" t="s">
        <v>162</v>
      </c>
      <c r="L1213" s="26"/>
      <c r="M1213" t="s">
        <v>163</v>
      </c>
      <c r="N1213" t="s">
        <v>98</v>
      </c>
      <c r="O1213" s="27">
        <v>882000</v>
      </c>
      <c r="P1213">
        <v>2</v>
      </c>
      <c r="Q1213" t="s">
        <v>164</v>
      </c>
      <c r="R1213">
        <v>6</v>
      </c>
      <c r="S1213" t="s">
        <v>173</v>
      </c>
      <c r="T1213">
        <f t="shared" si="126"/>
        <v>10065</v>
      </c>
      <c r="U1213" t="str">
        <f t="shared" si="127"/>
        <v>OPS</v>
      </c>
      <c r="V1213" t="str">
        <f t="shared" si="128"/>
        <v>L2</v>
      </c>
      <c r="W1213" t="str">
        <f>PROPER(TRIM(VLOOKUP(S1213,Employee_Lookups!$I$4:$M$19,2,FALSE())))</f>
        <v>Deepak Patil</v>
      </c>
      <c r="X1213" t="str">
        <f>VLOOKUP(C1213,Employee_Lookups!$A$4:$G$9,4,FALSE())</f>
        <v>CC-303</v>
      </c>
      <c r="Y1213" t="str">
        <f>INDEX(Employee_Lookups!$C$13:$C$17,MATCH(F1213,Employee_Lookups!$A$13:$A$17,0))</f>
        <v>Band B (Mid)</v>
      </c>
      <c r="Z1213" s="27">
        <f>_xlfn.XLOOKUP(F1213,Employee_Lookups!$A$13:$A$17,Employee_Lookups!$E$13:$E$17,0)</f>
        <v>1100000</v>
      </c>
      <c r="AA1213" s="28">
        <f>ROUND(O1213/INDEX(Employee_Lookups!$E$13:$E$17,MATCH(F1213,Employee_Lookups!$A$13:$A$17,0)),3)</f>
        <v>0.80200000000000005</v>
      </c>
      <c r="AB1213">
        <f t="shared" si="129"/>
        <v>2024</v>
      </c>
      <c r="AC1213" t="str">
        <f t="shared" si="130"/>
        <v/>
      </c>
      <c r="AD1213" s="28">
        <f>ROUND((IF(ISBLANK(L1213),Employee_Lookups!$O$14,L1213)-J1213)/365.25,2)</f>
        <v>1.07</v>
      </c>
      <c r="AE1213" t="str">
        <f t="shared" si="131"/>
        <v>1 - 3 Yrs</v>
      </c>
      <c r="AF1213" t="str">
        <f t="shared" si="132"/>
        <v>Moderate Risk</v>
      </c>
    </row>
    <row r="1214" spans="1:32" x14ac:dyDescent="0.45">
      <c r="A1214" t="s">
        <v>2075</v>
      </c>
      <c r="B1214" t="s">
        <v>599</v>
      </c>
      <c r="C1214" t="s">
        <v>55</v>
      </c>
      <c r="D1214" t="s">
        <v>54</v>
      </c>
      <c r="E1214" t="s">
        <v>277</v>
      </c>
      <c r="F1214" t="s">
        <v>81</v>
      </c>
      <c r="G1214" t="s">
        <v>278</v>
      </c>
      <c r="H1214" t="s">
        <v>112</v>
      </c>
      <c r="I1214" t="s">
        <v>113</v>
      </c>
      <c r="J1214" s="26">
        <v>45633</v>
      </c>
      <c r="K1214" t="s">
        <v>162</v>
      </c>
      <c r="L1214" s="26"/>
      <c r="M1214" t="s">
        <v>163</v>
      </c>
      <c r="N1214" t="s">
        <v>98</v>
      </c>
      <c r="O1214" s="27">
        <v>669000</v>
      </c>
      <c r="P1214">
        <v>4</v>
      </c>
      <c r="Q1214" t="s">
        <v>164</v>
      </c>
      <c r="R1214">
        <v>21</v>
      </c>
      <c r="S1214" t="s">
        <v>173</v>
      </c>
      <c r="T1214">
        <f t="shared" si="126"/>
        <v>11109</v>
      </c>
      <c r="U1214" t="str">
        <f t="shared" si="127"/>
        <v>OPS</v>
      </c>
      <c r="V1214" t="str">
        <f t="shared" si="128"/>
        <v>L1</v>
      </c>
      <c r="W1214" t="str">
        <f>PROPER(TRIM(VLOOKUP(S1214,Employee_Lookups!$I$4:$M$19,2,FALSE())))</f>
        <v>Deepak Patil</v>
      </c>
      <c r="X1214" t="str">
        <f>VLOOKUP(C1214,Employee_Lookups!$A$4:$G$9,4,FALSE())</f>
        <v>CC-303</v>
      </c>
      <c r="Y1214" t="str">
        <f>INDEX(Employee_Lookups!$C$13:$C$17,MATCH(F1214,Employee_Lookups!$A$13:$A$17,0))</f>
        <v>Band A (Entry)</v>
      </c>
      <c r="Z1214" s="27">
        <f>_xlfn.XLOOKUP(F1214,Employee_Lookups!$A$13:$A$17,Employee_Lookups!$E$13:$E$17,0)</f>
        <v>700000</v>
      </c>
      <c r="AA1214" s="28">
        <f>ROUND(O1214/INDEX(Employee_Lookups!$E$13:$E$17,MATCH(F1214,Employee_Lookups!$A$13:$A$17,0)),3)</f>
        <v>0.95599999999999996</v>
      </c>
      <c r="AB1214">
        <f t="shared" si="129"/>
        <v>2024</v>
      </c>
      <c r="AC1214" t="str">
        <f t="shared" si="130"/>
        <v/>
      </c>
      <c r="AD1214" s="28">
        <f>ROUND((IF(ISBLANK(L1214),Employee_Lookups!$O$14,L1214)-J1214)/365.25,2)</f>
        <v>1.07</v>
      </c>
      <c r="AE1214" t="str">
        <f t="shared" si="131"/>
        <v>1 - 3 Yrs</v>
      </c>
      <c r="AF1214" t="str">
        <f t="shared" si="132"/>
        <v>Low Risk</v>
      </c>
    </row>
    <row r="1215" spans="1:32" x14ac:dyDescent="0.45">
      <c r="A1215" t="s">
        <v>2076</v>
      </c>
      <c r="B1215" t="s">
        <v>2077</v>
      </c>
      <c r="C1215" t="s">
        <v>53</v>
      </c>
      <c r="D1215" t="s">
        <v>52</v>
      </c>
      <c r="E1215" t="s">
        <v>322</v>
      </c>
      <c r="F1215" t="s">
        <v>81</v>
      </c>
      <c r="G1215" t="s">
        <v>323</v>
      </c>
      <c r="H1215" t="s">
        <v>112</v>
      </c>
      <c r="I1215" t="s">
        <v>113</v>
      </c>
      <c r="J1215" s="26">
        <v>45633</v>
      </c>
      <c r="K1215" t="s">
        <v>162</v>
      </c>
      <c r="L1215" s="26"/>
      <c r="M1215" t="s">
        <v>163</v>
      </c>
      <c r="N1215" t="s">
        <v>99</v>
      </c>
      <c r="O1215" s="27">
        <v>603000</v>
      </c>
      <c r="P1215">
        <v>2</v>
      </c>
      <c r="Q1215" t="s">
        <v>172</v>
      </c>
      <c r="R1215">
        <v>41</v>
      </c>
      <c r="S1215" t="s">
        <v>237</v>
      </c>
      <c r="T1215">
        <f t="shared" si="126"/>
        <v>10318</v>
      </c>
      <c r="U1215" t="str">
        <f t="shared" si="127"/>
        <v>SAL</v>
      </c>
      <c r="V1215" t="str">
        <f t="shared" si="128"/>
        <v>L1</v>
      </c>
      <c r="W1215" t="str">
        <f>PROPER(TRIM(VLOOKUP(S1215,Employee_Lookups!$I$4:$M$19,2,FALSE())))</f>
        <v>Karan Malhotra</v>
      </c>
      <c r="X1215" t="str">
        <f>VLOOKUP(C1215,Employee_Lookups!$A$4:$G$9,4,FALSE())</f>
        <v>CC-202</v>
      </c>
      <c r="Y1215" t="str">
        <f>INDEX(Employee_Lookups!$C$13:$C$17,MATCH(F1215,Employee_Lookups!$A$13:$A$17,0))</f>
        <v>Band A (Entry)</v>
      </c>
      <c r="Z1215" s="27">
        <f>_xlfn.XLOOKUP(F1215,Employee_Lookups!$A$13:$A$17,Employee_Lookups!$E$13:$E$17,0)</f>
        <v>700000</v>
      </c>
      <c r="AA1215" s="28">
        <f>ROUND(O1215/INDEX(Employee_Lookups!$E$13:$E$17,MATCH(F1215,Employee_Lookups!$A$13:$A$17,0)),3)</f>
        <v>0.86099999999999999</v>
      </c>
      <c r="AB1215">
        <f t="shared" si="129"/>
        <v>2024</v>
      </c>
      <c r="AC1215" t="str">
        <f t="shared" si="130"/>
        <v/>
      </c>
      <c r="AD1215" s="28">
        <f>ROUND((IF(ISBLANK(L1215),Employee_Lookups!$O$14,L1215)-J1215)/365.25,2)</f>
        <v>1.07</v>
      </c>
      <c r="AE1215" t="str">
        <f t="shared" si="131"/>
        <v>1 - 3 Yrs</v>
      </c>
      <c r="AF1215" t="str">
        <f t="shared" si="132"/>
        <v>High Risk</v>
      </c>
    </row>
    <row r="1216" spans="1:32" x14ac:dyDescent="0.45">
      <c r="A1216" t="s">
        <v>2078</v>
      </c>
      <c r="B1216" t="s">
        <v>2079</v>
      </c>
      <c r="C1216" t="s">
        <v>55</v>
      </c>
      <c r="D1216" t="s">
        <v>54</v>
      </c>
      <c r="E1216" t="s">
        <v>229</v>
      </c>
      <c r="F1216" t="s">
        <v>82</v>
      </c>
      <c r="G1216" t="s">
        <v>230</v>
      </c>
      <c r="H1216" t="s">
        <v>106</v>
      </c>
      <c r="I1216" t="s">
        <v>107</v>
      </c>
      <c r="J1216" s="26">
        <v>45634</v>
      </c>
      <c r="K1216" t="s">
        <v>187</v>
      </c>
      <c r="L1216" s="26">
        <v>45753</v>
      </c>
      <c r="M1216" t="s">
        <v>213</v>
      </c>
      <c r="N1216" t="s">
        <v>98</v>
      </c>
      <c r="O1216" s="27">
        <v>1062000</v>
      </c>
      <c r="P1216">
        <v>3</v>
      </c>
      <c r="Q1216" t="s">
        <v>164</v>
      </c>
      <c r="R1216">
        <v>44</v>
      </c>
      <c r="S1216" t="s">
        <v>262</v>
      </c>
      <c r="T1216">
        <f t="shared" si="126"/>
        <v>11016</v>
      </c>
      <c r="U1216" t="str">
        <f t="shared" si="127"/>
        <v>OPS</v>
      </c>
      <c r="V1216" t="str">
        <f t="shared" si="128"/>
        <v>L2</v>
      </c>
      <c r="W1216" t="str">
        <f>PROPER(TRIM(VLOOKUP(S1216,Employee_Lookups!$I$4:$M$19,2,FALSE())))</f>
        <v>Ananya Iyer</v>
      </c>
      <c r="X1216" t="str">
        <f>VLOOKUP(C1216,Employee_Lookups!$A$4:$G$9,4,FALSE())</f>
        <v>CC-303</v>
      </c>
      <c r="Y1216" t="str">
        <f>INDEX(Employee_Lookups!$C$13:$C$17,MATCH(F1216,Employee_Lookups!$A$13:$A$17,0))</f>
        <v>Band B (Mid)</v>
      </c>
      <c r="Z1216" s="27">
        <f>_xlfn.XLOOKUP(F1216,Employee_Lookups!$A$13:$A$17,Employee_Lookups!$E$13:$E$17,0)</f>
        <v>1100000</v>
      </c>
      <c r="AA1216" s="28">
        <f>ROUND(O1216/INDEX(Employee_Lookups!$E$13:$E$17,MATCH(F1216,Employee_Lookups!$A$13:$A$17,0)),3)</f>
        <v>0.96499999999999997</v>
      </c>
      <c r="AB1216">
        <f t="shared" si="129"/>
        <v>2024</v>
      </c>
      <c r="AC1216">
        <f t="shared" si="130"/>
        <v>2025</v>
      </c>
      <c r="AD1216" s="28">
        <f>ROUND((IF(ISBLANK(L1216),Employee_Lookups!$O$14,L1216)-J1216)/365.25,2)</f>
        <v>0.33</v>
      </c>
      <c r="AE1216" t="str">
        <f t="shared" si="131"/>
        <v>&lt; 1 Yr (New)</v>
      </c>
      <c r="AF1216" t="str">
        <f t="shared" si="132"/>
        <v>Exited</v>
      </c>
    </row>
    <row r="1217" spans="1:32" x14ac:dyDescent="0.45">
      <c r="A1217" t="s">
        <v>2080</v>
      </c>
      <c r="B1217" t="s">
        <v>1416</v>
      </c>
      <c r="C1217" t="s">
        <v>53</v>
      </c>
      <c r="D1217" t="s">
        <v>52</v>
      </c>
      <c r="E1217" t="s">
        <v>322</v>
      </c>
      <c r="F1217" t="s">
        <v>81</v>
      </c>
      <c r="G1217" t="s">
        <v>323</v>
      </c>
      <c r="H1217" t="s">
        <v>106</v>
      </c>
      <c r="I1217" t="s">
        <v>107</v>
      </c>
      <c r="J1217" s="26">
        <v>45637</v>
      </c>
      <c r="K1217" t="s">
        <v>162</v>
      </c>
      <c r="L1217" s="26"/>
      <c r="M1217" t="s">
        <v>163</v>
      </c>
      <c r="N1217" t="s">
        <v>98</v>
      </c>
      <c r="O1217" s="27">
        <v>749000</v>
      </c>
      <c r="P1217">
        <v>3</v>
      </c>
      <c r="Q1217" t="s">
        <v>164</v>
      </c>
      <c r="R1217">
        <v>18</v>
      </c>
      <c r="S1217" t="s">
        <v>237</v>
      </c>
      <c r="T1217">
        <f t="shared" si="126"/>
        <v>11389</v>
      </c>
      <c r="U1217" t="str">
        <f t="shared" si="127"/>
        <v>SAL</v>
      </c>
      <c r="V1217" t="str">
        <f t="shared" si="128"/>
        <v>L1</v>
      </c>
      <c r="W1217" t="str">
        <f>PROPER(TRIM(VLOOKUP(S1217,Employee_Lookups!$I$4:$M$19,2,FALSE())))</f>
        <v>Karan Malhotra</v>
      </c>
      <c r="X1217" t="str">
        <f>VLOOKUP(C1217,Employee_Lookups!$A$4:$G$9,4,FALSE())</f>
        <v>CC-202</v>
      </c>
      <c r="Y1217" t="str">
        <f>INDEX(Employee_Lookups!$C$13:$C$17,MATCH(F1217,Employee_Lookups!$A$13:$A$17,0))</f>
        <v>Band A (Entry)</v>
      </c>
      <c r="Z1217" s="27">
        <f>_xlfn.XLOOKUP(F1217,Employee_Lookups!$A$13:$A$17,Employee_Lookups!$E$13:$E$17,0)</f>
        <v>700000</v>
      </c>
      <c r="AA1217" s="28">
        <f>ROUND(O1217/INDEX(Employee_Lookups!$E$13:$E$17,MATCH(F1217,Employee_Lookups!$A$13:$A$17,0)),3)</f>
        <v>1.07</v>
      </c>
      <c r="AB1217">
        <f t="shared" si="129"/>
        <v>2024</v>
      </c>
      <c r="AC1217" t="str">
        <f t="shared" si="130"/>
        <v/>
      </c>
      <c r="AD1217" s="28">
        <f>ROUND((IF(ISBLANK(L1217),Employee_Lookups!$O$14,L1217)-J1217)/365.25,2)</f>
        <v>1.05</v>
      </c>
      <c r="AE1217" t="str">
        <f t="shared" si="131"/>
        <v>1 - 3 Yrs</v>
      </c>
      <c r="AF1217" t="str">
        <f t="shared" si="132"/>
        <v>Low Risk</v>
      </c>
    </row>
    <row r="1218" spans="1:32" x14ac:dyDescent="0.45">
      <c r="A1218" t="s">
        <v>2081</v>
      </c>
      <c r="B1218" t="s">
        <v>303</v>
      </c>
      <c r="C1218" t="s">
        <v>57</v>
      </c>
      <c r="D1218" t="s">
        <v>56</v>
      </c>
      <c r="E1218" t="s">
        <v>455</v>
      </c>
      <c r="F1218" t="s">
        <v>84</v>
      </c>
      <c r="G1218" t="s">
        <v>456</v>
      </c>
      <c r="H1218" t="s">
        <v>106</v>
      </c>
      <c r="I1218" t="s">
        <v>107</v>
      </c>
      <c r="J1218" s="26">
        <v>45640</v>
      </c>
      <c r="K1218" t="s">
        <v>162</v>
      </c>
      <c r="L1218" s="26"/>
      <c r="M1218" t="s">
        <v>163</v>
      </c>
      <c r="N1218" t="s">
        <v>95</v>
      </c>
      <c r="O1218" s="27">
        <v>2475000</v>
      </c>
      <c r="P1218">
        <v>4</v>
      </c>
      <c r="Q1218" t="s">
        <v>164</v>
      </c>
      <c r="R1218">
        <v>51</v>
      </c>
      <c r="S1218" t="s">
        <v>165</v>
      </c>
      <c r="T1218">
        <f t="shared" ref="T1218:T1281" si="133">VALUE(MID(A1218,5,5))</f>
        <v>10826</v>
      </c>
      <c r="U1218" t="str">
        <f t="shared" ref="U1218:U1281" si="134">LEFT(E1218,3)</f>
        <v>MKT</v>
      </c>
      <c r="V1218" t="str">
        <f t="shared" ref="V1218:V1281" si="135">RIGHT(E1218,2)</f>
        <v>L4</v>
      </c>
      <c r="W1218" t="str">
        <f>PROPER(TRIM(VLOOKUP(S1218,Employee_Lookups!$I$4:$M$19,2,FALSE())))</f>
        <v>Arjun Sengupta</v>
      </c>
      <c r="X1218" t="str">
        <f>VLOOKUP(C1218,Employee_Lookups!$A$4:$G$9,4,FALSE())</f>
        <v>CC-606</v>
      </c>
      <c r="Y1218" t="str">
        <f>INDEX(Employee_Lookups!$C$13:$C$17,MATCH(F1218,Employee_Lookups!$A$13:$A$17,0))</f>
        <v>Band D (Leadership)</v>
      </c>
      <c r="Z1218" s="27">
        <f>_xlfn.XLOOKUP(F1218,Employee_Lookups!$A$13:$A$17,Employee_Lookups!$E$13:$E$17,0)</f>
        <v>2750000</v>
      </c>
      <c r="AA1218" s="28">
        <f>ROUND(O1218/INDEX(Employee_Lookups!$E$13:$E$17,MATCH(F1218,Employee_Lookups!$A$13:$A$17,0)),3)</f>
        <v>0.9</v>
      </c>
      <c r="AB1218">
        <f t="shared" ref="AB1218:AB1281" si="136">YEAR(J1218)</f>
        <v>2024</v>
      </c>
      <c r="AC1218" t="str">
        <f t="shared" ref="AC1218:AC1281" si="137">IF(ISBLANK(L1218),"",YEAR(L1218))</f>
        <v/>
      </c>
      <c r="AD1218" s="28">
        <f>ROUND((IF(ISBLANK(L1218),Employee_Lookups!$O$14,L1218)-J1218)/365.25,2)</f>
        <v>1.05</v>
      </c>
      <c r="AE1218" t="str">
        <f t="shared" ref="AE1218:AE1281" si="138">IF(AD1218&lt;1,"&lt; 1 Yr (New)",IF(AD1218&lt;3,"1 - 3 Yrs",IF(AD1218&lt;5,"3 - 5 Yrs","5+ Yrs")))</f>
        <v>1 - 3 Yrs</v>
      </c>
      <c r="AF1218" t="str">
        <f t="shared" ref="AF1218:AF1281" si="139">IF(K1218&lt;&gt;"Active","Exited",IF(AND(Q1218="Yes",OR(P1218&gt;=4,AA1218&lt;0.95)),"High Risk",IF(OR(Q1218="Yes",AND(NOT(ISBLANK(P1218)),P1218&lt;=2)),"Moderate Risk","Low Risk")))</f>
        <v>Low Risk</v>
      </c>
    </row>
    <row r="1219" spans="1:32" x14ac:dyDescent="0.45">
      <c r="A1219" t="s">
        <v>2082</v>
      </c>
      <c r="B1219" t="s">
        <v>1144</v>
      </c>
      <c r="C1219" t="s">
        <v>53</v>
      </c>
      <c r="D1219" t="s">
        <v>52</v>
      </c>
      <c r="E1219" t="s">
        <v>185</v>
      </c>
      <c r="F1219" t="s">
        <v>82</v>
      </c>
      <c r="G1219" t="s">
        <v>186</v>
      </c>
      <c r="H1219" t="s">
        <v>108</v>
      </c>
      <c r="I1219" t="s">
        <v>107</v>
      </c>
      <c r="J1219" s="26">
        <v>45643</v>
      </c>
      <c r="K1219" t="s">
        <v>187</v>
      </c>
      <c r="L1219" s="26">
        <v>45975</v>
      </c>
      <c r="M1219" t="s">
        <v>282</v>
      </c>
      <c r="N1219" t="s">
        <v>95</v>
      </c>
      <c r="O1219" s="27">
        <v>1195000</v>
      </c>
      <c r="P1219">
        <v>4</v>
      </c>
      <c r="Q1219" t="s">
        <v>172</v>
      </c>
      <c r="R1219">
        <v>26</v>
      </c>
      <c r="S1219" t="s">
        <v>194</v>
      </c>
      <c r="T1219">
        <f t="shared" si="133"/>
        <v>10587</v>
      </c>
      <c r="U1219" t="str">
        <f t="shared" si="134"/>
        <v>SAL</v>
      </c>
      <c r="V1219" t="str">
        <f t="shared" si="135"/>
        <v>L2</v>
      </c>
      <c r="W1219" t="str">
        <f>PROPER(TRIM(VLOOKUP(S1219,Employee_Lookups!$I$4:$M$19,2,FALSE())))</f>
        <v>Vikramaditya Joshi</v>
      </c>
      <c r="X1219" t="str">
        <f>VLOOKUP(C1219,Employee_Lookups!$A$4:$G$9,4,FALSE())</f>
        <v>CC-202</v>
      </c>
      <c r="Y1219" t="str">
        <f>INDEX(Employee_Lookups!$C$13:$C$17,MATCH(F1219,Employee_Lookups!$A$13:$A$17,0))</f>
        <v>Band B (Mid)</v>
      </c>
      <c r="Z1219" s="27">
        <f>_xlfn.XLOOKUP(F1219,Employee_Lookups!$A$13:$A$17,Employee_Lookups!$E$13:$E$17,0)</f>
        <v>1100000</v>
      </c>
      <c r="AA1219" s="28">
        <f>ROUND(O1219/INDEX(Employee_Lookups!$E$13:$E$17,MATCH(F1219,Employee_Lookups!$A$13:$A$17,0)),3)</f>
        <v>1.0860000000000001</v>
      </c>
      <c r="AB1219">
        <f t="shared" si="136"/>
        <v>2024</v>
      </c>
      <c r="AC1219">
        <f t="shared" si="137"/>
        <v>2025</v>
      </c>
      <c r="AD1219" s="28">
        <f>ROUND((IF(ISBLANK(L1219),Employee_Lookups!$O$14,L1219)-J1219)/365.25,2)</f>
        <v>0.91</v>
      </c>
      <c r="AE1219" t="str">
        <f t="shared" si="138"/>
        <v>&lt; 1 Yr (New)</v>
      </c>
      <c r="AF1219" t="str">
        <f t="shared" si="139"/>
        <v>Exited</v>
      </c>
    </row>
    <row r="1220" spans="1:32" x14ac:dyDescent="0.45">
      <c r="A1220" t="s">
        <v>2083</v>
      </c>
      <c r="B1220" t="s">
        <v>503</v>
      </c>
      <c r="C1220" t="s">
        <v>53</v>
      </c>
      <c r="D1220" t="s">
        <v>52</v>
      </c>
      <c r="E1220" t="s">
        <v>322</v>
      </c>
      <c r="F1220" t="s">
        <v>81</v>
      </c>
      <c r="G1220" t="s">
        <v>323</v>
      </c>
      <c r="H1220" t="s">
        <v>106</v>
      </c>
      <c r="I1220" t="s">
        <v>107</v>
      </c>
      <c r="J1220" s="26">
        <v>45644</v>
      </c>
      <c r="K1220" t="s">
        <v>162</v>
      </c>
      <c r="L1220" s="26"/>
      <c r="M1220" t="s">
        <v>163</v>
      </c>
      <c r="N1220" t="s">
        <v>96</v>
      </c>
      <c r="O1220" s="27">
        <v>819000</v>
      </c>
      <c r="P1220">
        <v>5</v>
      </c>
      <c r="Q1220" t="s">
        <v>164</v>
      </c>
      <c r="R1220">
        <v>0</v>
      </c>
      <c r="S1220" t="s">
        <v>237</v>
      </c>
      <c r="T1220">
        <f t="shared" si="133"/>
        <v>10068</v>
      </c>
      <c r="U1220" t="str">
        <f t="shared" si="134"/>
        <v>SAL</v>
      </c>
      <c r="V1220" t="str">
        <f t="shared" si="135"/>
        <v>L1</v>
      </c>
      <c r="W1220" t="str">
        <f>PROPER(TRIM(VLOOKUP(S1220,Employee_Lookups!$I$4:$M$19,2,FALSE())))</f>
        <v>Karan Malhotra</v>
      </c>
      <c r="X1220" t="str">
        <f>VLOOKUP(C1220,Employee_Lookups!$A$4:$G$9,4,FALSE())</f>
        <v>CC-202</v>
      </c>
      <c r="Y1220" t="str">
        <f>INDEX(Employee_Lookups!$C$13:$C$17,MATCH(F1220,Employee_Lookups!$A$13:$A$17,0))</f>
        <v>Band A (Entry)</v>
      </c>
      <c r="Z1220" s="27">
        <f>_xlfn.XLOOKUP(F1220,Employee_Lookups!$A$13:$A$17,Employee_Lookups!$E$13:$E$17,0)</f>
        <v>700000</v>
      </c>
      <c r="AA1220" s="28">
        <f>ROUND(O1220/INDEX(Employee_Lookups!$E$13:$E$17,MATCH(F1220,Employee_Lookups!$A$13:$A$17,0)),3)</f>
        <v>1.17</v>
      </c>
      <c r="AB1220">
        <f t="shared" si="136"/>
        <v>2024</v>
      </c>
      <c r="AC1220" t="str">
        <f t="shared" si="137"/>
        <v/>
      </c>
      <c r="AD1220" s="28">
        <f>ROUND((IF(ISBLANK(L1220),Employee_Lookups!$O$14,L1220)-J1220)/365.25,2)</f>
        <v>1.03</v>
      </c>
      <c r="AE1220" t="str">
        <f t="shared" si="138"/>
        <v>1 - 3 Yrs</v>
      </c>
      <c r="AF1220" t="str">
        <f t="shared" si="139"/>
        <v>Low Risk</v>
      </c>
    </row>
    <row r="1221" spans="1:32" x14ac:dyDescent="0.45">
      <c r="A1221" t="s">
        <v>2084</v>
      </c>
      <c r="B1221" t="s">
        <v>1012</v>
      </c>
      <c r="C1221" t="s">
        <v>51</v>
      </c>
      <c r="D1221" t="s">
        <v>50</v>
      </c>
      <c r="E1221" t="s">
        <v>176</v>
      </c>
      <c r="F1221" t="s">
        <v>82</v>
      </c>
      <c r="G1221" t="s">
        <v>177</v>
      </c>
      <c r="H1221" t="s">
        <v>109</v>
      </c>
      <c r="I1221" t="s">
        <v>110</v>
      </c>
      <c r="J1221" s="26">
        <v>45645</v>
      </c>
      <c r="K1221" t="s">
        <v>162</v>
      </c>
      <c r="L1221" s="26"/>
      <c r="M1221" t="s">
        <v>163</v>
      </c>
      <c r="N1221" t="s">
        <v>95</v>
      </c>
      <c r="O1221" s="27">
        <v>1142000</v>
      </c>
      <c r="P1221">
        <v>3</v>
      </c>
      <c r="Q1221" t="s">
        <v>164</v>
      </c>
      <c r="R1221">
        <v>39</v>
      </c>
      <c r="S1221" t="s">
        <v>197</v>
      </c>
      <c r="T1221">
        <f t="shared" si="133"/>
        <v>10012</v>
      </c>
      <c r="U1221" t="str">
        <f t="shared" si="134"/>
        <v>ENG</v>
      </c>
      <c r="V1221" t="str">
        <f t="shared" si="135"/>
        <v>L2</v>
      </c>
      <c r="W1221" t="str">
        <f>PROPER(TRIM(VLOOKUP(S1221,Employee_Lookups!$I$4:$M$19,2,FALSE())))</f>
        <v>Rohan Verma</v>
      </c>
      <c r="X1221" t="str">
        <f>VLOOKUP(C1221,Employee_Lookups!$A$4:$G$9,4,FALSE())</f>
        <v>CC-101</v>
      </c>
      <c r="Y1221" t="str">
        <f>INDEX(Employee_Lookups!$C$13:$C$17,MATCH(F1221,Employee_Lookups!$A$13:$A$17,0))</f>
        <v>Band B (Mid)</v>
      </c>
      <c r="Z1221" s="27">
        <f>_xlfn.XLOOKUP(F1221,Employee_Lookups!$A$13:$A$17,Employee_Lookups!$E$13:$E$17,0)</f>
        <v>1100000</v>
      </c>
      <c r="AA1221" s="28">
        <f>ROUND(O1221/INDEX(Employee_Lookups!$E$13:$E$17,MATCH(F1221,Employee_Lookups!$A$13:$A$17,0)),3)</f>
        <v>1.038</v>
      </c>
      <c r="AB1221">
        <f t="shared" si="136"/>
        <v>2024</v>
      </c>
      <c r="AC1221" t="str">
        <f t="shared" si="137"/>
        <v/>
      </c>
      <c r="AD1221" s="28">
        <f>ROUND((IF(ISBLANK(L1221),Employee_Lookups!$O$14,L1221)-J1221)/365.25,2)</f>
        <v>1.03</v>
      </c>
      <c r="AE1221" t="str">
        <f t="shared" si="138"/>
        <v>1 - 3 Yrs</v>
      </c>
      <c r="AF1221" t="str">
        <f t="shared" si="139"/>
        <v>Low Risk</v>
      </c>
    </row>
    <row r="1222" spans="1:32" x14ac:dyDescent="0.45">
      <c r="A1222" t="s">
        <v>2085</v>
      </c>
      <c r="B1222" t="s">
        <v>276</v>
      </c>
      <c r="C1222" t="s">
        <v>53</v>
      </c>
      <c r="D1222" t="s">
        <v>52</v>
      </c>
      <c r="E1222" t="s">
        <v>192</v>
      </c>
      <c r="F1222" t="s">
        <v>83</v>
      </c>
      <c r="G1222" t="s">
        <v>193</v>
      </c>
      <c r="H1222" t="s">
        <v>108</v>
      </c>
      <c r="I1222" t="s">
        <v>107</v>
      </c>
      <c r="J1222" s="26">
        <v>45645</v>
      </c>
      <c r="K1222" t="s">
        <v>162</v>
      </c>
      <c r="L1222" s="26"/>
      <c r="M1222" t="s">
        <v>163</v>
      </c>
      <c r="N1222" t="s">
        <v>97</v>
      </c>
      <c r="O1222" s="27">
        <v>1388000</v>
      </c>
      <c r="P1222">
        <v>1</v>
      </c>
      <c r="Q1222" t="s">
        <v>172</v>
      </c>
      <c r="R1222">
        <v>27</v>
      </c>
      <c r="S1222" t="s">
        <v>237</v>
      </c>
      <c r="T1222">
        <f t="shared" si="133"/>
        <v>10250</v>
      </c>
      <c r="U1222" t="str">
        <f t="shared" si="134"/>
        <v>SAL</v>
      </c>
      <c r="V1222" t="str">
        <f t="shared" si="135"/>
        <v>L3</v>
      </c>
      <c r="W1222" t="str">
        <f>PROPER(TRIM(VLOOKUP(S1222,Employee_Lookups!$I$4:$M$19,2,FALSE())))</f>
        <v>Karan Malhotra</v>
      </c>
      <c r="X1222" t="str">
        <f>VLOOKUP(C1222,Employee_Lookups!$A$4:$G$9,4,FALSE())</f>
        <v>CC-202</v>
      </c>
      <c r="Y1222" t="str">
        <f>INDEX(Employee_Lookups!$C$13:$C$17,MATCH(F1222,Employee_Lookups!$A$13:$A$17,0))</f>
        <v>Band C (Senior)</v>
      </c>
      <c r="Z1222" s="27">
        <f>_xlfn.XLOOKUP(F1222,Employee_Lookups!$A$13:$A$17,Employee_Lookups!$E$13:$E$17,0)</f>
        <v>1725000</v>
      </c>
      <c r="AA1222" s="28">
        <f>ROUND(O1222/INDEX(Employee_Lookups!$E$13:$E$17,MATCH(F1222,Employee_Lookups!$A$13:$A$17,0)),3)</f>
        <v>0.80500000000000005</v>
      </c>
      <c r="AB1222">
        <f t="shared" si="136"/>
        <v>2024</v>
      </c>
      <c r="AC1222" t="str">
        <f t="shared" si="137"/>
        <v/>
      </c>
      <c r="AD1222" s="28">
        <f>ROUND((IF(ISBLANK(L1222),Employee_Lookups!$O$14,L1222)-J1222)/365.25,2)</f>
        <v>1.03</v>
      </c>
      <c r="AE1222" t="str">
        <f t="shared" si="138"/>
        <v>1 - 3 Yrs</v>
      </c>
      <c r="AF1222" t="str">
        <f t="shared" si="139"/>
        <v>High Risk</v>
      </c>
    </row>
    <row r="1223" spans="1:32" x14ac:dyDescent="0.45">
      <c r="A1223" t="s">
        <v>2086</v>
      </c>
      <c r="B1223" t="s">
        <v>1768</v>
      </c>
      <c r="C1223" t="s">
        <v>53</v>
      </c>
      <c r="D1223" t="s">
        <v>52</v>
      </c>
      <c r="E1223" t="s">
        <v>192</v>
      </c>
      <c r="F1223" t="s">
        <v>83</v>
      </c>
      <c r="G1223" t="s">
        <v>193</v>
      </c>
      <c r="H1223" t="s">
        <v>108</v>
      </c>
      <c r="I1223" t="s">
        <v>107</v>
      </c>
      <c r="J1223" s="26">
        <v>45646</v>
      </c>
      <c r="K1223" t="s">
        <v>187</v>
      </c>
      <c r="L1223" s="26">
        <v>45783</v>
      </c>
      <c r="M1223" t="s">
        <v>308</v>
      </c>
      <c r="N1223" t="s">
        <v>99</v>
      </c>
      <c r="O1223" s="27">
        <v>1436000</v>
      </c>
      <c r="P1223">
        <v>3</v>
      </c>
      <c r="Q1223" t="s">
        <v>172</v>
      </c>
      <c r="R1223">
        <v>46</v>
      </c>
      <c r="S1223" t="s">
        <v>237</v>
      </c>
      <c r="T1223">
        <f t="shared" si="133"/>
        <v>10472</v>
      </c>
      <c r="U1223" t="str">
        <f t="shared" si="134"/>
        <v>SAL</v>
      </c>
      <c r="V1223" t="str">
        <f t="shared" si="135"/>
        <v>L3</v>
      </c>
      <c r="W1223" t="str">
        <f>PROPER(TRIM(VLOOKUP(S1223,Employee_Lookups!$I$4:$M$19,2,FALSE())))</f>
        <v>Karan Malhotra</v>
      </c>
      <c r="X1223" t="str">
        <f>VLOOKUP(C1223,Employee_Lookups!$A$4:$G$9,4,FALSE())</f>
        <v>CC-202</v>
      </c>
      <c r="Y1223" t="str">
        <f>INDEX(Employee_Lookups!$C$13:$C$17,MATCH(F1223,Employee_Lookups!$A$13:$A$17,0))</f>
        <v>Band C (Senior)</v>
      </c>
      <c r="Z1223" s="27">
        <f>_xlfn.XLOOKUP(F1223,Employee_Lookups!$A$13:$A$17,Employee_Lookups!$E$13:$E$17,0)</f>
        <v>1725000</v>
      </c>
      <c r="AA1223" s="28">
        <f>ROUND(O1223/INDEX(Employee_Lookups!$E$13:$E$17,MATCH(F1223,Employee_Lookups!$A$13:$A$17,0)),3)</f>
        <v>0.83199999999999996</v>
      </c>
      <c r="AB1223">
        <f t="shared" si="136"/>
        <v>2024</v>
      </c>
      <c r="AC1223">
        <f t="shared" si="137"/>
        <v>2025</v>
      </c>
      <c r="AD1223" s="28">
        <f>ROUND((IF(ISBLANK(L1223),Employee_Lookups!$O$14,L1223)-J1223)/365.25,2)</f>
        <v>0.38</v>
      </c>
      <c r="AE1223" t="str">
        <f t="shared" si="138"/>
        <v>&lt; 1 Yr (New)</v>
      </c>
      <c r="AF1223" t="str">
        <f t="shared" si="139"/>
        <v>Exited</v>
      </c>
    </row>
    <row r="1224" spans="1:32" x14ac:dyDescent="0.45">
      <c r="A1224" t="s">
        <v>2087</v>
      </c>
      <c r="B1224" t="s">
        <v>419</v>
      </c>
      <c r="C1224" t="s">
        <v>55</v>
      </c>
      <c r="D1224" t="s">
        <v>54</v>
      </c>
      <c r="E1224" t="s">
        <v>277</v>
      </c>
      <c r="F1224" t="s">
        <v>81</v>
      </c>
      <c r="G1224" t="s">
        <v>278</v>
      </c>
      <c r="H1224" t="s">
        <v>108</v>
      </c>
      <c r="I1224" t="s">
        <v>107</v>
      </c>
      <c r="J1224" s="26">
        <v>45647</v>
      </c>
      <c r="K1224" t="s">
        <v>162</v>
      </c>
      <c r="L1224" s="26"/>
      <c r="M1224" t="s">
        <v>163</v>
      </c>
      <c r="N1224" t="s">
        <v>98</v>
      </c>
      <c r="O1224" s="27">
        <v>835000</v>
      </c>
      <c r="P1224">
        <v>2</v>
      </c>
      <c r="Q1224" t="s">
        <v>172</v>
      </c>
      <c r="R1224">
        <v>4</v>
      </c>
      <c r="S1224" t="s">
        <v>274</v>
      </c>
      <c r="T1224">
        <f t="shared" si="133"/>
        <v>10528</v>
      </c>
      <c r="U1224" t="str">
        <f t="shared" si="134"/>
        <v>OPS</v>
      </c>
      <c r="V1224" t="str">
        <f t="shared" si="135"/>
        <v>L1</v>
      </c>
      <c r="W1224" t="str">
        <f>PROPER(TRIM(VLOOKUP(S1224,Employee_Lookups!$I$4:$M$19,2,FALSE())))</f>
        <v>Meera Krishnan</v>
      </c>
      <c r="X1224" t="str">
        <f>VLOOKUP(C1224,Employee_Lookups!$A$4:$G$9,4,FALSE())</f>
        <v>CC-303</v>
      </c>
      <c r="Y1224" t="str">
        <f>INDEX(Employee_Lookups!$C$13:$C$17,MATCH(F1224,Employee_Lookups!$A$13:$A$17,0))</f>
        <v>Band A (Entry)</v>
      </c>
      <c r="Z1224" s="27">
        <f>_xlfn.XLOOKUP(F1224,Employee_Lookups!$A$13:$A$17,Employee_Lookups!$E$13:$E$17,0)</f>
        <v>700000</v>
      </c>
      <c r="AA1224" s="28">
        <f>ROUND(O1224/INDEX(Employee_Lookups!$E$13:$E$17,MATCH(F1224,Employee_Lookups!$A$13:$A$17,0)),3)</f>
        <v>1.1930000000000001</v>
      </c>
      <c r="AB1224">
        <f t="shared" si="136"/>
        <v>2024</v>
      </c>
      <c r="AC1224" t="str">
        <f t="shared" si="137"/>
        <v/>
      </c>
      <c r="AD1224" s="28">
        <f>ROUND((IF(ISBLANK(L1224),Employee_Lookups!$O$14,L1224)-J1224)/365.25,2)</f>
        <v>1.03</v>
      </c>
      <c r="AE1224" t="str">
        <f t="shared" si="138"/>
        <v>1 - 3 Yrs</v>
      </c>
      <c r="AF1224" t="str">
        <f t="shared" si="139"/>
        <v>Moderate Risk</v>
      </c>
    </row>
    <row r="1225" spans="1:32" x14ac:dyDescent="0.45">
      <c r="A1225" t="s">
        <v>2088</v>
      </c>
      <c r="B1225" t="s">
        <v>453</v>
      </c>
      <c r="C1225" t="s">
        <v>61</v>
      </c>
      <c r="D1225" t="s">
        <v>60</v>
      </c>
      <c r="E1225" t="s">
        <v>356</v>
      </c>
      <c r="F1225" t="s">
        <v>81</v>
      </c>
      <c r="G1225" t="s">
        <v>357</v>
      </c>
      <c r="H1225" t="s">
        <v>108</v>
      </c>
      <c r="I1225" t="s">
        <v>107</v>
      </c>
      <c r="J1225" s="26">
        <v>45649</v>
      </c>
      <c r="K1225" t="s">
        <v>162</v>
      </c>
      <c r="L1225" s="26"/>
      <c r="M1225" t="s">
        <v>163</v>
      </c>
      <c r="N1225" t="s">
        <v>96</v>
      </c>
      <c r="O1225" s="27">
        <v>694000</v>
      </c>
      <c r="P1225">
        <v>3</v>
      </c>
      <c r="Q1225" t="s">
        <v>164</v>
      </c>
      <c r="R1225">
        <v>28</v>
      </c>
      <c r="S1225" t="s">
        <v>319</v>
      </c>
      <c r="T1225">
        <f t="shared" si="133"/>
        <v>10246</v>
      </c>
      <c r="U1225" t="str">
        <f t="shared" si="134"/>
        <v>-HR</v>
      </c>
      <c r="V1225" t="str">
        <f t="shared" si="135"/>
        <v>L1</v>
      </c>
      <c r="W1225" t="str">
        <f>PROPER(TRIM(VLOOKUP(S1225,Employee_Lookups!$I$4:$M$19,2,FALSE())))</f>
        <v>Kavita Menon</v>
      </c>
      <c r="X1225" t="str">
        <f>VLOOKUP(C1225,Employee_Lookups!$A$4:$G$9,4,FALSE())</f>
        <v>CC-505</v>
      </c>
      <c r="Y1225" t="str">
        <f>INDEX(Employee_Lookups!$C$13:$C$17,MATCH(F1225,Employee_Lookups!$A$13:$A$17,0))</f>
        <v>Band A (Entry)</v>
      </c>
      <c r="Z1225" s="27">
        <f>_xlfn.XLOOKUP(F1225,Employee_Lookups!$A$13:$A$17,Employee_Lookups!$E$13:$E$17,0)</f>
        <v>700000</v>
      </c>
      <c r="AA1225" s="28">
        <f>ROUND(O1225/INDEX(Employee_Lookups!$E$13:$E$17,MATCH(F1225,Employee_Lookups!$A$13:$A$17,0)),3)</f>
        <v>0.99099999999999999</v>
      </c>
      <c r="AB1225">
        <f t="shared" si="136"/>
        <v>2024</v>
      </c>
      <c r="AC1225" t="str">
        <f t="shared" si="137"/>
        <v/>
      </c>
      <c r="AD1225" s="28">
        <f>ROUND((IF(ISBLANK(L1225),Employee_Lookups!$O$14,L1225)-J1225)/365.25,2)</f>
        <v>1.02</v>
      </c>
      <c r="AE1225" t="str">
        <f t="shared" si="138"/>
        <v>1 - 3 Yrs</v>
      </c>
      <c r="AF1225" t="str">
        <f t="shared" si="139"/>
        <v>Low Risk</v>
      </c>
    </row>
    <row r="1226" spans="1:32" x14ac:dyDescent="0.45">
      <c r="A1226" t="s">
        <v>2089</v>
      </c>
      <c r="B1226" t="s">
        <v>1296</v>
      </c>
      <c r="C1226" t="s">
        <v>51</v>
      </c>
      <c r="D1226" t="s">
        <v>50</v>
      </c>
      <c r="E1226" t="s">
        <v>176</v>
      </c>
      <c r="F1226" t="s">
        <v>82</v>
      </c>
      <c r="G1226" t="s">
        <v>177</v>
      </c>
      <c r="H1226" t="s">
        <v>106</v>
      </c>
      <c r="I1226" t="s">
        <v>107</v>
      </c>
      <c r="J1226" s="26">
        <v>45650</v>
      </c>
      <c r="K1226" t="s">
        <v>170</v>
      </c>
      <c r="L1226" s="26">
        <v>45825</v>
      </c>
      <c r="M1226" t="s">
        <v>171</v>
      </c>
      <c r="N1226" t="s">
        <v>99</v>
      </c>
      <c r="O1226" s="27">
        <v>1061000</v>
      </c>
      <c r="P1226">
        <v>2</v>
      </c>
      <c r="Q1226" t="s">
        <v>172</v>
      </c>
      <c r="R1226">
        <v>18</v>
      </c>
      <c r="S1226" t="s">
        <v>244</v>
      </c>
      <c r="T1226">
        <f t="shared" si="133"/>
        <v>10889</v>
      </c>
      <c r="U1226" t="str">
        <f t="shared" si="134"/>
        <v>ENG</v>
      </c>
      <c r="V1226" t="str">
        <f t="shared" si="135"/>
        <v>L2</v>
      </c>
      <c r="W1226" t="str">
        <f>PROPER(TRIM(VLOOKUP(S1226,Employee_Lookups!$I$4:$M$19,2,FALSE())))</f>
        <v>Siddharth Nair</v>
      </c>
      <c r="X1226" t="str">
        <f>VLOOKUP(C1226,Employee_Lookups!$A$4:$G$9,4,FALSE())</f>
        <v>CC-101</v>
      </c>
      <c r="Y1226" t="str">
        <f>INDEX(Employee_Lookups!$C$13:$C$17,MATCH(F1226,Employee_Lookups!$A$13:$A$17,0))</f>
        <v>Band B (Mid)</v>
      </c>
      <c r="Z1226" s="27">
        <f>_xlfn.XLOOKUP(F1226,Employee_Lookups!$A$13:$A$17,Employee_Lookups!$E$13:$E$17,0)</f>
        <v>1100000</v>
      </c>
      <c r="AA1226" s="28">
        <f>ROUND(O1226/INDEX(Employee_Lookups!$E$13:$E$17,MATCH(F1226,Employee_Lookups!$A$13:$A$17,0)),3)</f>
        <v>0.96499999999999997</v>
      </c>
      <c r="AB1226">
        <f t="shared" si="136"/>
        <v>2024</v>
      </c>
      <c r="AC1226">
        <f t="shared" si="137"/>
        <v>2025</v>
      </c>
      <c r="AD1226" s="28">
        <f>ROUND((IF(ISBLANK(L1226),Employee_Lookups!$O$14,L1226)-J1226)/365.25,2)</f>
        <v>0.48</v>
      </c>
      <c r="AE1226" t="str">
        <f t="shared" si="138"/>
        <v>&lt; 1 Yr (New)</v>
      </c>
      <c r="AF1226" t="str">
        <f t="shared" si="139"/>
        <v>Exited</v>
      </c>
    </row>
    <row r="1227" spans="1:32" x14ac:dyDescent="0.45">
      <c r="A1227" t="s">
        <v>2090</v>
      </c>
      <c r="B1227" t="s">
        <v>1229</v>
      </c>
      <c r="C1227" t="s">
        <v>59</v>
      </c>
      <c r="D1227" t="s">
        <v>58</v>
      </c>
      <c r="E1227" t="s">
        <v>287</v>
      </c>
      <c r="F1227" t="s">
        <v>83</v>
      </c>
      <c r="G1227" t="s">
        <v>288</v>
      </c>
      <c r="H1227" t="s">
        <v>111</v>
      </c>
      <c r="I1227" t="s">
        <v>110</v>
      </c>
      <c r="J1227" s="26">
        <v>45650</v>
      </c>
      <c r="K1227" t="s">
        <v>162</v>
      </c>
      <c r="L1227" s="26"/>
      <c r="M1227" t="s">
        <v>163</v>
      </c>
      <c r="N1227" t="s">
        <v>99</v>
      </c>
      <c r="O1227" s="27">
        <v>1563000</v>
      </c>
      <c r="P1227">
        <v>3</v>
      </c>
      <c r="Q1227" t="s">
        <v>164</v>
      </c>
      <c r="R1227">
        <v>30</v>
      </c>
      <c r="S1227" t="s">
        <v>208</v>
      </c>
      <c r="T1227">
        <f t="shared" si="133"/>
        <v>10553</v>
      </c>
      <c r="U1227" t="str">
        <f t="shared" si="134"/>
        <v>FIN</v>
      </c>
      <c r="V1227" t="str">
        <f t="shared" si="135"/>
        <v>L3</v>
      </c>
      <c r="W1227" t="str">
        <f>PROPER(TRIM(VLOOKUP(S1227,Employee_Lookups!$I$4:$M$19,2,FALSE())))</f>
        <v>Rajeshwari Rao</v>
      </c>
      <c r="X1227" t="str">
        <f>VLOOKUP(C1227,Employee_Lookups!$A$4:$G$9,4,FALSE())</f>
        <v>CC-404</v>
      </c>
      <c r="Y1227" t="str">
        <f>INDEX(Employee_Lookups!$C$13:$C$17,MATCH(F1227,Employee_Lookups!$A$13:$A$17,0))</f>
        <v>Band C (Senior)</v>
      </c>
      <c r="Z1227" s="27">
        <f>_xlfn.XLOOKUP(F1227,Employee_Lookups!$A$13:$A$17,Employee_Lookups!$E$13:$E$17,0)</f>
        <v>1725000</v>
      </c>
      <c r="AA1227" s="28">
        <f>ROUND(O1227/INDEX(Employee_Lookups!$E$13:$E$17,MATCH(F1227,Employee_Lookups!$A$13:$A$17,0)),3)</f>
        <v>0.90600000000000003</v>
      </c>
      <c r="AB1227">
        <f t="shared" si="136"/>
        <v>2024</v>
      </c>
      <c r="AC1227" t="str">
        <f t="shared" si="137"/>
        <v/>
      </c>
      <c r="AD1227" s="28">
        <f>ROUND((IF(ISBLANK(L1227),Employee_Lookups!$O$14,L1227)-J1227)/365.25,2)</f>
        <v>1.02</v>
      </c>
      <c r="AE1227" t="str">
        <f t="shared" si="138"/>
        <v>1 - 3 Yrs</v>
      </c>
      <c r="AF1227" t="str">
        <f t="shared" si="139"/>
        <v>Low Risk</v>
      </c>
    </row>
    <row r="1228" spans="1:32" x14ac:dyDescent="0.45">
      <c r="A1228" t="s">
        <v>2091</v>
      </c>
      <c r="B1228" t="s">
        <v>2092</v>
      </c>
      <c r="C1228" t="s">
        <v>51</v>
      </c>
      <c r="D1228" t="s">
        <v>50</v>
      </c>
      <c r="E1228" t="s">
        <v>181</v>
      </c>
      <c r="F1228" t="s">
        <v>81</v>
      </c>
      <c r="G1228" t="s">
        <v>182</v>
      </c>
      <c r="H1228" t="s">
        <v>109</v>
      </c>
      <c r="I1228" t="s">
        <v>110</v>
      </c>
      <c r="J1228" s="26">
        <v>45653</v>
      </c>
      <c r="K1228" t="s">
        <v>162</v>
      </c>
      <c r="L1228" s="26"/>
      <c r="M1228" t="s">
        <v>163</v>
      </c>
      <c r="N1228" t="s">
        <v>98</v>
      </c>
      <c r="O1228" s="27">
        <v>630000</v>
      </c>
      <c r="P1228">
        <v>3</v>
      </c>
      <c r="Q1228" t="s">
        <v>164</v>
      </c>
      <c r="R1228">
        <v>42</v>
      </c>
      <c r="S1228" t="s">
        <v>219</v>
      </c>
      <c r="T1228">
        <f t="shared" si="133"/>
        <v>11335</v>
      </c>
      <c r="U1228" t="str">
        <f t="shared" si="134"/>
        <v>ENG</v>
      </c>
      <c r="V1228" t="str">
        <f t="shared" si="135"/>
        <v>L1</v>
      </c>
      <c r="W1228" t="str">
        <f>PROPER(TRIM(VLOOKUP(S1228,Employee_Lookups!$I$4:$M$19,2,FALSE())))</f>
        <v>Neha Kulkarni</v>
      </c>
      <c r="X1228" t="str">
        <f>VLOOKUP(C1228,Employee_Lookups!$A$4:$G$9,4,FALSE())</f>
        <v>CC-101</v>
      </c>
      <c r="Y1228" t="str">
        <f>INDEX(Employee_Lookups!$C$13:$C$17,MATCH(F1228,Employee_Lookups!$A$13:$A$17,0))</f>
        <v>Band A (Entry)</v>
      </c>
      <c r="Z1228" s="27">
        <f>_xlfn.XLOOKUP(F1228,Employee_Lookups!$A$13:$A$17,Employee_Lookups!$E$13:$E$17,0)</f>
        <v>700000</v>
      </c>
      <c r="AA1228" s="28">
        <f>ROUND(O1228/INDEX(Employee_Lookups!$E$13:$E$17,MATCH(F1228,Employee_Lookups!$A$13:$A$17,0)),3)</f>
        <v>0.9</v>
      </c>
      <c r="AB1228">
        <f t="shared" si="136"/>
        <v>2024</v>
      </c>
      <c r="AC1228" t="str">
        <f t="shared" si="137"/>
        <v/>
      </c>
      <c r="AD1228" s="28">
        <f>ROUND((IF(ISBLANK(L1228),Employee_Lookups!$O$14,L1228)-J1228)/365.25,2)</f>
        <v>1.01</v>
      </c>
      <c r="AE1228" t="str">
        <f t="shared" si="138"/>
        <v>1 - 3 Yrs</v>
      </c>
      <c r="AF1228" t="str">
        <f t="shared" si="139"/>
        <v>Low Risk</v>
      </c>
    </row>
    <row r="1229" spans="1:32" x14ac:dyDescent="0.45">
      <c r="A1229" t="s">
        <v>2093</v>
      </c>
      <c r="B1229" t="s">
        <v>2094</v>
      </c>
      <c r="C1229" t="s">
        <v>57</v>
      </c>
      <c r="D1229" t="s">
        <v>56</v>
      </c>
      <c r="E1229" t="s">
        <v>160</v>
      </c>
      <c r="F1229" t="s">
        <v>81</v>
      </c>
      <c r="G1229" t="s">
        <v>161</v>
      </c>
      <c r="H1229" t="s">
        <v>106</v>
      </c>
      <c r="I1229" t="s">
        <v>107</v>
      </c>
      <c r="J1229" s="26">
        <v>45653</v>
      </c>
      <c r="K1229" t="s">
        <v>162</v>
      </c>
      <c r="L1229" s="26"/>
      <c r="M1229" t="s">
        <v>163</v>
      </c>
      <c r="N1229" t="s">
        <v>97</v>
      </c>
      <c r="O1229" s="27">
        <v>666000</v>
      </c>
      <c r="P1229">
        <v>4</v>
      </c>
      <c r="Q1229" t="s">
        <v>172</v>
      </c>
      <c r="R1229">
        <v>45</v>
      </c>
      <c r="S1229" t="s">
        <v>224</v>
      </c>
      <c r="T1229">
        <f t="shared" si="133"/>
        <v>10498</v>
      </c>
      <c r="U1229" t="str">
        <f t="shared" si="134"/>
        <v>MKT</v>
      </c>
      <c r="V1229" t="str">
        <f t="shared" si="135"/>
        <v>L1</v>
      </c>
      <c r="W1229" t="str">
        <f>PROPER(TRIM(VLOOKUP(S1229,Employee_Lookups!$I$4:$M$19,2,FALSE())))</f>
        <v>Tanvi Chitnis</v>
      </c>
      <c r="X1229" t="str">
        <f>VLOOKUP(C1229,Employee_Lookups!$A$4:$G$9,4,FALSE())</f>
        <v>CC-606</v>
      </c>
      <c r="Y1229" t="str">
        <f>INDEX(Employee_Lookups!$C$13:$C$17,MATCH(F1229,Employee_Lookups!$A$13:$A$17,0))</f>
        <v>Band A (Entry)</v>
      </c>
      <c r="Z1229" s="27">
        <f>_xlfn.XLOOKUP(F1229,Employee_Lookups!$A$13:$A$17,Employee_Lookups!$E$13:$E$17,0)</f>
        <v>700000</v>
      </c>
      <c r="AA1229" s="28">
        <f>ROUND(O1229/INDEX(Employee_Lookups!$E$13:$E$17,MATCH(F1229,Employee_Lookups!$A$13:$A$17,0)),3)</f>
        <v>0.95099999999999996</v>
      </c>
      <c r="AB1229">
        <f t="shared" si="136"/>
        <v>2024</v>
      </c>
      <c r="AC1229" t="str">
        <f t="shared" si="137"/>
        <v/>
      </c>
      <c r="AD1229" s="28">
        <f>ROUND((IF(ISBLANK(L1229),Employee_Lookups!$O$14,L1229)-J1229)/365.25,2)</f>
        <v>1.01</v>
      </c>
      <c r="AE1229" t="str">
        <f t="shared" si="138"/>
        <v>1 - 3 Yrs</v>
      </c>
      <c r="AF1229" t="str">
        <f t="shared" si="139"/>
        <v>High Risk</v>
      </c>
    </row>
    <row r="1230" spans="1:32" x14ac:dyDescent="0.45">
      <c r="A1230" t="s">
        <v>2095</v>
      </c>
      <c r="B1230" t="s">
        <v>1526</v>
      </c>
      <c r="C1230" t="s">
        <v>51</v>
      </c>
      <c r="D1230" t="s">
        <v>50</v>
      </c>
      <c r="E1230" t="s">
        <v>176</v>
      </c>
      <c r="F1230" t="s">
        <v>82</v>
      </c>
      <c r="G1230" t="s">
        <v>177</v>
      </c>
      <c r="H1230" t="s">
        <v>111</v>
      </c>
      <c r="I1230" t="s">
        <v>110</v>
      </c>
      <c r="J1230" s="26">
        <v>45654</v>
      </c>
      <c r="K1230" t="s">
        <v>162</v>
      </c>
      <c r="L1230" s="26"/>
      <c r="M1230" t="s">
        <v>163</v>
      </c>
      <c r="N1230" t="s">
        <v>98</v>
      </c>
      <c r="O1230" s="27">
        <v>908000</v>
      </c>
      <c r="P1230">
        <v>3</v>
      </c>
      <c r="Q1230" t="s">
        <v>172</v>
      </c>
      <c r="R1230">
        <v>43</v>
      </c>
      <c r="S1230" t="s">
        <v>197</v>
      </c>
      <c r="T1230">
        <f t="shared" si="133"/>
        <v>10132</v>
      </c>
      <c r="U1230" t="str">
        <f t="shared" si="134"/>
        <v>ENG</v>
      </c>
      <c r="V1230" t="str">
        <f t="shared" si="135"/>
        <v>L2</v>
      </c>
      <c r="W1230" t="str">
        <f>PROPER(TRIM(VLOOKUP(S1230,Employee_Lookups!$I$4:$M$19,2,FALSE())))</f>
        <v>Rohan Verma</v>
      </c>
      <c r="X1230" t="str">
        <f>VLOOKUP(C1230,Employee_Lookups!$A$4:$G$9,4,FALSE())</f>
        <v>CC-101</v>
      </c>
      <c r="Y1230" t="str">
        <f>INDEX(Employee_Lookups!$C$13:$C$17,MATCH(F1230,Employee_Lookups!$A$13:$A$17,0))</f>
        <v>Band B (Mid)</v>
      </c>
      <c r="Z1230" s="27">
        <f>_xlfn.XLOOKUP(F1230,Employee_Lookups!$A$13:$A$17,Employee_Lookups!$E$13:$E$17,0)</f>
        <v>1100000</v>
      </c>
      <c r="AA1230" s="28">
        <f>ROUND(O1230/INDEX(Employee_Lookups!$E$13:$E$17,MATCH(F1230,Employee_Lookups!$A$13:$A$17,0)),3)</f>
        <v>0.82499999999999996</v>
      </c>
      <c r="AB1230">
        <f t="shared" si="136"/>
        <v>2024</v>
      </c>
      <c r="AC1230" t="str">
        <f t="shared" si="137"/>
        <v/>
      </c>
      <c r="AD1230" s="28">
        <f>ROUND((IF(ISBLANK(L1230),Employee_Lookups!$O$14,L1230)-J1230)/365.25,2)</f>
        <v>1.01</v>
      </c>
      <c r="AE1230" t="str">
        <f t="shared" si="138"/>
        <v>1 - 3 Yrs</v>
      </c>
      <c r="AF1230" t="str">
        <f t="shared" si="139"/>
        <v>High Risk</v>
      </c>
    </row>
    <row r="1231" spans="1:32" x14ac:dyDescent="0.45">
      <c r="A1231" t="s">
        <v>2096</v>
      </c>
      <c r="B1231" t="s">
        <v>629</v>
      </c>
      <c r="C1231" t="s">
        <v>53</v>
      </c>
      <c r="D1231" t="s">
        <v>52</v>
      </c>
      <c r="E1231" t="s">
        <v>322</v>
      </c>
      <c r="F1231" t="s">
        <v>81</v>
      </c>
      <c r="G1231" t="s">
        <v>323</v>
      </c>
      <c r="H1231" t="s">
        <v>106</v>
      </c>
      <c r="I1231" t="s">
        <v>107</v>
      </c>
      <c r="J1231" s="26">
        <v>45660</v>
      </c>
      <c r="K1231" t="s">
        <v>162</v>
      </c>
      <c r="L1231" s="26"/>
      <c r="M1231" t="s">
        <v>163</v>
      </c>
      <c r="N1231" t="s">
        <v>99</v>
      </c>
      <c r="O1231" s="27">
        <v>634000</v>
      </c>
      <c r="P1231">
        <v>3</v>
      </c>
      <c r="Q1231" t="s">
        <v>164</v>
      </c>
      <c r="R1231">
        <v>20</v>
      </c>
      <c r="S1231" t="s">
        <v>189</v>
      </c>
      <c r="T1231">
        <f t="shared" si="133"/>
        <v>10302</v>
      </c>
      <c r="U1231" t="str">
        <f t="shared" si="134"/>
        <v>SAL</v>
      </c>
      <c r="V1231" t="str">
        <f t="shared" si="135"/>
        <v>L1</v>
      </c>
      <c r="W1231" t="str">
        <f>PROPER(TRIM(VLOOKUP(S1231,Employee_Lookups!$I$4:$M$19,2,FALSE())))</f>
        <v>Priya Sharma</v>
      </c>
      <c r="X1231" t="str">
        <f>VLOOKUP(C1231,Employee_Lookups!$A$4:$G$9,4,FALSE())</f>
        <v>CC-202</v>
      </c>
      <c r="Y1231" t="str">
        <f>INDEX(Employee_Lookups!$C$13:$C$17,MATCH(F1231,Employee_Lookups!$A$13:$A$17,0))</f>
        <v>Band A (Entry)</v>
      </c>
      <c r="Z1231" s="27">
        <f>_xlfn.XLOOKUP(F1231,Employee_Lookups!$A$13:$A$17,Employee_Lookups!$E$13:$E$17,0)</f>
        <v>700000</v>
      </c>
      <c r="AA1231" s="28">
        <f>ROUND(O1231/INDEX(Employee_Lookups!$E$13:$E$17,MATCH(F1231,Employee_Lookups!$A$13:$A$17,0)),3)</f>
        <v>0.90600000000000003</v>
      </c>
      <c r="AB1231">
        <f t="shared" si="136"/>
        <v>2025</v>
      </c>
      <c r="AC1231" t="str">
        <f t="shared" si="137"/>
        <v/>
      </c>
      <c r="AD1231" s="28">
        <f>ROUND((IF(ISBLANK(L1231),Employee_Lookups!$O$14,L1231)-J1231)/365.25,2)</f>
        <v>0.99</v>
      </c>
      <c r="AE1231" t="str">
        <f t="shared" si="138"/>
        <v>&lt; 1 Yr (New)</v>
      </c>
      <c r="AF1231" t="str">
        <f t="shared" si="139"/>
        <v>Low Risk</v>
      </c>
    </row>
    <row r="1232" spans="1:32" x14ac:dyDescent="0.45">
      <c r="A1232" t="s">
        <v>2097</v>
      </c>
      <c r="B1232" t="s">
        <v>2098</v>
      </c>
      <c r="C1232" t="s">
        <v>51</v>
      </c>
      <c r="D1232" t="s">
        <v>50</v>
      </c>
      <c r="E1232" t="s">
        <v>176</v>
      </c>
      <c r="F1232" t="s">
        <v>82</v>
      </c>
      <c r="G1232" t="s">
        <v>177</v>
      </c>
      <c r="H1232" t="s">
        <v>109</v>
      </c>
      <c r="I1232" t="s">
        <v>110</v>
      </c>
      <c r="J1232" s="26">
        <v>45662</v>
      </c>
      <c r="K1232" t="s">
        <v>162</v>
      </c>
      <c r="L1232" s="26"/>
      <c r="M1232" t="s">
        <v>163</v>
      </c>
      <c r="N1232" t="s">
        <v>99</v>
      </c>
      <c r="O1232" s="27">
        <v>1159000</v>
      </c>
      <c r="P1232">
        <v>2</v>
      </c>
      <c r="Q1232" t="s">
        <v>172</v>
      </c>
      <c r="R1232">
        <v>30</v>
      </c>
      <c r="S1232" t="s">
        <v>178</v>
      </c>
      <c r="T1232">
        <f t="shared" si="133"/>
        <v>10160</v>
      </c>
      <c r="U1232" t="str">
        <f t="shared" si="134"/>
        <v>ENG</v>
      </c>
      <c r="V1232" t="str">
        <f t="shared" si="135"/>
        <v>L2</v>
      </c>
      <c r="W1232" t="str">
        <f>PROPER(TRIM(VLOOKUP(S1232,Employee_Lookups!$I$4:$M$19,2,FALSE())))</f>
        <v>Aarav Deshmukh</v>
      </c>
      <c r="X1232" t="str">
        <f>VLOOKUP(C1232,Employee_Lookups!$A$4:$G$9,4,FALSE())</f>
        <v>CC-101</v>
      </c>
      <c r="Y1232" t="str">
        <f>INDEX(Employee_Lookups!$C$13:$C$17,MATCH(F1232,Employee_Lookups!$A$13:$A$17,0))</f>
        <v>Band B (Mid)</v>
      </c>
      <c r="Z1232" s="27">
        <f>_xlfn.XLOOKUP(F1232,Employee_Lookups!$A$13:$A$17,Employee_Lookups!$E$13:$E$17,0)</f>
        <v>1100000</v>
      </c>
      <c r="AA1232" s="28">
        <f>ROUND(O1232/INDEX(Employee_Lookups!$E$13:$E$17,MATCH(F1232,Employee_Lookups!$A$13:$A$17,0)),3)</f>
        <v>1.054</v>
      </c>
      <c r="AB1232">
        <f t="shared" si="136"/>
        <v>2025</v>
      </c>
      <c r="AC1232" t="str">
        <f t="shared" si="137"/>
        <v/>
      </c>
      <c r="AD1232" s="28">
        <f>ROUND((IF(ISBLANK(L1232),Employee_Lookups!$O$14,L1232)-J1232)/365.25,2)</f>
        <v>0.99</v>
      </c>
      <c r="AE1232" t="str">
        <f t="shared" si="138"/>
        <v>&lt; 1 Yr (New)</v>
      </c>
      <c r="AF1232" t="str">
        <f t="shared" si="139"/>
        <v>Moderate Risk</v>
      </c>
    </row>
    <row r="1233" spans="1:32" x14ac:dyDescent="0.45">
      <c r="A1233" t="s">
        <v>2099</v>
      </c>
      <c r="B1233" t="s">
        <v>1824</v>
      </c>
      <c r="C1233" t="s">
        <v>51</v>
      </c>
      <c r="D1233" t="s">
        <v>50</v>
      </c>
      <c r="E1233" t="s">
        <v>176</v>
      </c>
      <c r="F1233" t="s">
        <v>82</v>
      </c>
      <c r="G1233" t="s">
        <v>177</v>
      </c>
      <c r="H1233" t="s">
        <v>106</v>
      </c>
      <c r="I1233" t="s">
        <v>107</v>
      </c>
      <c r="J1233" s="26">
        <v>45664</v>
      </c>
      <c r="K1233" t="s">
        <v>162</v>
      </c>
      <c r="L1233" s="26"/>
      <c r="M1233" t="s">
        <v>163</v>
      </c>
      <c r="N1233" t="s">
        <v>97</v>
      </c>
      <c r="O1233" s="27">
        <v>1314000</v>
      </c>
      <c r="P1233">
        <v>3</v>
      </c>
      <c r="Q1233" t="s">
        <v>164</v>
      </c>
      <c r="R1233">
        <v>29</v>
      </c>
      <c r="S1233" t="s">
        <v>178</v>
      </c>
      <c r="T1233">
        <f t="shared" si="133"/>
        <v>10634</v>
      </c>
      <c r="U1233" t="str">
        <f t="shared" si="134"/>
        <v>ENG</v>
      </c>
      <c r="V1233" t="str">
        <f t="shared" si="135"/>
        <v>L2</v>
      </c>
      <c r="W1233" t="str">
        <f>PROPER(TRIM(VLOOKUP(S1233,Employee_Lookups!$I$4:$M$19,2,FALSE())))</f>
        <v>Aarav Deshmukh</v>
      </c>
      <c r="X1233" t="str">
        <f>VLOOKUP(C1233,Employee_Lookups!$A$4:$G$9,4,FALSE())</f>
        <v>CC-101</v>
      </c>
      <c r="Y1233" t="str">
        <f>INDEX(Employee_Lookups!$C$13:$C$17,MATCH(F1233,Employee_Lookups!$A$13:$A$17,0))</f>
        <v>Band B (Mid)</v>
      </c>
      <c r="Z1233" s="27">
        <f>_xlfn.XLOOKUP(F1233,Employee_Lookups!$A$13:$A$17,Employee_Lookups!$E$13:$E$17,0)</f>
        <v>1100000</v>
      </c>
      <c r="AA1233" s="28">
        <f>ROUND(O1233/INDEX(Employee_Lookups!$E$13:$E$17,MATCH(F1233,Employee_Lookups!$A$13:$A$17,0)),3)</f>
        <v>1.1950000000000001</v>
      </c>
      <c r="AB1233">
        <f t="shared" si="136"/>
        <v>2025</v>
      </c>
      <c r="AC1233" t="str">
        <f t="shared" si="137"/>
        <v/>
      </c>
      <c r="AD1233" s="28">
        <f>ROUND((IF(ISBLANK(L1233),Employee_Lookups!$O$14,L1233)-J1233)/365.25,2)</f>
        <v>0.98</v>
      </c>
      <c r="AE1233" t="str">
        <f t="shared" si="138"/>
        <v>&lt; 1 Yr (New)</v>
      </c>
      <c r="AF1233" t="str">
        <f t="shared" si="139"/>
        <v>Low Risk</v>
      </c>
    </row>
    <row r="1234" spans="1:32" x14ac:dyDescent="0.45">
      <c r="A1234" t="s">
        <v>2100</v>
      </c>
      <c r="B1234" t="s">
        <v>784</v>
      </c>
      <c r="C1234" t="s">
        <v>59</v>
      </c>
      <c r="D1234" t="s">
        <v>58</v>
      </c>
      <c r="E1234" t="s">
        <v>211</v>
      </c>
      <c r="F1234" t="s">
        <v>82</v>
      </c>
      <c r="G1234" t="s">
        <v>212</v>
      </c>
      <c r="H1234" t="s">
        <v>106</v>
      </c>
      <c r="I1234" t="s">
        <v>107</v>
      </c>
      <c r="J1234" s="26">
        <v>45665</v>
      </c>
      <c r="K1234" t="s">
        <v>162</v>
      </c>
      <c r="L1234" s="26"/>
      <c r="M1234" t="s">
        <v>163</v>
      </c>
      <c r="N1234" t="s">
        <v>99</v>
      </c>
      <c r="O1234" s="27">
        <v>1345000</v>
      </c>
      <c r="P1234">
        <v>2</v>
      </c>
      <c r="Q1234" t="s">
        <v>164</v>
      </c>
      <c r="R1234">
        <v>20</v>
      </c>
      <c r="S1234" t="s">
        <v>208</v>
      </c>
      <c r="T1234">
        <f t="shared" si="133"/>
        <v>10176</v>
      </c>
      <c r="U1234" t="str">
        <f t="shared" si="134"/>
        <v>FIN</v>
      </c>
      <c r="V1234" t="str">
        <f t="shared" si="135"/>
        <v>L2</v>
      </c>
      <c r="W1234" t="str">
        <f>PROPER(TRIM(VLOOKUP(S1234,Employee_Lookups!$I$4:$M$19,2,FALSE())))</f>
        <v>Rajeshwari Rao</v>
      </c>
      <c r="X1234" t="str">
        <f>VLOOKUP(C1234,Employee_Lookups!$A$4:$G$9,4,FALSE())</f>
        <v>CC-404</v>
      </c>
      <c r="Y1234" t="str">
        <f>INDEX(Employee_Lookups!$C$13:$C$17,MATCH(F1234,Employee_Lookups!$A$13:$A$17,0))</f>
        <v>Band B (Mid)</v>
      </c>
      <c r="Z1234" s="27">
        <f>_xlfn.XLOOKUP(F1234,Employee_Lookups!$A$13:$A$17,Employee_Lookups!$E$13:$E$17,0)</f>
        <v>1100000</v>
      </c>
      <c r="AA1234" s="28">
        <f>ROUND(O1234/INDEX(Employee_Lookups!$E$13:$E$17,MATCH(F1234,Employee_Lookups!$A$13:$A$17,0)),3)</f>
        <v>1.2230000000000001</v>
      </c>
      <c r="AB1234">
        <f t="shared" si="136"/>
        <v>2025</v>
      </c>
      <c r="AC1234" t="str">
        <f t="shared" si="137"/>
        <v/>
      </c>
      <c r="AD1234" s="28">
        <f>ROUND((IF(ISBLANK(L1234),Employee_Lookups!$O$14,L1234)-J1234)/365.25,2)</f>
        <v>0.98</v>
      </c>
      <c r="AE1234" t="str">
        <f t="shared" si="138"/>
        <v>&lt; 1 Yr (New)</v>
      </c>
      <c r="AF1234" t="str">
        <f t="shared" si="139"/>
        <v>Moderate Risk</v>
      </c>
    </row>
    <row r="1235" spans="1:32" x14ac:dyDescent="0.45">
      <c r="A1235" t="s">
        <v>2101</v>
      </c>
      <c r="B1235" t="s">
        <v>1393</v>
      </c>
      <c r="C1235" t="s">
        <v>51</v>
      </c>
      <c r="D1235" t="s">
        <v>50</v>
      </c>
      <c r="E1235" t="s">
        <v>397</v>
      </c>
      <c r="F1235" t="s">
        <v>84</v>
      </c>
      <c r="G1235" t="s">
        <v>398</v>
      </c>
      <c r="H1235" t="s">
        <v>106</v>
      </c>
      <c r="I1235" t="s">
        <v>107</v>
      </c>
      <c r="J1235" s="26">
        <v>45666</v>
      </c>
      <c r="K1235" t="s">
        <v>162</v>
      </c>
      <c r="L1235" s="26"/>
      <c r="M1235" t="s">
        <v>163</v>
      </c>
      <c r="N1235" t="s">
        <v>99</v>
      </c>
      <c r="O1235" s="27">
        <v>2681000</v>
      </c>
      <c r="P1235">
        <v>4</v>
      </c>
      <c r="Q1235" t="s">
        <v>164</v>
      </c>
      <c r="R1235">
        <v>45</v>
      </c>
      <c r="S1235" t="s">
        <v>219</v>
      </c>
      <c r="T1235">
        <f t="shared" si="133"/>
        <v>10260</v>
      </c>
      <c r="U1235" t="str">
        <f t="shared" si="134"/>
        <v>ENG</v>
      </c>
      <c r="V1235" t="str">
        <f t="shared" si="135"/>
        <v>L4</v>
      </c>
      <c r="W1235" t="str">
        <f>PROPER(TRIM(VLOOKUP(S1235,Employee_Lookups!$I$4:$M$19,2,FALSE())))</f>
        <v>Neha Kulkarni</v>
      </c>
      <c r="X1235" t="str">
        <f>VLOOKUP(C1235,Employee_Lookups!$A$4:$G$9,4,FALSE())</f>
        <v>CC-101</v>
      </c>
      <c r="Y1235" t="str">
        <f>INDEX(Employee_Lookups!$C$13:$C$17,MATCH(F1235,Employee_Lookups!$A$13:$A$17,0))</f>
        <v>Band D (Leadership)</v>
      </c>
      <c r="Z1235" s="27">
        <f>_xlfn.XLOOKUP(F1235,Employee_Lookups!$A$13:$A$17,Employee_Lookups!$E$13:$E$17,0)</f>
        <v>2750000</v>
      </c>
      <c r="AA1235" s="28">
        <f>ROUND(O1235/INDEX(Employee_Lookups!$E$13:$E$17,MATCH(F1235,Employee_Lookups!$A$13:$A$17,0)),3)</f>
        <v>0.97499999999999998</v>
      </c>
      <c r="AB1235">
        <f t="shared" si="136"/>
        <v>2025</v>
      </c>
      <c r="AC1235" t="str">
        <f t="shared" si="137"/>
        <v/>
      </c>
      <c r="AD1235" s="28">
        <f>ROUND((IF(ISBLANK(L1235),Employee_Lookups!$O$14,L1235)-J1235)/365.25,2)</f>
        <v>0.97</v>
      </c>
      <c r="AE1235" t="str">
        <f t="shared" si="138"/>
        <v>&lt; 1 Yr (New)</v>
      </c>
      <c r="AF1235" t="str">
        <f t="shared" si="139"/>
        <v>Low Risk</v>
      </c>
    </row>
    <row r="1236" spans="1:32" x14ac:dyDescent="0.45">
      <c r="A1236" t="s">
        <v>2102</v>
      </c>
      <c r="B1236" t="s">
        <v>1947</v>
      </c>
      <c r="C1236" t="s">
        <v>51</v>
      </c>
      <c r="D1236" t="s">
        <v>50</v>
      </c>
      <c r="E1236" t="s">
        <v>217</v>
      </c>
      <c r="F1236" t="s">
        <v>83</v>
      </c>
      <c r="G1236" t="s">
        <v>218</v>
      </c>
      <c r="H1236" t="s">
        <v>112</v>
      </c>
      <c r="I1236" t="s">
        <v>113</v>
      </c>
      <c r="J1236" s="26">
        <v>45666</v>
      </c>
      <c r="K1236" t="s">
        <v>162</v>
      </c>
      <c r="L1236" s="26"/>
      <c r="M1236" t="s">
        <v>163</v>
      </c>
      <c r="N1236" t="s">
        <v>96</v>
      </c>
      <c r="O1236" s="27">
        <v>1517000</v>
      </c>
      <c r="P1236">
        <v>3</v>
      </c>
      <c r="Q1236" t="s">
        <v>164</v>
      </c>
      <c r="R1236">
        <v>23</v>
      </c>
      <c r="S1236" t="s">
        <v>244</v>
      </c>
      <c r="T1236">
        <f t="shared" si="133"/>
        <v>10675</v>
      </c>
      <c r="U1236" t="str">
        <f t="shared" si="134"/>
        <v>ENG</v>
      </c>
      <c r="V1236" t="str">
        <f t="shared" si="135"/>
        <v>L3</v>
      </c>
      <c r="W1236" t="str">
        <f>PROPER(TRIM(VLOOKUP(S1236,Employee_Lookups!$I$4:$M$19,2,FALSE())))</f>
        <v>Siddharth Nair</v>
      </c>
      <c r="X1236" t="str">
        <f>VLOOKUP(C1236,Employee_Lookups!$A$4:$G$9,4,FALSE())</f>
        <v>CC-101</v>
      </c>
      <c r="Y1236" t="str">
        <f>INDEX(Employee_Lookups!$C$13:$C$17,MATCH(F1236,Employee_Lookups!$A$13:$A$17,0))</f>
        <v>Band C (Senior)</v>
      </c>
      <c r="Z1236" s="27">
        <f>_xlfn.XLOOKUP(F1236,Employee_Lookups!$A$13:$A$17,Employee_Lookups!$E$13:$E$17,0)</f>
        <v>1725000</v>
      </c>
      <c r="AA1236" s="28">
        <f>ROUND(O1236/INDEX(Employee_Lookups!$E$13:$E$17,MATCH(F1236,Employee_Lookups!$A$13:$A$17,0)),3)</f>
        <v>0.879</v>
      </c>
      <c r="AB1236">
        <f t="shared" si="136"/>
        <v>2025</v>
      </c>
      <c r="AC1236" t="str">
        <f t="shared" si="137"/>
        <v/>
      </c>
      <c r="AD1236" s="28">
        <f>ROUND((IF(ISBLANK(L1236),Employee_Lookups!$O$14,L1236)-J1236)/365.25,2)</f>
        <v>0.97</v>
      </c>
      <c r="AE1236" t="str">
        <f t="shared" si="138"/>
        <v>&lt; 1 Yr (New)</v>
      </c>
      <c r="AF1236" t="str">
        <f t="shared" si="139"/>
        <v>Low Risk</v>
      </c>
    </row>
    <row r="1237" spans="1:32" x14ac:dyDescent="0.45">
      <c r="A1237" t="s">
        <v>2103</v>
      </c>
      <c r="B1237" t="s">
        <v>702</v>
      </c>
      <c r="C1237" t="s">
        <v>57</v>
      </c>
      <c r="D1237" t="s">
        <v>56</v>
      </c>
      <c r="E1237" t="s">
        <v>222</v>
      </c>
      <c r="F1237" t="s">
        <v>82</v>
      </c>
      <c r="G1237" t="s">
        <v>223</v>
      </c>
      <c r="H1237" t="s">
        <v>106</v>
      </c>
      <c r="I1237" t="s">
        <v>107</v>
      </c>
      <c r="J1237" s="26">
        <v>45672</v>
      </c>
      <c r="K1237" t="s">
        <v>162</v>
      </c>
      <c r="L1237" s="26"/>
      <c r="M1237" t="s">
        <v>163</v>
      </c>
      <c r="N1237" t="s">
        <v>96</v>
      </c>
      <c r="O1237" s="27">
        <v>1231000</v>
      </c>
      <c r="P1237">
        <v>3</v>
      </c>
      <c r="Q1237" t="s">
        <v>172</v>
      </c>
      <c r="R1237">
        <v>25</v>
      </c>
      <c r="S1237" t="s">
        <v>224</v>
      </c>
      <c r="T1237">
        <f t="shared" si="133"/>
        <v>10461</v>
      </c>
      <c r="U1237" t="str">
        <f t="shared" si="134"/>
        <v>MKT</v>
      </c>
      <c r="V1237" t="str">
        <f t="shared" si="135"/>
        <v>L2</v>
      </c>
      <c r="W1237" t="str">
        <f>PROPER(TRIM(VLOOKUP(S1237,Employee_Lookups!$I$4:$M$19,2,FALSE())))</f>
        <v>Tanvi Chitnis</v>
      </c>
      <c r="X1237" t="str">
        <f>VLOOKUP(C1237,Employee_Lookups!$A$4:$G$9,4,FALSE())</f>
        <v>CC-606</v>
      </c>
      <c r="Y1237" t="str">
        <f>INDEX(Employee_Lookups!$C$13:$C$17,MATCH(F1237,Employee_Lookups!$A$13:$A$17,0))</f>
        <v>Band B (Mid)</v>
      </c>
      <c r="Z1237" s="27">
        <f>_xlfn.XLOOKUP(F1237,Employee_Lookups!$A$13:$A$17,Employee_Lookups!$E$13:$E$17,0)</f>
        <v>1100000</v>
      </c>
      <c r="AA1237" s="28">
        <f>ROUND(O1237/INDEX(Employee_Lookups!$E$13:$E$17,MATCH(F1237,Employee_Lookups!$A$13:$A$17,0)),3)</f>
        <v>1.119</v>
      </c>
      <c r="AB1237">
        <f t="shared" si="136"/>
        <v>2025</v>
      </c>
      <c r="AC1237" t="str">
        <f t="shared" si="137"/>
        <v/>
      </c>
      <c r="AD1237" s="28">
        <f>ROUND((IF(ISBLANK(L1237),Employee_Lookups!$O$14,L1237)-J1237)/365.25,2)</f>
        <v>0.96</v>
      </c>
      <c r="AE1237" t="str">
        <f t="shared" si="138"/>
        <v>&lt; 1 Yr (New)</v>
      </c>
      <c r="AF1237" t="str">
        <f t="shared" si="139"/>
        <v>Moderate Risk</v>
      </c>
    </row>
    <row r="1238" spans="1:32" x14ac:dyDescent="0.45">
      <c r="A1238" t="s">
        <v>2104</v>
      </c>
      <c r="B1238" t="s">
        <v>180</v>
      </c>
      <c r="C1238" t="s">
        <v>51</v>
      </c>
      <c r="D1238" t="s">
        <v>50</v>
      </c>
      <c r="E1238" t="s">
        <v>181</v>
      </c>
      <c r="F1238" t="s">
        <v>81</v>
      </c>
      <c r="G1238" t="s">
        <v>182</v>
      </c>
      <c r="H1238" t="s">
        <v>109</v>
      </c>
      <c r="I1238" t="s">
        <v>110</v>
      </c>
      <c r="J1238" s="26">
        <v>45673</v>
      </c>
      <c r="K1238" t="s">
        <v>162</v>
      </c>
      <c r="L1238" s="26"/>
      <c r="M1238" t="s">
        <v>163</v>
      </c>
      <c r="N1238" t="s">
        <v>97</v>
      </c>
      <c r="O1238" s="27">
        <v>558000</v>
      </c>
      <c r="P1238">
        <v>2</v>
      </c>
      <c r="Q1238" t="s">
        <v>164</v>
      </c>
      <c r="R1238">
        <v>52</v>
      </c>
      <c r="S1238" t="s">
        <v>219</v>
      </c>
      <c r="T1238">
        <f t="shared" si="133"/>
        <v>11442</v>
      </c>
      <c r="U1238" t="str">
        <f t="shared" si="134"/>
        <v>ENG</v>
      </c>
      <c r="V1238" t="str">
        <f t="shared" si="135"/>
        <v>L1</v>
      </c>
      <c r="W1238" t="str">
        <f>PROPER(TRIM(VLOOKUP(S1238,Employee_Lookups!$I$4:$M$19,2,FALSE())))</f>
        <v>Neha Kulkarni</v>
      </c>
      <c r="X1238" t="str">
        <f>VLOOKUP(C1238,Employee_Lookups!$A$4:$G$9,4,FALSE())</f>
        <v>CC-101</v>
      </c>
      <c r="Y1238" t="str">
        <f>INDEX(Employee_Lookups!$C$13:$C$17,MATCH(F1238,Employee_Lookups!$A$13:$A$17,0))</f>
        <v>Band A (Entry)</v>
      </c>
      <c r="Z1238" s="27">
        <f>_xlfn.XLOOKUP(F1238,Employee_Lookups!$A$13:$A$17,Employee_Lookups!$E$13:$E$17,0)</f>
        <v>700000</v>
      </c>
      <c r="AA1238" s="28">
        <f>ROUND(O1238/INDEX(Employee_Lookups!$E$13:$E$17,MATCH(F1238,Employee_Lookups!$A$13:$A$17,0)),3)</f>
        <v>0.79700000000000004</v>
      </c>
      <c r="AB1238">
        <f t="shared" si="136"/>
        <v>2025</v>
      </c>
      <c r="AC1238" t="str">
        <f t="shared" si="137"/>
        <v/>
      </c>
      <c r="AD1238" s="28">
        <f>ROUND((IF(ISBLANK(L1238),Employee_Lookups!$O$14,L1238)-J1238)/365.25,2)</f>
        <v>0.96</v>
      </c>
      <c r="AE1238" t="str">
        <f t="shared" si="138"/>
        <v>&lt; 1 Yr (New)</v>
      </c>
      <c r="AF1238" t="str">
        <f t="shared" si="139"/>
        <v>Moderate Risk</v>
      </c>
    </row>
    <row r="1239" spans="1:32" x14ac:dyDescent="0.45">
      <c r="A1239" t="s">
        <v>2105</v>
      </c>
      <c r="B1239" t="s">
        <v>2106</v>
      </c>
      <c r="C1239" t="s">
        <v>53</v>
      </c>
      <c r="D1239" t="s">
        <v>52</v>
      </c>
      <c r="E1239" t="s">
        <v>322</v>
      </c>
      <c r="F1239" t="s">
        <v>81</v>
      </c>
      <c r="G1239" t="s">
        <v>323</v>
      </c>
      <c r="H1239" t="s">
        <v>108</v>
      </c>
      <c r="I1239" t="s">
        <v>107</v>
      </c>
      <c r="J1239" s="26">
        <v>45673</v>
      </c>
      <c r="K1239" t="s">
        <v>162</v>
      </c>
      <c r="L1239" s="26"/>
      <c r="M1239" t="s">
        <v>163</v>
      </c>
      <c r="N1239" t="s">
        <v>99</v>
      </c>
      <c r="O1239" s="27">
        <v>552000</v>
      </c>
      <c r="P1239">
        <v>3</v>
      </c>
      <c r="Q1239" t="s">
        <v>172</v>
      </c>
      <c r="R1239">
        <v>36</v>
      </c>
      <c r="S1239" t="s">
        <v>194</v>
      </c>
      <c r="T1239">
        <f t="shared" si="133"/>
        <v>10781</v>
      </c>
      <c r="U1239" t="str">
        <f t="shared" si="134"/>
        <v>SAL</v>
      </c>
      <c r="V1239" t="str">
        <f t="shared" si="135"/>
        <v>L1</v>
      </c>
      <c r="W1239" t="str">
        <f>PROPER(TRIM(VLOOKUP(S1239,Employee_Lookups!$I$4:$M$19,2,FALSE())))</f>
        <v>Vikramaditya Joshi</v>
      </c>
      <c r="X1239" t="str">
        <f>VLOOKUP(C1239,Employee_Lookups!$A$4:$G$9,4,FALSE())</f>
        <v>CC-202</v>
      </c>
      <c r="Y1239" t="str">
        <f>INDEX(Employee_Lookups!$C$13:$C$17,MATCH(F1239,Employee_Lookups!$A$13:$A$17,0))</f>
        <v>Band A (Entry)</v>
      </c>
      <c r="Z1239" s="27">
        <f>_xlfn.XLOOKUP(F1239,Employee_Lookups!$A$13:$A$17,Employee_Lookups!$E$13:$E$17,0)</f>
        <v>700000</v>
      </c>
      <c r="AA1239" s="28">
        <f>ROUND(O1239/INDEX(Employee_Lookups!$E$13:$E$17,MATCH(F1239,Employee_Lookups!$A$13:$A$17,0)),3)</f>
        <v>0.78900000000000003</v>
      </c>
      <c r="AB1239">
        <f t="shared" si="136"/>
        <v>2025</v>
      </c>
      <c r="AC1239" t="str">
        <f t="shared" si="137"/>
        <v/>
      </c>
      <c r="AD1239" s="28">
        <f>ROUND((IF(ISBLANK(L1239),Employee_Lookups!$O$14,L1239)-J1239)/365.25,2)</f>
        <v>0.96</v>
      </c>
      <c r="AE1239" t="str">
        <f t="shared" si="138"/>
        <v>&lt; 1 Yr (New)</v>
      </c>
      <c r="AF1239" t="str">
        <f t="shared" si="139"/>
        <v>High Risk</v>
      </c>
    </row>
    <row r="1240" spans="1:32" x14ac:dyDescent="0.45">
      <c r="A1240" t="s">
        <v>2107</v>
      </c>
      <c r="B1240" t="s">
        <v>2108</v>
      </c>
      <c r="C1240" t="s">
        <v>53</v>
      </c>
      <c r="D1240" t="s">
        <v>52</v>
      </c>
      <c r="E1240" t="s">
        <v>185</v>
      </c>
      <c r="F1240" t="s">
        <v>82</v>
      </c>
      <c r="G1240" t="s">
        <v>186</v>
      </c>
      <c r="H1240" t="s">
        <v>106</v>
      </c>
      <c r="I1240" t="s">
        <v>107</v>
      </c>
      <c r="J1240" s="26">
        <v>45674</v>
      </c>
      <c r="K1240" t="s">
        <v>162</v>
      </c>
      <c r="L1240" s="26"/>
      <c r="M1240" t="s">
        <v>163</v>
      </c>
      <c r="N1240" t="s">
        <v>97</v>
      </c>
      <c r="O1240" s="27">
        <v>1235000</v>
      </c>
      <c r="P1240">
        <v>3</v>
      </c>
      <c r="Q1240" t="s">
        <v>164</v>
      </c>
      <c r="R1240">
        <v>43</v>
      </c>
      <c r="S1240" t="s">
        <v>237</v>
      </c>
      <c r="T1240">
        <f t="shared" si="133"/>
        <v>10766</v>
      </c>
      <c r="U1240" t="str">
        <f t="shared" si="134"/>
        <v>SAL</v>
      </c>
      <c r="V1240" t="str">
        <f t="shared" si="135"/>
        <v>L2</v>
      </c>
      <c r="W1240" t="str">
        <f>PROPER(TRIM(VLOOKUP(S1240,Employee_Lookups!$I$4:$M$19,2,FALSE())))</f>
        <v>Karan Malhotra</v>
      </c>
      <c r="X1240" t="str">
        <f>VLOOKUP(C1240,Employee_Lookups!$A$4:$G$9,4,FALSE())</f>
        <v>CC-202</v>
      </c>
      <c r="Y1240" t="str">
        <f>INDEX(Employee_Lookups!$C$13:$C$17,MATCH(F1240,Employee_Lookups!$A$13:$A$17,0))</f>
        <v>Band B (Mid)</v>
      </c>
      <c r="Z1240" s="27">
        <f>_xlfn.XLOOKUP(F1240,Employee_Lookups!$A$13:$A$17,Employee_Lookups!$E$13:$E$17,0)</f>
        <v>1100000</v>
      </c>
      <c r="AA1240" s="28">
        <f>ROUND(O1240/INDEX(Employee_Lookups!$E$13:$E$17,MATCH(F1240,Employee_Lookups!$A$13:$A$17,0)),3)</f>
        <v>1.123</v>
      </c>
      <c r="AB1240">
        <f t="shared" si="136"/>
        <v>2025</v>
      </c>
      <c r="AC1240" t="str">
        <f t="shared" si="137"/>
        <v/>
      </c>
      <c r="AD1240" s="28">
        <f>ROUND((IF(ISBLANK(L1240),Employee_Lookups!$O$14,L1240)-J1240)/365.25,2)</f>
        <v>0.95</v>
      </c>
      <c r="AE1240" t="str">
        <f t="shared" si="138"/>
        <v>&lt; 1 Yr (New)</v>
      </c>
      <c r="AF1240" t="str">
        <f t="shared" si="139"/>
        <v>Low Risk</v>
      </c>
    </row>
    <row r="1241" spans="1:32" x14ac:dyDescent="0.45">
      <c r="A1241" t="s">
        <v>2109</v>
      </c>
      <c r="B1241" t="s">
        <v>877</v>
      </c>
      <c r="C1241" t="s">
        <v>53</v>
      </c>
      <c r="D1241" t="s">
        <v>52</v>
      </c>
      <c r="E1241" t="s">
        <v>185</v>
      </c>
      <c r="F1241" t="s">
        <v>82</v>
      </c>
      <c r="G1241" t="s">
        <v>186</v>
      </c>
      <c r="H1241" t="s">
        <v>108</v>
      </c>
      <c r="I1241" t="s">
        <v>107</v>
      </c>
      <c r="J1241" s="26">
        <v>45674</v>
      </c>
      <c r="K1241" t="s">
        <v>162</v>
      </c>
      <c r="L1241" s="26"/>
      <c r="M1241" t="s">
        <v>163</v>
      </c>
      <c r="N1241" t="s">
        <v>95</v>
      </c>
      <c r="O1241" s="27">
        <v>1055000</v>
      </c>
      <c r="P1241">
        <v>2</v>
      </c>
      <c r="Q1241" t="s">
        <v>172</v>
      </c>
      <c r="R1241">
        <v>10</v>
      </c>
      <c r="S1241" t="s">
        <v>194</v>
      </c>
      <c r="T1241">
        <f t="shared" si="133"/>
        <v>11306</v>
      </c>
      <c r="U1241" t="str">
        <f t="shared" si="134"/>
        <v>SAL</v>
      </c>
      <c r="V1241" t="str">
        <f t="shared" si="135"/>
        <v>L2</v>
      </c>
      <c r="W1241" t="str">
        <f>PROPER(TRIM(VLOOKUP(S1241,Employee_Lookups!$I$4:$M$19,2,FALSE())))</f>
        <v>Vikramaditya Joshi</v>
      </c>
      <c r="X1241" t="str">
        <f>VLOOKUP(C1241,Employee_Lookups!$A$4:$G$9,4,FALSE())</f>
        <v>CC-202</v>
      </c>
      <c r="Y1241" t="str">
        <f>INDEX(Employee_Lookups!$C$13:$C$17,MATCH(F1241,Employee_Lookups!$A$13:$A$17,0))</f>
        <v>Band B (Mid)</v>
      </c>
      <c r="Z1241" s="27">
        <f>_xlfn.XLOOKUP(F1241,Employee_Lookups!$A$13:$A$17,Employee_Lookups!$E$13:$E$17,0)</f>
        <v>1100000</v>
      </c>
      <c r="AA1241" s="28">
        <f>ROUND(O1241/INDEX(Employee_Lookups!$E$13:$E$17,MATCH(F1241,Employee_Lookups!$A$13:$A$17,0)),3)</f>
        <v>0.95899999999999996</v>
      </c>
      <c r="AB1241">
        <f t="shared" si="136"/>
        <v>2025</v>
      </c>
      <c r="AC1241" t="str">
        <f t="shared" si="137"/>
        <v/>
      </c>
      <c r="AD1241" s="28">
        <f>ROUND((IF(ISBLANK(L1241),Employee_Lookups!$O$14,L1241)-J1241)/365.25,2)</f>
        <v>0.95</v>
      </c>
      <c r="AE1241" t="str">
        <f t="shared" si="138"/>
        <v>&lt; 1 Yr (New)</v>
      </c>
      <c r="AF1241" t="str">
        <f t="shared" si="139"/>
        <v>Moderate Risk</v>
      </c>
    </row>
    <row r="1242" spans="1:32" x14ac:dyDescent="0.45">
      <c r="A1242" t="s">
        <v>2110</v>
      </c>
      <c r="B1242" t="s">
        <v>1897</v>
      </c>
      <c r="C1242" t="s">
        <v>57</v>
      </c>
      <c r="D1242" t="s">
        <v>56</v>
      </c>
      <c r="E1242" t="s">
        <v>455</v>
      </c>
      <c r="F1242" t="s">
        <v>84</v>
      </c>
      <c r="G1242" t="s">
        <v>456</v>
      </c>
      <c r="H1242" t="s">
        <v>106</v>
      </c>
      <c r="I1242" t="s">
        <v>107</v>
      </c>
      <c r="J1242" s="26">
        <v>45674</v>
      </c>
      <c r="K1242" t="s">
        <v>162</v>
      </c>
      <c r="L1242" s="26"/>
      <c r="M1242" t="s">
        <v>163</v>
      </c>
      <c r="N1242" t="s">
        <v>97</v>
      </c>
      <c r="O1242" s="27">
        <v>2342000</v>
      </c>
      <c r="P1242">
        <v>3</v>
      </c>
      <c r="Q1242" t="s">
        <v>172</v>
      </c>
      <c r="R1242">
        <v>41</v>
      </c>
      <c r="S1242" t="s">
        <v>224</v>
      </c>
      <c r="T1242">
        <f t="shared" si="133"/>
        <v>10032</v>
      </c>
      <c r="U1242" t="str">
        <f t="shared" si="134"/>
        <v>MKT</v>
      </c>
      <c r="V1242" t="str">
        <f t="shared" si="135"/>
        <v>L4</v>
      </c>
      <c r="W1242" t="str">
        <f>PROPER(TRIM(VLOOKUP(S1242,Employee_Lookups!$I$4:$M$19,2,FALSE())))</f>
        <v>Tanvi Chitnis</v>
      </c>
      <c r="X1242" t="str">
        <f>VLOOKUP(C1242,Employee_Lookups!$A$4:$G$9,4,FALSE())</f>
        <v>CC-606</v>
      </c>
      <c r="Y1242" t="str">
        <f>INDEX(Employee_Lookups!$C$13:$C$17,MATCH(F1242,Employee_Lookups!$A$13:$A$17,0))</f>
        <v>Band D (Leadership)</v>
      </c>
      <c r="Z1242" s="27">
        <f>_xlfn.XLOOKUP(F1242,Employee_Lookups!$A$13:$A$17,Employee_Lookups!$E$13:$E$17,0)</f>
        <v>2750000</v>
      </c>
      <c r="AA1242" s="28">
        <f>ROUND(O1242/INDEX(Employee_Lookups!$E$13:$E$17,MATCH(F1242,Employee_Lookups!$A$13:$A$17,0)),3)</f>
        <v>0.85199999999999998</v>
      </c>
      <c r="AB1242">
        <f t="shared" si="136"/>
        <v>2025</v>
      </c>
      <c r="AC1242" t="str">
        <f t="shared" si="137"/>
        <v/>
      </c>
      <c r="AD1242" s="28">
        <f>ROUND((IF(ISBLANK(L1242),Employee_Lookups!$O$14,L1242)-J1242)/365.25,2)</f>
        <v>0.95</v>
      </c>
      <c r="AE1242" t="str">
        <f t="shared" si="138"/>
        <v>&lt; 1 Yr (New)</v>
      </c>
      <c r="AF1242" t="str">
        <f t="shared" si="139"/>
        <v>High Risk</v>
      </c>
    </row>
    <row r="1243" spans="1:32" x14ac:dyDescent="0.45">
      <c r="A1243" t="s">
        <v>2111</v>
      </c>
      <c r="B1243" t="s">
        <v>1179</v>
      </c>
      <c r="C1243" t="s">
        <v>59</v>
      </c>
      <c r="D1243" t="s">
        <v>58</v>
      </c>
      <c r="E1243" t="s">
        <v>211</v>
      </c>
      <c r="F1243" t="s">
        <v>82</v>
      </c>
      <c r="G1243" t="s">
        <v>212</v>
      </c>
      <c r="H1243" t="s">
        <v>106</v>
      </c>
      <c r="I1243" t="s">
        <v>107</v>
      </c>
      <c r="J1243" s="26">
        <v>45676</v>
      </c>
      <c r="K1243" t="s">
        <v>162</v>
      </c>
      <c r="L1243" s="26"/>
      <c r="M1243" t="s">
        <v>163</v>
      </c>
      <c r="N1243" t="s">
        <v>99</v>
      </c>
      <c r="O1243" s="27">
        <v>1022000</v>
      </c>
      <c r="P1243">
        <v>4</v>
      </c>
      <c r="Q1243" t="s">
        <v>164</v>
      </c>
      <c r="R1243">
        <v>61</v>
      </c>
      <c r="S1243" t="s">
        <v>208</v>
      </c>
      <c r="T1243">
        <f t="shared" si="133"/>
        <v>11347</v>
      </c>
      <c r="U1243" t="str">
        <f t="shared" si="134"/>
        <v>FIN</v>
      </c>
      <c r="V1243" t="str">
        <f t="shared" si="135"/>
        <v>L2</v>
      </c>
      <c r="W1243" t="str">
        <f>PROPER(TRIM(VLOOKUP(S1243,Employee_Lookups!$I$4:$M$19,2,FALSE())))</f>
        <v>Rajeshwari Rao</v>
      </c>
      <c r="X1243" t="str">
        <f>VLOOKUP(C1243,Employee_Lookups!$A$4:$G$9,4,FALSE())</f>
        <v>CC-404</v>
      </c>
      <c r="Y1243" t="str">
        <f>INDEX(Employee_Lookups!$C$13:$C$17,MATCH(F1243,Employee_Lookups!$A$13:$A$17,0))</f>
        <v>Band B (Mid)</v>
      </c>
      <c r="Z1243" s="27">
        <f>_xlfn.XLOOKUP(F1243,Employee_Lookups!$A$13:$A$17,Employee_Lookups!$E$13:$E$17,0)</f>
        <v>1100000</v>
      </c>
      <c r="AA1243" s="28">
        <f>ROUND(O1243/INDEX(Employee_Lookups!$E$13:$E$17,MATCH(F1243,Employee_Lookups!$A$13:$A$17,0)),3)</f>
        <v>0.92900000000000005</v>
      </c>
      <c r="AB1243">
        <f t="shared" si="136"/>
        <v>2025</v>
      </c>
      <c r="AC1243" t="str">
        <f t="shared" si="137"/>
        <v/>
      </c>
      <c r="AD1243" s="28">
        <f>ROUND((IF(ISBLANK(L1243),Employee_Lookups!$O$14,L1243)-J1243)/365.25,2)</f>
        <v>0.95</v>
      </c>
      <c r="AE1243" t="str">
        <f t="shared" si="138"/>
        <v>&lt; 1 Yr (New)</v>
      </c>
      <c r="AF1243" t="str">
        <f t="shared" si="139"/>
        <v>Low Risk</v>
      </c>
    </row>
    <row r="1244" spans="1:32" x14ac:dyDescent="0.45">
      <c r="A1244" t="s">
        <v>2112</v>
      </c>
      <c r="B1244" t="s">
        <v>828</v>
      </c>
      <c r="C1244" t="s">
        <v>59</v>
      </c>
      <c r="D1244" t="s">
        <v>58</v>
      </c>
      <c r="E1244" t="s">
        <v>211</v>
      </c>
      <c r="F1244" t="s">
        <v>82</v>
      </c>
      <c r="G1244" t="s">
        <v>212</v>
      </c>
      <c r="H1244" t="s">
        <v>106</v>
      </c>
      <c r="I1244" t="s">
        <v>107</v>
      </c>
      <c r="J1244" s="26">
        <v>45678</v>
      </c>
      <c r="K1244" t="s">
        <v>162</v>
      </c>
      <c r="L1244" s="26"/>
      <c r="M1244" t="s">
        <v>163</v>
      </c>
      <c r="N1244" t="s">
        <v>96</v>
      </c>
      <c r="O1244" s="27">
        <v>1346000</v>
      </c>
      <c r="P1244">
        <v>4</v>
      </c>
      <c r="Q1244" t="s">
        <v>172</v>
      </c>
      <c r="R1244">
        <v>37</v>
      </c>
      <c r="S1244" t="s">
        <v>214</v>
      </c>
      <c r="T1244">
        <f t="shared" si="133"/>
        <v>10307</v>
      </c>
      <c r="U1244" t="str">
        <f t="shared" si="134"/>
        <v>FIN</v>
      </c>
      <c r="V1244" t="str">
        <f t="shared" si="135"/>
        <v>L2</v>
      </c>
      <c r="W1244" t="str">
        <f>PROPER(TRIM(VLOOKUP(S1244,Employee_Lookups!$I$4:$M$19,2,FALSE())))</f>
        <v>Aditya Gokhale</v>
      </c>
      <c r="X1244" t="str">
        <f>VLOOKUP(C1244,Employee_Lookups!$A$4:$G$9,4,FALSE())</f>
        <v>CC-404</v>
      </c>
      <c r="Y1244" t="str">
        <f>INDEX(Employee_Lookups!$C$13:$C$17,MATCH(F1244,Employee_Lookups!$A$13:$A$17,0))</f>
        <v>Band B (Mid)</v>
      </c>
      <c r="Z1244" s="27">
        <f>_xlfn.XLOOKUP(F1244,Employee_Lookups!$A$13:$A$17,Employee_Lookups!$E$13:$E$17,0)</f>
        <v>1100000</v>
      </c>
      <c r="AA1244" s="28">
        <f>ROUND(O1244/INDEX(Employee_Lookups!$E$13:$E$17,MATCH(F1244,Employee_Lookups!$A$13:$A$17,0)),3)</f>
        <v>1.224</v>
      </c>
      <c r="AB1244">
        <f t="shared" si="136"/>
        <v>2025</v>
      </c>
      <c r="AC1244" t="str">
        <f t="shared" si="137"/>
        <v/>
      </c>
      <c r="AD1244" s="28">
        <f>ROUND((IF(ISBLANK(L1244),Employee_Lookups!$O$14,L1244)-J1244)/365.25,2)</f>
        <v>0.94</v>
      </c>
      <c r="AE1244" t="str">
        <f t="shared" si="138"/>
        <v>&lt; 1 Yr (New)</v>
      </c>
      <c r="AF1244" t="str">
        <f t="shared" si="139"/>
        <v>High Risk</v>
      </c>
    </row>
    <row r="1245" spans="1:32" x14ac:dyDescent="0.45">
      <c r="A1245" t="s">
        <v>2113</v>
      </c>
      <c r="B1245" t="s">
        <v>986</v>
      </c>
      <c r="C1245" t="s">
        <v>55</v>
      </c>
      <c r="D1245" t="s">
        <v>54</v>
      </c>
      <c r="E1245" t="s">
        <v>229</v>
      </c>
      <c r="F1245" t="s">
        <v>82</v>
      </c>
      <c r="G1245" t="s">
        <v>230</v>
      </c>
      <c r="H1245" t="s">
        <v>111</v>
      </c>
      <c r="I1245" t="s">
        <v>110</v>
      </c>
      <c r="J1245" s="26">
        <v>45679</v>
      </c>
      <c r="K1245" t="s">
        <v>162</v>
      </c>
      <c r="L1245" s="26"/>
      <c r="M1245" t="s">
        <v>163</v>
      </c>
      <c r="N1245" t="s">
        <v>99</v>
      </c>
      <c r="O1245" s="27">
        <v>1251000</v>
      </c>
      <c r="P1245">
        <v>3</v>
      </c>
      <c r="Q1245" t="s">
        <v>164</v>
      </c>
      <c r="R1245">
        <v>42</v>
      </c>
      <c r="S1245" t="s">
        <v>274</v>
      </c>
      <c r="T1245">
        <f t="shared" si="133"/>
        <v>11091</v>
      </c>
      <c r="U1245" t="str">
        <f t="shared" si="134"/>
        <v>OPS</v>
      </c>
      <c r="V1245" t="str">
        <f t="shared" si="135"/>
        <v>L2</v>
      </c>
      <c r="W1245" t="str">
        <f>PROPER(TRIM(VLOOKUP(S1245,Employee_Lookups!$I$4:$M$19,2,FALSE())))</f>
        <v>Meera Krishnan</v>
      </c>
      <c r="X1245" t="str">
        <f>VLOOKUP(C1245,Employee_Lookups!$A$4:$G$9,4,FALSE())</f>
        <v>CC-303</v>
      </c>
      <c r="Y1245" t="str">
        <f>INDEX(Employee_Lookups!$C$13:$C$17,MATCH(F1245,Employee_Lookups!$A$13:$A$17,0))</f>
        <v>Band B (Mid)</v>
      </c>
      <c r="Z1245" s="27">
        <f>_xlfn.XLOOKUP(F1245,Employee_Lookups!$A$13:$A$17,Employee_Lookups!$E$13:$E$17,0)</f>
        <v>1100000</v>
      </c>
      <c r="AA1245" s="28">
        <f>ROUND(O1245/INDEX(Employee_Lookups!$E$13:$E$17,MATCH(F1245,Employee_Lookups!$A$13:$A$17,0)),3)</f>
        <v>1.137</v>
      </c>
      <c r="AB1245">
        <f t="shared" si="136"/>
        <v>2025</v>
      </c>
      <c r="AC1245" t="str">
        <f t="shared" si="137"/>
        <v/>
      </c>
      <c r="AD1245" s="28">
        <f>ROUND((IF(ISBLANK(L1245),Employee_Lookups!$O$14,L1245)-J1245)/365.25,2)</f>
        <v>0.94</v>
      </c>
      <c r="AE1245" t="str">
        <f t="shared" si="138"/>
        <v>&lt; 1 Yr (New)</v>
      </c>
      <c r="AF1245" t="str">
        <f t="shared" si="139"/>
        <v>Low Risk</v>
      </c>
    </row>
    <row r="1246" spans="1:32" x14ac:dyDescent="0.45">
      <c r="A1246" t="s">
        <v>2114</v>
      </c>
      <c r="B1246" t="s">
        <v>656</v>
      </c>
      <c r="C1246" t="s">
        <v>53</v>
      </c>
      <c r="D1246" t="s">
        <v>52</v>
      </c>
      <c r="E1246" t="s">
        <v>185</v>
      </c>
      <c r="F1246" t="s">
        <v>82</v>
      </c>
      <c r="G1246" t="s">
        <v>186</v>
      </c>
      <c r="H1246" t="s">
        <v>106</v>
      </c>
      <c r="I1246" t="s">
        <v>107</v>
      </c>
      <c r="J1246" s="26">
        <v>45681</v>
      </c>
      <c r="K1246" t="s">
        <v>162</v>
      </c>
      <c r="L1246" s="26"/>
      <c r="M1246" t="s">
        <v>163</v>
      </c>
      <c r="N1246" t="s">
        <v>98</v>
      </c>
      <c r="O1246" s="27">
        <v>1026000</v>
      </c>
      <c r="P1246">
        <v>3</v>
      </c>
      <c r="Q1246" t="s">
        <v>164</v>
      </c>
      <c r="R1246">
        <v>50</v>
      </c>
      <c r="S1246" t="s">
        <v>189</v>
      </c>
      <c r="T1246">
        <f t="shared" si="133"/>
        <v>10207</v>
      </c>
      <c r="U1246" t="str">
        <f t="shared" si="134"/>
        <v>SAL</v>
      </c>
      <c r="V1246" t="str">
        <f t="shared" si="135"/>
        <v>L2</v>
      </c>
      <c r="W1246" t="str">
        <f>PROPER(TRIM(VLOOKUP(S1246,Employee_Lookups!$I$4:$M$19,2,FALSE())))</f>
        <v>Priya Sharma</v>
      </c>
      <c r="X1246" t="str">
        <f>VLOOKUP(C1246,Employee_Lookups!$A$4:$G$9,4,FALSE())</f>
        <v>CC-202</v>
      </c>
      <c r="Y1246" t="str">
        <f>INDEX(Employee_Lookups!$C$13:$C$17,MATCH(F1246,Employee_Lookups!$A$13:$A$17,0))</f>
        <v>Band B (Mid)</v>
      </c>
      <c r="Z1246" s="27">
        <f>_xlfn.XLOOKUP(F1246,Employee_Lookups!$A$13:$A$17,Employee_Lookups!$E$13:$E$17,0)</f>
        <v>1100000</v>
      </c>
      <c r="AA1246" s="28">
        <f>ROUND(O1246/INDEX(Employee_Lookups!$E$13:$E$17,MATCH(F1246,Employee_Lookups!$A$13:$A$17,0)),3)</f>
        <v>0.93300000000000005</v>
      </c>
      <c r="AB1246">
        <f t="shared" si="136"/>
        <v>2025</v>
      </c>
      <c r="AC1246" t="str">
        <f t="shared" si="137"/>
        <v/>
      </c>
      <c r="AD1246" s="28">
        <f>ROUND((IF(ISBLANK(L1246),Employee_Lookups!$O$14,L1246)-J1246)/365.25,2)</f>
        <v>0.93</v>
      </c>
      <c r="AE1246" t="str">
        <f t="shared" si="138"/>
        <v>&lt; 1 Yr (New)</v>
      </c>
      <c r="AF1246" t="str">
        <f t="shared" si="139"/>
        <v>Low Risk</v>
      </c>
    </row>
    <row r="1247" spans="1:32" x14ac:dyDescent="0.45">
      <c r="A1247" t="s">
        <v>2115</v>
      </c>
      <c r="B1247" t="s">
        <v>1337</v>
      </c>
      <c r="C1247" t="s">
        <v>55</v>
      </c>
      <c r="D1247" t="s">
        <v>54</v>
      </c>
      <c r="E1247" t="s">
        <v>277</v>
      </c>
      <c r="F1247" t="s">
        <v>81</v>
      </c>
      <c r="G1247" t="s">
        <v>278</v>
      </c>
      <c r="H1247" t="s">
        <v>106</v>
      </c>
      <c r="I1247" t="s">
        <v>107</v>
      </c>
      <c r="J1247" s="26">
        <v>45682</v>
      </c>
      <c r="K1247" t="s">
        <v>162</v>
      </c>
      <c r="L1247" s="26"/>
      <c r="M1247" t="s">
        <v>163</v>
      </c>
      <c r="N1247" t="s">
        <v>97</v>
      </c>
      <c r="O1247" s="27">
        <v>691000</v>
      </c>
      <c r="P1247">
        <v>3</v>
      </c>
      <c r="Q1247" t="s">
        <v>164</v>
      </c>
      <c r="R1247">
        <v>48</v>
      </c>
      <c r="S1247" t="s">
        <v>274</v>
      </c>
      <c r="T1247">
        <f t="shared" si="133"/>
        <v>10102</v>
      </c>
      <c r="U1247" t="str">
        <f t="shared" si="134"/>
        <v>OPS</v>
      </c>
      <c r="V1247" t="str">
        <f t="shared" si="135"/>
        <v>L1</v>
      </c>
      <c r="W1247" t="str">
        <f>PROPER(TRIM(VLOOKUP(S1247,Employee_Lookups!$I$4:$M$19,2,FALSE())))</f>
        <v>Meera Krishnan</v>
      </c>
      <c r="X1247" t="str">
        <f>VLOOKUP(C1247,Employee_Lookups!$A$4:$G$9,4,FALSE())</f>
        <v>CC-303</v>
      </c>
      <c r="Y1247" t="str">
        <f>INDEX(Employee_Lookups!$C$13:$C$17,MATCH(F1247,Employee_Lookups!$A$13:$A$17,0))</f>
        <v>Band A (Entry)</v>
      </c>
      <c r="Z1247" s="27">
        <f>_xlfn.XLOOKUP(F1247,Employee_Lookups!$A$13:$A$17,Employee_Lookups!$E$13:$E$17,0)</f>
        <v>700000</v>
      </c>
      <c r="AA1247" s="28">
        <f>ROUND(O1247/INDEX(Employee_Lookups!$E$13:$E$17,MATCH(F1247,Employee_Lookups!$A$13:$A$17,0)),3)</f>
        <v>0.98699999999999999</v>
      </c>
      <c r="AB1247">
        <f t="shared" si="136"/>
        <v>2025</v>
      </c>
      <c r="AC1247" t="str">
        <f t="shared" si="137"/>
        <v/>
      </c>
      <c r="AD1247" s="28">
        <f>ROUND((IF(ISBLANK(L1247),Employee_Lookups!$O$14,L1247)-J1247)/365.25,2)</f>
        <v>0.93</v>
      </c>
      <c r="AE1247" t="str">
        <f t="shared" si="138"/>
        <v>&lt; 1 Yr (New)</v>
      </c>
      <c r="AF1247" t="str">
        <f t="shared" si="139"/>
        <v>Low Risk</v>
      </c>
    </row>
    <row r="1248" spans="1:32" x14ac:dyDescent="0.45">
      <c r="A1248" t="s">
        <v>2116</v>
      </c>
      <c r="B1248" t="s">
        <v>1434</v>
      </c>
      <c r="C1248" t="s">
        <v>53</v>
      </c>
      <c r="D1248" t="s">
        <v>52</v>
      </c>
      <c r="E1248" t="s">
        <v>322</v>
      </c>
      <c r="F1248" t="s">
        <v>81</v>
      </c>
      <c r="G1248" t="s">
        <v>323</v>
      </c>
      <c r="H1248" t="s">
        <v>106</v>
      </c>
      <c r="I1248" t="s">
        <v>107</v>
      </c>
      <c r="J1248" s="26">
        <v>45682</v>
      </c>
      <c r="K1248" t="s">
        <v>162</v>
      </c>
      <c r="L1248" s="26"/>
      <c r="M1248" t="s">
        <v>163</v>
      </c>
      <c r="N1248" t="s">
        <v>95</v>
      </c>
      <c r="O1248" s="27">
        <v>616000</v>
      </c>
      <c r="P1248">
        <v>3</v>
      </c>
      <c r="Q1248" t="s">
        <v>164</v>
      </c>
      <c r="R1248">
        <v>34</v>
      </c>
      <c r="S1248" t="s">
        <v>237</v>
      </c>
      <c r="T1248">
        <f t="shared" si="133"/>
        <v>10403</v>
      </c>
      <c r="U1248" t="str">
        <f t="shared" si="134"/>
        <v>SAL</v>
      </c>
      <c r="V1248" t="str">
        <f t="shared" si="135"/>
        <v>L1</v>
      </c>
      <c r="W1248" t="str">
        <f>PROPER(TRIM(VLOOKUP(S1248,Employee_Lookups!$I$4:$M$19,2,FALSE())))</f>
        <v>Karan Malhotra</v>
      </c>
      <c r="X1248" t="str">
        <f>VLOOKUP(C1248,Employee_Lookups!$A$4:$G$9,4,FALSE())</f>
        <v>CC-202</v>
      </c>
      <c r="Y1248" t="str">
        <f>INDEX(Employee_Lookups!$C$13:$C$17,MATCH(F1248,Employee_Lookups!$A$13:$A$17,0))</f>
        <v>Band A (Entry)</v>
      </c>
      <c r="Z1248" s="27">
        <f>_xlfn.XLOOKUP(F1248,Employee_Lookups!$A$13:$A$17,Employee_Lookups!$E$13:$E$17,0)</f>
        <v>700000</v>
      </c>
      <c r="AA1248" s="28">
        <f>ROUND(O1248/INDEX(Employee_Lookups!$E$13:$E$17,MATCH(F1248,Employee_Lookups!$A$13:$A$17,0)),3)</f>
        <v>0.88</v>
      </c>
      <c r="AB1248">
        <f t="shared" si="136"/>
        <v>2025</v>
      </c>
      <c r="AC1248" t="str">
        <f t="shared" si="137"/>
        <v/>
      </c>
      <c r="AD1248" s="28">
        <f>ROUND((IF(ISBLANK(L1248),Employee_Lookups!$O$14,L1248)-J1248)/365.25,2)</f>
        <v>0.93</v>
      </c>
      <c r="AE1248" t="str">
        <f t="shared" si="138"/>
        <v>&lt; 1 Yr (New)</v>
      </c>
      <c r="AF1248" t="str">
        <f t="shared" si="139"/>
        <v>Low Risk</v>
      </c>
    </row>
    <row r="1249" spans="1:32" x14ac:dyDescent="0.45">
      <c r="A1249" t="s">
        <v>2117</v>
      </c>
      <c r="B1249" t="s">
        <v>351</v>
      </c>
      <c r="C1249" t="s">
        <v>51</v>
      </c>
      <c r="D1249" t="s">
        <v>50</v>
      </c>
      <c r="E1249" t="s">
        <v>176</v>
      </c>
      <c r="F1249" t="s">
        <v>82</v>
      </c>
      <c r="G1249" t="s">
        <v>177</v>
      </c>
      <c r="H1249" t="s">
        <v>106</v>
      </c>
      <c r="I1249" t="s">
        <v>107</v>
      </c>
      <c r="J1249" s="26">
        <v>45684</v>
      </c>
      <c r="K1249" t="s">
        <v>170</v>
      </c>
      <c r="L1249" s="26">
        <v>45817</v>
      </c>
      <c r="M1249" t="s">
        <v>171</v>
      </c>
      <c r="N1249" t="s">
        <v>96</v>
      </c>
      <c r="O1249" s="27">
        <v>939000</v>
      </c>
      <c r="P1249">
        <v>3</v>
      </c>
      <c r="Q1249" t="s">
        <v>164</v>
      </c>
      <c r="R1249">
        <v>20</v>
      </c>
      <c r="S1249" t="s">
        <v>178</v>
      </c>
      <c r="T1249">
        <f t="shared" si="133"/>
        <v>10632</v>
      </c>
      <c r="U1249" t="str">
        <f t="shared" si="134"/>
        <v>ENG</v>
      </c>
      <c r="V1249" t="str">
        <f t="shared" si="135"/>
        <v>L2</v>
      </c>
      <c r="W1249" t="str">
        <f>PROPER(TRIM(VLOOKUP(S1249,Employee_Lookups!$I$4:$M$19,2,FALSE())))</f>
        <v>Aarav Deshmukh</v>
      </c>
      <c r="X1249" t="str">
        <f>VLOOKUP(C1249,Employee_Lookups!$A$4:$G$9,4,FALSE())</f>
        <v>CC-101</v>
      </c>
      <c r="Y1249" t="str">
        <f>INDEX(Employee_Lookups!$C$13:$C$17,MATCH(F1249,Employee_Lookups!$A$13:$A$17,0))</f>
        <v>Band B (Mid)</v>
      </c>
      <c r="Z1249" s="27">
        <f>_xlfn.XLOOKUP(F1249,Employee_Lookups!$A$13:$A$17,Employee_Lookups!$E$13:$E$17,0)</f>
        <v>1100000</v>
      </c>
      <c r="AA1249" s="28">
        <f>ROUND(O1249/INDEX(Employee_Lookups!$E$13:$E$17,MATCH(F1249,Employee_Lookups!$A$13:$A$17,0)),3)</f>
        <v>0.85399999999999998</v>
      </c>
      <c r="AB1249">
        <f t="shared" si="136"/>
        <v>2025</v>
      </c>
      <c r="AC1249">
        <f t="shared" si="137"/>
        <v>2025</v>
      </c>
      <c r="AD1249" s="28">
        <f>ROUND((IF(ISBLANK(L1249),Employee_Lookups!$O$14,L1249)-J1249)/365.25,2)</f>
        <v>0.36</v>
      </c>
      <c r="AE1249" t="str">
        <f t="shared" si="138"/>
        <v>&lt; 1 Yr (New)</v>
      </c>
      <c r="AF1249" t="str">
        <f t="shared" si="139"/>
        <v>Exited</v>
      </c>
    </row>
    <row r="1250" spans="1:32" x14ac:dyDescent="0.45">
      <c r="A1250" t="s">
        <v>2118</v>
      </c>
      <c r="B1250" t="s">
        <v>2119</v>
      </c>
      <c r="C1250" t="s">
        <v>53</v>
      </c>
      <c r="D1250" t="s">
        <v>52</v>
      </c>
      <c r="E1250" t="s">
        <v>185</v>
      </c>
      <c r="F1250" t="s">
        <v>82</v>
      </c>
      <c r="G1250" t="s">
        <v>186</v>
      </c>
      <c r="H1250" t="s">
        <v>106</v>
      </c>
      <c r="I1250" t="s">
        <v>107</v>
      </c>
      <c r="J1250" s="26">
        <v>45689</v>
      </c>
      <c r="K1250" t="s">
        <v>162</v>
      </c>
      <c r="L1250" s="26"/>
      <c r="M1250" t="s">
        <v>163</v>
      </c>
      <c r="N1250" t="s">
        <v>99</v>
      </c>
      <c r="O1250" s="27">
        <v>1068000</v>
      </c>
      <c r="P1250">
        <v>4</v>
      </c>
      <c r="Q1250" t="s">
        <v>164</v>
      </c>
      <c r="R1250">
        <v>20</v>
      </c>
      <c r="S1250" t="s">
        <v>237</v>
      </c>
      <c r="T1250">
        <f t="shared" si="133"/>
        <v>10906</v>
      </c>
      <c r="U1250" t="str">
        <f t="shared" si="134"/>
        <v>SAL</v>
      </c>
      <c r="V1250" t="str">
        <f t="shared" si="135"/>
        <v>L2</v>
      </c>
      <c r="W1250" t="str">
        <f>PROPER(TRIM(VLOOKUP(S1250,Employee_Lookups!$I$4:$M$19,2,FALSE())))</f>
        <v>Karan Malhotra</v>
      </c>
      <c r="X1250" t="str">
        <f>VLOOKUP(C1250,Employee_Lookups!$A$4:$G$9,4,FALSE())</f>
        <v>CC-202</v>
      </c>
      <c r="Y1250" t="str">
        <f>INDEX(Employee_Lookups!$C$13:$C$17,MATCH(F1250,Employee_Lookups!$A$13:$A$17,0))</f>
        <v>Band B (Mid)</v>
      </c>
      <c r="Z1250" s="27">
        <f>_xlfn.XLOOKUP(F1250,Employee_Lookups!$A$13:$A$17,Employee_Lookups!$E$13:$E$17,0)</f>
        <v>1100000</v>
      </c>
      <c r="AA1250" s="28">
        <f>ROUND(O1250/INDEX(Employee_Lookups!$E$13:$E$17,MATCH(F1250,Employee_Lookups!$A$13:$A$17,0)),3)</f>
        <v>0.97099999999999997</v>
      </c>
      <c r="AB1250">
        <f t="shared" si="136"/>
        <v>2025</v>
      </c>
      <c r="AC1250" t="str">
        <f t="shared" si="137"/>
        <v/>
      </c>
      <c r="AD1250" s="28">
        <f>ROUND((IF(ISBLANK(L1250),Employee_Lookups!$O$14,L1250)-J1250)/365.25,2)</f>
        <v>0.91</v>
      </c>
      <c r="AE1250" t="str">
        <f t="shared" si="138"/>
        <v>&lt; 1 Yr (New)</v>
      </c>
      <c r="AF1250" t="str">
        <f t="shared" si="139"/>
        <v>Low Risk</v>
      </c>
    </row>
    <row r="1251" spans="1:32" x14ac:dyDescent="0.45">
      <c r="A1251" t="s">
        <v>2120</v>
      </c>
      <c r="B1251" t="s">
        <v>599</v>
      </c>
      <c r="C1251" t="s">
        <v>51</v>
      </c>
      <c r="D1251" t="s">
        <v>50</v>
      </c>
      <c r="E1251" t="s">
        <v>181</v>
      </c>
      <c r="F1251" t="s">
        <v>81</v>
      </c>
      <c r="G1251" t="s">
        <v>182</v>
      </c>
      <c r="H1251" t="s">
        <v>106</v>
      </c>
      <c r="I1251" t="s">
        <v>107</v>
      </c>
      <c r="J1251" s="26">
        <v>45691</v>
      </c>
      <c r="K1251" t="s">
        <v>162</v>
      </c>
      <c r="L1251" s="26"/>
      <c r="M1251" t="s">
        <v>163</v>
      </c>
      <c r="N1251" t="s">
        <v>97</v>
      </c>
      <c r="O1251" s="27">
        <v>749000</v>
      </c>
      <c r="P1251">
        <v>3</v>
      </c>
      <c r="Q1251" t="s">
        <v>164</v>
      </c>
      <c r="R1251">
        <v>25</v>
      </c>
      <c r="S1251" t="s">
        <v>178</v>
      </c>
      <c r="T1251">
        <f t="shared" si="133"/>
        <v>10583</v>
      </c>
      <c r="U1251" t="str">
        <f t="shared" si="134"/>
        <v>ENG</v>
      </c>
      <c r="V1251" t="str">
        <f t="shared" si="135"/>
        <v>L1</v>
      </c>
      <c r="W1251" t="str">
        <f>PROPER(TRIM(VLOOKUP(S1251,Employee_Lookups!$I$4:$M$19,2,FALSE())))</f>
        <v>Aarav Deshmukh</v>
      </c>
      <c r="X1251" t="str">
        <f>VLOOKUP(C1251,Employee_Lookups!$A$4:$G$9,4,FALSE())</f>
        <v>CC-101</v>
      </c>
      <c r="Y1251" t="str">
        <f>INDEX(Employee_Lookups!$C$13:$C$17,MATCH(F1251,Employee_Lookups!$A$13:$A$17,0))</f>
        <v>Band A (Entry)</v>
      </c>
      <c r="Z1251" s="27">
        <f>_xlfn.XLOOKUP(F1251,Employee_Lookups!$A$13:$A$17,Employee_Lookups!$E$13:$E$17,0)</f>
        <v>700000</v>
      </c>
      <c r="AA1251" s="28">
        <f>ROUND(O1251/INDEX(Employee_Lookups!$E$13:$E$17,MATCH(F1251,Employee_Lookups!$A$13:$A$17,0)),3)</f>
        <v>1.07</v>
      </c>
      <c r="AB1251">
        <f t="shared" si="136"/>
        <v>2025</v>
      </c>
      <c r="AC1251" t="str">
        <f t="shared" si="137"/>
        <v/>
      </c>
      <c r="AD1251" s="28">
        <f>ROUND((IF(ISBLANK(L1251),Employee_Lookups!$O$14,L1251)-J1251)/365.25,2)</f>
        <v>0.91</v>
      </c>
      <c r="AE1251" t="str">
        <f t="shared" si="138"/>
        <v>&lt; 1 Yr (New)</v>
      </c>
      <c r="AF1251" t="str">
        <f t="shared" si="139"/>
        <v>Low Risk</v>
      </c>
    </row>
    <row r="1252" spans="1:32" x14ac:dyDescent="0.45">
      <c r="A1252" t="s">
        <v>2121</v>
      </c>
      <c r="B1252" t="s">
        <v>1567</v>
      </c>
      <c r="C1252" t="s">
        <v>51</v>
      </c>
      <c r="D1252" t="s">
        <v>50</v>
      </c>
      <c r="E1252" t="s">
        <v>176</v>
      </c>
      <c r="F1252" t="s">
        <v>82</v>
      </c>
      <c r="G1252" t="s">
        <v>177</v>
      </c>
      <c r="H1252" t="s">
        <v>106</v>
      </c>
      <c r="I1252" t="s">
        <v>107</v>
      </c>
      <c r="J1252" s="26">
        <v>45692</v>
      </c>
      <c r="K1252" t="s">
        <v>162</v>
      </c>
      <c r="L1252" s="26"/>
      <c r="M1252" t="s">
        <v>163</v>
      </c>
      <c r="N1252" t="s">
        <v>95</v>
      </c>
      <c r="O1252" s="27">
        <v>1312000</v>
      </c>
      <c r="P1252">
        <v>5</v>
      </c>
      <c r="Q1252" t="s">
        <v>164</v>
      </c>
      <c r="R1252">
        <v>10</v>
      </c>
      <c r="S1252" t="s">
        <v>244</v>
      </c>
      <c r="T1252">
        <f t="shared" si="133"/>
        <v>10841</v>
      </c>
      <c r="U1252" t="str">
        <f t="shared" si="134"/>
        <v>ENG</v>
      </c>
      <c r="V1252" t="str">
        <f t="shared" si="135"/>
        <v>L2</v>
      </c>
      <c r="W1252" t="str">
        <f>PROPER(TRIM(VLOOKUP(S1252,Employee_Lookups!$I$4:$M$19,2,FALSE())))</f>
        <v>Siddharth Nair</v>
      </c>
      <c r="X1252" t="str">
        <f>VLOOKUP(C1252,Employee_Lookups!$A$4:$G$9,4,FALSE())</f>
        <v>CC-101</v>
      </c>
      <c r="Y1252" t="str">
        <f>INDEX(Employee_Lookups!$C$13:$C$17,MATCH(F1252,Employee_Lookups!$A$13:$A$17,0))</f>
        <v>Band B (Mid)</v>
      </c>
      <c r="Z1252" s="27">
        <f>_xlfn.XLOOKUP(F1252,Employee_Lookups!$A$13:$A$17,Employee_Lookups!$E$13:$E$17,0)</f>
        <v>1100000</v>
      </c>
      <c r="AA1252" s="28">
        <f>ROUND(O1252/INDEX(Employee_Lookups!$E$13:$E$17,MATCH(F1252,Employee_Lookups!$A$13:$A$17,0)),3)</f>
        <v>1.1930000000000001</v>
      </c>
      <c r="AB1252">
        <f t="shared" si="136"/>
        <v>2025</v>
      </c>
      <c r="AC1252" t="str">
        <f t="shared" si="137"/>
        <v/>
      </c>
      <c r="AD1252" s="28">
        <f>ROUND((IF(ISBLANK(L1252),Employee_Lookups!$O$14,L1252)-J1252)/365.25,2)</f>
        <v>0.9</v>
      </c>
      <c r="AE1252" t="str">
        <f t="shared" si="138"/>
        <v>&lt; 1 Yr (New)</v>
      </c>
      <c r="AF1252" t="str">
        <f t="shared" si="139"/>
        <v>Low Risk</v>
      </c>
    </row>
    <row r="1253" spans="1:32" x14ac:dyDescent="0.45">
      <c r="A1253" t="s">
        <v>2122</v>
      </c>
      <c r="B1253" t="s">
        <v>1466</v>
      </c>
      <c r="C1253" t="s">
        <v>51</v>
      </c>
      <c r="D1253" t="s">
        <v>50</v>
      </c>
      <c r="E1253" t="s">
        <v>181</v>
      </c>
      <c r="F1253" t="s">
        <v>81</v>
      </c>
      <c r="G1253" t="s">
        <v>182</v>
      </c>
      <c r="H1253" t="s">
        <v>106</v>
      </c>
      <c r="I1253" t="s">
        <v>107</v>
      </c>
      <c r="J1253" s="26">
        <v>45692</v>
      </c>
      <c r="K1253" t="s">
        <v>187</v>
      </c>
      <c r="L1253" s="26">
        <v>45829</v>
      </c>
      <c r="M1253" t="s">
        <v>282</v>
      </c>
      <c r="N1253" t="s">
        <v>96</v>
      </c>
      <c r="O1253" s="27">
        <v>773000</v>
      </c>
      <c r="P1253">
        <v>4</v>
      </c>
      <c r="Q1253" t="s">
        <v>172</v>
      </c>
      <c r="R1253">
        <v>37</v>
      </c>
      <c r="S1253" t="s">
        <v>244</v>
      </c>
      <c r="T1253">
        <f t="shared" si="133"/>
        <v>11199</v>
      </c>
      <c r="U1253" t="str">
        <f t="shared" si="134"/>
        <v>ENG</v>
      </c>
      <c r="V1253" t="str">
        <f t="shared" si="135"/>
        <v>L1</v>
      </c>
      <c r="W1253" t="str">
        <f>PROPER(TRIM(VLOOKUP(S1253,Employee_Lookups!$I$4:$M$19,2,FALSE())))</f>
        <v>Siddharth Nair</v>
      </c>
      <c r="X1253" t="str">
        <f>VLOOKUP(C1253,Employee_Lookups!$A$4:$G$9,4,FALSE())</f>
        <v>CC-101</v>
      </c>
      <c r="Y1253" t="str">
        <f>INDEX(Employee_Lookups!$C$13:$C$17,MATCH(F1253,Employee_Lookups!$A$13:$A$17,0))</f>
        <v>Band A (Entry)</v>
      </c>
      <c r="Z1253" s="27">
        <f>_xlfn.XLOOKUP(F1253,Employee_Lookups!$A$13:$A$17,Employee_Lookups!$E$13:$E$17,0)</f>
        <v>700000</v>
      </c>
      <c r="AA1253" s="28">
        <f>ROUND(O1253/INDEX(Employee_Lookups!$E$13:$E$17,MATCH(F1253,Employee_Lookups!$A$13:$A$17,0)),3)</f>
        <v>1.1040000000000001</v>
      </c>
      <c r="AB1253">
        <f t="shared" si="136"/>
        <v>2025</v>
      </c>
      <c r="AC1253">
        <f t="shared" si="137"/>
        <v>2025</v>
      </c>
      <c r="AD1253" s="28">
        <f>ROUND((IF(ISBLANK(L1253),Employee_Lookups!$O$14,L1253)-J1253)/365.25,2)</f>
        <v>0.38</v>
      </c>
      <c r="AE1253" t="str">
        <f t="shared" si="138"/>
        <v>&lt; 1 Yr (New)</v>
      </c>
      <c r="AF1253" t="str">
        <f t="shared" si="139"/>
        <v>Exited</v>
      </c>
    </row>
    <row r="1254" spans="1:32" x14ac:dyDescent="0.45">
      <c r="A1254" t="s">
        <v>2123</v>
      </c>
      <c r="B1254" t="s">
        <v>1729</v>
      </c>
      <c r="C1254" t="s">
        <v>51</v>
      </c>
      <c r="D1254" t="s">
        <v>50</v>
      </c>
      <c r="E1254" t="s">
        <v>181</v>
      </c>
      <c r="F1254" t="s">
        <v>81</v>
      </c>
      <c r="G1254" t="s">
        <v>182</v>
      </c>
      <c r="H1254" t="s">
        <v>109</v>
      </c>
      <c r="I1254" t="s">
        <v>110</v>
      </c>
      <c r="J1254" s="26">
        <v>45693</v>
      </c>
      <c r="K1254" t="s">
        <v>162</v>
      </c>
      <c r="L1254" s="26"/>
      <c r="M1254" t="s">
        <v>163</v>
      </c>
      <c r="N1254" t="s">
        <v>97</v>
      </c>
      <c r="O1254" s="27">
        <v>740000</v>
      </c>
      <c r="P1254">
        <v>3</v>
      </c>
      <c r="Q1254" t="s">
        <v>172</v>
      </c>
      <c r="R1254">
        <v>66</v>
      </c>
      <c r="S1254" t="s">
        <v>219</v>
      </c>
      <c r="T1254">
        <f t="shared" si="133"/>
        <v>10149</v>
      </c>
      <c r="U1254" t="str">
        <f t="shared" si="134"/>
        <v>ENG</v>
      </c>
      <c r="V1254" t="str">
        <f t="shared" si="135"/>
        <v>L1</v>
      </c>
      <c r="W1254" t="str">
        <f>PROPER(TRIM(VLOOKUP(S1254,Employee_Lookups!$I$4:$M$19,2,FALSE())))</f>
        <v>Neha Kulkarni</v>
      </c>
      <c r="X1254" t="str">
        <f>VLOOKUP(C1254,Employee_Lookups!$A$4:$G$9,4,FALSE())</f>
        <v>CC-101</v>
      </c>
      <c r="Y1254" t="str">
        <f>INDEX(Employee_Lookups!$C$13:$C$17,MATCH(F1254,Employee_Lookups!$A$13:$A$17,0))</f>
        <v>Band A (Entry)</v>
      </c>
      <c r="Z1254" s="27">
        <f>_xlfn.XLOOKUP(F1254,Employee_Lookups!$A$13:$A$17,Employee_Lookups!$E$13:$E$17,0)</f>
        <v>700000</v>
      </c>
      <c r="AA1254" s="28">
        <f>ROUND(O1254/INDEX(Employee_Lookups!$E$13:$E$17,MATCH(F1254,Employee_Lookups!$A$13:$A$17,0)),3)</f>
        <v>1.0569999999999999</v>
      </c>
      <c r="AB1254">
        <f t="shared" si="136"/>
        <v>2025</v>
      </c>
      <c r="AC1254" t="str">
        <f t="shared" si="137"/>
        <v/>
      </c>
      <c r="AD1254" s="28">
        <f>ROUND((IF(ISBLANK(L1254),Employee_Lookups!$O$14,L1254)-J1254)/365.25,2)</f>
        <v>0.9</v>
      </c>
      <c r="AE1254" t="str">
        <f t="shared" si="138"/>
        <v>&lt; 1 Yr (New)</v>
      </c>
      <c r="AF1254" t="str">
        <f t="shared" si="139"/>
        <v>Moderate Risk</v>
      </c>
    </row>
    <row r="1255" spans="1:32" x14ac:dyDescent="0.45">
      <c r="A1255" t="s">
        <v>2124</v>
      </c>
      <c r="B1255" t="s">
        <v>1595</v>
      </c>
      <c r="C1255" t="s">
        <v>55</v>
      </c>
      <c r="D1255" t="s">
        <v>54</v>
      </c>
      <c r="E1255" t="s">
        <v>537</v>
      </c>
      <c r="F1255" t="s">
        <v>85</v>
      </c>
      <c r="G1255" t="s">
        <v>538</v>
      </c>
      <c r="H1255" t="s">
        <v>111</v>
      </c>
      <c r="I1255" t="s">
        <v>110</v>
      </c>
      <c r="J1255" s="26">
        <v>45694</v>
      </c>
      <c r="K1255" t="s">
        <v>162</v>
      </c>
      <c r="L1255" s="26"/>
      <c r="M1255" t="s">
        <v>163</v>
      </c>
      <c r="N1255" t="s">
        <v>96</v>
      </c>
      <c r="O1255" s="27">
        <v>4360000</v>
      </c>
      <c r="P1255">
        <v>3</v>
      </c>
      <c r="Q1255" t="s">
        <v>172</v>
      </c>
      <c r="R1255">
        <v>44</v>
      </c>
      <c r="S1255" t="s">
        <v>274</v>
      </c>
      <c r="T1255">
        <f t="shared" si="133"/>
        <v>11207</v>
      </c>
      <c r="U1255" t="str">
        <f t="shared" si="134"/>
        <v>OPS</v>
      </c>
      <c r="V1255" t="str">
        <f t="shared" si="135"/>
        <v>L5</v>
      </c>
      <c r="W1255" t="str">
        <f>PROPER(TRIM(VLOOKUP(S1255,Employee_Lookups!$I$4:$M$19,2,FALSE())))</f>
        <v>Meera Krishnan</v>
      </c>
      <c r="X1255" t="str">
        <f>VLOOKUP(C1255,Employee_Lookups!$A$4:$G$9,4,FALSE())</f>
        <v>CC-303</v>
      </c>
      <c r="Y1255" t="str">
        <f>INDEX(Employee_Lookups!$C$13:$C$17,MATCH(F1255,Employee_Lookups!$A$13:$A$17,0))</f>
        <v>Band E (Executive)</v>
      </c>
      <c r="Z1255" s="27">
        <f>_xlfn.XLOOKUP(F1255,Employee_Lookups!$A$13:$A$17,Employee_Lookups!$E$13:$E$17,0)</f>
        <v>4300000</v>
      </c>
      <c r="AA1255" s="28">
        <f>ROUND(O1255/INDEX(Employee_Lookups!$E$13:$E$17,MATCH(F1255,Employee_Lookups!$A$13:$A$17,0)),3)</f>
        <v>1.014</v>
      </c>
      <c r="AB1255">
        <f t="shared" si="136"/>
        <v>2025</v>
      </c>
      <c r="AC1255" t="str">
        <f t="shared" si="137"/>
        <v/>
      </c>
      <c r="AD1255" s="28">
        <f>ROUND((IF(ISBLANK(L1255),Employee_Lookups!$O$14,L1255)-J1255)/365.25,2)</f>
        <v>0.9</v>
      </c>
      <c r="AE1255" t="str">
        <f t="shared" si="138"/>
        <v>&lt; 1 Yr (New)</v>
      </c>
      <c r="AF1255" t="str">
        <f t="shared" si="139"/>
        <v>Moderate Risk</v>
      </c>
    </row>
    <row r="1256" spans="1:32" x14ac:dyDescent="0.45">
      <c r="A1256" t="s">
        <v>2125</v>
      </c>
      <c r="B1256" t="s">
        <v>2126</v>
      </c>
      <c r="C1256" t="s">
        <v>61</v>
      </c>
      <c r="D1256" t="s">
        <v>60</v>
      </c>
      <c r="E1256" t="s">
        <v>251</v>
      </c>
      <c r="F1256" t="s">
        <v>82</v>
      </c>
      <c r="G1256" t="s">
        <v>252</v>
      </c>
      <c r="H1256" t="s">
        <v>106</v>
      </c>
      <c r="I1256" t="s">
        <v>107</v>
      </c>
      <c r="J1256" s="26">
        <v>45695</v>
      </c>
      <c r="K1256" t="s">
        <v>162</v>
      </c>
      <c r="L1256" s="26"/>
      <c r="M1256" t="s">
        <v>163</v>
      </c>
      <c r="N1256" t="s">
        <v>97</v>
      </c>
      <c r="O1256" s="27">
        <v>1072000</v>
      </c>
      <c r="P1256">
        <v>2</v>
      </c>
      <c r="Q1256" t="s">
        <v>164</v>
      </c>
      <c r="R1256">
        <v>8</v>
      </c>
      <c r="S1256" t="s">
        <v>319</v>
      </c>
      <c r="T1256">
        <f t="shared" si="133"/>
        <v>10395</v>
      </c>
      <c r="U1256" t="str">
        <f t="shared" si="134"/>
        <v>-HR</v>
      </c>
      <c r="V1256" t="str">
        <f t="shared" si="135"/>
        <v>L2</v>
      </c>
      <c r="W1256" t="str">
        <f>PROPER(TRIM(VLOOKUP(S1256,Employee_Lookups!$I$4:$M$19,2,FALSE())))</f>
        <v>Kavita Menon</v>
      </c>
      <c r="X1256" t="str">
        <f>VLOOKUP(C1256,Employee_Lookups!$A$4:$G$9,4,FALSE())</f>
        <v>CC-505</v>
      </c>
      <c r="Y1256" t="str">
        <f>INDEX(Employee_Lookups!$C$13:$C$17,MATCH(F1256,Employee_Lookups!$A$13:$A$17,0))</f>
        <v>Band B (Mid)</v>
      </c>
      <c r="Z1256" s="27">
        <f>_xlfn.XLOOKUP(F1256,Employee_Lookups!$A$13:$A$17,Employee_Lookups!$E$13:$E$17,0)</f>
        <v>1100000</v>
      </c>
      <c r="AA1256" s="28">
        <f>ROUND(O1256/INDEX(Employee_Lookups!$E$13:$E$17,MATCH(F1256,Employee_Lookups!$A$13:$A$17,0)),3)</f>
        <v>0.97499999999999998</v>
      </c>
      <c r="AB1256">
        <f t="shared" si="136"/>
        <v>2025</v>
      </c>
      <c r="AC1256" t="str">
        <f t="shared" si="137"/>
        <v/>
      </c>
      <c r="AD1256" s="28">
        <f>ROUND((IF(ISBLANK(L1256),Employee_Lookups!$O$14,L1256)-J1256)/365.25,2)</f>
        <v>0.9</v>
      </c>
      <c r="AE1256" t="str">
        <f t="shared" si="138"/>
        <v>&lt; 1 Yr (New)</v>
      </c>
      <c r="AF1256" t="str">
        <f t="shared" si="139"/>
        <v>Moderate Risk</v>
      </c>
    </row>
    <row r="1257" spans="1:32" x14ac:dyDescent="0.45">
      <c r="A1257" t="s">
        <v>2127</v>
      </c>
      <c r="B1257" t="s">
        <v>2128</v>
      </c>
      <c r="C1257" t="s">
        <v>51</v>
      </c>
      <c r="D1257" t="s">
        <v>50</v>
      </c>
      <c r="E1257" t="s">
        <v>181</v>
      </c>
      <c r="F1257" t="s">
        <v>81</v>
      </c>
      <c r="G1257" t="s">
        <v>182</v>
      </c>
      <c r="H1257" t="s">
        <v>108</v>
      </c>
      <c r="I1257" t="s">
        <v>107</v>
      </c>
      <c r="J1257" s="26">
        <v>45696</v>
      </c>
      <c r="K1257" t="s">
        <v>162</v>
      </c>
      <c r="L1257" s="26"/>
      <c r="M1257" t="s">
        <v>163</v>
      </c>
      <c r="N1257" t="s">
        <v>99</v>
      </c>
      <c r="O1257" s="27">
        <v>824000</v>
      </c>
      <c r="P1257">
        <v>3</v>
      </c>
      <c r="Q1257" t="s">
        <v>164</v>
      </c>
      <c r="R1257">
        <v>58</v>
      </c>
      <c r="S1257" t="s">
        <v>244</v>
      </c>
      <c r="T1257">
        <f t="shared" si="133"/>
        <v>10109</v>
      </c>
      <c r="U1257" t="str">
        <f t="shared" si="134"/>
        <v>ENG</v>
      </c>
      <c r="V1257" t="str">
        <f t="shared" si="135"/>
        <v>L1</v>
      </c>
      <c r="W1257" t="str">
        <f>PROPER(TRIM(VLOOKUP(S1257,Employee_Lookups!$I$4:$M$19,2,FALSE())))</f>
        <v>Siddharth Nair</v>
      </c>
      <c r="X1257" t="str">
        <f>VLOOKUP(C1257,Employee_Lookups!$A$4:$G$9,4,FALSE())</f>
        <v>CC-101</v>
      </c>
      <c r="Y1257" t="str">
        <f>INDEX(Employee_Lookups!$C$13:$C$17,MATCH(F1257,Employee_Lookups!$A$13:$A$17,0))</f>
        <v>Band A (Entry)</v>
      </c>
      <c r="Z1257" s="27">
        <f>_xlfn.XLOOKUP(F1257,Employee_Lookups!$A$13:$A$17,Employee_Lookups!$E$13:$E$17,0)</f>
        <v>700000</v>
      </c>
      <c r="AA1257" s="28">
        <f>ROUND(O1257/INDEX(Employee_Lookups!$E$13:$E$17,MATCH(F1257,Employee_Lookups!$A$13:$A$17,0)),3)</f>
        <v>1.177</v>
      </c>
      <c r="AB1257">
        <f t="shared" si="136"/>
        <v>2025</v>
      </c>
      <c r="AC1257" t="str">
        <f t="shared" si="137"/>
        <v/>
      </c>
      <c r="AD1257" s="28">
        <f>ROUND((IF(ISBLANK(L1257),Employee_Lookups!$O$14,L1257)-J1257)/365.25,2)</f>
        <v>0.89</v>
      </c>
      <c r="AE1257" t="str">
        <f t="shared" si="138"/>
        <v>&lt; 1 Yr (New)</v>
      </c>
      <c r="AF1257" t="str">
        <f t="shared" si="139"/>
        <v>Low Risk</v>
      </c>
    </row>
    <row r="1258" spans="1:32" x14ac:dyDescent="0.45">
      <c r="A1258" t="s">
        <v>2129</v>
      </c>
      <c r="B1258" t="s">
        <v>640</v>
      </c>
      <c r="C1258" t="s">
        <v>57</v>
      </c>
      <c r="D1258" t="s">
        <v>56</v>
      </c>
      <c r="E1258" t="s">
        <v>391</v>
      </c>
      <c r="F1258" t="s">
        <v>83</v>
      </c>
      <c r="G1258" t="s">
        <v>392</v>
      </c>
      <c r="H1258" t="s">
        <v>108</v>
      </c>
      <c r="I1258" t="s">
        <v>107</v>
      </c>
      <c r="J1258" s="26">
        <v>45698</v>
      </c>
      <c r="K1258" t="s">
        <v>162</v>
      </c>
      <c r="L1258" s="26"/>
      <c r="M1258" t="s">
        <v>163</v>
      </c>
      <c r="N1258" t="s">
        <v>95</v>
      </c>
      <c r="O1258" s="27">
        <v>1653000</v>
      </c>
      <c r="P1258">
        <v>3</v>
      </c>
      <c r="Q1258" t="s">
        <v>164</v>
      </c>
      <c r="R1258">
        <v>34</v>
      </c>
      <c r="S1258" t="s">
        <v>224</v>
      </c>
      <c r="T1258">
        <f t="shared" si="133"/>
        <v>10440</v>
      </c>
      <c r="U1258" t="str">
        <f t="shared" si="134"/>
        <v>MKT</v>
      </c>
      <c r="V1258" t="str">
        <f t="shared" si="135"/>
        <v>L3</v>
      </c>
      <c r="W1258" t="str">
        <f>PROPER(TRIM(VLOOKUP(S1258,Employee_Lookups!$I$4:$M$19,2,FALSE())))</f>
        <v>Tanvi Chitnis</v>
      </c>
      <c r="X1258" t="str">
        <f>VLOOKUP(C1258,Employee_Lookups!$A$4:$G$9,4,FALSE())</f>
        <v>CC-606</v>
      </c>
      <c r="Y1258" t="str">
        <f>INDEX(Employee_Lookups!$C$13:$C$17,MATCH(F1258,Employee_Lookups!$A$13:$A$17,0))</f>
        <v>Band C (Senior)</v>
      </c>
      <c r="Z1258" s="27">
        <f>_xlfn.XLOOKUP(F1258,Employee_Lookups!$A$13:$A$17,Employee_Lookups!$E$13:$E$17,0)</f>
        <v>1725000</v>
      </c>
      <c r="AA1258" s="28">
        <f>ROUND(O1258/INDEX(Employee_Lookups!$E$13:$E$17,MATCH(F1258,Employee_Lookups!$A$13:$A$17,0)),3)</f>
        <v>0.95799999999999996</v>
      </c>
      <c r="AB1258">
        <f t="shared" si="136"/>
        <v>2025</v>
      </c>
      <c r="AC1258" t="str">
        <f t="shared" si="137"/>
        <v/>
      </c>
      <c r="AD1258" s="28">
        <f>ROUND((IF(ISBLANK(L1258),Employee_Lookups!$O$14,L1258)-J1258)/365.25,2)</f>
        <v>0.89</v>
      </c>
      <c r="AE1258" t="str">
        <f t="shared" si="138"/>
        <v>&lt; 1 Yr (New)</v>
      </c>
      <c r="AF1258" t="str">
        <f t="shared" si="139"/>
        <v>Low Risk</v>
      </c>
    </row>
    <row r="1259" spans="1:32" x14ac:dyDescent="0.45">
      <c r="A1259" t="s">
        <v>2130</v>
      </c>
      <c r="B1259" t="s">
        <v>1824</v>
      </c>
      <c r="C1259" t="s">
        <v>55</v>
      </c>
      <c r="D1259" t="s">
        <v>54</v>
      </c>
      <c r="E1259" t="s">
        <v>240</v>
      </c>
      <c r="F1259" t="s">
        <v>83</v>
      </c>
      <c r="G1259" t="s">
        <v>241</v>
      </c>
      <c r="H1259" t="s">
        <v>108</v>
      </c>
      <c r="I1259" t="s">
        <v>107</v>
      </c>
      <c r="J1259" s="26">
        <v>45700</v>
      </c>
      <c r="K1259" t="s">
        <v>170</v>
      </c>
      <c r="L1259" s="26">
        <v>45911</v>
      </c>
      <c r="M1259" t="s">
        <v>171</v>
      </c>
      <c r="N1259" t="s">
        <v>97</v>
      </c>
      <c r="O1259" s="27">
        <v>1589000</v>
      </c>
      <c r="P1259">
        <v>4</v>
      </c>
      <c r="Q1259" t="s">
        <v>172</v>
      </c>
      <c r="R1259">
        <v>23</v>
      </c>
      <c r="S1259" t="s">
        <v>173</v>
      </c>
      <c r="T1259">
        <f t="shared" si="133"/>
        <v>10191</v>
      </c>
      <c r="U1259" t="str">
        <f t="shared" si="134"/>
        <v>OPS</v>
      </c>
      <c r="V1259" t="str">
        <f t="shared" si="135"/>
        <v>L3</v>
      </c>
      <c r="W1259" t="str">
        <f>PROPER(TRIM(VLOOKUP(S1259,Employee_Lookups!$I$4:$M$19,2,FALSE())))</f>
        <v>Deepak Patil</v>
      </c>
      <c r="X1259" t="str">
        <f>VLOOKUP(C1259,Employee_Lookups!$A$4:$G$9,4,FALSE())</f>
        <v>CC-303</v>
      </c>
      <c r="Y1259" t="str">
        <f>INDEX(Employee_Lookups!$C$13:$C$17,MATCH(F1259,Employee_Lookups!$A$13:$A$17,0))</f>
        <v>Band C (Senior)</v>
      </c>
      <c r="Z1259" s="27">
        <f>_xlfn.XLOOKUP(F1259,Employee_Lookups!$A$13:$A$17,Employee_Lookups!$E$13:$E$17,0)</f>
        <v>1725000</v>
      </c>
      <c r="AA1259" s="28">
        <f>ROUND(O1259/INDEX(Employee_Lookups!$E$13:$E$17,MATCH(F1259,Employee_Lookups!$A$13:$A$17,0)),3)</f>
        <v>0.92100000000000004</v>
      </c>
      <c r="AB1259">
        <f t="shared" si="136"/>
        <v>2025</v>
      </c>
      <c r="AC1259">
        <f t="shared" si="137"/>
        <v>2025</v>
      </c>
      <c r="AD1259" s="28">
        <f>ROUND((IF(ISBLANK(L1259),Employee_Lookups!$O$14,L1259)-J1259)/365.25,2)</f>
        <v>0.57999999999999996</v>
      </c>
      <c r="AE1259" t="str">
        <f t="shared" si="138"/>
        <v>&lt; 1 Yr (New)</v>
      </c>
      <c r="AF1259" t="str">
        <f t="shared" si="139"/>
        <v>Exited</v>
      </c>
    </row>
    <row r="1260" spans="1:32" x14ac:dyDescent="0.45">
      <c r="A1260" t="s">
        <v>2131</v>
      </c>
      <c r="B1260" t="s">
        <v>1715</v>
      </c>
      <c r="C1260" t="s">
        <v>53</v>
      </c>
      <c r="D1260" t="s">
        <v>52</v>
      </c>
      <c r="E1260" t="s">
        <v>185</v>
      </c>
      <c r="F1260" t="s">
        <v>82</v>
      </c>
      <c r="G1260" t="s">
        <v>186</v>
      </c>
      <c r="H1260" t="s">
        <v>106</v>
      </c>
      <c r="I1260" t="s">
        <v>107</v>
      </c>
      <c r="J1260" s="26">
        <v>45700</v>
      </c>
      <c r="K1260" t="s">
        <v>162</v>
      </c>
      <c r="L1260" s="26"/>
      <c r="M1260" t="s">
        <v>163</v>
      </c>
      <c r="N1260" t="s">
        <v>95</v>
      </c>
      <c r="O1260" s="27">
        <v>1239000</v>
      </c>
      <c r="P1260">
        <v>2</v>
      </c>
      <c r="Q1260" t="s">
        <v>164</v>
      </c>
      <c r="R1260">
        <v>27</v>
      </c>
      <c r="S1260" t="s">
        <v>237</v>
      </c>
      <c r="T1260">
        <f t="shared" si="133"/>
        <v>11163</v>
      </c>
      <c r="U1260" t="str">
        <f t="shared" si="134"/>
        <v>SAL</v>
      </c>
      <c r="V1260" t="str">
        <f t="shared" si="135"/>
        <v>L2</v>
      </c>
      <c r="W1260" t="str">
        <f>PROPER(TRIM(VLOOKUP(S1260,Employee_Lookups!$I$4:$M$19,2,FALSE())))</f>
        <v>Karan Malhotra</v>
      </c>
      <c r="X1260" t="str">
        <f>VLOOKUP(C1260,Employee_Lookups!$A$4:$G$9,4,FALSE())</f>
        <v>CC-202</v>
      </c>
      <c r="Y1260" t="str">
        <f>INDEX(Employee_Lookups!$C$13:$C$17,MATCH(F1260,Employee_Lookups!$A$13:$A$17,0))</f>
        <v>Band B (Mid)</v>
      </c>
      <c r="Z1260" s="27">
        <f>_xlfn.XLOOKUP(F1260,Employee_Lookups!$A$13:$A$17,Employee_Lookups!$E$13:$E$17,0)</f>
        <v>1100000</v>
      </c>
      <c r="AA1260" s="28">
        <f>ROUND(O1260/INDEX(Employee_Lookups!$E$13:$E$17,MATCH(F1260,Employee_Lookups!$A$13:$A$17,0)),3)</f>
        <v>1.1259999999999999</v>
      </c>
      <c r="AB1260">
        <f t="shared" si="136"/>
        <v>2025</v>
      </c>
      <c r="AC1260" t="str">
        <f t="shared" si="137"/>
        <v/>
      </c>
      <c r="AD1260" s="28">
        <f>ROUND((IF(ISBLANK(L1260),Employee_Lookups!$O$14,L1260)-J1260)/365.25,2)</f>
        <v>0.88</v>
      </c>
      <c r="AE1260" t="str">
        <f t="shared" si="138"/>
        <v>&lt; 1 Yr (New)</v>
      </c>
      <c r="AF1260" t="str">
        <f t="shared" si="139"/>
        <v>Moderate Risk</v>
      </c>
    </row>
    <row r="1261" spans="1:32" x14ac:dyDescent="0.45">
      <c r="A1261" t="s">
        <v>2132</v>
      </c>
      <c r="B1261" t="s">
        <v>1281</v>
      </c>
      <c r="C1261" t="s">
        <v>51</v>
      </c>
      <c r="D1261" t="s">
        <v>50</v>
      </c>
      <c r="E1261" t="s">
        <v>176</v>
      </c>
      <c r="F1261" t="s">
        <v>82</v>
      </c>
      <c r="G1261" t="s">
        <v>177</v>
      </c>
      <c r="H1261" t="s">
        <v>108</v>
      </c>
      <c r="I1261" t="s">
        <v>107</v>
      </c>
      <c r="J1261" s="26">
        <v>45701</v>
      </c>
      <c r="K1261" t="s">
        <v>162</v>
      </c>
      <c r="L1261" s="26"/>
      <c r="M1261" t="s">
        <v>163</v>
      </c>
      <c r="N1261" t="s">
        <v>97</v>
      </c>
      <c r="O1261" s="27">
        <v>1168000</v>
      </c>
      <c r="P1261">
        <v>4</v>
      </c>
      <c r="Q1261" t="s">
        <v>172</v>
      </c>
      <c r="R1261">
        <v>44</v>
      </c>
      <c r="S1261" t="s">
        <v>219</v>
      </c>
      <c r="T1261">
        <f t="shared" si="133"/>
        <v>10007</v>
      </c>
      <c r="U1261" t="str">
        <f t="shared" si="134"/>
        <v>ENG</v>
      </c>
      <c r="V1261" t="str">
        <f t="shared" si="135"/>
        <v>L2</v>
      </c>
      <c r="W1261" t="str">
        <f>PROPER(TRIM(VLOOKUP(S1261,Employee_Lookups!$I$4:$M$19,2,FALSE())))</f>
        <v>Neha Kulkarni</v>
      </c>
      <c r="X1261" t="str">
        <f>VLOOKUP(C1261,Employee_Lookups!$A$4:$G$9,4,FALSE())</f>
        <v>CC-101</v>
      </c>
      <c r="Y1261" t="str">
        <f>INDEX(Employee_Lookups!$C$13:$C$17,MATCH(F1261,Employee_Lookups!$A$13:$A$17,0))</f>
        <v>Band B (Mid)</v>
      </c>
      <c r="Z1261" s="27">
        <f>_xlfn.XLOOKUP(F1261,Employee_Lookups!$A$13:$A$17,Employee_Lookups!$E$13:$E$17,0)</f>
        <v>1100000</v>
      </c>
      <c r="AA1261" s="28">
        <f>ROUND(O1261/INDEX(Employee_Lookups!$E$13:$E$17,MATCH(F1261,Employee_Lookups!$A$13:$A$17,0)),3)</f>
        <v>1.0620000000000001</v>
      </c>
      <c r="AB1261">
        <f t="shared" si="136"/>
        <v>2025</v>
      </c>
      <c r="AC1261" t="str">
        <f t="shared" si="137"/>
        <v/>
      </c>
      <c r="AD1261" s="28">
        <f>ROUND((IF(ISBLANK(L1261),Employee_Lookups!$O$14,L1261)-J1261)/365.25,2)</f>
        <v>0.88</v>
      </c>
      <c r="AE1261" t="str">
        <f t="shared" si="138"/>
        <v>&lt; 1 Yr (New)</v>
      </c>
      <c r="AF1261" t="str">
        <f t="shared" si="139"/>
        <v>High Risk</v>
      </c>
    </row>
    <row r="1262" spans="1:32" x14ac:dyDescent="0.45">
      <c r="A1262" t="s">
        <v>2133</v>
      </c>
      <c r="B1262" t="s">
        <v>228</v>
      </c>
      <c r="C1262" t="s">
        <v>61</v>
      </c>
      <c r="D1262" t="s">
        <v>60</v>
      </c>
      <c r="E1262" t="s">
        <v>356</v>
      </c>
      <c r="F1262" t="s">
        <v>81</v>
      </c>
      <c r="G1262" t="s">
        <v>357</v>
      </c>
      <c r="H1262" t="s">
        <v>111</v>
      </c>
      <c r="I1262" t="s">
        <v>110</v>
      </c>
      <c r="J1262" s="26">
        <v>45701</v>
      </c>
      <c r="K1262" t="s">
        <v>162</v>
      </c>
      <c r="L1262" s="26"/>
      <c r="M1262" t="s">
        <v>163</v>
      </c>
      <c r="N1262" t="s">
        <v>95</v>
      </c>
      <c r="O1262" s="27">
        <v>806000</v>
      </c>
      <c r="P1262">
        <v>3</v>
      </c>
      <c r="Q1262" t="s">
        <v>172</v>
      </c>
      <c r="R1262">
        <v>41</v>
      </c>
      <c r="S1262" t="s">
        <v>319</v>
      </c>
      <c r="T1262">
        <f t="shared" si="133"/>
        <v>11132</v>
      </c>
      <c r="U1262" t="str">
        <f t="shared" si="134"/>
        <v>-HR</v>
      </c>
      <c r="V1262" t="str">
        <f t="shared" si="135"/>
        <v>L1</v>
      </c>
      <c r="W1262" t="str">
        <f>PROPER(TRIM(VLOOKUP(S1262,Employee_Lookups!$I$4:$M$19,2,FALSE())))</f>
        <v>Kavita Menon</v>
      </c>
      <c r="X1262" t="str">
        <f>VLOOKUP(C1262,Employee_Lookups!$A$4:$G$9,4,FALSE())</f>
        <v>CC-505</v>
      </c>
      <c r="Y1262" t="str">
        <f>INDEX(Employee_Lookups!$C$13:$C$17,MATCH(F1262,Employee_Lookups!$A$13:$A$17,0))</f>
        <v>Band A (Entry)</v>
      </c>
      <c r="Z1262" s="27">
        <f>_xlfn.XLOOKUP(F1262,Employee_Lookups!$A$13:$A$17,Employee_Lookups!$E$13:$E$17,0)</f>
        <v>700000</v>
      </c>
      <c r="AA1262" s="28">
        <f>ROUND(O1262/INDEX(Employee_Lookups!$E$13:$E$17,MATCH(F1262,Employee_Lookups!$A$13:$A$17,0)),3)</f>
        <v>1.151</v>
      </c>
      <c r="AB1262">
        <f t="shared" si="136"/>
        <v>2025</v>
      </c>
      <c r="AC1262" t="str">
        <f t="shared" si="137"/>
        <v/>
      </c>
      <c r="AD1262" s="28">
        <f>ROUND((IF(ISBLANK(L1262),Employee_Lookups!$O$14,L1262)-J1262)/365.25,2)</f>
        <v>0.88</v>
      </c>
      <c r="AE1262" t="str">
        <f t="shared" si="138"/>
        <v>&lt; 1 Yr (New)</v>
      </c>
      <c r="AF1262" t="str">
        <f t="shared" si="139"/>
        <v>Moderate Risk</v>
      </c>
    </row>
    <row r="1263" spans="1:32" x14ac:dyDescent="0.45">
      <c r="A1263" t="s">
        <v>2134</v>
      </c>
      <c r="B1263" t="s">
        <v>1335</v>
      </c>
      <c r="C1263" t="s">
        <v>53</v>
      </c>
      <c r="D1263" t="s">
        <v>52</v>
      </c>
      <c r="E1263" t="s">
        <v>322</v>
      </c>
      <c r="F1263" t="s">
        <v>81</v>
      </c>
      <c r="G1263" t="s">
        <v>323</v>
      </c>
      <c r="H1263" t="s">
        <v>106</v>
      </c>
      <c r="I1263" t="s">
        <v>107</v>
      </c>
      <c r="J1263" s="26">
        <v>45702</v>
      </c>
      <c r="K1263" t="s">
        <v>162</v>
      </c>
      <c r="L1263" s="26"/>
      <c r="M1263" t="s">
        <v>163</v>
      </c>
      <c r="N1263" t="s">
        <v>96</v>
      </c>
      <c r="O1263" s="27">
        <v>643000</v>
      </c>
      <c r="P1263">
        <v>3</v>
      </c>
      <c r="Q1263" t="s">
        <v>164</v>
      </c>
      <c r="R1263">
        <v>40</v>
      </c>
      <c r="S1263" t="s">
        <v>237</v>
      </c>
      <c r="T1263">
        <f t="shared" si="133"/>
        <v>11094</v>
      </c>
      <c r="U1263" t="str">
        <f t="shared" si="134"/>
        <v>SAL</v>
      </c>
      <c r="V1263" t="str">
        <f t="shared" si="135"/>
        <v>L1</v>
      </c>
      <c r="W1263" t="str">
        <f>PROPER(TRIM(VLOOKUP(S1263,Employee_Lookups!$I$4:$M$19,2,FALSE())))</f>
        <v>Karan Malhotra</v>
      </c>
      <c r="X1263" t="str">
        <f>VLOOKUP(C1263,Employee_Lookups!$A$4:$G$9,4,FALSE())</f>
        <v>CC-202</v>
      </c>
      <c r="Y1263" t="str">
        <f>INDEX(Employee_Lookups!$C$13:$C$17,MATCH(F1263,Employee_Lookups!$A$13:$A$17,0))</f>
        <v>Band A (Entry)</v>
      </c>
      <c r="Z1263" s="27">
        <f>_xlfn.XLOOKUP(F1263,Employee_Lookups!$A$13:$A$17,Employee_Lookups!$E$13:$E$17,0)</f>
        <v>700000</v>
      </c>
      <c r="AA1263" s="28">
        <f>ROUND(O1263/INDEX(Employee_Lookups!$E$13:$E$17,MATCH(F1263,Employee_Lookups!$A$13:$A$17,0)),3)</f>
        <v>0.91900000000000004</v>
      </c>
      <c r="AB1263">
        <f t="shared" si="136"/>
        <v>2025</v>
      </c>
      <c r="AC1263" t="str">
        <f t="shared" si="137"/>
        <v/>
      </c>
      <c r="AD1263" s="28">
        <f>ROUND((IF(ISBLANK(L1263),Employee_Lookups!$O$14,L1263)-J1263)/365.25,2)</f>
        <v>0.88</v>
      </c>
      <c r="AE1263" t="str">
        <f t="shared" si="138"/>
        <v>&lt; 1 Yr (New)</v>
      </c>
      <c r="AF1263" t="str">
        <f t="shared" si="139"/>
        <v>Low Risk</v>
      </c>
    </row>
    <row r="1264" spans="1:32" x14ac:dyDescent="0.45">
      <c r="A1264" t="s">
        <v>2135</v>
      </c>
      <c r="B1264" t="s">
        <v>804</v>
      </c>
      <c r="C1264" t="s">
        <v>57</v>
      </c>
      <c r="D1264" t="s">
        <v>56</v>
      </c>
      <c r="E1264" t="s">
        <v>391</v>
      </c>
      <c r="F1264" t="s">
        <v>83</v>
      </c>
      <c r="G1264" t="s">
        <v>392</v>
      </c>
      <c r="H1264" t="s">
        <v>111</v>
      </c>
      <c r="I1264" t="s">
        <v>110</v>
      </c>
      <c r="J1264" s="26">
        <v>45702</v>
      </c>
      <c r="K1264" t="s">
        <v>162</v>
      </c>
      <c r="L1264" s="26"/>
      <c r="M1264" t="s">
        <v>163</v>
      </c>
      <c r="N1264" t="s">
        <v>97</v>
      </c>
      <c r="O1264" s="27">
        <v>2032000</v>
      </c>
      <c r="P1264">
        <v>4</v>
      </c>
      <c r="Q1264" t="s">
        <v>172</v>
      </c>
      <c r="R1264">
        <v>44</v>
      </c>
      <c r="S1264" t="s">
        <v>224</v>
      </c>
      <c r="T1264">
        <f t="shared" si="133"/>
        <v>11217</v>
      </c>
      <c r="U1264" t="str">
        <f t="shared" si="134"/>
        <v>MKT</v>
      </c>
      <c r="V1264" t="str">
        <f t="shared" si="135"/>
        <v>L3</v>
      </c>
      <c r="W1264" t="str">
        <f>PROPER(TRIM(VLOOKUP(S1264,Employee_Lookups!$I$4:$M$19,2,FALSE())))</f>
        <v>Tanvi Chitnis</v>
      </c>
      <c r="X1264" t="str">
        <f>VLOOKUP(C1264,Employee_Lookups!$A$4:$G$9,4,FALSE())</f>
        <v>CC-606</v>
      </c>
      <c r="Y1264" t="str">
        <f>INDEX(Employee_Lookups!$C$13:$C$17,MATCH(F1264,Employee_Lookups!$A$13:$A$17,0))</f>
        <v>Band C (Senior)</v>
      </c>
      <c r="Z1264" s="27">
        <f>_xlfn.XLOOKUP(F1264,Employee_Lookups!$A$13:$A$17,Employee_Lookups!$E$13:$E$17,0)</f>
        <v>1725000</v>
      </c>
      <c r="AA1264" s="28">
        <f>ROUND(O1264/INDEX(Employee_Lookups!$E$13:$E$17,MATCH(F1264,Employee_Lookups!$A$13:$A$17,0)),3)</f>
        <v>1.1779999999999999</v>
      </c>
      <c r="AB1264">
        <f t="shared" si="136"/>
        <v>2025</v>
      </c>
      <c r="AC1264" t="str">
        <f t="shared" si="137"/>
        <v/>
      </c>
      <c r="AD1264" s="28">
        <f>ROUND((IF(ISBLANK(L1264),Employee_Lookups!$O$14,L1264)-J1264)/365.25,2)</f>
        <v>0.88</v>
      </c>
      <c r="AE1264" t="str">
        <f t="shared" si="138"/>
        <v>&lt; 1 Yr (New)</v>
      </c>
      <c r="AF1264" t="str">
        <f t="shared" si="139"/>
        <v>High Risk</v>
      </c>
    </row>
    <row r="1265" spans="1:32" x14ac:dyDescent="0.45">
      <c r="A1265" t="s">
        <v>2136</v>
      </c>
      <c r="B1265" t="s">
        <v>2137</v>
      </c>
      <c r="C1265" t="s">
        <v>51</v>
      </c>
      <c r="D1265" t="s">
        <v>50</v>
      </c>
      <c r="E1265" t="s">
        <v>176</v>
      </c>
      <c r="F1265" t="s">
        <v>82</v>
      </c>
      <c r="G1265" t="s">
        <v>177</v>
      </c>
      <c r="H1265" t="s">
        <v>106</v>
      </c>
      <c r="I1265" t="s">
        <v>107</v>
      </c>
      <c r="J1265" s="26">
        <v>45704</v>
      </c>
      <c r="K1265" t="s">
        <v>162</v>
      </c>
      <c r="L1265" s="26"/>
      <c r="M1265" t="s">
        <v>163</v>
      </c>
      <c r="N1265" t="s">
        <v>98</v>
      </c>
      <c r="O1265" s="27">
        <v>875000</v>
      </c>
      <c r="P1265">
        <v>3</v>
      </c>
      <c r="Q1265" t="s">
        <v>164</v>
      </c>
      <c r="R1265">
        <v>39</v>
      </c>
      <c r="S1265" t="s">
        <v>197</v>
      </c>
      <c r="T1265">
        <f t="shared" si="133"/>
        <v>10651</v>
      </c>
      <c r="U1265" t="str">
        <f t="shared" si="134"/>
        <v>ENG</v>
      </c>
      <c r="V1265" t="str">
        <f t="shared" si="135"/>
        <v>L2</v>
      </c>
      <c r="W1265" t="str">
        <f>PROPER(TRIM(VLOOKUP(S1265,Employee_Lookups!$I$4:$M$19,2,FALSE())))</f>
        <v>Rohan Verma</v>
      </c>
      <c r="X1265" t="str">
        <f>VLOOKUP(C1265,Employee_Lookups!$A$4:$G$9,4,FALSE())</f>
        <v>CC-101</v>
      </c>
      <c r="Y1265" t="str">
        <f>INDEX(Employee_Lookups!$C$13:$C$17,MATCH(F1265,Employee_Lookups!$A$13:$A$17,0))</f>
        <v>Band B (Mid)</v>
      </c>
      <c r="Z1265" s="27">
        <f>_xlfn.XLOOKUP(F1265,Employee_Lookups!$A$13:$A$17,Employee_Lookups!$E$13:$E$17,0)</f>
        <v>1100000</v>
      </c>
      <c r="AA1265" s="28">
        <f>ROUND(O1265/INDEX(Employee_Lookups!$E$13:$E$17,MATCH(F1265,Employee_Lookups!$A$13:$A$17,0)),3)</f>
        <v>0.79500000000000004</v>
      </c>
      <c r="AB1265">
        <f t="shared" si="136"/>
        <v>2025</v>
      </c>
      <c r="AC1265" t="str">
        <f t="shared" si="137"/>
        <v/>
      </c>
      <c r="AD1265" s="28">
        <f>ROUND((IF(ISBLANK(L1265),Employee_Lookups!$O$14,L1265)-J1265)/365.25,2)</f>
        <v>0.87</v>
      </c>
      <c r="AE1265" t="str">
        <f t="shared" si="138"/>
        <v>&lt; 1 Yr (New)</v>
      </c>
      <c r="AF1265" t="str">
        <f t="shared" si="139"/>
        <v>Low Risk</v>
      </c>
    </row>
    <row r="1266" spans="1:32" x14ac:dyDescent="0.45">
      <c r="A1266" t="s">
        <v>2138</v>
      </c>
      <c r="B1266" t="s">
        <v>740</v>
      </c>
      <c r="C1266" t="s">
        <v>61</v>
      </c>
      <c r="D1266" t="s">
        <v>60</v>
      </c>
      <c r="E1266" t="s">
        <v>356</v>
      </c>
      <c r="F1266" t="s">
        <v>81</v>
      </c>
      <c r="G1266" t="s">
        <v>357</v>
      </c>
      <c r="H1266" t="s">
        <v>109</v>
      </c>
      <c r="I1266" t="s">
        <v>110</v>
      </c>
      <c r="J1266" s="26">
        <v>45705</v>
      </c>
      <c r="K1266" t="s">
        <v>162</v>
      </c>
      <c r="L1266" s="26"/>
      <c r="M1266" t="s">
        <v>163</v>
      </c>
      <c r="N1266" t="s">
        <v>99</v>
      </c>
      <c r="O1266" s="27">
        <v>639000</v>
      </c>
      <c r="P1266">
        <v>3</v>
      </c>
      <c r="Q1266" t="s">
        <v>172</v>
      </c>
      <c r="R1266">
        <v>36</v>
      </c>
      <c r="S1266" t="s">
        <v>319</v>
      </c>
      <c r="T1266">
        <f t="shared" si="133"/>
        <v>10628</v>
      </c>
      <c r="U1266" t="str">
        <f t="shared" si="134"/>
        <v>-HR</v>
      </c>
      <c r="V1266" t="str">
        <f t="shared" si="135"/>
        <v>L1</v>
      </c>
      <c r="W1266" t="str">
        <f>PROPER(TRIM(VLOOKUP(S1266,Employee_Lookups!$I$4:$M$19,2,FALSE())))</f>
        <v>Kavita Menon</v>
      </c>
      <c r="X1266" t="str">
        <f>VLOOKUP(C1266,Employee_Lookups!$A$4:$G$9,4,FALSE())</f>
        <v>CC-505</v>
      </c>
      <c r="Y1266" t="str">
        <f>INDEX(Employee_Lookups!$C$13:$C$17,MATCH(F1266,Employee_Lookups!$A$13:$A$17,0))</f>
        <v>Band A (Entry)</v>
      </c>
      <c r="Z1266" s="27">
        <f>_xlfn.XLOOKUP(F1266,Employee_Lookups!$A$13:$A$17,Employee_Lookups!$E$13:$E$17,0)</f>
        <v>700000</v>
      </c>
      <c r="AA1266" s="28">
        <f>ROUND(O1266/INDEX(Employee_Lookups!$E$13:$E$17,MATCH(F1266,Employee_Lookups!$A$13:$A$17,0)),3)</f>
        <v>0.91300000000000003</v>
      </c>
      <c r="AB1266">
        <f t="shared" si="136"/>
        <v>2025</v>
      </c>
      <c r="AC1266" t="str">
        <f t="shared" si="137"/>
        <v/>
      </c>
      <c r="AD1266" s="28">
        <f>ROUND((IF(ISBLANK(L1266),Employee_Lookups!$O$14,L1266)-J1266)/365.25,2)</f>
        <v>0.87</v>
      </c>
      <c r="AE1266" t="str">
        <f t="shared" si="138"/>
        <v>&lt; 1 Yr (New)</v>
      </c>
      <c r="AF1266" t="str">
        <f t="shared" si="139"/>
        <v>High Risk</v>
      </c>
    </row>
    <row r="1267" spans="1:32" x14ac:dyDescent="0.45">
      <c r="A1267" t="s">
        <v>2139</v>
      </c>
      <c r="B1267" t="s">
        <v>487</v>
      </c>
      <c r="C1267" t="s">
        <v>51</v>
      </c>
      <c r="D1267" t="s">
        <v>50</v>
      </c>
      <c r="E1267" t="s">
        <v>176</v>
      </c>
      <c r="F1267" t="s">
        <v>82</v>
      </c>
      <c r="G1267" t="s">
        <v>177</v>
      </c>
      <c r="H1267" t="s">
        <v>106</v>
      </c>
      <c r="I1267" t="s">
        <v>107</v>
      </c>
      <c r="J1267" s="26">
        <v>45706</v>
      </c>
      <c r="K1267" t="s">
        <v>162</v>
      </c>
      <c r="L1267" s="26"/>
      <c r="M1267" t="s">
        <v>163</v>
      </c>
      <c r="N1267" t="s">
        <v>97</v>
      </c>
      <c r="O1267" s="27">
        <v>1001000</v>
      </c>
      <c r="P1267">
        <v>4</v>
      </c>
      <c r="Q1267" t="s">
        <v>164</v>
      </c>
      <c r="R1267">
        <v>6</v>
      </c>
      <c r="S1267" t="s">
        <v>178</v>
      </c>
      <c r="T1267">
        <f t="shared" si="133"/>
        <v>11200</v>
      </c>
      <c r="U1267" t="str">
        <f t="shared" si="134"/>
        <v>ENG</v>
      </c>
      <c r="V1267" t="str">
        <f t="shared" si="135"/>
        <v>L2</v>
      </c>
      <c r="W1267" t="str">
        <f>PROPER(TRIM(VLOOKUP(S1267,Employee_Lookups!$I$4:$M$19,2,FALSE())))</f>
        <v>Aarav Deshmukh</v>
      </c>
      <c r="X1267" t="str">
        <f>VLOOKUP(C1267,Employee_Lookups!$A$4:$G$9,4,FALSE())</f>
        <v>CC-101</v>
      </c>
      <c r="Y1267" t="str">
        <f>INDEX(Employee_Lookups!$C$13:$C$17,MATCH(F1267,Employee_Lookups!$A$13:$A$17,0))</f>
        <v>Band B (Mid)</v>
      </c>
      <c r="Z1267" s="27">
        <f>_xlfn.XLOOKUP(F1267,Employee_Lookups!$A$13:$A$17,Employee_Lookups!$E$13:$E$17,0)</f>
        <v>1100000</v>
      </c>
      <c r="AA1267" s="28">
        <f>ROUND(O1267/INDEX(Employee_Lookups!$E$13:$E$17,MATCH(F1267,Employee_Lookups!$A$13:$A$17,0)),3)</f>
        <v>0.91</v>
      </c>
      <c r="AB1267">
        <f t="shared" si="136"/>
        <v>2025</v>
      </c>
      <c r="AC1267" t="str">
        <f t="shared" si="137"/>
        <v/>
      </c>
      <c r="AD1267" s="28">
        <f>ROUND((IF(ISBLANK(L1267),Employee_Lookups!$O$14,L1267)-J1267)/365.25,2)</f>
        <v>0.87</v>
      </c>
      <c r="AE1267" t="str">
        <f t="shared" si="138"/>
        <v>&lt; 1 Yr (New)</v>
      </c>
      <c r="AF1267" t="str">
        <f t="shared" si="139"/>
        <v>Low Risk</v>
      </c>
    </row>
    <row r="1268" spans="1:32" x14ac:dyDescent="0.45">
      <c r="A1268" t="s">
        <v>2140</v>
      </c>
      <c r="B1268" t="s">
        <v>349</v>
      </c>
      <c r="C1268" t="s">
        <v>51</v>
      </c>
      <c r="D1268" t="s">
        <v>50</v>
      </c>
      <c r="E1268" t="s">
        <v>181</v>
      </c>
      <c r="F1268" t="s">
        <v>81</v>
      </c>
      <c r="G1268" t="s">
        <v>182</v>
      </c>
      <c r="H1268" t="s">
        <v>106</v>
      </c>
      <c r="I1268" t="s">
        <v>107</v>
      </c>
      <c r="J1268" s="26">
        <v>45706</v>
      </c>
      <c r="K1268" t="s">
        <v>162</v>
      </c>
      <c r="L1268" s="26"/>
      <c r="M1268" t="s">
        <v>163</v>
      </c>
      <c r="N1268" t="s">
        <v>95</v>
      </c>
      <c r="O1268" s="27">
        <v>766000</v>
      </c>
      <c r="P1268">
        <v>5</v>
      </c>
      <c r="Q1268" t="s">
        <v>164</v>
      </c>
      <c r="R1268">
        <v>47</v>
      </c>
      <c r="S1268" t="s">
        <v>178</v>
      </c>
      <c r="T1268">
        <f t="shared" si="133"/>
        <v>11407</v>
      </c>
      <c r="U1268" t="str">
        <f t="shared" si="134"/>
        <v>ENG</v>
      </c>
      <c r="V1268" t="str">
        <f t="shared" si="135"/>
        <v>L1</v>
      </c>
      <c r="W1268" t="str">
        <f>PROPER(TRIM(VLOOKUP(S1268,Employee_Lookups!$I$4:$M$19,2,FALSE())))</f>
        <v>Aarav Deshmukh</v>
      </c>
      <c r="X1268" t="str">
        <f>VLOOKUP(C1268,Employee_Lookups!$A$4:$G$9,4,FALSE())</f>
        <v>CC-101</v>
      </c>
      <c r="Y1268" t="str">
        <f>INDEX(Employee_Lookups!$C$13:$C$17,MATCH(F1268,Employee_Lookups!$A$13:$A$17,0))</f>
        <v>Band A (Entry)</v>
      </c>
      <c r="Z1268" s="27">
        <f>_xlfn.XLOOKUP(F1268,Employee_Lookups!$A$13:$A$17,Employee_Lookups!$E$13:$E$17,0)</f>
        <v>700000</v>
      </c>
      <c r="AA1268" s="28">
        <f>ROUND(O1268/INDEX(Employee_Lookups!$E$13:$E$17,MATCH(F1268,Employee_Lookups!$A$13:$A$17,0)),3)</f>
        <v>1.0940000000000001</v>
      </c>
      <c r="AB1268">
        <f t="shared" si="136"/>
        <v>2025</v>
      </c>
      <c r="AC1268" t="str">
        <f t="shared" si="137"/>
        <v/>
      </c>
      <c r="AD1268" s="28">
        <f>ROUND((IF(ISBLANK(L1268),Employee_Lookups!$O$14,L1268)-J1268)/365.25,2)</f>
        <v>0.87</v>
      </c>
      <c r="AE1268" t="str">
        <f t="shared" si="138"/>
        <v>&lt; 1 Yr (New)</v>
      </c>
      <c r="AF1268" t="str">
        <f t="shared" si="139"/>
        <v>Low Risk</v>
      </c>
    </row>
    <row r="1269" spans="1:32" x14ac:dyDescent="0.45">
      <c r="A1269" t="s">
        <v>2141</v>
      </c>
      <c r="B1269" t="s">
        <v>2142</v>
      </c>
      <c r="C1269" t="s">
        <v>59</v>
      </c>
      <c r="D1269" t="s">
        <v>58</v>
      </c>
      <c r="E1269" t="s">
        <v>206</v>
      </c>
      <c r="F1269" t="s">
        <v>81</v>
      </c>
      <c r="G1269" t="s">
        <v>207</v>
      </c>
      <c r="H1269" t="s">
        <v>109</v>
      </c>
      <c r="I1269" t="s">
        <v>110</v>
      </c>
      <c r="J1269" s="26">
        <v>45713</v>
      </c>
      <c r="K1269" t="s">
        <v>162</v>
      </c>
      <c r="L1269" s="26"/>
      <c r="M1269" t="s">
        <v>163</v>
      </c>
      <c r="N1269" t="s">
        <v>95</v>
      </c>
      <c r="O1269" s="27">
        <v>622000</v>
      </c>
      <c r="P1269">
        <v>3</v>
      </c>
      <c r="Q1269" t="s">
        <v>164</v>
      </c>
      <c r="R1269">
        <v>40</v>
      </c>
      <c r="S1269" t="s">
        <v>208</v>
      </c>
      <c r="T1269">
        <f t="shared" si="133"/>
        <v>10486</v>
      </c>
      <c r="U1269" t="str">
        <f t="shared" si="134"/>
        <v>FIN</v>
      </c>
      <c r="V1269" t="str">
        <f t="shared" si="135"/>
        <v>L1</v>
      </c>
      <c r="W1269" t="str">
        <f>PROPER(TRIM(VLOOKUP(S1269,Employee_Lookups!$I$4:$M$19,2,FALSE())))</f>
        <v>Rajeshwari Rao</v>
      </c>
      <c r="X1269" t="str">
        <f>VLOOKUP(C1269,Employee_Lookups!$A$4:$G$9,4,FALSE())</f>
        <v>CC-404</v>
      </c>
      <c r="Y1269" t="str">
        <f>INDEX(Employee_Lookups!$C$13:$C$17,MATCH(F1269,Employee_Lookups!$A$13:$A$17,0))</f>
        <v>Band A (Entry)</v>
      </c>
      <c r="Z1269" s="27">
        <f>_xlfn.XLOOKUP(F1269,Employee_Lookups!$A$13:$A$17,Employee_Lookups!$E$13:$E$17,0)</f>
        <v>700000</v>
      </c>
      <c r="AA1269" s="28">
        <f>ROUND(O1269/INDEX(Employee_Lookups!$E$13:$E$17,MATCH(F1269,Employee_Lookups!$A$13:$A$17,0)),3)</f>
        <v>0.88900000000000001</v>
      </c>
      <c r="AB1269">
        <f t="shared" si="136"/>
        <v>2025</v>
      </c>
      <c r="AC1269" t="str">
        <f t="shared" si="137"/>
        <v/>
      </c>
      <c r="AD1269" s="28">
        <f>ROUND((IF(ISBLANK(L1269),Employee_Lookups!$O$14,L1269)-J1269)/365.25,2)</f>
        <v>0.85</v>
      </c>
      <c r="AE1269" t="str">
        <f t="shared" si="138"/>
        <v>&lt; 1 Yr (New)</v>
      </c>
      <c r="AF1269" t="str">
        <f t="shared" si="139"/>
        <v>Low Risk</v>
      </c>
    </row>
    <row r="1270" spans="1:32" x14ac:dyDescent="0.45">
      <c r="A1270" t="s">
        <v>2143</v>
      </c>
      <c r="B1270" t="s">
        <v>2144</v>
      </c>
      <c r="C1270" t="s">
        <v>51</v>
      </c>
      <c r="D1270" t="s">
        <v>50</v>
      </c>
      <c r="E1270" t="s">
        <v>181</v>
      </c>
      <c r="F1270" t="s">
        <v>81</v>
      </c>
      <c r="G1270" t="s">
        <v>182</v>
      </c>
      <c r="H1270" t="s">
        <v>106</v>
      </c>
      <c r="I1270" t="s">
        <v>107</v>
      </c>
      <c r="J1270" s="26">
        <v>45717</v>
      </c>
      <c r="K1270" t="s">
        <v>162</v>
      </c>
      <c r="L1270" s="26"/>
      <c r="M1270" t="s">
        <v>163</v>
      </c>
      <c r="N1270" t="s">
        <v>99</v>
      </c>
      <c r="O1270" s="27">
        <v>661000</v>
      </c>
      <c r="P1270">
        <v>3</v>
      </c>
      <c r="Q1270" t="s">
        <v>164</v>
      </c>
      <c r="R1270">
        <v>39</v>
      </c>
      <c r="S1270" t="s">
        <v>178</v>
      </c>
      <c r="T1270">
        <f t="shared" si="133"/>
        <v>11435</v>
      </c>
      <c r="U1270" t="str">
        <f t="shared" si="134"/>
        <v>ENG</v>
      </c>
      <c r="V1270" t="str">
        <f t="shared" si="135"/>
        <v>L1</v>
      </c>
      <c r="W1270" t="str">
        <f>PROPER(TRIM(VLOOKUP(S1270,Employee_Lookups!$I$4:$M$19,2,FALSE())))</f>
        <v>Aarav Deshmukh</v>
      </c>
      <c r="X1270" t="str">
        <f>VLOOKUP(C1270,Employee_Lookups!$A$4:$G$9,4,FALSE())</f>
        <v>CC-101</v>
      </c>
      <c r="Y1270" t="str">
        <f>INDEX(Employee_Lookups!$C$13:$C$17,MATCH(F1270,Employee_Lookups!$A$13:$A$17,0))</f>
        <v>Band A (Entry)</v>
      </c>
      <c r="Z1270" s="27">
        <f>_xlfn.XLOOKUP(F1270,Employee_Lookups!$A$13:$A$17,Employee_Lookups!$E$13:$E$17,0)</f>
        <v>700000</v>
      </c>
      <c r="AA1270" s="28">
        <f>ROUND(O1270/INDEX(Employee_Lookups!$E$13:$E$17,MATCH(F1270,Employee_Lookups!$A$13:$A$17,0)),3)</f>
        <v>0.94399999999999995</v>
      </c>
      <c r="AB1270">
        <f t="shared" si="136"/>
        <v>2025</v>
      </c>
      <c r="AC1270" t="str">
        <f t="shared" si="137"/>
        <v/>
      </c>
      <c r="AD1270" s="28">
        <f>ROUND((IF(ISBLANK(L1270),Employee_Lookups!$O$14,L1270)-J1270)/365.25,2)</f>
        <v>0.84</v>
      </c>
      <c r="AE1270" t="str">
        <f t="shared" si="138"/>
        <v>&lt; 1 Yr (New)</v>
      </c>
      <c r="AF1270" t="str">
        <f t="shared" si="139"/>
        <v>Low Risk</v>
      </c>
    </row>
    <row r="1271" spans="1:32" x14ac:dyDescent="0.45">
      <c r="A1271" t="s">
        <v>2145</v>
      </c>
      <c r="B1271" t="s">
        <v>1472</v>
      </c>
      <c r="C1271" t="s">
        <v>53</v>
      </c>
      <c r="D1271" t="s">
        <v>52</v>
      </c>
      <c r="E1271" t="s">
        <v>322</v>
      </c>
      <c r="F1271" t="s">
        <v>81</v>
      </c>
      <c r="G1271" t="s">
        <v>323</v>
      </c>
      <c r="H1271" t="s">
        <v>106</v>
      </c>
      <c r="I1271" t="s">
        <v>107</v>
      </c>
      <c r="J1271" s="26">
        <v>45718</v>
      </c>
      <c r="K1271" t="s">
        <v>162</v>
      </c>
      <c r="L1271" s="26"/>
      <c r="M1271" t="s">
        <v>163</v>
      </c>
      <c r="N1271" t="s">
        <v>95</v>
      </c>
      <c r="O1271" s="27">
        <v>561000</v>
      </c>
      <c r="P1271">
        <v>2</v>
      </c>
      <c r="Q1271" t="s">
        <v>164</v>
      </c>
      <c r="R1271">
        <v>42</v>
      </c>
      <c r="S1271" t="s">
        <v>194</v>
      </c>
      <c r="T1271">
        <f t="shared" si="133"/>
        <v>10691</v>
      </c>
      <c r="U1271" t="str">
        <f t="shared" si="134"/>
        <v>SAL</v>
      </c>
      <c r="V1271" t="str">
        <f t="shared" si="135"/>
        <v>L1</v>
      </c>
      <c r="W1271" t="str">
        <f>PROPER(TRIM(VLOOKUP(S1271,Employee_Lookups!$I$4:$M$19,2,FALSE())))</f>
        <v>Vikramaditya Joshi</v>
      </c>
      <c r="X1271" t="str">
        <f>VLOOKUP(C1271,Employee_Lookups!$A$4:$G$9,4,FALSE())</f>
        <v>CC-202</v>
      </c>
      <c r="Y1271" t="str">
        <f>INDEX(Employee_Lookups!$C$13:$C$17,MATCH(F1271,Employee_Lookups!$A$13:$A$17,0))</f>
        <v>Band A (Entry)</v>
      </c>
      <c r="Z1271" s="27">
        <f>_xlfn.XLOOKUP(F1271,Employee_Lookups!$A$13:$A$17,Employee_Lookups!$E$13:$E$17,0)</f>
        <v>700000</v>
      </c>
      <c r="AA1271" s="28">
        <f>ROUND(O1271/INDEX(Employee_Lookups!$E$13:$E$17,MATCH(F1271,Employee_Lookups!$A$13:$A$17,0)),3)</f>
        <v>0.80100000000000005</v>
      </c>
      <c r="AB1271">
        <f t="shared" si="136"/>
        <v>2025</v>
      </c>
      <c r="AC1271" t="str">
        <f t="shared" si="137"/>
        <v/>
      </c>
      <c r="AD1271" s="28">
        <f>ROUND((IF(ISBLANK(L1271),Employee_Lookups!$O$14,L1271)-J1271)/365.25,2)</f>
        <v>0.83</v>
      </c>
      <c r="AE1271" t="str">
        <f t="shared" si="138"/>
        <v>&lt; 1 Yr (New)</v>
      </c>
      <c r="AF1271" t="str">
        <f t="shared" si="139"/>
        <v>Moderate Risk</v>
      </c>
    </row>
    <row r="1272" spans="1:32" x14ac:dyDescent="0.45">
      <c r="A1272" t="s">
        <v>2146</v>
      </c>
      <c r="B1272" t="s">
        <v>597</v>
      </c>
      <c r="C1272" t="s">
        <v>55</v>
      </c>
      <c r="D1272" t="s">
        <v>54</v>
      </c>
      <c r="E1272" t="s">
        <v>277</v>
      </c>
      <c r="F1272" t="s">
        <v>81</v>
      </c>
      <c r="G1272" t="s">
        <v>278</v>
      </c>
      <c r="H1272" t="s">
        <v>106</v>
      </c>
      <c r="I1272" t="s">
        <v>107</v>
      </c>
      <c r="J1272" s="26">
        <v>45720</v>
      </c>
      <c r="K1272" t="s">
        <v>162</v>
      </c>
      <c r="L1272" s="26"/>
      <c r="M1272" t="s">
        <v>163</v>
      </c>
      <c r="N1272" t="s">
        <v>95</v>
      </c>
      <c r="O1272" s="27">
        <v>682000</v>
      </c>
      <c r="P1272">
        <v>2</v>
      </c>
      <c r="Q1272" t="s">
        <v>164</v>
      </c>
      <c r="R1272">
        <v>26</v>
      </c>
      <c r="S1272" t="s">
        <v>173</v>
      </c>
      <c r="T1272">
        <f t="shared" si="133"/>
        <v>10959</v>
      </c>
      <c r="U1272" t="str">
        <f t="shared" si="134"/>
        <v>OPS</v>
      </c>
      <c r="V1272" t="str">
        <f t="shared" si="135"/>
        <v>L1</v>
      </c>
      <c r="W1272" t="str">
        <f>PROPER(TRIM(VLOOKUP(S1272,Employee_Lookups!$I$4:$M$19,2,FALSE())))</f>
        <v>Deepak Patil</v>
      </c>
      <c r="X1272" t="str">
        <f>VLOOKUP(C1272,Employee_Lookups!$A$4:$G$9,4,FALSE())</f>
        <v>CC-303</v>
      </c>
      <c r="Y1272" t="str">
        <f>INDEX(Employee_Lookups!$C$13:$C$17,MATCH(F1272,Employee_Lookups!$A$13:$A$17,0))</f>
        <v>Band A (Entry)</v>
      </c>
      <c r="Z1272" s="27">
        <f>_xlfn.XLOOKUP(F1272,Employee_Lookups!$A$13:$A$17,Employee_Lookups!$E$13:$E$17,0)</f>
        <v>700000</v>
      </c>
      <c r="AA1272" s="28">
        <f>ROUND(O1272/INDEX(Employee_Lookups!$E$13:$E$17,MATCH(F1272,Employee_Lookups!$A$13:$A$17,0)),3)</f>
        <v>0.97399999999999998</v>
      </c>
      <c r="AB1272">
        <f t="shared" si="136"/>
        <v>2025</v>
      </c>
      <c r="AC1272" t="str">
        <f t="shared" si="137"/>
        <v/>
      </c>
      <c r="AD1272" s="28">
        <f>ROUND((IF(ISBLANK(L1272),Employee_Lookups!$O$14,L1272)-J1272)/365.25,2)</f>
        <v>0.83</v>
      </c>
      <c r="AE1272" t="str">
        <f t="shared" si="138"/>
        <v>&lt; 1 Yr (New)</v>
      </c>
      <c r="AF1272" t="str">
        <f t="shared" si="139"/>
        <v>Moderate Risk</v>
      </c>
    </row>
    <row r="1273" spans="1:32" x14ac:dyDescent="0.45">
      <c r="A1273" t="s">
        <v>2147</v>
      </c>
      <c r="B1273" t="s">
        <v>419</v>
      </c>
      <c r="C1273" t="s">
        <v>55</v>
      </c>
      <c r="D1273" t="s">
        <v>54</v>
      </c>
      <c r="E1273" t="s">
        <v>229</v>
      </c>
      <c r="F1273" t="s">
        <v>82</v>
      </c>
      <c r="G1273" t="s">
        <v>230</v>
      </c>
      <c r="H1273" t="s">
        <v>109</v>
      </c>
      <c r="I1273" t="s">
        <v>110</v>
      </c>
      <c r="J1273" s="26">
        <v>45721</v>
      </c>
      <c r="K1273" t="s">
        <v>170</v>
      </c>
      <c r="L1273" s="26">
        <v>45984</v>
      </c>
      <c r="M1273" t="s">
        <v>171</v>
      </c>
      <c r="N1273" t="s">
        <v>96</v>
      </c>
      <c r="O1273" s="27">
        <v>1174000</v>
      </c>
      <c r="P1273">
        <v>2</v>
      </c>
      <c r="Q1273" t="s">
        <v>172</v>
      </c>
      <c r="R1273">
        <v>27</v>
      </c>
      <c r="S1273" t="s">
        <v>274</v>
      </c>
      <c r="T1273">
        <f t="shared" si="133"/>
        <v>10737</v>
      </c>
      <c r="U1273" t="str">
        <f t="shared" si="134"/>
        <v>OPS</v>
      </c>
      <c r="V1273" t="str">
        <f t="shared" si="135"/>
        <v>L2</v>
      </c>
      <c r="W1273" t="str">
        <f>PROPER(TRIM(VLOOKUP(S1273,Employee_Lookups!$I$4:$M$19,2,FALSE())))</f>
        <v>Meera Krishnan</v>
      </c>
      <c r="X1273" t="str">
        <f>VLOOKUP(C1273,Employee_Lookups!$A$4:$G$9,4,FALSE())</f>
        <v>CC-303</v>
      </c>
      <c r="Y1273" t="str">
        <f>INDEX(Employee_Lookups!$C$13:$C$17,MATCH(F1273,Employee_Lookups!$A$13:$A$17,0))</f>
        <v>Band B (Mid)</v>
      </c>
      <c r="Z1273" s="27">
        <f>_xlfn.XLOOKUP(F1273,Employee_Lookups!$A$13:$A$17,Employee_Lookups!$E$13:$E$17,0)</f>
        <v>1100000</v>
      </c>
      <c r="AA1273" s="28">
        <f>ROUND(O1273/INDEX(Employee_Lookups!$E$13:$E$17,MATCH(F1273,Employee_Lookups!$A$13:$A$17,0)),3)</f>
        <v>1.0669999999999999</v>
      </c>
      <c r="AB1273">
        <f t="shared" si="136"/>
        <v>2025</v>
      </c>
      <c r="AC1273">
        <f t="shared" si="137"/>
        <v>2025</v>
      </c>
      <c r="AD1273" s="28">
        <f>ROUND((IF(ISBLANK(L1273),Employee_Lookups!$O$14,L1273)-J1273)/365.25,2)</f>
        <v>0.72</v>
      </c>
      <c r="AE1273" t="str">
        <f t="shared" si="138"/>
        <v>&lt; 1 Yr (New)</v>
      </c>
      <c r="AF1273" t="str">
        <f t="shared" si="139"/>
        <v>Exited</v>
      </c>
    </row>
    <row r="1274" spans="1:32" x14ac:dyDescent="0.45">
      <c r="A1274" t="s">
        <v>2148</v>
      </c>
      <c r="B1274" t="s">
        <v>967</v>
      </c>
      <c r="C1274" t="s">
        <v>53</v>
      </c>
      <c r="D1274" t="s">
        <v>52</v>
      </c>
      <c r="E1274" t="s">
        <v>322</v>
      </c>
      <c r="F1274" t="s">
        <v>81</v>
      </c>
      <c r="G1274" t="s">
        <v>323</v>
      </c>
      <c r="H1274" t="s">
        <v>108</v>
      </c>
      <c r="I1274" t="s">
        <v>107</v>
      </c>
      <c r="J1274" s="26">
        <v>45721</v>
      </c>
      <c r="K1274" t="s">
        <v>162</v>
      </c>
      <c r="L1274" s="26"/>
      <c r="M1274" t="s">
        <v>163</v>
      </c>
      <c r="N1274" t="s">
        <v>99</v>
      </c>
      <c r="O1274" s="27">
        <v>653000</v>
      </c>
      <c r="P1274">
        <v>3</v>
      </c>
      <c r="Q1274" t="s">
        <v>164</v>
      </c>
      <c r="R1274">
        <v>15</v>
      </c>
      <c r="S1274" t="s">
        <v>194</v>
      </c>
      <c r="T1274">
        <f t="shared" si="133"/>
        <v>10459</v>
      </c>
      <c r="U1274" t="str">
        <f t="shared" si="134"/>
        <v>SAL</v>
      </c>
      <c r="V1274" t="str">
        <f t="shared" si="135"/>
        <v>L1</v>
      </c>
      <c r="W1274" t="str">
        <f>PROPER(TRIM(VLOOKUP(S1274,Employee_Lookups!$I$4:$M$19,2,FALSE())))</f>
        <v>Vikramaditya Joshi</v>
      </c>
      <c r="X1274" t="str">
        <f>VLOOKUP(C1274,Employee_Lookups!$A$4:$G$9,4,FALSE())</f>
        <v>CC-202</v>
      </c>
      <c r="Y1274" t="str">
        <f>INDEX(Employee_Lookups!$C$13:$C$17,MATCH(F1274,Employee_Lookups!$A$13:$A$17,0))</f>
        <v>Band A (Entry)</v>
      </c>
      <c r="Z1274" s="27">
        <f>_xlfn.XLOOKUP(F1274,Employee_Lookups!$A$13:$A$17,Employee_Lookups!$E$13:$E$17,0)</f>
        <v>700000</v>
      </c>
      <c r="AA1274" s="28">
        <f>ROUND(O1274/INDEX(Employee_Lookups!$E$13:$E$17,MATCH(F1274,Employee_Lookups!$A$13:$A$17,0)),3)</f>
        <v>0.93300000000000005</v>
      </c>
      <c r="AB1274">
        <f t="shared" si="136"/>
        <v>2025</v>
      </c>
      <c r="AC1274" t="str">
        <f t="shared" si="137"/>
        <v/>
      </c>
      <c r="AD1274" s="28">
        <f>ROUND((IF(ISBLANK(L1274),Employee_Lookups!$O$14,L1274)-J1274)/365.25,2)</f>
        <v>0.82</v>
      </c>
      <c r="AE1274" t="str">
        <f t="shared" si="138"/>
        <v>&lt; 1 Yr (New)</v>
      </c>
      <c r="AF1274" t="str">
        <f t="shared" si="139"/>
        <v>Low Risk</v>
      </c>
    </row>
    <row r="1275" spans="1:32" x14ac:dyDescent="0.45">
      <c r="A1275" t="s">
        <v>2149</v>
      </c>
      <c r="B1275" t="s">
        <v>2150</v>
      </c>
      <c r="C1275" t="s">
        <v>57</v>
      </c>
      <c r="D1275" t="s">
        <v>56</v>
      </c>
      <c r="E1275" t="s">
        <v>222</v>
      </c>
      <c r="F1275" t="s">
        <v>82</v>
      </c>
      <c r="G1275" t="s">
        <v>223</v>
      </c>
      <c r="H1275" t="s">
        <v>106</v>
      </c>
      <c r="I1275" t="s">
        <v>107</v>
      </c>
      <c r="J1275" s="26">
        <v>45721</v>
      </c>
      <c r="K1275" t="s">
        <v>187</v>
      </c>
      <c r="L1275" s="26">
        <v>45774</v>
      </c>
      <c r="M1275" t="s">
        <v>282</v>
      </c>
      <c r="N1275" t="s">
        <v>99</v>
      </c>
      <c r="O1275" s="27">
        <v>906000</v>
      </c>
      <c r="P1275">
        <v>4</v>
      </c>
      <c r="Q1275" t="s">
        <v>172</v>
      </c>
      <c r="R1275">
        <v>38</v>
      </c>
      <c r="S1275" t="s">
        <v>224</v>
      </c>
      <c r="T1275">
        <f t="shared" si="133"/>
        <v>10941</v>
      </c>
      <c r="U1275" t="str">
        <f t="shared" si="134"/>
        <v>MKT</v>
      </c>
      <c r="V1275" t="str">
        <f t="shared" si="135"/>
        <v>L2</v>
      </c>
      <c r="W1275" t="str">
        <f>PROPER(TRIM(VLOOKUP(S1275,Employee_Lookups!$I$4:$M$19,2,FALSE())))</f>
        <v>Tanvi Chitnis</v>
      </c>
      <c r="X1275" t="str">
        <f>VLOOKUP(C1275,Employee_Lookups!$A$4:$G$9,4,FALSE())</f>
        <v>CC-606</v>
      </c>
      <c r="Y1275" t="str">
        <f>INDEX(Employee_Lookups!$C$13:$C$17,MATCH(F1275,Employee_Lookups!$A$13:$A$17,0))</f>
        <v>Band B (Mid)</v>
      </c>
      <c r="Z1275" s="27">
        <f>_xlfn.XLOOKUP(F1275,Employee_Lookups!$A$13:$A$17,Employee_Lookups!$E$13:$E$17,0)</f>
        <v>1100000</v>
      </c>
      <c r="AA1275" s="28">
        <f>ROUND(O1275/INDEX(Employee_Lookups!$E$13:$E$17,MATCH(F1275,Employee_Lookups!$A$13:$A$17,0)),3)</f>
        <v>0.82399999999999995</v>
      </c>
      <c r="AB1275">
        <f t="shared" si="136"/>
        <v>2025</v>
      </c>
      <c r="AC1275">
        <f t="shared" si="137"/>
        <v>2025</v>
      </c>
      <c r="AD1275" s="28">
        <f>ROUND((IF(ISBLANK(L1275),Employee_Lookups!$O$14,L1275)-J1275)/365.25,2)</f>
        <v>0.15</v>
      </c>
      <c r="AE1275" t="str">
        <f t="shared" si="138"/>
        <v>&lt; 1 Yr (New)</v>
      </c>
      <c r="AF1275" t="str">
        <f t="shared" si="139"/>
        <v>Exited</v>
      </c>
    </row>
    <row r="1276" spans="1:32" x14ac:dyDescent="0.45">
      <c r="A1276" t="s">
        <v>2151</v>
      </c>
      <c r="B1276" t="s">
        <v>1794</v>
      </c>
      <c r="C1276" t="s">
        <v>51</v>
      </c>
      <c r="D1276" t="s">
        <v>50</v>
      </c>
      <c r="E1276" t="s">
        <v>176</v>
      </c>
      <c r="F1276" t="s">
        <v>82</v>
      </c>
      <c r="G1276" t="s">
        <v>177</v>
      </c>
      <c r="H1276" t="s">
        <v>106</v>
      </c>
      <c r="I1276" t="s">
        <v>107</v>
      </c>
      <c r="J1276" s="26">
        <v>45728</v>
      </c>
      <c r="K1276" t="s">
        <v>162</v>
      </c>
      <c r="L1276" s="26"/>
      <c r="M1276" t="s">
        <v>163</v>
      </c>
      <c r="N1276" t="s">
        <v>99</v>
      </c>
      <c r="O1276" s="27">
        <v>1315000</v>
      </c>
      <c r="P1276">
        <v>4</v>
      </c>
      <c r="Q1276" t="s">
        <v>172</v>
      </c>
      <c r="R1276">
        <v>28</v>
      </c>
      <c r="S1276" t="s">
        <v>178</v>
      </c>
      <c r="T1276">
        <f t="shared" si="133"/>
        <v>11420</v>
      </c>
      <c r="U1276" t="str">
        <f t="shared" si="134"/>
        <v>ENG</v>
      </c>
      <c r="V1276" t="str">
        <f t="shared" si="135"/>
        <v>L2</v>
      </c>
      <c r="W1276" t="str">
        <f>PROPER(TRIM(VLOOKUP(S1276,Employee_Lookups!$I$4:$M$19,2,FALSE())))</f>
        <v>Aarav Deshmukh</v>
      </c>
      <c r="X1276" t="str">
        <f>VLOOKUP(C1276,Employee_Lookups!$A$4:$G$9,4,FALSE())</f>
        <v>CC-101</v>
      </c>
      <c r="Y1276" t="str">
        <f>INDEX(Employee_Lookups!$C$13:$C$17,MATCH(F1276,Employee_Lookups!$A$13:$A$17,0))</f>
        <v>Band B (Mid)</v>
      </c>
      <c r="Z1276" s="27">
        <f>_xlfn.XLOOKUP(F1276,Employee_Lookups!$A$13:$A$17,Employee_Lookups!$E$13:$E$17,0)</f>
        <v>1100000</v>
      </c>
      <c r="AA1276" s="28">
        <f>ROUND(O1276/INDEX(Employee_Lookups!$E$13:$E$17,MATCH(F1276,Employee_Lookups!$A$13:$A$17,0)),3)</f>
        <v>1.1950000000000001</v>
      </c>
      <c r="AB1276">
        <f t="shared" si="136"/>
        <v>2025</v>
      </c>
      <c r="AC1276" t="str">
        <f t="shared" si="137"/>
        <v/>
      </c>
      <c r="AD1276" s="28">
        <f>ROUND((IF(ISBLANK(L1276),Employee_Lookups!$O$14,L1276)-J1276)/365.25,2)</f>
        <v>0.8</v>
      </c>
      <c r="AE1276" t="str">
        <f t="shared" si="138"/>
        <v>&lt; 1 Yr (New)</v>
      </c>
      <c r="AF1276" t="str">
        <f t="shared" si="139"/>
        <v>High Risk</v>
      </c>
    </row>
    <row r="1277" spans="1:32" x14ac:dyDescent="0.45">
      <c r="A1277" t="s">
        <v>2152</v>
      </c>
      <c r="B1277" t="s">
        <v>1560</v>
      </c>
      <c r="C1277" t="s">
        <v>59</v>
      </c>
      <c r="D1277" t="s">
        <v>58</v>
      </c>
      <c r="E1277" t="s">
        <v>206</v>
      </c>
      <c r="F1277" t="s">
        <v>81</v>
      </c>
      <c r="G1277" t="s">
        <v>207</v>
      </c>
      <c r="H1277" t="s">
        <v>106</v>
      </c>
      <c r="I1277" t="s">
        <v>107</v>
      </c>
      <c r="J1277" s="26">
        <v>45729</v>
      </c>
      <c r="K1277" t="s">
        <v>162</v>
      </c>
      <c r="L1277" s="26"/>
      <c r="M1277" t="s">
        <v>163</v>
      </c>
      <c r="N1277" t="s">
        <v>99</v>
      </c>
      <c r="O1277" s="27">
        <v>740000</v>
      </c>
      <c r="P1277">
        <v>4</v>
      </c>
      <c r="Q1277" t="s">
        <v>164</v>
      </c>
      <c r="R1277">
        <v>22</v>
      </c>
      <c r="S1277" t="s">
        <v>214</v>
      </c>
      <c r="T1277">
        <f t="shared" si="133"/>
        <v>10309</v>
      </c>
      <c r="U1277" t="str">
        <f t="shared" si="134"/>
        <v>FIN</v>
      </c>
      <c r="V1277" t="str">
        <f t="shared" si="135"/>
        <v>L1</v>
      </c>
      <c r="W1277" t="str">
        <f>PROPER(TRIM(VLOOKUP(S1277,Employee_Lookups!$I$4:$M$19,2,FALSE())))</f>
        <v>Aditya Gokhale</v>
      </c>
      <c r="X1277" t="str">
        <f>VLOOKUP(C1277,Employee_Lookups!$A$4:$G$9,4,FALSE())</f>
        <v>CC-404</v>
      </c>
      <c r="Y1277" t="str">
        <f>INDEX(Employee_Lookups!$C$13:$C$17,MATCH(F1277,Employee_Lookups!$A$13:$A$17,0))</f>
        <v>Band A (Entry)</v>
      </c>
      <c r="Z1277" s="27">
        <f>_xlfn.XLOOKUP(F1277,Employee_Lookups!$A$13:$A$17,Employee_Lookups!$E$13:$E$17,0)</f>
        <v>700000</v>
      </c>
      <c r="AA1277" s="28">
        <f>ROUND(O1277/INDEX(Employee_Lookups!$E$13:$E$17,MATCH(F1277,Employee_Lookups!$A$13:$A$17,0)),3)</f>
        <v>1.0569999999999999</v>
      </c>
      <c r="AB1277">
        <f t="shared" si="136"/>
        <v>2025</v>
      </c>
      <c r="AC1277" t="str">
        <f t="shared" si="137"/>
        <v/>
      </c>
      <c r="AD1277" s="28">
        <f>ROUND((IF(ISBLANK(L1277),Employee_Lookups!$O$14,L1277)-J1277)/365.25,2)</f>
        <v>0.8</v>
      </c>
      <c r="AE1277" t="str">
        <f t="shared" si="138"/>
        <v>&lt; 1 Yr (New)</v>
      </c>
      <c r="AF1277" t="str">
        <f t="shared" si="139"/>
        <v>Low Risk</v>
      </c>
    </row>
    <row r="1278" spans="1:32" x14ac:dyDescent="0.45">
      <c r="A1278" t="s">
        <v>2153</v>
      </c>
      <c r="B1278" t="s">
        <v>2017</v>
      </c>
      <c r="C1278" t="s">
        <v>61</v>
      </c>
      <c r="D1278" t="s">
        <v>60</v>
      </c>
      <c r="E1278" t="s">
        <v>317</v>
      </c>
      <c r="F1278" t="s">
        <v>84</v>
      </c>
      <c r="G1278" t="s">
        <v>318</v>
      </c>
      <c r="H1278" t="s">
        <v>106</v>
      </c>
      <c r="I1278" t="s">
        <v>107</v>
      </c>
      <c r="J1278" s="26">
        <v>45732</v>
      </c>
      <c r="K1278" t="s">
        <v>162</v>
      </c>
      <c r="L1278" s="26"/>
      <c r="M1278" t="s">
        <v>163</v>
      </c>
      <c r="N1278" t="s">
        <v>97</v>
      </c>
      <c r="O1278" s="27">
        <v>2173000</v>
      </c>
      <c r="P1278">
        <v>4</v>
      </c>
      <c r="Q1278" t="s">
        <v>172</v>
      </c>
      <c r="R1278">
        <v>17</v>
      </c>
      <c r="S1278" t="s">
        <v>253</v>
      </c>
      <c r="T1278">
        <f t="shared" si="133"/>
        <v>10406</v>
      </c>
      <c r="U1278" t="str">
        <f t="shared" si="134"/>
        <v>-HR</v>
      </c>
      <c r="V1278" t="str">
        <f t="shared" si="135"/>
        <v>L4</v>
      </c>
      <c r="W1278" t="str">
        <f>PROPER(TRIM(VLOOKUP(S1278,Employee_Lookups!$I$4:$M$19,2,FALSE())))</f>
        <v>Nikhil Chatterjee</v>
      </c>
      <c r="X1278" t="str">
        <f>VLOOKUP(C1278,Employee_Lookups!$A$4:$G$9,4,FALSE())</f>
        <v>CC-505</v>
      </c>
      <c r="Y1278" t="str">
        <f>INDEX(Employee_Lookups!$C$13:$C$17,MATCH(F1278,Employee_Lookups!$A$13:$A$17,0))</f>
        <v>Band D (Leadership)</v>
      </c>
      <c r="Z1278" s="27">
        <f>_xlfn.XLOOKUP(F1278,Employee_Lookups!$A$13:$A$17,Employee_Lookups!$E$13:$E$17,0)</f>
        <v>2750000</v>
      </c>
      <c r="AA1278" s="28">
        <f>ROUND(O1278/INDEX(Employee_Lookups!$E$13:$E$17,MATCH(F1278,Employee_Lookups!$A$13:$A$17,0)),3)</f>
        <v>0.79</v>
      </c>
      <c r="AB1278">
        <f t="shared" si="136"/>
        <v>2025</v>
      </c>
      <c r="AC1278" t="str">
        <f t="shared" si="137"/>
        <v/>
      </c>
      <c r="AD1278" s="28">
        <f>ROUND((IF(ISBLANK(L1278),Employee_Lookups!$O$14,L1278)-J1278)/365.25,2)</f>
        <v>0.79</v>
      </c>
      <c r="AE1278" t="str">
        <f t="shared" si="138"/>
        <v>&lt; 1 Yr (New)</v>
      </c>
      <c r="AF1278" t="str">
        <f t="shared" si="139"/>
        <v>High Risk</v>
      </c>
    </row>
    <row r="1279" spans="1:32" x14ac:dyDescent="0.45">
      <c r="A1279" t="s">
        <v>2154</v>
      </c>
      <c r="B1279" t="s">
        <v>1413</v>
      </c>
      <c r="C1279" t="s">
        <v>61</v>
      </c>
      <c r="D1279" t="s">
        <v>60</v>
      </c>
      <c r="E1279" t="s">
        <v>251</v>
      </c>
      <c r="F1279" t="s">
        <v>82</v>
      </c>
      <c r="G1279" t="s">
        <v>252</v>
      </c>
      <c r="H1279" t="s">
        <v>108</v>
      </c>
      <c r="I1279" t="s">
        <v>107</v>
      </c>
      <c r="J1279" s="26">
        <v>45735</v>
      </c>
      <c r="K1279" t="s">
        <v>162</v>
      </c>
      <c r="L1279" s="26"/>
      <c r="M1279" t="s">
        <v>163</v>
      </c>
      <c r="N1279" t="s">
        <v>99</v>
      </c>
      <c r="O1279" s="27">
        <v>1267000</v>
      </c>
      <c r="P1279">
        <v>3</v>
      </c>
      <c r="Q1279" t="s">
        <v>172</v>
      </c>
      <c r="R1279">
        <v>26</v>
      </c>
      <c r="S1279" t="s">
        <v>253</v>
      </c>
      <c r="T1279">
        <f t="shared" si="133"/>
        <v>10304</v>
      </c>
      <c r="U1279" t="str">
        <f t="shared" si="134"/>
        <v>-HR</v>
      </c>
      <c r="V1279" t="str">
        <f t="shared" si="135"/>
        <v>L2</v>
      </c>
      <c r="W1279" t="str">
        <f>PROPER(TRIM(VLOOKUP(S1279,Employee_Lookups!$I$4:$M$19,2,FALSE())))</f>
        <v>Nikhil Chatterjee</v>
      </c>
      <c r="X1279" t="str">
        <f>VLOOKUP(C1279,Employee_Lookups!$A$4:$G$9,4,FALSE())</f>
        <v>CC-505</v>
      </c>
      <c r="Y1279" t="str">
        <f>INDEX(Employee_Lookups!$C$13:$C$17,MATCH(F1279,Employee_Lookups!$A$13:$A$17,0))</f>
        <v>Band B (Mid)</v>
      </c>
      <c r="Z1279" s="27">
        <f>_xlfn.XLOOKUP(F1279,Employee_Lookups!$A$13:$A$17,Employee_Lookups!$E$13:$E$17,0)</f>
        <v>1100000</v>
      </c>
      <c r="AA1279" s="28">
        <f>ROUND(O1279/INDEX(Employee_Lookups!$E$13:$E$17,MATCH(F1279,Employee_Lookups!$A$13:$A$17,0)),3)</f>
        <v>1.1519999999999999</v>
      </c>
      <c r="AB1279">
        <f t="shared" si="136"/>
        <v>2025</v>
      </c>
      <c r="AC1279" t="str">
        <f t="shared" si="137"/>
        <v/>
      </c>
      <c r="AD1279" s="28">
        <f>ROUND((IF(ISBLANK(L1279),Employee_Lookups!$O$14,L1279)-J1279)/365.25,2)</f>
        <v>0.79</v>
      </c>
      <c r="AE1279" t="str">
        <f t="shared" si="138"/>
        <v>&lt; 1 Yr (New)</v>
      </c>
      <c r="AF1279" t="str">
        <f t="shared" si="139"/>
        <v>Moderate Risk</v>
      </c>
    </row>
    <row r="1280" spans="1:32" x14ac:dyDescent="0.45">
      <c r="A1280" t="s">
        <v>2155</v>
      </c>
      <c r="B1280" t="s">
        <v>1454</v>
      </c>
      <c r="C1280" t="s">
        <v>61</v>
      </c>
      <c r="D1280" t="s">
        <v>60</v>
      </c>
      <c r="E1280" t="s">
        <v>356</v>
      </c>
      <c r="F1280" t="s">
        <v>81</v>
      </c>
      <c r="G1280" t="s">
        <v>357</v>
      </c>
      <c r="H1280" t="s">
        <v>109</v>
      </c>
      <c r="I1280" t="s">
        <v>110</v>
      </c>
      <c r="J1280" s="26">
        <v>45735</v>
      </c>
      <c r="K1280" t="s">
        <v>162</v>
      </c>
      <c r="L1280" s="26"/>
      <c r="M1280" t="s">
        <v>163</v>
      </c>
      <c r="N1280" t="s">
        <v>99</v>
      </c>
      <c r="O1280" s="27">
        <v>598000</v>
      </c>
      <c r="P1280">
        <v>4</v>
      </c>
      <c r="Q1280" t="s">
        <v>172</v>
      </c>
      <c r="R1280">
        <v>59</v>
      </c>
      <c r="S1280" t="s">
        <v>319</v>
      </c>
      <c r="T1280">
        <f t="shared" si="133"/>
        <v>11153</v>
      </c>
      <c r="U1280" t="str">
        <f t="shared" si="134"/>
        <v>-HR</v>
      </c>
      <c r="V1280" t="str">
        <f t="shared" si="135"/>
        <v>L1</v>
      </c>
      <c r="W1280" t="str">
        <f>PROPER(TRIM(VLOOKUP(S1280,Employee_Lookups!$I$4:$M$19,2,FALSE())))</f>
        <v>Kavita Menon</v>
      </c>
      <c r="X1280" t="str">
        <f>VLOOKUP(C1280,Employee_Lookups!$A$4:$G$9,4,FALSE())</f>
        <v>CC-505</v>
      </c>
      <c r="Y1280" t="str">
        <f>INDEX(Employee_Lookups!$C$13:$C$17,MATCH(F1280,Employee_Lookups!$A$13:$A$17,0))</f>
        <v>Band A (Entry)</v>
      </c>
      <c r="Z1280" s="27">
        <f>_xlfn.XLOOKUP(F1280,Employee_Lookups!$A$13:$A$17,Employee_Lookups!$E$13:$E$17,0)</f>
        <v>700000</v>
      </c>
      <c r="AA1280" s="28">
        <f>ROUND(O1280/INDEX(Employee_Lookups!$E$13:$E$17,MATCH(F1280,Employee_Lookups!$A$13:$A$17,0)),3)</f>
        <v>0.85399999999999998</v>
      </c>
      <c r="AB1280">
        <f t="shared" si="136"/>
        <v>2025</v>
      </c>
      <c r="AC1280" t="str">
        <f t="shared" si="137"/>
        <v/>
      </c>
      <c r="AD1280" s="28">
        <f>ROUND((IF(ISBLANK(L1280),Employee_Lookups!$O$14,L1280)-J1280)/365.25,2)</f>
        <v>0.79</v>
      </c>
      <c r="AE1280" t="str">
        <f t="shared" si="138"/>
        <v>&lt; 1 Yr (New)</v>
      </c>
      <c r="AF1280" t="str">
        <f t="shared" si="139"/>
        <v>High Risk</v>
      </c>
    </row>
    <row r="1281" spans="1:32" x14ac:dyDescent="0.45">
      <c r="A1281" t="s">
        <v>2156</v>
      </c>
      <c r="B1281" t="s">
        <v>2092</v>
      </c>
      <c r="C1281" t="s">
        <v>51</v>
      </c>
      <c r="D1281" t="s">
        <v>50</v>
      </c>
      <c r="E1281" t="s">
        <v>328</v>
      </c>
      <c r="F1281" t="s">
        <v>85</v>
      </c>
      <c r="G1281" t="s">
        <v>329</v>
      </c>
      <c r="H1281" t="s">
        <v>106</v>
      </c>
      <c r="I1281" t="s">
        <v>107</v>
      </c>
      <c r="J1281" s="26">
        <v>45742</v>
      </c>
      <c r="K1281" t="s">
        <v>162</v>
      </c>
      <c r="L1281" s="26"/>
      <c r="M1281" t="s">
        <v>163</v>
      </c>
      <c r="N1281" t="s">
        <v>97</v>
      </c>
      <c r="O1281" s="27">
        <v>4700000</v>
      </c>
      <c r="P1281">
        <v>3</v>
      </c>
      <c r="Q1281" t="s">
        <v>172</v>
      </c>
      <c r="R1281">
        <v>33</v>
      </c>
      <c r="S1281" t="s">
        <v>197</v>
      </c>
      <c r="T1281">
        <f t="shared" si="133"/>
        <v>11304</v>
      </c>
      <c r="U1281" t="str">
        <f t="shared" si="134"/>
        <v>ENG</v>
      </c>
      <c r="V1281" t="str">
        <f t="shared" si="135"/>
        <v>L5</v>
      </c>
      <c r="W1281" t="str">
        <f>PROPER(TRIM(VLOOKUP(S1281,Employee_Lookups!$I$4:$M$19,2,FALSE())))</f>
        <v>Rohan Verma</v>
      </c>
      <c r="X1281" t="str">
        <f>VLOOKUP(C1281,Employee_Lookups!$A$4:$G$9,4,FALSE())</f>
        <v>CC-101</v>
      </c>
      <c r="Y1281" t="str">
        <f>INDEX(Employee_Lookups!$C$13:$C$17,MATCH(F1281,Employee_Lookups!$A$13:$A$17,0))</f>
        <v>Band E (Executive)</v>
      </c>
      <c r="Z1281" s="27">
        <f>_xlfn.XLOOKUP(F1281,Employee_Lookups!$A$13:$A$17,Employee_Lookups!$E$13:$E$17,0)</f>
        <v>4300000</v>
      </c>
      <c r="AA1281" s="28">
        <f>ROUND(O1281/INDEX(Employee_Lookups!$E$13:$E$17,MATCH(F1281,Employee_Lookups!$A$13:$A$17,0)),3)</f>
        <v>1.093</v>
      </c>
      <c r="AB1281">
        <f t="shared" si="136"/>
        <v>2025</v>
      </c>
      <c r="AC1281" t="str">
        <f t="shared" si="137"/>
        <v/>
      </c>
      <c r="AD1281" s="28">
        <f>ROUND((IF(ISBLANK(L1281),Employee_Lookups!$O$14,L1281)-J1281)/365.25,2)</f>
        <v>0.77</v>
      </c>
      <c r="AE1281" t="str">
        <f t="shared" si="138"/>
        <v>&lt; 1 Yr (New)</v>
      </c>
      <c r="AF1281" t="str">
        <f t="shared" si="139"/>
        <v>Moderate Risk</v>
      </c>
    </row>
    <row r="1282" spans="1:32" x14ac:dyDescent="0.45">
      <c r="A1282" t="s">
        <v>2157</v>
      </c>
      <c r="B1282" t="s">
        <v>1101</v>
      </c>
      <c r="C1282" t="s">
        <v>59</v>
      </c>
      <c r="D1282" t="s">
        <v>58</v>
      </c>
      <c r="E1282" t="s">
        <v>579</v>
      </c>
      <c r="F1282" t="s">
        <v>84</v>
      </c>
      <c r="G1282" t="s">
        <v>580</v>
      </c>
      <c r="H1282" t="s">
        <v>106</v>
      </c>
      <c r="I1282" t="s">
        <v>107</v>
      </c>
      <c r="J1282" s="26">
        <v>45744</v>
      </c>
      <c r="K1282" t="s">
        <v>162</v>
      </c>
      <c r="L1282" s="26"/>
      <c r="M1282" t="s">
        <v>163</v>
      </c>
      <c r="N1282" t="s">
        <v>97</v>
      </c>
      <c r="O1282" s="27">
        <v>3046000</v>
      </c>
      <c r="P1282">
        <v>3</v>
      </c>
      <c r="Q1282" t="s">
        <v>172</v>
      </c>
      <c r="R1282">
        <v>50</v>
      </c>
      <c r="S1282" t="s">
        <v>208</v>
      </c>
      <c r="T1282">
        <f t="shared" ref="T1282:T1345" si="140">VALUE(MID(A1282,5,5))</f>
        <v>10600</v>
      </c>
      <c r="U1282" t="str">
        <f t="shared" ref="U1282:U1345" si="141">LEFT(E1282,3)</f>
        <v>FIN</v>
      </c>
      <c r="V1282" t="str">
        <f t="shared" ref="V1282:V1345" si="142">RIGHT(E1282,2)</f>
        <v>L4</v>
      </c>
      <c r="W1282" t="str">
        <f>PROPER(TRIM(VLOOKUP(S1282,Employee_Lookups!$I$4:$M$19,2,FALSE())))</f>
        <v>Rajeshwari Rao</v>
      </c>
      <c r="X1282" t="str">
        <f>VLOOKUP(C1282,Employee_Lookups!$A$4:$G$9,4,FALSE())</f>
        <v>CC-404</v>
      </c>
      <c r="Y1282" t="str">
        <f>INDEX(Employee_Lookups!$C$13:$C$17,MATCH(F1282,Employee_Lookups!$A$13:$A$17,0))</f>
        <v>Band D (Leadership)</v>
      </c>
      <c r="Z1282" s="27">
        <f>_xlfn.XLOOKUP(F1282,Employee_Lookups!$A$13:$A$17,Employee_Lookups!$E$13:$E$17,0)</f>
        <v>2750000</v>
      </c>
      <c r="AA1282" s="28">
        <f>ROUND(O1282/INDEX(Employee_Lookups!$E$13:$E$17,MATCH(F1282,Employee_Lookups!$A$13:$A$17,0)),3)</f>
        <v>1.1080000000000001</v>
      </c>
      <c r="AB1282">
        <f t="shared" ref="AB1282:AB1345" si="143">YEAR(J1282)</f>
        <v>2025</v>
      </c>
      <c r="AC1282" t="str">
        <f t="shared" ref="AC1282:AC1345" si="144">IF(ISBLANK(L1282),"",YEAR(L1282))</f>
        <v/>
      </c>
      <c r="AD1282" s="28">
        <f>ROUND((IF(ISBLANK(L1282),Employee_Lookups!$O$14,L1282)-J1282)/365.25,2)</f>
        <v>0.76</v>
      </c>
      <c r="AE1282" t="str">
        <f t="shared" ref="AE1282:AE1345" si="145">IF(AD1282&lt;1,"&lt; 1 Yr (New)",IF(AD1282&lt;3,"1 - 3 Yrs",IF(AD1282&lt;5,"3 - 5 Yrs","5+ Yrs")))</f>
        <v>&lt; 1 Yr (New)</v>
      </c>
      <c r="AF1282" t="str">
        <f t="shared" ref="AF1282:AF1345" si="146">IF(K1282&lt;&gt;"Active","Exited",IF(AND(Q1282="Yes",OR(P1282&gt;=4,AA1282&lt;0.95)),"High Risk",IF(OR(Q1282="Yes",AND(NOT(ISBLANK(P1282)),P1282&lt;=2)),"Moderate Risk","Low Risk")))</f>
        <v>Moderate Risk</v>
      </c>
    </row>
    <row r="1283" spans="1:32" x14ac:dyDescent="0.45">
      <c r="A1283" t="s">
        <v>2158</v>
      </c>
      <c r="B1283" t="s">
        <v>738</v>
      </c>
      <c r="C1283" t="s">
        <v>51</v>
      </c>
      <c r="D1283" t="s">
        <v>50</v>
      </c>
      <c r="E1283" t="s">
        <v>217</v>
      </c>
      <c r="F1283" t="s">
        <v>83</v>
      </c>
      <c r="G1283" t="s">
        <v>218</v>
      </c>
      <c r="H1283" t="s">
        <v>106</v>
      </c>
      <c r="I1283" t="s">
        <v>107</v>
      </c>
      <c r="J1283" s="26">
        <v>45750</v>
      </c>
      <c r="K1283" t="s">
        <v>162</v>
      </c>
      <c r="L1283" s="26"/>
      <c r="M1283" t="s">
        <v>163</v>
      </c>
      <c r="N1283" t="s">
        <v>97</v>
      </c>
      <c r="O1283" s="27">
        <v>1572000</v>
      </c>
      <c r="P1283">
        <v>5</v>
      </c>
      <c r="Q1283" t="s">
        <v>172</v>
      </c>
      <c r="R1283">
        <v>31</v>
      </c>
      <c r="S1283" t="s">
        <v>244</v>
      </c>
      <c r="T1283">
        <f t="shared" si="140"/>
        <v>11322</v>
      </c>
      <c r="U1283" t="str">
        <f t="shared" si="141"/>
        <v>ENG</v>
      </c>
      <c r="V1283" t="str">
        <f t="shared" si="142"/>
        <v>L3</v>
      </c>
      <c r="W1283" t="str">
        <f>PROPER(TRIM(VLOOKUP(S1283,Employee_Lookups!$I$4:$M$19,2,FALSE())))</f>
        <v>Siddharth Nair</v>
      </c>
      <c r="X1283" t="str">
        <f>VLOOKUP(C1283,Employee_Lookups!$A$4:$G$9,4,FALSE())</f>
        <v>CC-101</v>
      </c>
      <c r="Y1283" t="str">
        <f>INDEX(Employee_Lookups!$C$13:$C$17,MATCH(F1283,Employee_Lookups!$A$13:$A$17,0))</f>
        <v>Band C (Senior)</v>
      </c>
      <c r="Z1283" s="27">
        <f>_xlfn.XLOOKUP(F1283,Employee_Lookups!$A$13:$A$17,Employee_Lookups!$E$13:$E$17,0)</f>
        <v>1725000</v>
      </c>
      <c r="AA1283" s="28">
        <f>ROUND(O1283/INDEX(Employee_Lookups!$E$13:$E$17,MATCH(F1283,Employee_Lookups!$A$13:$A$17,0)),3)</f>
        <v>0.91100000000000003</v>
      </c>
      <c r="AB1283">
        <f t="shared" si="143"/>
        <v>2025</v>
      </c>
      <c r="AC1283" t="str">
        <f t="shared" si="144"/>
        <v/>
      </c>
      <c r="AD1283" s="28">
        <f>ROUND((IF(ISBLANK(L1283),Employee_Lookups!$O$14,L1283)-J1283)/365.25,2)</f>
        <v>0.74</v>
      </c>
      <c r="AE1283" t="str">
        <f t="shared" si="145"/>
        <v>&lt; 1 Yr (New)</v>
      </c>
      <c r="AF1283" t="str">
        <f t="shared" si="146"/>
        <v>High Risk</v>
      </c>
    </row>
    <row r="1284" spans="1:32" x14ac:dyDescent="0.45">
      <c r="A1284" t="s">
        <v>2159</v>
      </c>
      <c r="B1284" t="s">
        <v>2160</v>
      </c>
      <c r="C1284" t="s">
        <v>53</v>
      </c>
      <c r="D1284" t="s">
        <v>52</v>
      </c>
      <c r="E1284" t="s">
        <v>192</v>
      </c>
      <c r="F1284" t="s">
        <v>83</v>
      </c>
      <c r="G1284" t="s">
        <v>193</v>
      </c>
      <c r="H1284" t="s">
        <v>108</v>
      </c>
      <c r="I1284" t="s">
        <v>107</v>
      </c>
      <c r="J1284" s="26">
        <v>45751</v>
      </c>
      <c r="K1284" t="s">
        <v>162</v>
      </c>
      <c r="L1284" s="26"/>
      <c r="M1284" t="s">
        <v>163</v>
      </c>
      <c r="N1284" t="s">
        <v>96</v>
      </c>
      <c r="O1284" s="27">
        <v>1659000</v>
      </c>
      <c r="P1284">
        <v>2</v>
      </c>
      <c r="Q1284" t="s">
        <v>172</v>
      </c>
      <c r="R1284">
        <v>36</v>
      </c>
      <c r="S1284" t="s">
        <v>189</v>
      </c>
      <c r="T1284">
        <f t="shared" si="140"/>
        <v>10790</v>
      </c>
      <c r="U1284" t="str">
        <f t="shared" si="141"/>
        <v>SAL</v>
      </c>
      <c r="V1284" t="str">
        <f t="shared" si="142"/>
        <v>L3</v>
      </c>
      <c r="W1284" t="str">
        <f>PROPER(TRIM(VLOOKUP(S1284,Employee_Lookups!$I$4:$M$19,2,FALSE())))</f>
        <v>Priya Sharma</v>
      </c>
      <c r="X1284" t="str">
        <f>VLOOKUP(C1284,Employee_Lookups!$A$4:$G$9,4,FALSE())</f>
        <v>CC-202</v>
      </c>
      <c r="Y1284" t="str">
        <f>INDEX(Employee_Lookups!$C$13:$C$17,MATCH(F1284,Employee_Lookups!$A$13:$A$17,0))</f>
        <v>Band C (Senior)</v>
      </c>
      <c r="Z1284" s="27">
        <f>_xlfn.XLOOKUP(F1284,Employee_Lookups!$A$13:$A$17,Employee_Lookups!$E$13:$E$17,0)</f>
        <v>1725000</v>
      </c>
      <c r="AA1284" s="28">
        <f>ROUND(O1284/INDEX(Employee_Lookups!$E$13:$E$17,MATCH(F1284,Employee_Lookups!$A$13:$A$17,0)),3)</f>
        <v>0.96199999999999997</v>
      </c>
      <c r="AB1284">
        <f t="shared" si="143"/>
        <v>2025</v>
      </c>
      <c r="AC1284" t="str">
        <f t="shared" si="144"/>
        <v/>
      </c>
      <c r="AD1284" s="28">
        <f>ROUND((IF(ISBLANK(L1284),Employee_Lookups!$O$14,L1284)-J1284)/365.25,2)</f>
        <v>0.74</v>
      </c>
      <c r="AE1284" t="str">
        <f t="shared" si="145"/>
        <v>&lt; 1 Yr (New)</v>
      </c>
      <c r="AF1284" t="str">
        <f t="shared" si="146"/>
        <v>Moderate Risk</v>
      </c>
    </row>
    <row r="1285" spans="1:32" x14ac:dyDescent="0.45">
      <c r="A1285" t="s">
        <v>2161</v>
      </c>
      <c r="B1285" t="s">
        <v>440</v>
      </c>
      <c r="C1285" t="s">
        <v>55</v>
      </c>
      <c r="D1285" t="s">
        <v>54</v>
      </c>
      <c r="E1285" t="s">
        <v>277</v>
      </c>
      <c r="F1285" t="s">
        <v>81</v>
      </c>
      <c r="G1285" t="s">
        <v>278</v>
      </c>
      <c r="H1285" t="s">
        <v>112</v>
      </c>
      <c r="I1285" t="s">
        <v>113</v>
      </c>
      <c r="J1285" s="26">
        <v>45752</v>
      </c>
      <c r="K1285" t="s">
        <v>162</v>
      </c>
      <c r="L1285" s="26"/>
      <c r="M1285" t="s">
        <v>163</v>
      </c>
      <c r="N1285" t="s">
        <v>96</v>
      </c>
      <c r="O1285" s="27">
        <v>679000</v>
      </c>
      <c r="P1285">
        <v>3</v>
      </c>
      <c r="Q1285" t="s">
        <v>172</v>
      </c>
      <c r="R1285">
        <v>45</v>
      </c>
      <c r="S1285" t="s">
        <v>173</v>
      </c>
      <c r="T1285">
        <f t="shared" si="140"/>
        <v>11330</v>
      </c>
      <c r="U1285" t="str">
        <f t="shared" si="141"/>
        <v>OPS</v>
      </c>
      <c r="V1285" t="str">
        <f t="shared" si="142"/>
        <v>L1</v>
      </c>
      <c r="W1285" t="str">
        <f>PROPER(TRIM(VLOOKUP(S1285,Employee_Lookups!$I$4:$M$19,2,FALSE())))</f>
        <v>Deepak Patil</v>
      </c>
      <c r="X1285" t="str">
        <f>VLOOKUP(C1285,Employee_Lookups!$A$4:$G$9,4,FALSE())</f>
        <v>CC-303</v>
      </c>
      <c r="Y1285" t="str">
        <f>INDEX(Employee_Lookups!$C$13:$C$17,MATCH(F1285,Employee_Lookups!$A$13:$A$17,0))</f>
        <v>Band A (Entry)</v>
      </c>
      <c r="Z1285" s="27">
        <f>_xlfn.XLOOKUP(F1285,Employee_Lookups!$A$13:$A$17,Employee_Lookups!$E$13:$E$17,0)</f>
        <v>700000</v>
      </c>
      <c r="AA1285" s="28">
        <f>ROUND(O1285/INDEX(Employee_Lookups!$E$13:$E$17,MATCH(F1285,Employee_Lookups!$A$13:$A$17,0)),3)</f>
        <v>0.97</v>
      </c>
      <c r="AB1285">
        <f t="shared" si="143"/>
        <v>2025</v>
      </c>
      <c r="AC1285" t="str">
        <f t="shared" si="144"/>
        <v/>
      </c>
      <c r="AD1285" s="28">
        <f>ROUND((IF(ISBLANK(L1285),Employee_Lookups!$O$14,L1285)-J1285)/365.25,2)</f>
        <v>0.74</v>
      </c>
      <c r="AE1285" t="str">
        <f t="shared" si="145"/>
        <v>&lt; 1 Yr (New)</v>
      </c>
      <c r="AF1285" t="str">
        <f t="shared" si="146"/>
        <v>Moderate Risk</v>
      </c>
    </row>
    <row r="1286" spans="1:32" x14ac:dyDescent="0.45">
      <c r="A1286" t="s">
        <v>2162</v>
      </c>
      <c r="B1286" t="s">
        <v>1355</v>
      </c>
      <c r="C1286" t="s">
        <v>59</v>
      </c>
      <c r="D1286" t="s">
        <v>58</v>
      </c>
      <c r="E1286" t="s">
        <v>206</v>
      </c>
      <c r="F1286" t="s">
        <v>81</v>
      </c>
      <c r="G1286" t="s">
        <v>207</v>
      </c>
      <c r="H1286" t="s">
        <v>106</v>
      </c>
      <c r="I1286" t="s">
        <v>107</v>
      </c>
      <c r="J1286" s="26">
        <v>45753</v>
      </c>
      <c r="K1286" t="s">
        <v>162</v>
      </c>
      <c r="L1286" s="26"/>
      <c r="M1286" t="s">
        <v>163</v>
      </c>
      <c r="N1286" t="s">
        <v>99</v>
      </c>
      <c r="O1286" s="27">
        <v>561000</v>
      </c>
      <c r="P1286">
        <v>4</v>
      </c>
      <c r="Q1286" t="s">
        <v>164</v>
      </c>
      <c r="R1286">
        <v>42</v>
      </c>
      <c r="S1286" t="s">
        <v>214</v>
      </c>
      <c r="T1286">
        <f t="shared" si="140"/>
        <v>10783</v>
      </c>
      <c r="U1286" t="str">
        <f t="shared" si="141"/>
        <v>FIN</v>
      </c>
      <c r="V1286" t="str">
        <f t="shared" si="142"/>
        <v>L1</v>
      </c>
      <c r="W1286" t="str">
        <f>PROPER(TRIM(VLOOKUP(S1286,Employee_Lookups!$I$4:$M$19,2,FALSE())))</f>
        <v>Aditya Gokhale</v>
      </c>
      <c r="X1286" t="str">
        <f>VLOOKUP(C1286,Employee_Lookups!$A$4:$G$9,4,FALSE())</f>
        <v>CC-404</v>
      </c>
      <c r="Y1286" t="str">
        <f>INDEX(Employee_Lookups!$C$13:$C$17,MATCH(F1286,Employee_Lookups!$A$13:$A$17,0))</f>
        <v>Band A (Entry)</v>
      </c>
      <c r="Z1286" s="27">
        <f>_xlfn.XLOOKUP(F1286,Employee_Lookups!$A$13:$A$17,Employee_Lookups!$E$13:$E$17,0)</f>
        <v>700000</v>
      </c>
      <c r="AA1286" s="28">
        <f>ROUND(O1286/INDEX(Employee_Lookups!$E$13:$E$17,MATCH(F1286,Employee_Lookups!$A$13:$A$17,0)),3)</f>
        <v>0.80100000000000005</v>
      </c>
      <c r="AB1286">
        <f t="shared" si="143"/>
        <v>2025</v>
      </c>
      <c r="AC1286" t="str">
        <f t="shared" si="144"/>
        <v/>
      </c>
      <c r="AD1286" s="28">
        <f>ROUND((IF(ISBLANK(L1286),Employee_Lookups!$O$14,L1286)-J1286)/365.25,2)</f>
        <v>0.74</v>
      </c>
      <c r="AE1286" t="str">
        <f t="shared" si="145"/>
        <v>&lt; 1 Yr (New)</v>
      </c>
      <c r="AF1286" t="str">
        <f t="shared" si="146"/>
        <v>Low Risk</v>
      </c>
    </row>
    <row r="1287" spans="1:32" x14ac:dyDescent="0.45">
      <c r="A1287" t="s">
        <v>2163</v>
      </c>
      <c r="B1287" t="s">
        <v>2164</v>
      </c>
      <c r="C1287" t="s">
        <v>51</v>
      </c>
      <c r="D1287" t="s">
        <v>50</v>
      </c>
      <c r="E1287" t="s">
        <v>176</v>
      </c>
      <c r="F1287" t="s">
        <v>82</v>
      </c>
      <c r="G1287" t="s">
        <v>177</v>
      </c>
      <c r="H1287" t="s">
        <v>106</v>
      </c>
      <c r="I1287" t="s">
        <v>107</v>
      </c>
      <c r="J1287" s="26">
        <v>45754</v>
      </c>
      <c r="K1287" t="s">
        <v>162</v>
      </c>
      <c r="L1287" s="26"/>
      <c r="M1287" t="s">
        <v>163</v>
      </c>
      <c r="N1287" t="s">
        <v>95</v>
      </c>
      <c r="O1287" s="27">
        <v>1080000</v>
      </c>
      <c r="P1287">
        <v>3</v>
      </c>
      <c r="Q1287" t="s">
        <v>164</v>
      </c>
      <c r="R1287">
        <v>41</v>
      </c>
      <c r="S1287" t="s">
        <v>244</v>
      </c>
      <c r="T1287">
        <f t="shared" si="140"/>
        <v>10046</v>
      </c>
      <c r="U1287" t="str">
        <f t="shared" si="141"/>
        <v>ENG</v>
      </c>
      <c r="V1287" t="str">
        <f t="shared" si="142"/>
        <v>L2</v>
      </c>
      <c r="W1287" t="str">
        <f>PROPER(TRIM(VLOOKUP(S1287,Employee_Lookups!$I$4:$M$19,2,FALSE())))</f>
        <v>Siddharth Nair</v>
      </c>
      <c r="X1287" t="str">
        <f>VLOOKUP(C1287,Employee_Lookups!$A$4:$G$9,4,FALSE())</f>
        <v>CC-101</v>
      </c>
      <c r="Y1287" t="str">
        <f>INDEX(Employee_Lookups!$C$13:$C$17,MATCH(F1287,Employee_Lookups!$A$13:$A$17,0))</f>
        <v>Band B (Mid)</v>
      </c>
      <c r="Z1287" s="27">
        <f>_xlfn.XLOOKUP(F1287,Employee_Lookups!$A$13:$A$17,Employee_Lookups!$E$13:$E$17,0)</f>
        <v>1100000</v>
      </c>
      <c r="AA1287" s="28">
        <f>ROUND(O1287/INDEX(Employee_Lookups!$E$13:$E$17,MATCH(F1287,Employee_Lookups!$A$13:$A$17,0)),3)</f>
        <v>0.98199999999999998</v>
      </c>
      <c r="AB1287">
        <f t="shared" si="143"/>
        <v>2025</v>
      </c>
      <c r="AC1287" t="str">
        <f t="shared" si="144"/>
        <v/>
      </c>
      <c r="AD1287" s="28">
        <f>ROUND((IF(ISBLANK(L1287),Employee_Lookups!$O$14,L1287)-J1287)/365.25,2)</f>
        <v>0.73</v>
      </c>
      <c r="AE1287" t="str">
        <f t="shared" si="145"/>
        <v>&lt; 1 Yr (New)</v>
      </c>
      <c r="AF1287" t="str">
        <f t="shared" si="146"/>
        <v>Low Risk</v>
      </c>
    </row>
    <row r="1288" spans="1:32" x14ac:dyDescent="0.45">
      <c r="A1288" t="s">
        <v>2165</v>
      </c>
      <c r="B1288" t="s">
        <v>234</v>
      </c>
      <c r="C1288" t="s">
        <v>53</v>
      </c>
      <c r="D1288" t="s">
        <v>52</v>
      </c>
      <c r="E1288" t="s">
        <v>200</v>
      </c>
      <c r="F1288" t="s">
        <v>84</v>
      </c>
      <c r="G1288" t="s">
        <v>201</v>
      </c>
      <c r="H1288" t="s">
        <v>106</v>
      </c>
      <c r="I1288" t="s">
        <v>107</v>
      </c>
      <c r="J1288" s="26">
        <v>45756</v>
      </c>
      <c r="K1288" t="s">
        <v>162</v>
      </c>
      <c r="L1288" s="26"/>
      <c r="M1288" t="s">
        <v>163</v>
      </c>
      <c r="N1288" t="s">
        <v>99</v>
      </c>
      <c r="O1288" s="27">
        <v>2423000</v>
      </c>
      <c r="P1288">
        <v>4</v>
      </c>
      <c r="Q1288" t="s">
        <v>164</v>
      </c>
      <c r="R1288">
        <v>46</v>
      </c>
      <c r="S1288" t="s">
        <v>194</v>
      </c>
      <c r="T1288">
        <f t="shared" si="140"/>
        <v>10364</v>
      </c>
      <c r="U1288" t="str">
        <f t="shared" si="141"/>
        <v>SAL</v>
      </c>
      <c r="V1288" t="str">
        <f t="shared" si="142"/>
        <v>L4</v>
      </c>
      <c r="W1288" t="str">
        <f>PROPER(TRIM(VLOOKUP(S1288,Employee_Lookups!$I$4:$M$19,2,FALSE())))</f>
        <v>Vikramaditya Joshi</v>
      </c>
      <c r="X1288" t="str">
        <f>VLOOKUP(C1288,Employee_Lookups!$A$4:$G$9,4,FALSE())</f>
        <v>CC-202</v>
      </c>
      <c r="Y1288" t="str">
        <f>INDEX(Employee_Lookups!$C$13:$C$17,MATCH(F1288,Employee_Lookups!$A$13:$A$17,0))</f>
        <v>Band D (Leadership)</v>
      </c>
      <c r="Z1288" s="27">
        <f>_xlfn.XLOOKUP(F1288,Employee_Lookups!$A$13:$A$17,Employee_Lookups!$E$13:$E$17,0)</f>
        <v>2750000</v>
      </c>
      <c r="AA1288" s="28">
        <f>ROUND(O1288/INDEX(Employee_Lookups!$E$13:$E$17,MATCH(F1288,Employee_Lookups!$A$13:$A$17,0)),3)</f>
        <v>0.88100000000000001</v>
      </c>
      <c r="AB1288">
        <f t="shared" si="143"/>
        <v>2025</v>
      </c>
      <c r="AC1288" t="str">
        <f t="shared" si="144"/>
        <v/>
      </c>
      <c r="AD1288" s="28">
        <f>ROUND((IF(ISBLANK(L1288),Employee_Lookups!$O$14,L1288)-J1288)/365.25,2)</f>
        <v>0.73</v>
      </c>
      <c r="AE1288" t="str">
        <f t="shared" si="145"/>
        <v>&lt; 1 Yr (New)</v>
      </c>
      <c r="AF1288" t="str">
        <f t="shared" si="146"/>
        <v>Low Risk</v>
      </c>
    </row>
    <row r="1289" spans="1:32" x14ac:dyDescent="0.45">
      <c r="A1289" t="s">
        <v>2166</v>
      </c>
      <c r="B1289" t="s">
        <v>2167</v>
      </c>
      <c r="C1289" t="s">
        <v>53</v>
      </c>
      <c r="D1289" t="s">
        <v>52</v>
      </c>
      <c r="E1289" t="s">
        <v>185</v>
      </c>
      <c r="F1289" t="s">
        <v>82</v>
      </c>
      <c r="G1289" t="s">
        <v>186</v>
      </c>
      <c r="H1289" t="s">
        <v>109</v>
      </c>
      <c r="I1289" t="s">
        <v>110</v>
      </c>
      <c r="J1289" s="26">
        <v>45757</v>
      </c>
      <c r="K1289" t="s">
        <v>162</v>
      </c>
      <c r="L1289" s="26"/>
      <c r="M1289" t="s">
        <v>163</v>
      </c>
      <c r="N1289" t="s">
        <v>99</v>
      </c>
      <c r="O1289" s="27">
        <v>1035000</v>
      </c>
      <c r="P1289">
        <v>3</v>
      </c>
      <c r="Q1289" t="s">
        <v>172</v>
      </c>
      <c r="R1289">
        <v>27</v>
      </c>
      <c r="S1289" t="s">
        <v>189</v>
      </c>
      <c r="T1289">
        <f t="shared" si="140"/>
        <v>11037</v>
      </c>
      <c r="U1289" t="str">
        <f t="shared" si="141"/>
        <v>SAL</v>
      </c>
      <c r="V1289" t="str">
        <f t="shared" si="142"/>
        <v>L2</v>
      </c>
      <c r="W1289" t="str">
        <f>PROPER(TRIM(VLOOKUP(S1289,Employee_Lookups!$I$4:$M$19,2,FALSE())))</f>
        <v>Priya Sharma</v>
      </c>
      <c r="X1289" t="str">
        <f>VLOOKUP(C1289,Employee_Lookups!$A$4:$G$9,4,FALSE())</f>
        <v>CC-202</v>
      </c>
      <c r="Y1289" t="str">
        <f>INDEX(Employee_Lookups!$C$13:$C$17,MATCH(F1289,Employee_Lookups!$A$13:$A$17,0))</f>
        <v>Band B (Mid)</v>
      </c>
      <c r="Z1289" s="27">
        <f>_xlfn.XLOOKUP(F1289,Employee_Lookups!$A$13:$A$17,Employee_Lookups!$E$13:$E$17,0)</f>
        <v>1100000</v>
      </c>
      <c r="AA1289" s="28">
        <f>ROUND(O1289/INDEX(Employee_Lookups!$E$13:$E$17,MATCH(F1289,Employee_Lookups!$A$13:$A$17,0)),3)</f>
        <v>0.94099999999999995</v>
      </c>
      <c r="AB1289">
        <f t="shared" si="143"/>
        <v>2025</v>
      </c>
      <c r="AC1289" t="str">
        <f t="shared" si="144"/>
        <v/>
      </c>
      <c r="AD1289" s="28">
        <f>ROUND((IF(ISBLANK(L1289),Employee_Lookups!$O$14,L1289)-J1289)/365.25,2)</f>
        <v>0.73</v>
      </c>
      <c r="AE1289" t="str">
        <f t="shared" si="145"/>
        <v>&lt; 1 Yr (New)</v>
      </c>
      <c r="AF1289" t="str">
        <f t="shared" si="146"/>
        <v>High Risk</v>
      </c>
    </row>
    <row r="1290" spans="1:32" x14ac:dyDescent="0.45">
      <c r="A1290" t="s">
        <v>2168</v>
      </c>
      <c r="B1290" t="s">
        <v>1407</v>
      </c>
      <c r="C1290" t="s">
        <v>57</v>
      </c>
      <c r="D1290" t="s">
        <v>56</v>
      </c>
      <c r="E1290" t="s">
        <v>222</v>
      </c>
      <c r="F1290" t="s">
        <v>82</v>
      </c>
      <c r="G1290" t="s">
        <v>223</v>
      </c>
      <c r="H1290" t="s">
        <v>108</v>
      </c>
      <c r="I1290" t="s">
        <v>107</v>
      </c>
      <c r="J1290" s="26">
        <v>45758</v>
      </c>
      <c r="K1290" t="s">
        <v>162</v>
      </c>
      <c r="L1290" s="26"/>
      <c r="M1290" t="s">
        <v>163</v>
      </c>
      <c r="N1290" t="s">
        <v>97</v>
      </c>
      <c r="O1290" s="27">
        <v>1244000</v>
      </c>
      <c r="P1290">
        <v>3</v>
      </c>
      <c r="Q1290" t="s">
        <v>164</v>
      </c>
      <c r="R1290">
        <v>37</v>
      </c>
      <c r="S1290" t="s">
        <v>224</v>
      </c>
      <c r="T1290">
        <f t="shared" si="140"/>
        <v>10143</v>
      </c>
      <c r="U1290" t="str">
        <f t="shared" si="141"/>
        <v>MKT</v>
      </c>
      <c r="V1290" t="str">
        <f t="shared" si="142"/>
        <v>L2</v>
      </c>
      <c r="W1290" t="str">
        <f>PROPER(TRIM(VLOOKUP(S1290,Employee_Lookups!$I$4:$M$19,2,FALSE())))</f>
        <v>Tanvi Chitnis</v>
      </c>
      <c r="X1290" t="str">
        <f>VLOOKUP(C1290,Employee_Lookups!$A$4:$G$9,4,FALSE())</f>
        <v>CC-606</v>
      </c>
      <c r="Y1290" t="str">
        <f>INDEX(Employee_Lookups!$C$13:$C$17,MATCH(F1290,Employee_Lookups!$A$13:$A$17,0))</f>
        <v>Band B (Mid)</v>
      </c>
      <c r="Z1290" s="27">
        <f>_xlfn.XLOOKUP(F1290,Employee_Lookups!$A$13:$A$17,Employee_Lookups!$E$13:$E$17,0)</f>
        <v>1100000</v>
      </c>
      <c r="AA1290" s="28">
        <f>ROUND(O1290/INDEX(Employee_Lookups!$E$13:$E$17,MATCH(F1290,Employee_Lookups!$A$13:$A$17,0)),3)</f>
        <v>1.131</v>
      </c>
      <c r="AB1290">
        <f t="shared" si="143"/>
        <v>2025</v>
      </c>
      <c r="AC1290" t="str">
        <f t="shared" si="144"/>
        <v/>
      </c>
      <c r="AD1290" s="28">
        <f>ROUND((IF(ISBLANK(L1290),Employee_Lookups!$O$14,L1290)-J1290)/365.25,2)</f>
        <v>0.72</v>
      </c>
      <c r="AE1290" t="str">
        <f t="shared" si="145"/>
        <v>&lt; 1 Yr (New)</v>
      </c>
      <c r="AF1290" t="str">
        <f t="shared" si="146"/>
        <v>Low Risk</v>
      </c>
    </row>
    <row r="1291" spans="1:32" x14ac:dyDescent="0.45">
      <c r="A1291" t="s">
        <v>2169</v>
      </c>
      <c r="B1291" t="s">
        <v>438</v>
      </c>
      <c r="C1291" t="s">
        <v>51</v>
      </c>
      <c r="D1291" t="s">
        <v>50</v>
      </c>
      <c r="E1291" t="s">
        <v>181</v>
      </c>
      <c r="F1291" t="s">
        <v>81</v>
      </c>
      <c r="G1291" t="s">
        <v>182</v>
      </c>
      <c r="H1291" t="s">
        <v>106</v>
      </c>
      <c r="I1291" t="s">
        <v>107</v>
      </c>
      <c r="J1291" s="26">
        <v>45765</v>
      </c>
      <c r="K1291" t="s">
        <v>162</v>
      </c>
      <c r="L1291" s="26"/>
      <c r="M1291" t="s">
        <v>163</v>
      </c>
      <c r="N1291" t="s">
        <v>96</v>
      </c>
      <c r="O1291" s="27">
        <v>831000</v>
      </c>
      <c r="P1291">
        <v>3</v>
      </c>
      <c r="Q1291" t="s">
        <v>172</v>
      </c>
      <c r="R1291">
        <v>54</v>
      </c>
      <c r="S1291" t="s">
        <v>244</v>
      </c>
      <c r="T1291">
        <f t="shared" si="140"/>
        <v>10024</v>
      </c>
      <c r="U1291" t="str">
        <f t="shared" si="141"/>
        <v>ENG</v>
      </c>
      <c r="V1291" t="str">
        <f t="shared" si="142"/>
        <v>L1</v>
      </c>
      <c r="W1291" t="str">
        <f>PROPER(TRIM(VLOOKUP(S1291,Employee_Lookups!$I$4:$M$19,2,FALSE())))</f>
        <v>Siddharth Nair</v>
      </c>
      <c r="X1291" t="str">
        <f>VLOOKUP(C1291,Employee_Lookups!$A$4:$G$9,4,FALSE())</f>
        <v>CC-101</v>
      </c>
      <c r="Y1291" t="str">
        <f>INDEX(Employee_Lookups!$C$13:$C$17,MATCH(F1291,Employee_Lookups!$A$13:$A$17,0))</f>
        <v>Band A (Entry)</v>
      </c>
      <c r="Z1291" s="27">
        <f>_xlfn.XLOOKUP(F1291,Employee_Lookups!$A$13:$A$17,Employee_Lookups!$E$13:$E$17,0)</f>
        <v>700000</v>
      </c>
      <c r="AA1291" s="28">
        <f>ROUND(O1291/INDEX(Employee_Lookups!$E$13:$E$17,MATCH(F1291,Employee_Lookups!$A$13:$A$17,0)),3)</f>
        <v>1.1870000000000001</v>
      </c>
      <c r="AB1291">
        <f t="shared" si="143"/>
        <v>2025</v>
      </c>
      <c r="AC1291" t="str">
        <f t="shared" si="144"/>
        <v/>
      </c>
      <c r="AD1291" s="28">
        <f>ROUND((IF(ISBLANK(L1291),Employee_Lookups!$O$14,L1291)-J1291)/365.25,2)</f>
        <v>0.7</v>
      </c>
      <c r="AE1291" t="str">
        <f t="shared" si="145"/>
        <v>&lt; 1 Yr (New)</v>
      </c>
      <c r="AF1291" t="str">
        <f t="shared" si="146"/>
        <v>Moderate Risk</v>
      </c>
    </row>
    <row r="1292" spans="1:32" x14ac:dyDescent="0.45">
      <c r="A1292" t="s">
        <v>2170</v>
      </c>
      <c r="B1292" t="s">
        <v>816</v>
      </c>
      <c r="C1292" t="s">
        <v>51</v>
      </c>
      <c r="D1292" t="s">
        <v>50</v>
      </c>
      <c r="E1292" t="s">
        <v>181</v>
      </c>
      <c r="F1292" t="s">
        <v>81</v>
      </c>
      <c r="G1292" t="s">
        <v>182</v>
      </c>
      <c r="H1292" t="s">
        <v>108</v>
      </c>
      <c r="I1292" t="s">
        <v>107</v>
      </c>
      <c r="J1292" s="26">
        <v>45766</v>
      </c>
      <c r="K1292" t="s">
        <v>162</v>
      </c>
      <c r="L1292" s="26"/>
      <c r="M1292" t="s">
        <v>163</v>
      </c>
      <c r="N1292" t="s">
        <v>99</v>
      </c>
      <c r="O1292" s="27">
        <v>700000</v>
      </c>
      <c r="P1292">
        <v>3</v>
      </c>
      <c r="Q1292" t="s">
        <v>164</v>
      </c>
      <c r="R1292">
        <v>36</v>
      </c>
      <c r="S1292" t="s">
        <v>219</v>
      </c>
      <c r="T1292">
        <f t="shared" si="140"/>
        <v>11383</v>
      </c>
      <c r="U1292" t="str">
        <f t="shared" si="141"/>
        <v>ENG</v>
      </c>
      <c r="V1292" t="str">
        <f t="shared" si="142"/>
        <v>L1</v>
      </c>
      <c r="W1292" t="str">
        <f>PROPER(TRIM(VLOOKUP(S1292,Employee_Lookups!$I$4:$M$19,2,FALSE())))</f>
        <v>Neha Kulkarni</v>
      </c>
      <c r="X1292" t="str">
        <f>VLOOKUP(C1292,Employee_Lookups!$A$4:$G$9,4,FALSE())</f>
        <v>CC-101</v>
      </c>
      <c r="Y1292" t="str">
        <f>INDEX(Employee_Lookups!$C$13:$C$17,MATCH(F1292,Employee_Lookups!$A$13:$A$17,0))</f>
        <v>Band A (Entry)</v>
      </c>
      <c r="Z1292" s="27">
        <f>_xlfn.XLOOKUP(F1292,Employee_Lookups!$A$13:$A$17,Employee_Lookups!$E$13:$E$17,0)</f>
        <v>700000</v>
      </c>
      <c r="AA1292" s="28">
        <f>ROUND(O1292/INDEX(Employee_Lookups!$E$13:$E$17,MATCH(F1292,Employee_Lookups!$A$13:$A$17,0)),3)</f>
        <v>1</v>
      </c>
      <c r="AB1292">
        <f t="shared" si="143"/>
        <v>2025</v>
      </c>
      <c r="AC1292" t="str">
        <f t="shared" si="144"/>
        <v/>
      </c>
      <c r="AD1292" s="28">
        <f>ROUND((IF(ISBLANK(L1292),Employee_Lookups!$O$14,L1292)-J1292)/365.25,2)</f>
        <v>0.7</v>
      </c>
      <c r="AE1292" t="str">
        <f t="shared" si="145"/>
        <v>&lt; 1 Yr (New)</v>
      </c>
      <c r="AF1292" t="str">
        <f t="shared" si="146"/>
        <v>Low Risk</v>
      </c>
    </row>
    <row r="1293" spans="1:32" x14ac:dyDescent="0.45">
      <c r="A1293" t="s">
        <v>2171</v>
      </c>
      <c r="B1293" t="s">
        <v>2047</v>
      </c>
      <c r="C1293" t="s">
        <v>59</v>
      </c>
      <c r="D1293" t="s">
        <v>58</v>
      </c>
      <c r="E1293" t="s">
        <v>206</v>
      </c>
      <c r="F1293" t="s">
        <v>81</v>
      </c>
      <c r="G1293" t="s">
        <v>207</v>
      </c>
      <c r="H1293" t="s">
        <v>106</v>
      </c>
      <c r="I1293" t="s">
        <v>107</v>
      </c>
      <c r="J1293" s="26">
        <v>45766</v>
      </c>
      <c r="K1293" t="s">
        <v>187</v>
      </c>
      <c r="L1293" s="26">
        <v>45940</v>
      </c>
      <c r="M1293" t="s">
        <v>269</v>
      </c>
      <c r="N1293" t="s">
        <v>96</v>
      </c>
      <c r="O1293" s="27">
        <v>602000</v>
      </c>
      <c r="P1293">
        <v>5</v>
      </c>
      <c r="Q1293" t="s">
        <v>172</v>
      </c>
      <c r="R1293">
        <v>53</v>
      </c>
      <c r="S1293" t="s">
        <v>214</v>
      </c>
      <c r="T1293">
        <f t="shared" si="140"/>
        <v>10145</v>
      </c>
      <c r="U1293" t="str">
        <f t="shared" si="141"/>
        <v>FIN</v>
      </c>
      <c r="V1293" t="str">
        <f t="shared" si="142"/>
        <v>L1</v>
      </c>
      <c r="W1293" t="str">
        <f>PROPER(TRIM(VLOOKUP(S1293,Employee_Lookups!$I$4:$M$19,2,FALSE())))</f>
        <v>Aditya Gokhale</v>
      </c>
      <c r="X1293" t="str">
        <f>VLOOKUP(C1293,Employee_Lookups!$A$4:$G$9,4,FALSE())</f>
        <v>CC-404</v>
      </c>
      <c r="Y1293" t="str">
        <f>INDEX(Employee_Lookups!$C$13:$C$17,MATCH(F1293,Employee_Lookups!$A$13:$A$17,0))</f>
        <v>Band A (Entry)</v>
      </c>
      <c r="Z1293" s="27">
        <f>_xlfn.XLOOKUP(F1293,Employee_Lookups!$A$13:$A$17,Employee_Lookups!$E$13:$E$17,0)</f>
        <v>700000</v>
      </c>
      <c r="AA1293" s="28">
        <f>ROUND(O1293/INDEX(Employee_Lookups!$E$13:$E$17,MATCH(F1293,Employee_Lookups!$A$13:$A$17,0)),3)</f>
        <v>0.86</v>
      </c>
      <c r="AB1293">
        <f t="shared" si="143"/>
        <v>2025</v>
      </c>
      <c r="AC1293">
        <f t="shared" si="144"/>
        <v>2025</v>
      </c>
      <c r="AD1293" s="28">
        <f>ROUND((IF(ISBLANK(L1293),Employee_Lookups!$O$14,L1293)-J1293)/365.25,2)</f>
        <v>0.48</v>
      </c>
      <c r="AE1293" t="str">
        <f t="shared" si="145"/>
        <v>&lt; 1 Yr (New)</v>
      </c>
      <c r="AF1293" t="str">
        <f t="shared" si="146"/>
        <v>Exited</v>
      </c>
    </row>
    <row r="1294" spans="1:32" x14ac:dyDescent="0.45">
      <c r="A1294" t="s">
        <v>2172</v>
      </c>
      <c r="B1294" t="s">
        <v>1958</v>
      </c>
      <c r="C1294" t="s">
        <v>55</v>
      </c>
      <c r="D1294" t="s">
        <v>54</v>
      </c>
      <c r="E1294" t="s">
        <v>240</v>
      </c>
      <c r="F1294" t="s">
        <v>83</v>
      </c>
      <c r="G1294" t="s">
        <v>241</v>
      </c>
      <c r="H1294" t="s">
        <v>106</v>
      </c>
      <c r="I1294" t="s">
        <v>107</v>
      </c>
      <c r="J1294" s="26">
        <v>45768</v>
      </c>
      <c r="K1294" t="s">
        <v>162</v>
      </c>
      <c r="L1294" s="26"/>
      <c r="M1294" t="s">
        <v>163</v>
      </c>
      <c r="N1294" t="s">
        <v>97</v>
      </c>
      <c r="O1294" s="27">
        <v>1573000</v>
      </c>
      <c r="P1294">
        <v>3</v>
      </c>
      <c r="Q1294" t="s">
        <v>164</v>
      </c>
      <c r="R1294">
        <v>46</v>
      </c>
      <c r="S1294" t="s">
        <v>262</v>
      </c>
      <c r="T1294">
        <f t="shared" si="140"/>
        <v>11292</v>
      </c>
      <c r="U1294" t="str">
        <f t="shared" si="141"/>
        <v>OPS</v>
      </c>
      <c r="V1294" t="str">
        <f t="shared" si="142"/>
        <v>L3</v>
      </c>
      <c r="W1294" t="str">
        <f>PROPER(TRIM(VLOOKUP(S1294,Employee_Lookups!$I$4:$M$19,2,FALSE())))</f>
        <v>Ananya Iyer</v>
      </c>
      <c r="X1294" t="str">
        <f>VLOOKUP(C1294,Employee_Lookups!$A$4:$G$9,4,FALSE())</f>
        <v>CC-303</v>
      </c>
      <c r="Y1294" t="str">
        <f>INDEX(Employee_Lookups!$C$13:$C$17,MATCH(F1294,Employee_Lookups!$A$13:$A$17,0))</f>
        <v>Band C (Senior)</v>
      </c>
      <c r="Z1294" s="27">
        <f>_xlfn.XLOOKUP(F1294,Employee_Lookups!$A$13:$A$17,Employee_Lookups!$E$13:$E$17,0)</f>
        <v>1725000</v>
      </c>
      <c r="AA1294" s="28">
        <f>ROUND(O1294/INDEX(Employee_Lookups!$E$13:$E$17,MATCH(F1294,Employee_Lookups!$A$13:$A$17,0)),3)</f>
        <v>0.91200000000000003</v>
      </c>
      <c r="AB1294">
        <f t="shared" si="143"/>
        <v>2025</v>
      </c>
      <c r="AC1294" t="str">
        <f t="shared" si="144"/>
        <v/>
      </c>
      <c r="AD1294" s="28">
        <f>ROUND((IF(ISBLANK(L1294),Employee_Lookups!$O$14,L1294)-J1294)/365.25,2)</f>
        <v>0.7</v>
      </c>
      <c r="AE1294" t="str">
        <f t="shared" si="145"/>
        <v>&lt; 1 Yr (New)</v>
      </c>
      <c r="AF1294" t="str">
        <f t="shared" si="146"/>
        <v>Low Risk</v>
      </c>
    </row>
    <row r="1295" spans="1:32" x14ac:dyDescent="0.45">
      <c r="A1295" t="s">
        <v>2173</v>
      </c>
      <c r="B1295" t="s">
        <v>822</v>
      </c>
      <c r="C1295" t="s">
        <v>51</v>
      </c>
      <c r="D1295" t="s">
        <v>50</v>
      </c>
      <c r="E1295" t="s">
        <v>397</v>
      </c>
      <c r="F1295" t="s">
        <v>84</v>
      </c>
      <c r="G1295" t="s">
        <v>398</v>
      </c>
      <c r="H1295" t="s">
        <v>106</v>
      </c>
      <c r="I1295" t="s">
        <v>107</v>
      </c>
      <c r="J1295" s="26">
        <v>45771</v>
      </c>
      <c r="K1295" t="s">
        <v>162</v>
      </c>
      <c r="L1295" s="26"/>
      <c r="M1295" t="s">
        <v>163</v>
      </c>
      <c r="N1295" t="s">
        <v>96</v>
      </c>
      <c r="O1295" s="27">
        <v>2646000</v>
      </c>
      <c r="P1295">
        <v>4</v>
      </c>
      <c r="Q1295" t="s">
        <v>164</v>
      </c>
      <c r="R1295">
        <v>48</v>
      </c>
      <c r="S1295" t="s">
        <v>178</v>
      </c>
      <c r="T1295">
        <f t="shared" si="140"/>
        <v>11274</v>
      </c>
      <c r="U1295" t="str">
        <f t="shared" si="141"/>
        <v>ENG</v>
      </c>
      <c r="V1295" t="str">
        <f t="shared" si="142"/>
        <v>L4</v>
      </c>
      <c r="W1295" t="str">
        <f>PROPER(TRIM(VLOOKUP(S1295,Employee_Lookups!$I$4:$M$19,2,FALSE())))</f>
        <v>Aarav Deshmukh</v>
      </c>
      <c r="X1295" t="str">
        <f>VLOOKUP(C1295,Employee_Lookups!$A$4:$G$9,4,FALSE())</f>
        <v>CC-101</v>
      </c>
      <c r="Y1295" t="str">
        <f>INDEX(Employee_Lookups!$C$13:$C$17,MATCH(F1295,Employee_Lookups!$A$13:$A$17,0))</f>
        <v>Band D (Leadership)</v>
      </c>
      <c r="Z1295" s="27">
        <f>_xlfn.XLOOKUP(F1295,Employee_Lookups!$A$13:$A$17,Employee_Lookups!$E$13:$E$17,0)</f>
        <v>2750000</v>
      </c>
      <c r="AA1295" s="28">
        <f>ROUND(O1295/INDEX(Employee_Lookups!$E$13:$E$17,MATCH(F1295,Employee_Lookups!$A$13:$A$17,0)),3)</f>
        <v>0.96199999999999997</v>
      </c>
      <c r="AB1295">
        <f t="shared" si="143"/>
        <v>2025</v>
      </c>
      <c r="AC1295" t="str">
        <f t="shared" si="144"/>
        <v/>
      </c>
      <c r="AD1295" s="28">
        <f>ROUND((IF(ISBLANK(L1295),Employee_Lookups!$O$14,L1295)-J1295)/365.25,2)</f>
        <v>0.69</v>
      </c>
      <c r="AE1295" t="str">
        <f t="shared" si="145"/>
        <v>&lt; 1 Yr (New)</v>
      </c>
      <c r="AF1295" t="str">
        <f t="shared" si="146"/>
        <v>Low Risk</v>
      </c>
    </row>
    <row r="1296" spans="1:32" x14ac:dyDescent="0.45">
      <c r="A1296" t="s">
        <v>2174</v>
      </c>
      <c r="B1296" t="s">
        <v>1251</v>
      </c>
      <c r="C1296" t="s">
        <v>53</v>
      </c>
      <c r="D1296" t="s">
        <v>52</v>
      </c>
      <c r="E1296" t="s">
        <v>185</v>
      </c>
      <c r="F1296" t="s">
        <v>82</v>
      </c>
      <c r="G1296" t="s">
        <v>186</v>
      </c>
      <c r="H1296" t="s">
        <v>109</v>
      </c>
      <c r="I1296" t="s">
        <v>110</v>
      </c>
      <c r="J1296" s="26">
        <v>45772</v>
      </c>
      <c r="K1296" t="s">
        <v>162</v>
      </c>
      <c r="L1296" s="26"/>
      <c r="M1296" t="s">
        <v>163</v>
      </c>
      <c r="N1296" t="s">
        <v>95</v>
      </c>
      <c r="O1296" s="27">
        <v>921000</v>
      </c>
      <c r="P1296">
        <v>5</v>
      </c>
      <c r="Q1296" t="s">
        <v>172</v>
      </c>
      <c r="R1296">
        <v>34</v>
      </c>
      <c r="S1296" t="s">
        <v>194</v>
      </c>
      <c r="T1296">
        <f t="shared" si="140"/>
        <v>11219</v>
      </c>
      <c r="U1296" t="str">
        <f t="shared" si="141"/>
        <v>SAL</v>
      </c>
      <c r="V1296" t="str">
        <f t="shared" si="142"/>
        <v>L2</v>
      </c>
      <c r="W1296" t="str">
        <f>PROPER(TRIM(VLOOKUP(S1296,Employee_Lookups!$I$4:$M$19,2,FALSE())))</f>
        <v>Vikramaditya Joshi</v>
      </c>
      <c r="X1296" t="str">
        <f>VLOOKUP(C1296,Employee_Lookups!$A$4:$G$9,4,FALSE())</f>
        <v>CC-202</v>
      </c>
      <c r="Y1296" t="str">
        <f>INDEX(Employee_Lookups!$C$13:$C$17,MATCH(F1296,Employee_Lookups!$A$13:$A$17,0))</f>
        <v>Band B (Mid)</v>
      </c>
      <c r="Z1296" s="27">
        <f>_xlfn.XLOOKUP(F1296,Employee_Lookups!$A$13:$A$17,Employee_Lookups!$E$13:$E$17,0)</f>
        <v>1100000</v>
      </c>
      <c r="AA1296" s="28">
        <f>ROUND(O1296/INDEX(Employee_Lookups!$E$13:$E$17,MATCH(F1296,Employee_Lookups!$A$13:$A$17,0)),3)</f>
        <v>0.83699999999999997</v>
      </c>
      <c r="AB1296">
        <f t="shared" si="143"/>
        <v>2025</v>
      </c>
      <c r="AC1296" t="str">
        <f t="shared" si="144"/>
        <v/>
      </c>
      <c r="AD1296" s="28">
        <f>ROUND((IF(ISBLANK(L1296),Employee_Lookups!$O$14,L1296)-J1296)/365.25,2)</f>
        <v>0.68</v>
      </c>
      <c r="AE1296" t="str">
        <f t="shared" si="145"/>
        <v>&lt; 1 Yr (New)</v>
      </c>
      <c r="AF1296" t="str">
        <f t="shared" si="146"/>
        <v>High Risk</v>
      </c>
    </row>
    <row r="1297" spans="1:32" x14ac:dyDescent="0.45">
      <c r="A1297" t="s">
        <v>2175</v>
      </c>
      <c r="B1297" t="s">
        <v>1906</v>
      </c>
      <c r="C1297" t="s">
        <v>61</v>
      </c>
      <c r="D1297" t="s">
        <v>60</v>
      </c>
      <c r="E1297" t="s">
        <v>251</v>
      </c>
      <c r="F1297" t="s">
        <v>82</v>
      </c>
      <c r="G1297" t="s">
        <v>252</v>
      </c>
      <c r="H1297" t="s">
        <v>106</v>
      </c>
      <c r="I1297" t="s">
        <v>107</v>
      </c>
      <c r="J1297" s="26">
        <v>45772</v>
      </c>
      <c r="K1297" t="s">
        <v>162</v>
      </c>
      <c r="L1297" s="26"/>
      <c r="M1297" t="s">
        <v>163</v>
      </c>
      <c r="N1297" t="s">
        <v>99</v>
      </c>
      <c r="O1297" s="27">
        <v>978000</v>
      </c>
      <c r="P1297">
        <v>4</v>
      </c>
      <c r="Q1297" t="s">
        <v>164</v>
      </c>
      <c r="R1297">
        <v>22</v>
      </c>
      <c r="S1297" t="s">
        <v>319</v>
      </c>
      <c r="T1297">
        <f t="shared" si="140"/>
        <v>11102</v>
      </c>
      <c r="U1297" t="str">
        <f t="shared" si="141"/>
        <v>-HR</v>
      </c>
      <c r="V1297" t="str">
        <f t="shared" si="142"/>
        <v>L2</v>
      </c>
      <c r="W1297" t="str">
        <f>PROPER(TRIM(VLOOKUP(S1297,Employee_Lookups!$I$4:$M$19,2,FALSE())))</f>
        <v>Kavita Menon</v>
      </c>
      <c r="X1297" t="str">
        <f>VLOOKUP(C1297,Employee_Lookups!$A$4:$G$9,4,FALSE())</f>
        <v>CC-505</v>
      </c>
      <c r="Y1297" t="str">
        <f>INDEX(Employee_Lookups!$C$13:$C$17,MATCH(F1297,Employee_Lookups!$A$13:$A$17,0))</f>
        <v>Band B (Mid)</v>
      </c>
      <c r="Z1297" s="27">
        <f>_xlfn.XLOOKUP(F1297,Employee_Lookups!$A$13:$A$17,Employee_Lookups!$E$13:$E$17,0)</f>
        <v>1100000</v>
      </c>
      <c r="AA1297" s="28">
        <f>ROUND(O1297/INDEX(Employee_Lookups!$E$13:$E$17,MATCH(F1297,Employee_Lookups!$A$13:$A$17,0)),3)</f>
        <v>0.88900000000000001</v>
      </c>
      <c r="AB1297">
        <f t="shared" si="143"/>
        <v>2025</v>
      </c>
      <c r="AC1297" t="str">
        <f t="shared" si="144"/>
        <v/>
      </c>
      <c r="AD1297" s="28">
        <f>ROUND((IF(ISBLANK(L1297),Employee_Lookups!$O$14,L1297)-J1297)/365.25,2)</f>
        <v>0.68</v>
      </c>
      <c r="AE1297" t="str">
        <f t="shared" si="145"/>
        <v>&lt; 1 Yr (New)</v>
      </c>
      <c r="AF1297" t="str">
        <f t="shared" si="146"/>
        <v>Low Risk</v>
      </c>
    </row>
    <row r="1298" spans="1:32" x14ac:dyDescent="0.45">
      <c r="A1298" t="s">
        <v>2176</v>
      </c>
      <c r="B1298" t="s">
        <v>1429</v>
      </c>
      <c r="C1298" t="s">
        <v>57</v>
      </c>
      <c r="D1298" t="s">
        <v>56</v>
      </c>
      <c r="E1298" t="s">
        <v>160</v>
      </c>
      <c r="F1298" t="s">
        <v>81</v>
      </c>
      <c r="G1298" t="s">
        <v>161</v>
      </c>
      <c r="H1298" t="s">
        <v>106</v>
      </c>
      <c r="I1298" t="s">
        <v>107</v>
      </c>
      <c r="J1298" s="26">
        <v>45774</v>
      </c>
      <c r="K1298" t="s">
        <v>162</v>
      </c>
      <c r="L1298" s="26"/>
      <c r="M1298" t="s">
        <v>163</v>
      </c>
      <c r="N1298" t="s">
        <v>96</v>
      </c>
      <c r="O1298" s="27">
        <v>780000</v>
      </c>
      <c r="P1298">
        <v>3</v>
      </c>
      <c r="Q1298" t="s">
        <v>164</v>
      </c>
      <c r="R1298">
        <v>18</v>
      </c>
      <c r="S1298" t="s">
        <v>165</v>
      </c>
      <c r="T1298">
        <f t="shared" si="140"/>
        <v>10063</v>
      </c>
      <c r="U1298" t="str">
        <f t="shared" si="141"/>
        <v>MKT</v>
      </c>
      <c r="V1298" t="str">
        <f t="shared" si="142"/>
        <v>L1</v>
      </c>
      <c r="W1298" t="str">
        <f>PROPER(TRIM(VLOOKUP(S1298,Employee_Lookups!$I$4:$M$19,2,FALSE())))</f>
        <v>Arjun Sengupta</v>
      </c>
      <c r="X1298" t="str">
        <f>VLOOKUP(C1298,Employee_Lookups!$A$4:$G$9,4,FALSE())</f>
        <v>CC-606</v>
      </c>
      <c r="Y1298" t="str">
        <f>INDEX(Employee_Lookups!$C$13:$C$17,MATCH(F1298,Employee_Lookups!$A$13:$A$17,0))</f>
        <v>Band A (Entry)</v>
      </c>
      <c r="Z1298" s="27">
        <f>_xlfn.XLOOKUP(F1298,Employee_Lookups!$A$13:$A$17,Employee_Lookups!$E$13:$E$17,0)</f>
        <v>700000</v>
      </c>
      <c r="AA1298" s="28">
        <f>ROUND(O1298/INDEX(Employee_Lookups!$E$13:$E$17,MATCH(F1298,Employee_Lookups!$A$13:$A$17,0)),3)</f>
        <v>1.1140000000000001</v>
      </c>
      <c r="AB1298">
        <f t="shared" si="143"/>
        <v>2025</v>
      </c>
      <c r="AC1298" t="str">
        <f t="shared" si="144"/>
        <v/>
      </c>
      <c r="AD1298" s="28">
        <f>ROUND((IF(ISBLANK(L1298),Employee_Lookups!$O$14,L1298)-J1298)/365.25,2)</f>
        <v>0.68</v>
      </c>
      <c r="AE1298" t="str">
        <f t="shared" si="145"/>
        <v>&lt; 1 Yr (New)</v>
      </c>
      <c r="AF1298" t="str">
        <f t="shared" si="146"/>
        <v>Low Risk</v>
      </c>
    </row>
    <row r="1299" spans="1:32" x14ac:dyDescent="0.45">
      <c r="A1299" t="s">
        <v>2177</v>
      </c>
      <c r="B1299" t="s">
        <v>1198</v>
      </c>
      <c r="C1299" t="s">
        <v>61</v>
      </c>
      <c r="D1299" t="s">
        <v>60</v>
      </c>
      <c r="E1299" t="s">
        <v>356</v>
      </c>
      <c r="F1299" t="s">
        <v>81</v>
      </c>
      <c r="G1299" t="s">
        <v>357</v>
      </c>
      <c r="H1299" t="s">
        <v>109</v>
      </c>
      <c r="I1299" t="s">
        <v>110</v>
      </c>
      <c r="J1299" s="26">
        <v>45774</v>
      </c>
      <c r="K1299" t="s">
        <v>187</v>
      </c>
      <c r="L1299" s="26">
        <v>45937</v>
      </c>
      <c r="M1299" t="s">
        <v>282</v>
      </c>
      <c r="N1299" t="s">
        <v>96</v>
      </c>
      <c r="O1299" s="27">
        <v>655000</v>
      </c>
      <c r="P1299">
        <v>4</v>
      </c>
      <c r="Q1299" t="s">
        <v>164</v>
      </c>
      <c r="R1299">
        <v>58</v>
      </c>
      <c r="S1299" t="s">
        <v>319</v>
      </c>
      <c r="T1299">
        <f t="shared" si="140"/>
        <v>10190</v>
      </c>
      <c r="U1299" t="str">
        <f t="shared" si="141"/>
        <v>-HR</v>
      </c>
      <c r="V1299" t="str">
        <f t="shared" si="142"/>
        <v>L1</v>
      </c>
      <c r="W1299" t="str">
        <f>PROPER(TRIM(VLOOKUP(S1299,Employee_Lookups!$I$4:$M$19,2,FALSE())))</f>
        <v>Kavita Menon</v>
      </c>
      <c r="X1299" t="str">
        <f>VLOOKUP(C1299,Employee_Lookups!$A$4:$G$9,4,FALSE())</f>
        <v>CC-505</v>
      </c>
      <c r="Y1299" t="str">
        <f>INDEX(Employee_Lookups!$C$13:$C$17,MATCH(F1299,Employee_Lookups!$A$13:$A$17,0))</f>
        <v>Band A (Entry)</v>
      </c>
      <c r="Z1299" s="27">
        <f>_xlfn.XLOOKUP(F1299,Employee_Lookups!$A$13:$A$17,Employee_Lookups!$E$13:$E$17,0)</f>
        <v>700000</v>
      </c>
      <c r="AA1299" s="28">
        <f>ROUND(O1299/INDEX(Employee_Lookups!$E$13:$E$17,MATCH(F1299,Employee_Lookups!$A$13:$A$17,0)),3)</f>
        <v>0.93600000000000005</v>
      </c>
      <c r="AB1299">
        <f t="shared" si="143"/>
        <v>2025</v>
      </c>
      <c r="AC1299">
        <f t="shared" si="144"/>
        <v>2025</v>
      </c>
      <c r="AD1299" s="28">
        <f>ROUND((IF(ISBLANK(L1299),Employee_Lookups!$O$14,L1299)-J1299)/365.25,2)</f>
        <v>0.45</v>
      </c>
      <c r="AE1299" t="str">
        <f t="shared" si="145"/>
        <v>&lt; 1 Yr (New)</v>
      </c>
      <c r="AF1299" t="str">
        <f t="shared" si="146"/>
        <v>Exited</v>
      </c>
    </row>
    <row r="1300" spans="1:32" x14ac:dyDescent="0.45">
      <c r="A1300" t="s">
        <v>2178</v>
      </c>
      <c r="B1300" t="s">
        <v>694</v>
      </c>
      <c r="C1300" t="s">
        <v>53</v>
      </c>
      <c r="D1300" t="s">
        <v>52</v>
      </c>
      <c r="E1300" t="s">
        <v>322</v>
      </c>
      <c r="F1300" t="s">
        <v>81</v>
      </c>
      <c r="G1300" t="s">
        <v>323</v>
      </c>
      <c r="H1300" t="s">
        <v>112</v>
      </c>
      <c r="I1300" t="s">
        <v>113</v>
      </c>
      <c r="J1300" s="26">
        <v>45775</v>
      </c>
      <c r="K1300" t="s">
        <v>162</v>
      </c>
      <c r="L1300" s="26"/>
      <c r="M1300" t="s">
        <v>163</v>
      </c>
      <c r="N1300" t="s">
        <v>97</v>
      </c>
      <c r="O1300" s="27">
        <v>740000</v>
      </c>
      <c r="P1300">
        <v>5</v>
      </c>
      <c r="Q1300" t="s">
        <v>164</v>
      </c>
      <c r="R1300">
        <v>57</v>
      </c>
      <c r="S1300" t="s">
        <v>194</v>
      </c>
      <c r="T1300">
        <f t="shared" si="140"/>
        <v>11191</v>
      </c>
      <c r="U1300" t="str">
        <f t="shared" si="141"/>
        <v>SAL</v>
      </c>
      <c r="V1300" t="str">
        <f t="shared" si="142"/>
        <v>L1</v>
      </c>
      <c r="W1300" t="str">
        <f>PROPER(TRIM(VLOOKUP(S1300,Employee_Lookups!$I$4:$M$19,2,FALSE())))</f>
        <v>Vikramaditya Joshi</v>
      </c>
      <c r="X1300" t="str">
        <f>VLOOKUP(C1300,Employee_Lookups!$A$4:$G$9,4,FALSE())</f>
        <v>CC-202</v>
      </c>
      <c r="Y1300" t="str">
        <f>INDEX(Employee_Lookups!$C$13:$C$17,MATCH(F1300,Employee_Lookups!$A$13:$A$17,0))</f>
        <v>Band A (Entry)</v>
      </c>
      <c r="Z1300" s="27">
        <f>_xlfn.XLOOKUP(F1300,Employee_Lookups!$A$13:$A$17,Employee_Lookups!$E$13:$E$17,0)</f>
        <v>700000</v>
      </c>
      <c r="AA1300" s="28">
        <f>ROUND(O1300/INDEX(Employee_Lookups!$E$13:$E$17,MATCH(F1300,Employee_Lookups!$A$13:$A$17,0)),3)</f>
        <v>1.0569999999999999</v>
      </c>
      <c r="AB1300">
        <f t="shared" si="143"/>
        <v>2025</v>
      </c>
      <c r="AC1300" t="str">
        <f t="shared" si="144"/>
        <v/>
      </c>
      <c r="AD1300" s="28">
        <f>ROUND((IF(ISBLANK(L1300),Employee_Lookups!$O$14,L1300)-J1300)/365.25,2)</f>
        <v>0.68</v>
      </c>
      <c r="AE1300" t="str">
        <f t="shared" si="145"/>
        <v>&lt; 1 Yr (New)</v>
      </c>
      <c r="AF1300" t="str">
        <f t="shared" si="146"/>
        <v>Low Risk</v>
      </c>
    </row>
    <row r="1301" spans="1:32" x14ac:dyDescent="0.45">
      <c r="A1301" t="s">
        <v>2179</v>
      </c>
      <c r="B1301" t="s">
        <v>909</v>
      </c>
      <c r="C1301" t="s">
        <v>51</v>
      </c>
      <c r="D1301" t="s">
        <v>50</v>
      </c>
      <c r="E1301" t="s">
        <v>176</v>
      </c>
      <c r="F1301" t="s">
        <v>82</v>
      </c>
      <c r="G1301" t="s">
        <v>177</v>
      </c>
      <c r="H1301" t="s">
        <v>106</v>
      </c>
      <c r="I1301" t="s">
        <v>107</v>
      </c>
      <c r="J1301" s="26">
        <v>45780</v>
      </c>
      <c r="K1301" t="s">
        <v>162</v>
      </c>
      <c r="L1301" s="26"/>
      <c r="M1301" t="s">
        <v>163</v>
      </c>
      <c r="N1301" t="s">
        <v>95</v>
      </c>
      <c r="O1301" s="27">
        <v>986000</v>
      </c>
      <c r="P1301">
        <v>2</v>
      </c>
      <c r="Q1301" t="s">
        <v>164</v>
      </c>
      <c r="R1301">
        <v>14</v>
      </c>
      <c r="S1301" t="s">
        <v>178</v>
      </c>
      <c r="T1301">
        <f t="shared" si="140"/>
        <v>10189</v>
      </c>
      <c r="U1301" t="str">
        <f t="shared" si="141"/>
        <v>ENG</v>
      </c>
      <c r="V1301" t="str">
        <f t="shared" si="142"/>
        <v>L2</v>
      </c>
      <c r="W1301" t="str">
        <f>PROPER(TRIM(VLOOKUP(S1301,Employee_Lookups!$I$4:$M$19,2,FALSE())))</f>
        <v>Aarav Deshmukh</v>
      </c>
      <c r="X1301" t="str">
        <f>VLOOKUP(C1301,Employee_Lookups!$A$4:$G$9,4,FALSE())</f>
        <v>CC-101</v>
      </c>
      <c r="Y1301" t="str">
        <f>INDEX(Employee_Lookups!$C$13:$C$17,MATCH(F1301,Employee_Lookups!$A$13:$A$17,0))</f>
        <v>Band B (Mid)</v>
      </c>
      <c r="Z1301" s="27">
        <f>_xlfn.XLOOKUP(F1301,Employee_Lookups!$A$13:$A$17,Employee_Lookups!$E$13:$E$17,0)</f>
        <v>1100000</v>
      </c>
      <c r="AA1301" s="28">
        <f>ROUND(O1301/INDEX(Employee_Lookups!$E$13:$E$17,MATCH(F1301,Employee_Lookups!$A$13:$A$17,0)),3)</f>
        <v>0.89600000000000002</v>
      </c>
      <c r="AB1301">
        <f t="shared" si="143"/>
        <v>2025</v>
      </c>
      <c r="AC1301" t="str">
        <f t="shared" si="144"/>
        <v/>
      </c>
      <c r="AD1301" s="28">
        <f>ROUND((IF(ISBLANK(L1301),Employee_Lookups!$O$14,L1301)-J1301)/365.25,2)</f>
        <v>0.66</v>
      </c>
      <c r="AE1301" t="str">
        <f t="shared" si="145"/>
        <v>&lt; 1 Yr (New)</v>
      </c>
      <c r="AF1301" t="str">
        <f t="shared" si="146"/>
        <v>Moderate Risk</v>
      </c>
    </row>
    <row r="1302" spans="1:32" x14ac:dyDescent="0.45">
      <c r="A1302" t="s">
        <v>2180</v>
      </c>
      <c r="B1302" t="s">
        <v>745</v>
      </c>
      <c r="C1302" t="s">
        <v>57</v>
      </c>
      <c r="D1302" t="s">
        <v>56</v>
      </c>
      <c r="E1302" t="s">
        <v>455</v>
      </c>
      <c r="F1302" t="s">
        <v>84</v>
      </c>
      <c r="G1302" t="s">
        <v>456</v>
      </c>
      <c r="H1302" t="s">
        <v>112</v>
      </c>
      <c r="I1302" t="s">
        <v>113</v>
      </c>
      <c r="J1302" s="26">
        <v>45780</v>
      </c>
      <c r="K1302" t="s">
        <v>162</v>
      </c>
      <c r="L1302" s="26"/>
      <c r="M1302" t="s">
        <v>163</v>
      </c>
      <c r="N1302" t="s">
        <v>95</v>
      </c>
      <c r="O1302" s="27">
        <v>2364000</v>
      </c>
      <c r="P1302">
        <v>4</v>
      </c>
      <c r="Q1302" t="s">
        <v>164</v>
      </c>
      <c r="R1302">
        <v>29</v>
      </c>
      <c r="S1302" t="s">
        <v>224</v>
      </c>
      <c r="T1302">
        <f t="shared" si="140"/>
        <v>10370</v>
      </c>
      <c r="U1302" t="str">
        <f t="shared" si="141"/>
        <v>MKT</v>
      </c>
      <c r="V1302" t="str">
        <f t="shared" si="142"/>
        <v>L4</v>
      </c>
      <c r="W1302" t="str">
        <f>PROPER(TRIM(VLOOKUP(S1302,Employee_Lookups!$I$4:$M$19,2,FALSE())))</f>
        <v>Tanvi Chitnis</v>
      </c>
      <c r="X1302" t="str">
        <f>VLOOKUP(C1302,Employee_Lookups!$A$4:$G$9,4,FALSE())</f>
        <v>CC-606</v>
      </c>
      <c r="Y1302" t="str">
        <f>INDEX(Employee_Lookups!$C$13:$C$17,MATCH(F1302,Employee_Lookups!$A$13:$A$17,0))</f>
        <v>Band D (Leadership)</v>
      </c>
      <c r="Z1302" s="27">
        <f>_xlfn.XLOOKUP(F1302,Employee_Lookups!$A$13:$A$17,Employee_Lookups!$E$13:$E$17,0)</f>
        <v>2750000</v>
      </c>
      <c r="AA1302" s="28">
        <f>ROUND(O1302/INDEX(Employee_Lookups!$E$13:$E$17,MATCH(F1302,Employee_Lookups!$A$13:$A$17,0)),3)</f>
        <v>0.86</v>
      </c>
      <c r="AB1302">
        <f t="shared" si="143"/>
        <v>2025</v>
      </c>
      <c r="AC1302" t="str">
        <f t="shared" si="144"/>
        <v/>
      </c>
      <c r="AD1302" s="28">
        <f>ROUND((IF(ISBLANK(L1302),Employee_Lookups!$O$14,L1302)-J1302)/365.25,2)</f>
        <v>0.66</v>
      </c>
      <c r="AE1302" t="str">
        <f t="shared" si="145"/>
        <v>&lt; 1 Yr (New)</v>
      </c>
      <c r="AF1302" t="str">
        <f t="shared" si="146"/>
        <v>Low Risk</v>
      </c>
    </row>
    <row r="1303" spans="1:32" x14ac:dyDescent="0.45">
      <c r="A1303" t="s">
        <v>2181</v>
      </c>
      <c r="B1303" t="s">
        <v>1542</v>
      </c>
      <c r="C1303" t="s">
        <v>55</v>
      </c>
      <c r="D1303" t="s">
        <v>54</v>
      </c>
      <c r="E1303" t="s">
        <v>229</v>
      </c>
      <c r="F1303" t="s">
        <v>82</v>
      </c>
      <c r="G1303" t="s">
        <v>230</v>
      </c>
      <c r="H1303" t="s">
        <v>109</v>
      </c>
      <c r="I1303" t="s">
        <v>110</v>
      </c>
      <c r="J1303" s="26">
        <v>45782</v>
      </c>
      <c r="K1303" t="s">
        <v>162</v>
      </c>
      <c r="L1303" s="26"/>
      <c r="M1303" t="s">
        <v>163</v>
      </c>
      <c r="N1303" t="s">
        <v>96</v>
      </c>
      <c r="O1303" s="27">
        <v>1287000</v>
      </c>
      <c r="P1303">
        <v>5</v>
      </c>
      <c r="Q1303" t="s">
        <v>164</v>
      </c>
      <c r="R1303">
        <v>29</v>
      </c>
      <c r="S1303" t="s">
        <v>274</v>
      </c>
      <c r="T1303">
        <f t="shared" si="140"/>
        <v>10955</v>
      </c>
      <c r="U1303" t="str">
        <f t="shared" si="141"/>
        <v>OPS</v>
      </c>
      <c r="V1303" t="str">
        <f t="shared" si="142"/>
        <v>L2</v>
      </c>
      <c r="W1303" t="str">
        <f>PROPER(TRIM(VLOOKUP(S1303,Employee_Lookups!$I$4:$M$19,2,FALSE())))</f>
        <v>Meera Krishnan</v>
      </c>
      <c r="X1303" t="str">
        <f>VLOOKUP(C1303,Employee_Lookups!$A$4:$G$9,4,FALSE())</f>
        <v>CC-303</v>
      </c>
      <c r="Y1303" t="str">
        <f>INDEX(Employee_Lookups!$C$13:$C$17,MATCH(F1303,Employee_Lookups!$A$13:$A$17,0))</f>
        <v>Band B (Mid)</v>
      </c>
      <c r="Z1303" s="27">
        <f>_xlfn.XLOOKUP(F1303,Employee_Lookups!$A$13:$A$17,Employee_Lookups!$E$13:$E$17,0)</f>
        <v>1100000</v>
      </c>
      <c r="AA1303" s="28">
        <f>ROUND(O1303/INDEX(Employee_Lookups!$E$13:$E$17,MATCH(F1303,Employee_Lookups!$A$13:$A$17,0)),3)</f>
        <v>1.17</v>
      </c>
      <c r="AB1303">
        <f t="shared" si="143"/>
        <v>2025</v>
      </c>
      <c r="AC1303" t="str">
        <f t="shared" si="144"/>
        <v/>
      </c>
      <c r="AD1303" s="28">
        <f>ROUND((IF(ISBLANK(L1303),Employee_Lookups!$O$14,L1303)-J1303)/365.25,2)</f>
        <v>0.66</v>
      </c>
      <c r="AE1303" t="str">
        <f t="shared" si="145"/>
        <v>&lt; 1 Yr (New)</v>
      </c>
      <c r="AF1303" t="str">
        <f t="shared" si="146"/>
        <v>Low Risk</v>
      </c>
    </row>
    <row r="1304" spans="1:32" x14ac:dyDescent="0.45">
      <c r="A1304" t="s">
        <v>2182</v>
      </c>
      <c r="B1304" t="s">
        <v>2183</v>
      </c>
      <c r="C1304" t="s">
        <v>51</v>
      </c>
      <c r="D1304" t="s">
        <v>50</v>
      </c>
      <c r="E1304" t="s">
        <v>176</v>
      </c>
      <c r="F1304" t="s">
        <v>82</v>
      </c>
      <c r="G1304" t="s">
        <v>177</v>
      </c>
      <c r="H1304" t="s">
        <v>106</v>
      </c>
      <c r="I1304" t="s">
        <v>107</v>
      </c>
      <c r="J1304" s="26">
        <v>45785</v>
      </c>
      <c r="K1304" t="s">
        <v>162</v>
      </c>
      <c r="L1304" s="26"/>
      <c r="M1304" t="s">
        <v>163</v>
      </c>
      <c r="N1304" t="s">
        <v>98</v>
      </c>
      <c r="O1304" s="27">
        <v>895000</v>
      </c>
      <c r="P1304">
        <v>2</v>
      </c>
      <c r="Q1304" t="s">
        <v>164</v>
      </c>
      <c r="R1304">
        <v>14</v>
      </c>
      <c r="S1304" t="s">
        <v>197</v>
      </c>
      <c r="T1304">
        <f t="shared" si="140"/>
        <v>10800</v>
      </c>
      <c r="U1304" t="str">
        <f t="shared" si="141"/>
        <v>ENG</v>
      </c>
      <c r="V1304" t="str">
        <f t="shared" si="142"/>
        <v>L2</v>
      </c>
      <c r="W1304" t="str">
        <f>PROPER(TRIM(VLOOKUP(S1304,Employee_Lookups!$I$4:$M$19,2,FALSE())))</f>
        <v>Rohan Verma</v>
      </c>
      <c r="X1304" t="str">
        <f>VLOOKUP(C1304,Employee_Lookups!$A$4:$G$9,4,FALSE())</f>
        <v>CC-101</v>
      </c>
      <c r="Y1304" t="str">
        <f>INDEX(Employee_Lookups!$C$13:$C$17,MATCH(F1304,Employee_Lookups!$A$13:$A$17,0))</f>
        <v>Band B (Mid)</v>
      </c>
      <c r="Z1304" s="27">
        <f>_xlfn.XLOOKUP(F1304,Employee_Lookups!$A$13:$A$17,Employee_Lookups!$E$13:$E$17,0)</f>
        <v>1100000</v>
      </c>
      <c r="AA1304" s="28">
        <f>ROUND(O1304/INDEX(Employee_Lookups!$E$13:$E$17,MATCH(F1304,Employee_Lookups!$A$13:$A$17,0)),3)</f>
        <v>0.81399999999999995</v>
      </c>
      <c r="AB1304">
        <f t="shared" si="143"/>
        <v>2025</v>
      </c>
      <c r="AC1304" t="str">
        <f t="shared" si="144"/>
        <v/>
      </c>
      <c r="AD1304" s="28">
        <f>ROUND((IF(ISBLANK(L1304),Employee_Lookups!$O$14,L1304)-J1304)/365.25,2)</f>
        <v>0.65</v>
      </c>
      <c r="AE1304" t="str">
        <f t="shared" si="145"/>
        <v>&lt; 1 Yr (New)</v>
      </c>
      <c r="AF1304" t="str">
        <f t="shared" si="146"/>
        <v>Moderate Risk</v>
      </c>
    </row>
    <row r="1305" spans="1:32" x14ac:dyDescent="0.45">
      <c r="A1305" t="s">
        <v>2184</v>
      </c>
      <c r="B1305" t="s">
        <v>2185</v>
      </c>
      <c r="C1305" t="s">
        <v>51</v>
      </c>
      <c r="D1305" t="s">
        <v>50</v>
      </c>
      <c r="E1305" t="s">
        <v>181</v>
      </c>
      <c r="F1305" t="s">
        <v>81</v>
      </c>
      <c r="G1305" t="s">
        <v>182</v>
      </c>
      <c r="H1305" t="s">
        <v>111</v>
      </c>
      <c r="I1305" t="s">
        <v>110</v>
      </c>
      <c r="J1305" s="26">
        <v>45785</v>
      </c>
      <c r="K1305" t="s">
        <v>187</v>
      </c>
      <c r="L1305" s="26">
        <v>45870</v>
      </c>
      <c r="M1305" t="s">
        <v>269</v>
      </c>
      <c r="N1305" t="s">
        <v>99</v>
      </c>
      <c r="O1305" s="27">
        <v>571000</v>
      </c>
      <c r="P1305">
        <v>4</v>
      </c>
      <c r="Q1305" t="s">
        <v>172</v>
      </c>
      <c r="R1305">
        <v>23</v>
      </c>
      <c r="S1305" t="s">
        <v>178</v>
      </c>
      <c r="T1305">
        <f t="shared" si="140"/>
        <v>11048</v>
      </c>
      <c r="U1305" t="str">
        <f t="shared" si="141"/>
        <v>ENG</v>
      </c>
      <c r="V1305" t="str">
        <f t="shared" si="142"/>
        <v>L1</v>
      </c>
      <c r="W1305" t="str">
        <f>PROPER(TRIM(VLOOKUP(S1305,Employee_Lookups!$I$4:$M$19,2,FALSE())))</f>
        <v>Aarav Deshmukh</v>
      </c>
      <c r="X1305" t="str">
        <f>VLOOKUP(C1305,Employee_Lookups!$A$4:$G$9,4,FALSE())</f>
        <v>CC-101</v>
      </c>
      <c r="Y1305" t="str">
        <f>INDEX(Employee_Lookups!$C$13:$C$17,MATCH(F1305,Employee_Lookups!$A$13:$A$17,0))</f>
        <v>Band A (Entry)</v>
      </c>
      <c r="Z1305" s="27">
        <f>_xlfn.XLOOKUP(F1305,Employee_Lookups!$A$13:$A$17,Employee_Lookups!$E$13:$E$17,0)</f>
        <v>700000</v>
      </c>
      <c r="AA1305" s="28">
        <f>ROUND(O1305/INDEX(Employee_Lookups!$E$13:$E$17,MATCH(F1305,Employee_Lookups!$A$13:$A$17,0)),3)</f>
        <v>0.81599999999999995</v>
      </c>
      <c r="AB1305">
        <f t="shared" si="143"/>
        <v>2025</v>
      </c>
      <c r="AC1305">
        <f t="shared" si="144"/>
        <v>2025</v>
      </c>
      <c r="AD1305" s="28">
        <f>ROUND((IF(ISBLANK(L1305),Employee_Lookups!$O$14,L1305)-J1305)/365.25,2)</f>
        <v>0.23</v>
      </c>
      <c r="AE1305" t="str">
        <f t="shared" si="145"/>
        <v>&lt; 1 Yr (New)</v>
      </c>
      <c r="AF1305" t="str">
        <f t="shared" si="146"/>
        <v>Exited</v>
      </c>
    </row>
    <row r="1306" spans="1:32" x14ac:dyDescent="0.45">
      <c r="A1306" t="s">
        <v>2186</v>
      </c>
      <c r="B1306" t="s">
        <v>2187</v>
      </c>
      <c r="C1306" t="s">
        <v>53</v>
      </c>
      <c r="D1306" t="s">
        <v>52</v>
      </c>
      <c r="E1306" t="s">
        <v>192</v>
      </c>
      <c r="F1306" t="s">
        <v>83</v>
      </c>
      <c r="G1306" t="s">
        <v>193</v>
      </c>
      <c r="H1306" t="s">
        <v>109</v>
      </c>
      <c r="I1306" t="s">
        <v>110</v>
      </c>
      <c r="J1306" s="26">
        <v>45787</v>
      </c>
      <c r="K1306" t="s">
        <v>162</v>
      </c>
      <c r="L1306" s="26"/>
      <c r="M1306" t="s">
        <v>163</v>
      </c>
      <c r="N1306" t="s">
        <v>99</v>
      </c>
      <c r="O1306" s="27">
        <v>1387000</v>
      </c>
      <c r="P1306">
        <v>5</v>
      </c>
      <c r="Q1306" t="s">
        <v>172</v>
      </c>
      <c r="R1306">
        <v>22</v>
      </c>
      <c r="S1306" t="s">
        <v>237</v>
      </c>
      <c r="T1306">
        <f t="shared" si="140"/>
        <v>10421</v>
      </c>
      <c r="U1306" t="str">
        <f t="shared" si="141"/>
        <v>SAL</v>
      </c>
      <c r="V1306" t="str">
        <f t="shared" si="142"/>
        <v>L3</v>
      </c>
      <c r="W1306" t="str">
        <f>PROPER(TRIM(VLOOKUP(S1306,Employee_Lookups!$I$4:$M$19,2,FALSE())))</f>
        <v>Karan Malhotra</v>
      </c>
      <c r="X1306" t="str">
        <f>VLOOKUP(C1306,Employee_Lookups!$A$4:$G$9,4,FALSE())</f>
        <v>CC-202</v>
      </c>
      <c r="Y1306" t="str">
        <f>INDEX(Employee_Lookups!$C$13:$C$17,MATCH(F1306,Employee_Lookups!$A$13:$A$17,0))</f>
        <v>Band C (Senior)</v>
      </c>
      <c r="Z1306" s="27">
        <f>_xlfn.XLOOKUP(F1306,Employee_Lookups!$A$13:$A$17,Employee_Lookups!$E$13:$E$17,0)</f>
        <v>1725000</v>
      </c>
      <c r="AA1306" s="28">
        <f>ROUND(O1306/INDEX(Employee_Lookups!$E$13:$E$17,MATCH(F1306,Employee_Lookups!$A$13:$A$17,0)),3)</f>
        <v>0.80400000000000005</v>
      </c>
      <c r="AB1306">
        <f t="shared" si="143"/>
        <v>2025</v>
      </c>
      <c r="AC1306" t="str">
        <f t="shared" si="144"/>
        <v/>
      </c>
      <c r="AD1306" s="28">
        <f>ROUND((IF(ISBLANK(L1306),Employee_Lookups!$O$14,L1306)-J1306)/365.25,2)</f>
        <v>0.64</v>
      </c>
      <c r="AE1306" t="str">
        <f t="shared" si="145"/>
        <v>&lt; 1 Yr (New)</v>
      </c>
      <c r="AF1306" t="str">
        <f t="shared" si="146"/>
        <v>High Risk</v>
      </c>
    </row>
    <row r="1307" spans="1:32" x14ac:dyDescent="0.45">
      <c r="A1307" t="s">
        <v>2188</v>
      </c>
      <c r="B1307" t="s">
        <v>191</v>
      </c>
      <c r="C1307" t="s">
        <v>55</v>
      </c>
      <c r="D1307" t="s">
        <v>54</v>
      </c>
      <c r="E1307" t="s">
        <v>229</v>
      </c>
      <c r="F1307" t="s">
        <v>82</v>
      </c>
      <c r="G1307" t="s">
        <v>230</v>
      </c>
      <c r="H1307" t="s">
        <v>108</v>
      </c>
      <c r="I1307" t="s">
        <v>107</v>
      </c>
      <c r="J1307" s="26">
        <v>45789</v>
      </c>
      <c r="K1307" t="s">
        <v>162</v>
      </c>
      <c r="L1307" s="26"/>
      <c r="M1307" t="s">
        <v>163</v>
      </c>
      <c r="N1307" t="s">
        <v>97</v>
      </c>
      <c r="O1307" s="27">
        <v>941000</v>
      </c>
      <c r="P1307">
        <v>3</v>
      </c>
      <c r="Q1307" t="s">
        <v>172</v>
      </c>
      <c r="R1307">
        <v>31</v>
      </c>
      <c r="S1307" t="s">
        <v>173</v>
      </c>
      <c r="T1307">
        <f t="shared" si="140"/>
        <v>11183</v>
      </c>
      <c r="U1307" t="str">
        <f t="shared" si="141"/>
        <v>OPS</v>
      </c>
      <c r="V1307" t="str">
        <f t="shared" si="142"/>
        <v>L2</v>
      </c>
      <c r="W1307" t="str">
        <f>PROPER(TRIM(VLOOKUP(S1307,Employee_Lookups!$I$4:$M$19,2,FALSE())))</f>
        <v>Deepak Patil</v>
      </c>
      <c r="X1307" t="str">
        <f>VLOOKUP(C1307,Employee_Lookups!$A$4:$G$9,4,FALSE())</f>
        <v>CC-303</v>
      </c>
      <c r="Y1307" t="str">
        <f>INDEX(Employee_Lookups!$C$13:$C$17,MATCH(F1307,Employee_Lookups!$A$13:$A$17,0))</f>
        <v>Band B (Mid)</v>
      </c>
      <c r="Z1307" s="27">
        <f>_xlfn.XLOOKUP(F1307,Employee_Lookups!$A$13:$A$17,Employee_Lookups!$E$13:$E$17,0)</f>
        <v>1100000</v>
      </c>
      <c r="AA1307" s="28">
        <f>ROUND(O1307/INDEX(Employee_Lookups!$E$13:$E$17,MATCH(F1307,Employee_Lookups!$A$13:$A$17,0)),3)</f>
        <v>0.85499999999999998</v>
      </c>
      <c r="AB1307">
        <f t="shared" si="143"/>
        <v>2025</v>
      </c>
      <c r="AC1307" t="str">
        <f t="shared" si="144"/>
        <v/>
      </c>
      <c r="AD1307" s="28">
        <f>ROUND((IF(ISBLANK(L1307),Employee_Lookups!$O$14,L1307)-J1307)/365.25,2)</f>
        <v>0.64</v>
      </c>
      <c r="AE1307" t="str">
        <f t="shared" si="145"/>
        <v>&lt; 1 Yr (New)</v>
      </c>
      <c r="AF1307" t="str">
        <f t="shared" si="146"/>
        <v>High Risk</v>
      </c>
    </row>
    <row r="1308" spans="1:32" x14ac:dyDescent="0.45">
      <c r="A1308" t="s">
        <v>2189</v>
      </c>
      <c r="B1308" t="s">
        <v>638</v>
      </c>
      <c r="C1308" t="s">
        <v>53</v>
      </c>
      <c r="D1308" t="s">
        <v>52</v>
      </c>
      <c r="E1308" t="s">
        <v>200</v>
      </c>
      <c r="F1308" t="s">
        <v>84</v>
      </c>
      <c r="G1308" t="s">
        <v>201</v>
      </c>
      <c r="H1308" t="s">
        <v>106</v>
      </c>
      <c r="I1308" t="s">
        <v>107</v>
      </c>
      <c r="J1308" s="26">
        <v>45792</v>
      </c>
      <c r="K1308" t="s">
        <v>162</v>
      </c>
      <c r="L1308" s="26"/>
      <c r="M1308" t="s">
        <v>163</v>
      </c>
      <c r="N1308" t="s">
        <v>99</v>
      </c>
      <c r="O1308" s="27">
        <v>2106000</v>
      </c>
      <c r="P1308">
        <v>3</v>
      </c>
      <c r="Q1308" t="s">
        <v>172</v>
      </c>
      <c r="R1308">
        <v>38</v>
      </c>
      <c r="S1308" t="s">
        <v>237</v>
      </c>
      <c r="T1308">
        <f t="shared" si="140"/>
        <v>11077</v>
      </c>
      <c r="U1308" t="str">
        <f t="shared" si="141"/>
        <v>SAL</v>
      </c>
      <c r="V1308" t="str">
        <f t="shared" si="142"/>
        <v>L4</v>
      </c>
      <c r="W1308" t="str">
        <f>PROPER(TRIM(VLOOKUP(S1308,Employee_Lookups!$I$4:$M$19,2,FALSE())))</f>
        <v>Karan Malhotra</v>
      </c>
      <c r="X1308" t="str">
        <f>VLOOKUP(C1308,Employee_Lookups!$A$4:$G$9,4,FALSE())</f>
        <v>CC-202</v>
      </c>
      <c r="Y1308" t="str">
        <f>INDEX(Employee_Lookups!$C$13:$C$17,MATCH(F1308,Employee_Lookups!$A$13:$A$17,0))</f>
        <v>Band D (Leadership)</v>
      </c>
      <c r="Z1308" s="27">
        <f>_xlfn.XLOOKUP(F1308,Employee_Lookups!$A$13:$A$17,Employee_Lookups!$E$13:$E$17,0)</f>
        <v>2750000</v>
      </c>
      <c r="AA1308" s="28">
        <f>ROUND(O1308/INDEX(Employee_Lookups!$E$13:$E$17,MATCH(F1308,Employee_Lookups!$A$13:$A$17,0)),3)</f>
        <v>0.76600000000000001</v>
      </c>
      <c r="AB1308">
        <f t="shared" si="143"/>
        <v>2025</v>
      </c>
      <c r="AC1308" t="str">
        <f t="shared" si="144"/>
        <v/>
      </c>
      <c r="AD1308" s="28">
        <f>ROUND((IF(ISBLANK(L1308),Employee_Lookups!$O$14,L1308)-J1308)/365.25,2)</f>
        <v>0.63</v>
      </c>
      <c r="AE1308" t="str">
        <f t="shared" si="145"/>
        <v>&lt; 1 Yr (New)</v>
      </c>
      <c r="AF1308" t="str">
        <f t="shared" si="146"/>
        <v>High Risk</v>
      </c>
    </row>
    <row r="1309" spans="1:32" x14ac:dyDescent="0.45">
      <c r="A1309" t="s">
        <v>2190</v>
      </c>
      <c r="B1309" t="s">
        <v>1878</v>
      </c>
      <c r="C1309" t="s">
        <v>53</v>
      </c>
      <c r="D1309" t="s">
        <v>52</v>
      </c>
      <c r="E1309" t="s">
        <v>322</v>
      </c>
      <c r="F1309" t="s">
        <v>81</v>
      </c>
      <c r="G1309" t="s">
        <v>323</v>
      </c>
      <c r="H1309" t="s">
        <v>109</v>
      </c>
      <c r="I1309" t="s">
        <v>110</v>
      </c>
      <c r="J1309" s="26">
        <v>45793</v>
      </c>
      <c r="K1309" t="s">
        <v>162</v>
      </c>
      <c r="L1309" s="26"/>
      <c r="M1309" t="s">
        <v>163</v>
      </c>
      <c r="N1309" t="s">
        <v>95</v>
      </c>
      <c r="O1309" s="27">
        <v>651000</v>
      </c>
      <c r="P1309">
        <v>2</v>
      </c>
      <c r="Q1309" t="s">
        <v>172</v>
      </c>
      <c r="R1309">
        <v>13</v>
      </c>
      <c r="S1309" t="s">
        <v>237</v>
      </c>
      <c r="T1309">
        <f t="shared" si="140"/>
        <v>11116</v>
      </c>
      <c r="U1309" t="str">
        <f t="shared" si="141"/>
        <v>SAL</v>
      </c>
      <c r="V1309" t="str">
        <f t="shared" si="142"/>
        <v>L1</v>
      </c>
      <c r="W1309" t="str">
        <f>PROPER(TRIM(VLOOKUP(S1309,Employee_Lookups!$I$4:$M$19,2,FALSE())))</f>
        <v>Karan Malhotra</v>
      </c>
      <c r="X1309" t="str">
        <f>VLOOKUP(C1309,Employee_Lookups!$A$4:$G$9,4,FALSE())</f>
        <v>CC-202</v>
      </c>
      <c r="Y1309" t="str">
        <f>INDEX(Employee_Lookups!$C$13:$C$17,MATCH(F1309,Employee_Lookups!$A$13:$A$17,0))</f>
        <v>Band A (Entry)</v>
      </c>
      <c r="Z1309" s="27">
        <f>_xlfn.XLOOKUP(F1309,Employee_Lookups!$A$13:$A$17,Employee_Lookups!$E$13:$E$17,0)</f>
        <v>700000</v>
      </c>
      <c r="AA1309" s="28">
        <f>ROUND(O1309/INDEX(Employee_Lookups!$E$13:$E$17,MATCH(F1309,Employee_Lookups!$A$13:$A$17,0)),3)</f>
        <v>0.93</v>
      </c>
      <c r="AB1309">
        <f t="shared" si="143"/>
        <v>2025</v>
      </c>
      <c r="AC1309" t="str">
        <f t="shared" si="144"/>
        <v/>
      </c>
      <c r="AD1309" s="28">
        <f>ROUND((IF(ISBLANK(L1309),Employee_Lookups!$O$14,L1309)-J1309)/365.25,2)</f>
        <v>0.63</v>
      </c>
      <c r="AE1309" t="str">
        <f t="shared" si="145"/>
        <v>&lt; 1 Yr (New)</v>
      </c>
      <c r="AF1309" t="str">
        <f t="shared" si="146"/>
        <v>High Risk</v>
      </c>
    </row>
    <row r="1310" spans="1:32" x14ac:dyDescent="0.45">
      <c r="A1310" t="s">
        <v>2191</v>
      </c>
      <c r="B1310" t="s">
        <v>1029</v>
      </c>
      <c r="C1310" t="s">
        <v>55</v>
      </c>
      <c r="D1310" t="s">
        <v>54</v>
      </c>
      <c r="E1310" t="s">
        <v>277</v>
      </c>
      <c r="F1310" t="s">
        <v>81</v>
      </c>
      <c r="G1310" t="s">
        <v>278</v>
      </c>
      <c r="H1310" t="s">
        <v>108</v>
      </c>
      <c r="I1310" t="s">
        <v>107</v>
      </c>
      <c r="J1310" s="26">
        <v>45794</v>
      </c>
      <c r="K1310" t="s">
        <v>162</v>
      </c>
      <c r="L1310" s="26"/>
      <c r="M1310" t="s">
        <v>163</v>
      </c>
      <c r="N1310" t="s">
        <v>99</v>
      </c>
      <c r="O1310" s="27">
        <v>594000</v>
      </c>
      <c r="P1310">
        <v>2</v>
      </c>
      <c r="Q1310" t="s">
        <v>164</v>
      </c>
      <c r="R1310">
        <v>19</v>
      </c>
      <c r="S1310" t="s">
        <v>262</v>
      </c>
      <c r="T1310">
        <f t="shared" si="140"/>
        <v>10966</v>
      </c>
      <c r="U1310" t="str">
        <f t="shared" si="141"/>
        <v>OPS</v>
      </c>
      <c r="V1310" t="str">
        <f t="shared" si="142"/>
        <v>L1</v>
      </c>
      <c r="W1310" t="str">
        <f>PROPER(TRIM(VLOOKUP(S1310,Employee_Lookups!$I$4:$M$19,2,FALSE())))</f>
        <v>Ananya Iyer</v>
      </c>
      <c r="X1310" t="str">
        <f>VLOOKUP(C1310,Employee_Lookups!$A$4:$G$9,4,FALSE())</f>
        <v>CC-303</v>
      </c>
      <c r="Y1310" t="str">
        <f>INDEX(Employee_Lookups!$C$13:$C$17,MATCH(F1310,Employee_Lookups!$A$13:$A$17,0))</f>
        <v>Band A (Entry)</v>
      </c>
      <c r="Z1310" s="27">
        <f>_xlfn.XLOOKUP(F1310,Employee_Lookups!$A$13:$A$17,Employee_Lookups!$E$13:$E$17,0)</f>
        <v>700000</v>
      </c>
      <c r="AA1310" s="28">
        <f>ROUND(O1310/INDEX(Employee_Lookups!$E$13:$E$17,MATCH(F1310,Employee_Lookups!$A$13:$A$17,0)),3)</f>
        <v>0.84899999999999998</v>
      </c>
      <c r="AB1310">
        <f t="shared" si="143"/>
        <v>2025</v>
      </c>
      <c r="AC1310" t="str">
        <f t="shared" si="144"/>
        <v/>
      </c>
      <c r="AD1310" s="28">
        <f>ROUND((IF(ISBLANK(L1310),Employee_Lookups!$O$14,L1310)-J1310)/365.25,2)</f>
        <v>0.62</v>
      </c>
      <c r="AE1310" t="str">
        <f t="shared" si="145"/>
        <v>&lt; 1 Yr (New)</v>
      </c>
      <c r="AF1310" t="str">
        <f t="shared" si="146"/>
        <v>Moderate Risk</v>
      </c>
    </row>
    <row r="1311" spans="1:32" x14ac:dyDescent="0.45">
      <c r="A1311" t="s">
        <v>2192</v>
      </c>
      <c r="B1311" t="s">
        <v>799</v>
      </c>
      <c r="C1311" t="s">
        <v>55</v>
      </c>
      <c r="D1311" t="s">
        <v>54</v>
      </c>
      <c r="E1311" t="s">
        <v>240</v>
      </c>
      <c r="F1311" t="s">
        <v>83</v>
      </c>
      <c r="G1311" t="s">
        <v>241</v>
      </c>
      <c r="H1311" t="s">
        <v>108</v>
      </c>
      <c r="I1311" t="s">
        <v>107</v>
      </c>
      <c r="J1311" s="26">
        <v>45795</v>
      </c>
      <c r="K1311" t="s">
        <v>162</v>
      </c>
      <c r="L1311" s="26"/>
      <c r="M1311" t="s">
        <v>163</v>
      </c>
      <c r="N1311" t="s">
        <v>97</v>
      </c>
      <c r="O1311" s="27">
        <v>1879000</v>
      </c>
      <c r="P1311">
        <v>3</v>
      </c>
      <c r="Q1311" t="s">
        <v>172</v>
      </c>
      <c r="R1311">
        <v>20</v>
      </c>
      <c r="S1311" t="s">
        <v>262</v>
      </c>
      <c r="T1311">
        <f t="shared" si="140"/>
        <v>11398</v>
      </c>
      <c r="U1311" t="str">
        <f t="shared" si="141"/>
        <v>OPS</v>
      </c>
      <c r="V1311" t="str">
        <f t="shared" si="142"/>
        <v>L3</v>
      </c>
      <c r="W1311" t="str">
        <f>PROPER(TRIM(VLOOKUP(S1311,Employee_Lookups!$I$4:$M$19,2,FALSE())))</f>
        <v>Ananya Iyer</v>
      </c>
      <c r="X1311" t="str">
        <f>VLOOKUP(C1311,Employee_Lookups!$A$4:$G$9,4,FALSE())</f>
        <v>CC-303</v>
      </c>
      <c r="Y1311" t="str">
        <f>INDEX(Employee_Lookups!$C$13:$C$17,MATCH(F1311,Employee_Lookups!$A$13:$A$17,0))</f>
        <v>Band C (Senior)</v>
      </c>
      <c r="Z1311" s="27">
        <f>_xlfn.XLOOKUP(F1311,Employee_Lookups!$A$13:$A$17,Employee_Lookups!$E$13:$E$17,0)</f>
        <v>1725000</v>
      </c>
      <c r="AA1311" s="28">
        <f>ROUND(O1311/INDEX(Employee_Lookups!$E$13:$E$17,MATCH(F1311,Employee_Lookups!$A$13:$A$17,0)),3)</f>
        <v>1.089</v>
      </c>
      <c r="AB1311">
        <f t="shared" si="143"/>
        <v>2025</v>
      </c>
      <c r="AC1311" t="str">
        <f t="shared" si="144"/>
        <v/>
      </c>
      <c r="AD1311" s="28">
        <f>ROUND((IF(ISBLANK(L1311),Employee_Lookups!$O$14,L1311)-J1311)/365.25,2)</f>
        <v>0.62</v>
      </c>
      <c r="AE1311" t="str">
        <f t="shared" si="145"/>
        <v>&lt; 1 Yr (New)</v>
      </c>
      <c r="AF1311" t="str">
        <f t="shared" si="146"/>
        <v>Moderate Risk</v>
      </c>
    </row>
    <row r="1312" spans="1:32" x14ac:dyDescent="0.45">
      <c r="A1312" t="s">
        <v>2193</v>
      </c>
      <c r="B1312" t="s">
        <v>2194</v>
      </c>
      <c r="C1312" t="s">
        <v>55</v>
      </c>
      <c r="D1312" t="s">
        <v>54</v>
      </c>
      <c r="E1312" t="s">
        <v>168</v>
      </c>
      <c r="F1312" t="s">
        <v>84</v>
      </c>
      <c r="G1312" t="s">
        <v>169</v>
      </c>
      <c r="H1312" t="s">
        <v>106</v>
      </c>
      <c r="I1312" t="s">
        <v>107</v>
      </c>
      <c r="J1312" s="26">
        <v>45797</v>
      </c>
      <c r="K1312" t="s">
        <v>162</v>
      </c>
      <c r="L1312" s="26"/>
      <c r="M1312" t="s">
        <v>163</v>
      </c>
      <c r="N1312" t="s">
        <v>98</v>
      </c>
      <c r="O1312" s="27">
        <v>2186000</v>
      </c>
      <c r="P1312">
        <v>2</v>
      </c>
      <c r="Q1312" t="s">
        <v>164</v>
      </c>
      <c r="R1312">
        <v>20</v>
      </c>
      <c r="S1312" t="s">
        <v>262</v>
      </c>
      <c r="T1312">
        <f t="shared" si="140"/>
        <v>11021</v>
      </c>
      <c r="U1312" t="str">
        <f t="shared" si="141"/>
        <v>OPS</v>
      </c>
      <c r="V1312" t="str">
        <f t="shared" si="142"/>
        <v>L4</v>
      </c>
      <c r="W1312" t="str">
        <f>PROPER(TRIM(VLOOKUP(S1312,Employee_Lookups!$I$4:$M$19,2,FALSE())))</f>
        <v>Ananya Iyer</v>
      </c>
      <c r="X1312" t="str">
        <f>VLOOKUP(C1312,Employee_Lookups!$A$4:$G$9,4,FALSE())</f>
        <v>CC-303</v>
      </c>
      <c r="Y1312" t="str">
        <f>INDEX(Employee_Lookups!$C$13:$C$17,MATCH(F1312,Employee_Lookups!$A$13:$A$17,0))</f>
        <v>Band D (Leadership)</v>
      </c>
      <c r="Z1312" s="27">
        <f>_xlfn.XLOOKUP(F1312,Employee_Lookups!$A$13:$A$17,Employee_Lookups!$E$13:$E$17,0)</f>
        <v>2750000</v>
      </c>
      <c r="AA1312" s="28">
        <f>ROUND(O1312/INDEX(Employee_Lookups!$E$13:$E$17,MATCH(F1312,Employee_Lookups!$A$13:$A$17,0)),3)</f>
        <v>0.79500000000000004</v>
      </c>
      <c r="AB1312">
        <f t="shared" si="143"/>
        <v>2025</v>
      </c>
      <c r="AC1312" t="str">
        <f t="shared" si="144"/>
        <v/>
      </c>
      <c r="AD1312" s="28">
        <f>ROUND((IF(ISBLANK(L1312),Employee_Lookups!$O$14,L1312)-J1312)/365.25,2)</f>
        <v>0.62</v>
      </c>
      <c r="AE1312" t="str">
        <f t="shared" si="145"/>
        <v>&lt; 1 Yr (New)</v>
      </c>
      <c r="AF1312" t="str">
        <f t="shared" si="146"/>
        <v>Moderate Risk</v>
      </c>
    </row>
    <row r="1313" spans="1:32" x14ac:dyDescent="0.45">
      <c r="A1313" t="s">
        <v>2195</v>
      </c>
      <c r="B1313" t="s">
        <v>2196</v>
      </c>
      <c r="C1313" t="s">
        <v>53</v>
      </c>
      <c r="D1313" t="s">
        <v>52</v>
      </c>
      <c r="E1313" t="s">
        <v>192</v>
      </c>
      <c r="F1313" t="s">
        <v>83</v>
      </c>
      <c r="G1313" t="s">
        <v>193</v>
      </c>
      <c r="H1313" t="s">
        <v>106</v>
      </c>
      <c r="I1313" t="s">
        <v>107</v>
      </c>
      <c r="J1313" s="26">
        <v>45799</v>
      </c>
      <c r="K1313" t="s">
        <v>162</v>
      </c>
      <c r="L1313" s="26"/>
      <c r="M1313" t="s">
        <v>163</v>
      </c>
      <c r="N1313" t="s">
        <v>97</v>
      </c>
      <c r="O1313" s="27">
        <v>1652000</v>
      </c>
      <c r="P1313">
        <v>2</v>
      </c>
      <c r="Q1313" t="s">
        <v>172</v>
      </c>
      <c r="R1313">
        <v>0</v>
      </c>
      <c r="S1313" t="s">
        <v>237</v>
      </c>
      <c r="T1313">
        <f t="shared" si="140"/>
        <v>10052</v>
      </c>
      <c r="U1313" t="str">
        <f t="shared" si="141"/>
        <v>SAL</v>
      </c>
      <c r="V1313" t="str">
        <f t="shared" si="142"/>
        <v>L3</v>
      </c>
      <c r="W1313" t="str">
        <f>PROPER(TRIM(VLOOKUP(S1313,Employee_Lookups!$I$4:$M$19,2,FALSE())))</f>
        <v>Karan Malhotra</v>
      </c>
      <c r="X1313" t="str">
        <f>VLOOKUP(C1313,Employee_Lookups!$A$4:$G$9,4,FALSE())</f>
        <v>CC-202</v>
      </c>
      <c r="Y1313" t="str">
        <f>INDEX(Employee_Lookups!$C$13:$C$17,MATCH(F1313,Employee_Lookups!$A$13:$A$17,0))</f>
        <v>Band C (Senior)</v>
      </c>
      <c r="Z1313" s="27">
        <f>_xlfn.XLOOKUP(F1313,Employee_Lookups!$A$13:$A$17,Employee_Lookups!$E$13:$E$17,0)</f>
        <v>1725000</v>
      </c>
      <c r="AA1313" s="28">
        <f>ROUND(O1313/INDEX(Employee_Lookups!$E$13:$E$17,MATCH(F1313,Employee_Lookups!$A$13:$A$17,0)),3)</f>
        <v>0.95799999999999996</v>
      </c>
      <c r="AB1313">
        <f t="shared" si="143"/>
        <v>2025</v>
      </c>
      <c r="AC1313" t="str">
        <f t="shared" si="144"/>
        <v/>
      </c>
      <c r="AD1313" s="28">
        <f>ROUND((IF(ISBLANK(L1313),Employee_Lookups!$O$14,L1313)-J1313)/365.25,2)</f>
        <v>0.61</v>
      </c>
      <c r="AE1313" t="str">
        <f t="shared" si="145"/>
        <v>&lt; 1 Yr (New)</v>
      </c>
      <c r="AF1313" t="str">
        <f t="shared" si="146"/>
        <v>Moderate Risk</v>
      </c>
    </row>
    <row r="1314" spans="1:32" x14ac:dyDescent="0.45">
      <c r="A1314" t="s">
        <v>2197</v>
      </c>
      <c r="B1314" t="s">
        <v>396</v>
      </c>
      <c r="C1314" t="s">
        <v>53</v>
      </c>
      <c r="D1314" t="s">
        <v>52</v>
      </c>
      <c r="E1314" t="s">
        <v>322</v>
      </c>
      <c r="F1314" t="s">
        <v>81</v>
      </c>
      <c r="G1314" t="s">
        <v>323</v>
      </c>
      <c r="H1314" t="s">
        <v>109</v>
      </c>
      <c r="I1314" t="s">
        <v>110</v>
      </c>
      <c r="J1314" s="26">
        <v>45799</v>
      </c>
      <c r="K1314" t="s">
        <v>162</v>
      </c>
      <c r="L1314" s="26"/>
      <c r="M1314" t="s">
        <v>163</v>
      </c>
      <c r="N1314" t="s">
        <v>98</v>
      </c>
      <c r="O1314" s="27">
        <v>701000</v>
      </c>
      <c r="P1314">
        <v>2</v>
      </c>
      <c r="Q1314" t="s">
        <v>172</v>
      </c>
      <c r="R1314">
        <v>27</v>
      </c>
      <c r="S1314" t="s">
        <v>194</v>
      </c>
      <c r="T1314">
        <f t="shared" si="140"/>
        <v>10862</v>
      </c>
      <c r="U1314" t="str">
        <f t="shared" si="141"/>
        <v>SAL</v>
      </c>
      <c r="V1314" t="str">
        <f t="shared" si="142"/>
        <v>L1</v>
      </c>
      <c r="W1314" t="str">
        <f>PROPER(TRIM(VLOOKUP(S1314,Employee_Lookups!$I$4:$M$19,2,FALSE())))</f>
        <v>Vikramaditya Joshi</v>
      </c>
      <c r="X1314" t="str">
        <f>VLOOKUP(C1314,Employee_Lookups!$A$4:$G$9,4,FALSE())</f>
        <v>CC-202</v>
      </c>
      <c r="Y1314" t="str">
        <f>INDEX(Employee_Lookups!$C$13:$C$17,MATCH(F1314,Employee_Lookups!$A$13:$A$17,0))</f>
        <v>Band A (Entry)</v>
      </c>
      <c r="Z1314" s="27">
        <f>_xlfn.XLOOKUP(F1314,Employee_Lookups!$A$13:$A$17,Employee_Lookups!$E$13:$E$17,0)</f>
        <v>700000</v>
      </c>
      <c r="AA1314" s="28">
        <f>ROUND(O1314/INDEX(Employee_Lookups!$E$13:$E$17,MATCH(F1314,Employee_Lookups!$A$13:$A$17,0)),3)</f>
        <v>1.0009999999999999</v>
      </c>
      <c r="AB1314">
        <f t="shared" si="143"/>
        <v>2025</v>
      </c>
      <c r="AC1314" t="str">
        <f t="shared" si="144"/>
        <v/>
      </c>
      <c r="AD1314" s="28">
        <f>ROUND((IF(ISBLANK(L1314),Employee_Lookups!$O$14,L1314)-J1314)/365.25,2)</f>
        <v>0.61</v>
      </c>
      <c r="AE1314" t="str">
        <f t="shared" si="145"/>
        <v>&lt; 1 Yr (New)</v>
      </c>
      <c r="AF1314" t="str">
        <f t="shared" si="146"/>
        <v>Moderate Risk</v>
      </c>
    </row>
    <row r="1315" spans="1:32" x14ac:dyDescent="0.45">
      <c r="A1315" t="s">
        <v>2198</v>
      </c>
      <c r="B1315" t="s">
        <v>1685</v>
      </c>
      <c r="C1315" t="s">
        <v>51</v>
      </c>
      <c r="D1315" t="s">
        <v>50</v>
      </c>
      <c r="E1315" t="s">
        <v>176</v>
      </c>
      <c r="F1315" t="s">
        <v>82</v>
      </c>
      <c r="G1315" t="s">
        <v>177</v>
      </c>
      <c r="H1315" t="s">
        <v>111</v>
      </c>
      <c r="I1315" t="s">
        <v>110</v>
      </c>
      <c r="J1315" s="26">
        <v>45800</v>
      </c>
      <c r="K1315" t="s">
        <v>162</v>
      </c>
      <c r="L1315" s="26"/>
      <c r="M1315" t="s">
        <v>163</v>
      </c>
      <c r="N1315" t="s">
        <v>99</v>
      </c>
      <c r="O1315" s="27">
        <v>1201000</v>
      </c>
      <c r="P1315">
        <v>5</v>
      </c>
      <c r="Q1315" t="s">
        <v>164</v>
      </c>
      <c r="R1315">
        <v>33</v>
      </c>
      <c r="S1315" t="s">
        <v>197</v>
      </c>
      <c r="T1315">
        <f t="shared" si="140"/>
        <v>11139</v>
      </c>
      <c r="U1315" t="str">
        <f t="shared" si="141"/>
        <v>ENG</v>
      </c>
      <c r="V1315" t="str">
        <f t="shared" si="142"/>
        <v>L2</v>
      </c>
      <c r="W1315" t="str">
        <f>PROPER(TRIM(VLOOKUP(S1315,Employee_Lookups!$I$4:$M$19,2,FALSE())))</f>
        <v>Rohan Verma</v>
      </c>
      <c r="X1315" t="str">
        <f>VLOOKUP(C1315,Employee_Lookups!$A$4:$G$9,4,FALSE())</f>
        <v>CC-101</v>
      </c>
      <c r="Y1315" t="str">
        <f>INDEX(Employee_Lookups!$C$13:$C$17,MATCH(F1315,Employee_Lookups!$A$13:$A$17,0))</f>
        <v>Band B (Mid)</v>
      </c>
      <c r="Z1315" s="27">
        <f>_xlfn.XLOOKUP(F1315,Employee_Lookups!$A$13:$A$17,Employee_Lookups!$E$13:$E$17,0)</f>
        <v>1100000</v>
      </c>
      <c r="AA1315" s="28">
        <f>ROUND(O1315/INDEX(Employee_Lookups!$E$13:$E$17,MATCH(F1315,Employee_Lookups!$A$13:$A$17,0)),3)</f>
        <v>1.0920000000000001</v>
      </c>
      <c r="AB1315">
        <f t="shared" si="143"/>
        <v>2025</v>
      </c>
      <c r="AC1315" t="str">
        <f t="shared" si="144"/>
        <v/>
      </c>
      <c r="AD1315" s="28">
        <f>ROUND((IF(ISBLANK(L1315),Employee_Lookups!$O$14,L1315)-J1315)/365.25,2)</f>
        <v>0.61</v>
      </c>
      <c r="AE1315" t="str">
        <f t="shared" si="145"/>
        <v>&lt; 1 Yr (New)</v>
      </c>
      <c r="AF1315" t="str">
        <f t="shared" si="146"/>
        <v>Low Risk</v>
      </c>
    </row>
    <row r="1316" spans="1:32" x14ac:dyDescent="0.45">
      <c r="A1316" t="s">
        <v>2199</v>
      </c>
      <c r="B1316" t="s">
        <v>419</v>
      </c>
      <c r="C1316" t="s">
        <v>53</v>
      </c>
      <c r="D1316" t="s">
        <v>52</v>
      </c>
      <c r="E1316" t="s">
        <v>185</v>
      </c>
      <c r="F1316" t="s">
        <v>82</v>
      </c>
      <c r="G1316" t="s">
        <v>186</v>
      </c>
      <c r="H1316" t="s">
        <v>108</v>
      </c>
      <c r="I1316" t="s">
        <v>107</v>
      </c>
      <c r="J1316" s="26">
        <v>45801</v>
      </c>
      <c r="K1316" t="s">
        <v>162</v>
      </c>
      <c r="L1316" s="26"/>
      <c r="M1316" t="s">
        <v>163</v>
      </c>
      <c r="N1316" t="s">
        <v>99</v>
      </c>
      <c r="O1316" s="27">
        <v>853000</v>
      </c>
      <c r="P1316">
        <v>4</v>
      </c>
      <c r="Q1316" t="s">
        <v>164</v>
      </c>
      <c r="R1316">
        <v>25</v>
      </c>
      <c r="S1316" t="s">
        <v>237</v>
      </c>
      <c r="T1316">
        <f t="shared" si="140"/>
        <v>11363</v>
      </c>
      <c r="U1316" t="str">
        <f t="shared" si="141"/>
        <v>SAL</v>
      </c>
      <c r="V1316" t="str">
        <f t="shared" si="142"/>
        <v>L2</v>
      </c>
      <c r="W1316" t="str">
        <f>PROPER(TRIM(VLOOKUP(S1316,Employee_Lookups!$I$4:$M$19,2,FALSE())))</f>
        <v>Karan Malhotra</v>
      </c>
      <c r="X1316" t="str">
        <f>VLOOKUP(C1316,Employee_Lookups!$A$4:$G$9,4,FALSE())</f>
        <v>CC-202</v>
      </c>
      <c r="Y1316" t="str">
        <f>INDEX(Employee_Lookups!$C$13:$C$17,MATCH(F1316,Employee_Lookups!$A$13:$A$17,0))</f>
        <v>Band B (Mid)</v>
      </c>
      <c r="Z1316" s="27">
        <f>_xlfn.XLOOKUP(F1316,Employee_Lookups!$A$13:$A$17,Employee_Lookups!$E$13:$E$17,0)</f>
        <v>1100000</v>
      </c>
      <c r="AA1316" s="28">
        <f>ROUND(O1316/INDEX(Employee_Lookups!$E$13:$E$17,MATCH(F1316,Employee_Lookups!$A$13:$A$17,0)),3)</f>
        <v>0.77500000000000002</v>
      </c>
      <c r="AB1316">
        <f t="shared" si="143"/>
        <v>2025</v>
      </c>
      <c r="AC1316" t="str">
        <f t="shared" si="144"/>
        <v/>
      </c>
      <c r="AD1316" s="28">
        <f>ROUND((IF(ISBLANK(L1316),Employee_Lookups!$O$14,L1316)-J1316)/365.25,2)</f>
        <v>0.61</v>
      </c>
      <c r="AE1316" t="str">
        <f t="shared" si="145"/>
        <v>&lt; 1 Yr (New)</v>
      </c>
      <c r="AF1316" t="str">
        <f t="shared" si="146"/>
        <v>Low Risk</v>
      </c>
    </row>
    <row r="1317" spans="1:32" x14ac:dyDescent="0.45">
      <c r="A1317" t="s">
        <v>2200</v>
      </c>
      <c r="B1317" t="s">
        <v>834</v>
      </c>
      <c r="C1317" t="s">
        <v>55</v>
      </c>
      <c r="D1317" t="s">
        <v>54</v>
      </c>
      <c r="E1317" t="s">
        <v>168</v>
      </c>
      <c r="F1317" t="s">
        <v>84</v>
      </c>
      <c r="G1317" t="s">
        <v>169</v>
      </c>
      <c r="H1317" t="s">
        <v>109</v>
      </c>
      <c r="I1317" t="s">
        <v>110</v>
      </c>
      <c r="J1317" s="26">
        <v>45802</v>
      </c>
      <c r="K1317" t="s">
        <v>162</v>
      </c>
      <c r="L1317" s="26"/>
      <c r="M1317" t="s">
        <v>163</v>
      </c>
      <c r="N1317" t="s">
        <v>96</v>
      </c>
      <c r="O1317" s="27">
        <v>3201000</v>
      </c>
      <c r="P1317">
        <v>1</v>
      </c>
      <c r="Q1317" t="s">
        <v>172</v>
      </c>
      <c r="R1317">
        <v>7</v>
      </c>
      <c r="S1317" t="s">
        <v>274</v>
      </c>
      <c r="T1317">
        <f t="shared" si="140"/>
        <v>11090</v>
      </c>
      <c r="U1317" t="str">
        <f t="shared" si="141"/>
        <v>OPS</v>
      </c>
      <c r="V1317" t="str">
        <f t="shared" si="142"/>
        <v>L4</v>
      </c>
      <c r="W1317" t="str">
        <f>PROPER(TRIM(VLOOKUP(S1317,Employee_Lookups!$I$4:$M$19,2,FALSE())))</f>
        <v>Meera Krishnan</v>
      </c>
      <c r="X1317" t="str">
        <f>VLOOKUP(C1317,Employee_Lookups!$A$4:$G$9,4,FALSE())</f>
        <v>CC-303</v>
      </c>
      <c r="Y1317" t="str">
        <f>INDEX(Employee_Lookups!$C$13:$C$17,MATCH(F1317,Employee_Lookups!$A$13:$A$17,0))</f>
        <v>Band D (Leadership)</v>
      </c>
      <c r="Z1317" s="27">
        <f>_xlfn.XLOOKUP(F1317,Employee_Lookups!$A$13:$A$17,Employee_Lookups!$E$13:$E$17,0)</f>
        <v>2750000</v>
      </c>
      <c r="AA1317" s="28">
        <f>ROUND(O1317/INDEX(Employee_Lookups!$E$13:$E$17,MATCH(F1317,Employee_Lookups!$A$13:$A$17,0)),3)</f>
        <v>1.1639999999999999</v>
      </c>
      <c r="AB1317">
        <f t="shared" si="143"/>
        <v>2025</v>
      </c>
      <c r="AC1317" t="str">
        <f t="shared" si="144"/>
        <v/>
      </c>
      <c r="AD1317" s="28">
        <f>ROUND((IF(ISBLANK(L1317),Employee_Lookups!$O$14,L1317)-J1317)/365.25,2)</f>
        <v>0.6</v>
      </c>
      <c r="AE1317" t="str">
        <f t="shared" si="145"/>
        <v>&lt; 1 Yr (New)</v>
      </c>
      <c r="AF1317" t="str">
        <f t="shared" si="146"/>
        <v>Moderate Risk</v>
      </c>
    </row>
    <row r="1318" spans="1:32" x14ac:dyDescent="0.45">
      <c r="A1318" t="s">
        <v>2201</v>
      </c>
      <c r="B1318" t="s">
        <v>1045</v>
      </c>
      <c r="C1318" t="s">
        <v>51</v>
      </c>
      <c r="D1318" t="s">
        <v>50</v>
      </c>
      <c r="E1318" t="s">
        <v>181</v>
      </c>
      <c r="F1318" t="s">
        <v>81</v>
      </c>
      <c r="G1318" t="s">
        <v>182</v>
      </c>
      <c r="H1318" t="s">
        <v>106</v>
      </c>
      <c r="I1318" t="s">
        <v>107</v>
      </c>
      <c r="J1318" s="26">
        <v>45803</v>
      </c>
      <c r="K1318" t="s">
        <v>170</v>
      </c>
      <c r="L1318" s="26">
        <v>46002</v>
      </c>
      <c r="M1318" t="s">
        <v>171</v>
      </c>
      <c r="N1318" t="s">
        <v>99</v>
      </c>
      <c r="O1318" s="27">
        <v>615000</v>
      </c>
      <c r="P1318">
        <v>4</v>
      </c>
      <c r="Q1318" t="s">
        <v>164</v>
      </c>
      <c r="R1318">
        <v>38</v>
      </c>
      <c r="S1318" t="s">
        <v>197</v>
      </c>
      <c r="T1318">
        <f t="shared" si="140"/>
        <v>11406</v>
      </c>
      <c r="U1318" t="str">
        <f t="shared" si="141"/>
        <v>ENG</v>
      </c>
      <c r="V1318" t="str">
        <f t="shared" si="142"/>
        <v>L1</v>
      </c>
      <c r="W1318" t="str">
        <f>PROPER(TRIM(VLOOKUP(S1318,Employee_Lookups!$I$4:$M$19,2,FALSE())))</f>
        <v>Rohan Verma</v>
      </c>
      <c r="X1318" t="str">
        <f>VLOOKUP(C1318,Employee_Lookups!$A$4:$G$9,4,FALSE())</f>
        <v>CC-101</v>
      </c>
      <c r="Y1318" t="str">
        <f>INDEX(Employee_Lookups!$C$13:$C$17,MATCH(F1318,Employee_Lookups!$A$13:$A$17,0))</f>
        <v>Band A (Entry)</v>
      </c>
      <c r="Z1318" s="27">
        <f>_xlfn.XLOOKUP(F1318,Employee_Lookups!$A$13:$A$17,Employee_Lookups!$E$13:$E$17,0)</f>
        <v>700000</v>
      </c>
      <c r="AA1318" s="28">
        <f>ROUND(O1318/INDEX(Employee_Lookups!$E$13:$E$17,MATCH(F1318,Employee_Lookups!$A$13:$A$17,0)),3)</f>
        <v>0.879</v>
      </c>
      <c r="AB1318">
        <f t="shared" si="143"/>
        <v>2025</v>
      </c>
      <c r="AC1318">
        <f t="shared" si="144"/>
        <v>2025</v>
      </c>
      <c r="AD1318" s="28">
        <f>ROUND((IF(ISBLANK(L1318),Employee_Lookups!$O$14,L1318)-J1318)/365.25,2)</f>
        <v>0.54</v>
      </c>
      <c r="AE1318" t="str">
        <f t="shared" si="145"/>
        <v>&lt; 1 Yr (New)</v>
      </c>
      <c r="AF1318" t="str">
        <f t="shared" si="146"/>
        <v>Exited</v>
      </c>
    </row>
    <row r="1319" spans="1:32" x14ac:dyDescent="0.45">
      <c r="A1319" t="s">
        <v>2202</v>
      </c>
      <c r="B1319" t="s">
        <v>1882</v>
      </c>
      <c r="C1319" t="s">
        <v>51</v>
      </c>
      <c r="D1319" t="s">
        <v>50</v>
      </c>
      <c r="E1319" t="s">
        <v>181</v>
      </c>
      <c r="F1319" t="s">
        <v>81</v>
      </c>
      <c r="G1319" t="s">
        <v>182</v>
      </c>
      <c r="H1319" t="s">
        <v>106</v>
      </c>
      <c r="I1319" t="s">
        <v>107</v>
      </c>
      <c r="J1319" s="26">
        <v>45804</v>
      </c>
      <c r="K1319" t="s">
        <v>187</v>
      </c>
      <c r="L1319" s="26">
        <v>45860</v>
      </c>
      <c r="M1319" t="s">
        <v>308</v>
      </c>
      <c r="N1319" t="s">
        <v>99</v>
      </c>
      <c r="O1319" s="27">
        <v>615000</v>
      </c>
      <c r="P1319">
        <v>3</v>
      </c>
      <c r="Q1319" t="s">
        <v>172</v>
      </c>
      <c r="R1319">
        <v>23</v>
      </c>
      <c r="S1319" t="s">
        <v>244</v>
      </c>
      <c r="T1319">
        <f t="shared" si="140"/>
        <v>10269</v>
      </c>
      <c r="U1319" t="str">
        <f t="shared" si="141"/>
        <v>ENG</v>
      </c>
      <c r="V1319" t="str">
        <f t="shared" si="142"/>
        <v>L1</v>
      </c>
      <c r="W1319" t="str">
        <f>PROPER(TRIM(VLOOKUP(S1319,Employee_Lookups!$I$4:$M$19,2,FALSE())))</f>
        <v>Siddharth Nair</v>
      </c>
      <c r="X1319" t="str">
        <f>VLOOKUP(C1319,Employee_Lookups!$A$4:$G$9,4,FALSE())</f>
        <v>CC-101</v>
      </c>
      <c r="Y1319" t="str">
        <f>INDEX(Employee_Lookups!$C$13:$C$17,MATCH(F1319,Employee_Lookups!$A$13:$A$17,0))</f>
        <v>Band A (Entry)</v>
      </c>
      <c r="Z1319" s="27">
        <f>_xlfn.XLOOKUP(F1319,Employee_Lookups!$A$13:$A$17,Employee_Lookups!$E$13:$E$17,0)</f>
        <v>700000</v>
      </c>
      <c r="AA1319" s="28">
        <f>ROUND(O1319/INDEX(Employee_Lookups!$E$13:$E$17,MATCH(F1319,Employee_Lookups!$A$13:$A$17,0)),3)</f>
        <v>0.879</v>
      </c>
      <c r="AB1319">
        <f t="shared" si="143"/>
        <v>2025</v>
      </c>
      <c r="AC1319">
        <f t="shared" si="144"/>
        <v>2025</v>
      </c>
      <c r="AD1319" s="28">
        <f>ROUND((IF(ISBLANK(L1319),Employee_Lookups!$O$14,L1319)-J1319)/365.25,2)</f>
        <v>0.15</v>
      </c>
      <c r="AE1319" t="str">
        <f t="shared" si="145"/>
        <v>&lt; 1 Yr (New)</v>
      </c>
      <c r="AF1319" t="str">
        <f t="shared" si="146"/>
        <v>Exited</v>
      </c>
    </row>
    <row r="1320" spans="1:32" x14ac:dyDescent="0.45">
      <c r="A1320" t="s">
        <v>2203</v>
      </c>
      <c r="B1320" t="s">
        <v>2137</v>
      </c>
      <c r="C1320" t="s">
        <v>53</v>
      </c>
      <c r="D1320" t="s">
        <v>52</v>
      </c>
      <c r="E1320" t="s">
        <v>185</v>
      </c>
      <c r="F1320" t="s">
        <v>82</v>
      </c>
      <c r="G1320" t="s">
        <v>186</v>
      </c>
      <c r="H1320" t="s">
        <v>106</v>
      </c>
      <c r="I1320" t="s">
        <v>107</v>
      </c>
      <c r="J1320" s="26">
        <v>45804</v>
      </c>
      <c r="K1320" t="s">
        <v>162</v>
      </c>
      <c r="L1320" s="26"/>
      <c r="M1320" t="s">
        <v>163</v>
      </c>
      <c r="N1320" t="s">
        <v>95</v>
      </c>
      <c r="O1320" s="27">
        <v>1266000</v>
      </c>
      <c r="P1320">
        <v>2</v>
      </c>
      <c r="Q1320" t="s">
        <v>172</v>
      </c>
      <c r="R1320">
        <v>30</v>
      </c>
      <c r="S1320" t="s">
        <v>194</v>
      </c>
      <c r="T1320">
        <f t="shared" si="140"/>
        <v>10192</v>
      </c>
      <c r="U1320" t="str">
        <f t="shared" si="141"/>
        <v>SAL</v>
      </c>
      <c r="V1320" t="str">
        <f t="shared" si="142"/>
        <v>L2</v>
      </c>
      <c r="W1320" t="str">
        <f>PROPER(TRIM(VLOOKUP(S1320,Employee_Lookups!$I$4:$M$19,2,FALSE())))</f>
        <v>Vikramaditya Joshi</v>
      </c>
      <c r="X1320" t="str">
        <f>VLOOKUP(C1320,Employee_Lookups!$A$4:$G$9,4,FALSE())</f>
        <v>CC-202</v>
      </c>
      <c r="Y1320" t="str">
        <f>INDEX(Employee_Lookups!$C$13:$C$17,MATCH(F1320,Employee_Lookups!$A$13:$A$17,0))</f>
        <v>Band B (Mid)</v>
      </c>
      <c r="Z1320" s="27">
        <f>_xlfn.XLOOKUP(F1320,Employee_Lookups!$A$13:$A$17,Employee_Lookups!$E$13:$E$17,0)</f>
        <v>1100000</v>
      </c>
      <c r="AA1320" s="28">
        <f>ROUND(O1320/INDEX(Employee_Lookups!$E$13:$E$17,MATCH(F1320,Employee_Lookups!$A$13:$A$17,0)),3)</f>
        <v>1.151</v>
      </c>
      <c r="AB1320">
        <f t="shared" si="143"/>
        <v>2025</v>
      </c>
      <c r="AC1320" t="str">
        <f t="shared" si="144"/>
        <v/>
      </c>
      <c r="AD1320" s="28">
        <f>ROUND((IF(ISBLANK(L1320),Employee_Lookups!$O$14,L1320)-J1320)/365.25,2)</f>
        <v>0.6</v>
      </c>
      <c r="AE1320" t="str">
        <f t="shared" si="145"/>
        <v>&lt; 1 Yr (New)</v>
      </c>
      <c r="AF1320" t="str">
        <f t="shared" si="146"/>
        <v>Moderate Risk</v>
      </c>
    </row>
    <row r="1321" spans="1:32" x14ac:dyDescent="0.45">
      <c r="A1321" t="s">
        <v>2204</v>
      </c>
      <c r="B1321" t="s">
        <v>1323</v>
      </c>
      <c r="C1321" t="s">
        <v>51</v>
      </c>
      <c r="D1321" t="s">
        <v>50</v>
      </c>
      <c r="E1321" t="s">
        <v>176</v>
      </c>
      <c r="F1321" t="s">
        <v>82</v>
      </c>
      <c r="G1321" t="s">
        <v>177</v>
      </c>
      <c r="H1321" t="s">
        <v>106</v>
      </c>
      <c r="I1321" t="s">
        <v>107</v>
      </c>
      <c r="J1321" s="26">
        <v>45809</v>
      </c>
      <c r="K1321" t="s">
        <v>162</v>
      </c>
      <c r="L1321" s="26"/>
      <c r="M1321" t="s">
        <v>163</v>
      </c>
      <c r="N1321" t="s">
        <v>95</v>
      </c>
      <c r="O1321" s="27">
        <v>1026000</v>
      </c>
      <c r="P1321">
        <v>2</v>
      </c>
      <c r="Q1321" t="s">
        <v>164</v>
      </c>
      <c r="R1321">
        <v>19</v>
      </c>
      <c r="S1321" t="s">
        <v>197</v>
      </c>
      <c r="T1321">
        <f t="shared" si="140"/>
        <v>10594</v>
      </c>
      <c r="U1321" t="str">
        <f t="shared" si="141"/>
        <v>ENG</v>
      </c>
      <c r="V1321" t="str">
        <f t="shared" si="142"/>
        <v>L2</v>
      </c>
      <c r="W1321" t="str">
        <f>PROPER(TRIM(VLOOKUP(S1321,Employee_Lookups!$I$4:$M$19,2,FALSE())))</f>
        <v>Rohan Verma</v>
      </c>
      <c r="X1321" t="str">
        <f>VLOOKUP(C1321,Employee_Lookups!$A$4:$G$9,4,FALSE())</f>
        <v>CC-101</v>
      </c>
      <c r="Y1321" t="str">
        <f>INDEX(Employee_Lookups!$C$13:$C$17,MATCH(F1321,Employee_Lookups!$A$13:$A$17,0))</f>
        <v>Band B (Mid)</v>
      </c>
      <c r="Z1321" s="27">
        <f>_xlfn.XLOOKUP(F1321,Employee_Lookups!$A$13:$A$17,Employee_Lookups!$E$13:$E$17,0)</f>
        <v>1100000</v>
      </c>
      <c r="AA1321" s="28">
        <f>ROUND(O1321/INDEX(Employee_Lookups!$E$13:$E$17,MATCH(F1321,Employee_Lookups!$A$13:$A$17,0)),3)</f>
        <v>0.93300000000000005</v>
      </c>
      <c r="AB1321">
        <f t="shared" si="143"/>
        <v>2025</v>
      </c>
      <c r="AC1321" t="str">
        <f t="shared" si="144"/>
        <v/>
      </c>
      <c r="AD1321" s="28">
        <f>ROUND((IF(ISBLANK(L1321),Employee_Lookups!$O$14,L1321)-J1321)/365.25,2)</f>
        <v>0.57999999999999996</v>
      </c>
      <c r="AE1321" t="str">
        <f t="shared" si="145"/>
        <v>&lt; 1 Yr (New)</v>
      </c>
      <c r="AF1321" t="str">
        <f t="shared" si="146"/>
        <v>Moderate Risk</v>
      </c>
    </row>
    <row r="1322" spans="1:32" x14ac:dyDescent="0.45">
      <c r="A1322" t="s">
        <v>2205</v>
      </c>
      <c r="B1322" t="s">
        <v>1536</v>
      </c>
      <c r="C1322" t="s">
        <v>51</v>
      </c>
      <c r="D1322" t="s">
        <v>50</v>
      </c>
      <c r="E1322" t="s">
        <v>176</v>
      </c>
      <c r="F1322" t="s">
        <v>82</v>
      </c>
      <c r="G1322" t="s">
        <v>177</v>
      </c>
      <c r="H1322" t="s">
        <v>106</v>
      </c>
      <c r="I1322" t="s">
        <v>107</v>
      </c>
      <c r="J1322" s="26">
        <v>45809</v>
      </c>
      <c r="K1322" t="s">
        <v>162</v>
      </c>
      <c r="L1322" s="26"/>
      <c r="M1322" t="s">
        <v>163</v>
      </c>
      <c r="N1322" t="s">
        <v>96</v>
      </c>
      <c r="O1322" s="27">
        <v>921000</v>
      </c>
      <c r="P1322">
        <v>3</v>
      </c>
      <c r="Q1322" t="s">
        <v>164</v>
      </c>
      <c r="R1322">
        <v>24</v>
      </c>
      <c r="S1322" t="s">
        <v>178</v>
      </c>
      <c r="T1322">
        <f t="shared" si="140"/>
        <v>11034</v>
      </c>
      <c r="U1322" t="str">
        <f t="shared" si="141"/>
        <v>ENG</v>
      </c>
      <c r="V1322" t="str">
        <f t="shared" si="142"/>
        <v>L2</v>
      </c>
      <c r="W1322" t="str">
        <f>PROPER(TRIM(VLOOKUP(S1322,Employee_Lookups!$I$4:$M$19,2,FALSE())))</f>
        <v>Aarav Deshmukh</v>
      </c>
      <c r="X1322" t="str">
        <f>VLOOKUP(C1322,Employee_Lookups!$A$4:$G$9,4,FALSE())</f>
        <v>CC-101</v>
      </c>
      <c r="Y1322" t="str">
        <f>INDEX(Employee_Lookups!$C$13:$C$17,MATCH(F1322,Employee_Lookups!$A$13:$A$17,0))</f>
        <v>Band B (Mid)</v>
      </c>
      <c r="Z1322" s="27">
        <f>_xlfn.XLOOKUP(F1322,Employee_Lookups!$A$13:$A$17,Employee_Lookups!$E$13:$E$17,0)</f>
        <v>1100000</v>
      </c>
      <c r="AA1322" s="28">
        <f>ROUND(O1322/INDEX(Employee_Lookups!$E$13:$E$17,MATCH(F1322,Employee_Lookups!$A$13:$A$17,0)),3)</f>
        <v>0.83699999999999997</v>
      </c>
      <c r="AB1322">
        <f t="shared" si="143"/>
        <v>2025</v>
      </c>
      <c r="AC1322" t="str">
        <f t="shared" si="144"/>
        <v/>
      </c>
      <c r="AD1322" s="28">
        <f>ROUND((IF(ISBLANK(L1322),Employee_Lookups!$O$14,L1322)-J1322)/365.25,2)</f>
        <v>0.57999999999999996</v>
      </c>
      <c r="AE1322" t="str">
        <f t="shared" si="145"/>
        <v>&lt; 1 Yr (New)</v>
      </c>
      <c r="AF1322" t="str">
        <f t="shared" si="146"/>
        <v>Low Risk</v>
      </c>
    </row>
    <row r="1323" spans="1:32" x14ac:dyDescent="0.45">
      <c r="A1323" t="s">
        <v>2206</v>
      </c>
      <c r="B1323" t="s">
        <v>1384</v>
      </c>
      <c r="C1323" t="s">
        <v>57</v>
      </c>
      <c r="D1323" t="s">
        <v>56</v>
      </c>
      <c r="E1323" t="s">
        <v>160</v>
      </c>
      <c r="F1323" t="s">
        <v>81</v>
      </c>
      <c r="G1323" t="s">
        <v>161</v>
      </c>
      <c r="H1323" t="s">
        <v>106</v>
      </c>
      <c r="I1323" t="s">
        <v>107</v>
      </c>
      <c r="J1323" s="26">
        <v>45814</v>
      </c>
      <c r="K1323" t="s">
        <v>162</v>
      </c>
      <c r="L1323" s="26"/>
      <c r="M1323" t="s">
        <v>163</v>
      </c>
      <c r="N1323" t="s">
        <v>95</v>
      </c>
      <c r="O1323" s="27">
        <v>648000</v>
      </c>
      <c r="P1323">
        <v>5</v>
      </c>
      <c r="Q1323" t="s">
        <v>172</v>
      </c>
      <c r="R1323">
        <v>30</v>
      </c>
      <c r="S1323" t="s">
        <v>224</v>
      </c>
      <c r="T1323">
        <f t="shared" si="140"/>
        <v>10870</v>
      </c>
      <c r="U1323" t="str">
        <f t="shared" si="141"/>
        <v>MKT</v>
      </c>
      <c r="V1323" t="str">
        <f t="shared" si="142"/>
        <v>L1</v>
      </c>
      <c r="W1323" t="str">
        <f>PROPER(TRIM(VLOOKUP(S1323,Employee_Lookups!$I$4:$M$19,2,FALSE())))</f>
        <v>Tanvi Chitnis</v>
      </c>
      <c r="X1323" t="str">
        <f>VLOOKUP(C1323,Employee_Lookups!$A$4:$G$9,4,FALSE())</f>
        <v>CC-606</v>
      </c>
      <c r="Y1323" t="str">
        <f>INDEX(Employee_Lookups!$C$13:$C$17,MATCH(F1323,Employee_Lookups!$A$13:$A$17,0))</f>
        <v>Band A (Entry)</v>
      </c>
      <c r="Z1323" s="27">
        <f>_xlfn.XLOOKUP(F1323,Employee_Lookups!$A$13:$A$17,Employee_Lookups!$E$13:$E$17,0)</f>
        <v>700000</v>
      </c>
      <c r="AA1323" s="28">
        <f>ROUND(O1323/INDEX(Employee_Lookups!$E$13:$E$17,MATCH(F1323,Employee_Lookups!$A$13:$A$17,0)),3)</f>
        <v>0.92600000000000005</v>
      </c>
      <c r="AB1323">
        <f t="shared" si="143"/>
        <v>2025</v>
      </c>
      <c r="AC1323" t="str">
        <f t="shared" si="144"/>
        <v/>
      </c>
      <c r="AD1323" s="28">
        <f>ROUND((IF(ISBLANK(L1323),Employee_Lookups!$O$14,L1323)-J1323)/365.25,2)</f>
        <v>0.56999999999999995</v>
      </c>
      <c r="AE1323" t="str">
        <f t="shared" si="145"/>
        <v>&lt; 1 Yr (New)</v>
      </c>
      <c r="AF1323" t="str">
        <f t="shared" si="146"/>
        <v>High Risk</v>
      </c>
    </row>
    <row r="1324" spans="1:32" x14ac:dyDescent="0.45">
      <c r="A1324" t="s">
        <v>2207</v>
      </c>
      <c r="B1324" t="s">
        <v>191</v>
      </c>
      <c r="C1324" t="s">
        <v>61</v>
      </c>
      <c r="D1324" t="s">
        <v>60</v>
      </c>
      <c r="E1324" t="s">
        <v>251</v>
      </c>
      <c r="F1324" t="s">
        <v>82</v>
      </c>
      <c r="G1324" t="s">
        <v>252</v>
      </c>
      <c r="H1324" t="s">
        <v>108</v>
      </c>
      <c r="I1324" t="s">
        <v>107</v>
      </c>
      <c r="J1324" s="26">
        <v>45814</v>
      </c>
      <c r="K1324" t="s">
        <v>162</v>
      </c>
      <c r="L1324" s="26"/>
      <c r="M1324" t="s">
        <v>163</v>
      </c>
      <c r="N1324" t="s">
        <v>97</v>
      </c>
      <c r="O1324" s="27">
        <v>871000</v>
      </c>
      <c r="P1324">
        <v>3</v>
      </c>
      <c r="Q1324" t="s">
        <v>164</v>
      </c>
      <c r="R1324">
        <v>10</v>
      </c>
      <c r="S1324" t="s">
        <v>253</v>
      </c>
      <c r="T1324">
        <f t="shared" si="140"/>
        <v>10620</v>
      </c>
      <c r="U1324" t="str">
        <f t="shared" si="141"/>
        <v>-HR</v>
      </c>
      <c r="V1324" t="str">
        <f t="shared" si="142"/>
        <v>L2</v>
      </c>
      <c r="W1324" t="str">
        <f>PROPER(TRIM(VLOOKUP(S1324,Employee_Lookups!$I$4:$M$19,2,FALSE())))</f>
        <v>Nikhil Chatterjee</v>
      </c>
      <c r="X1324" t="str">
        <f>VLOOKUP(C1324,Employee_Lookups!$A$4:$G$9,4,FALSE())</f>
        <v>CC-505</v>
      </c>
      <c r="Y1324" t="str">
        <f>INDEX(Employee_Lookups!$C$13:$C$17,MATCH(F1324,Employee_Lookups!$A$13:$A$17,0))</f>
        <v>Band B (Mid)</v>
      </c>
      <c r="Z1324" s="27">
        <f>_xlfn.XLOOKUP(F1324,Employee_Lookups!$A$13:$A$17,Employee_Lookups!$E$13:$E$17,0)</f>
        <v>1100000</v>
      </c>
      <c r="AA1324" s="28">
        <f>ROUND(O1324/INDEX(Employee_Lookups!$E$13:$E$17,MATCH(F1324,Employee_Lookups!$A$13:$A$17,0)),3)</f>
        <v>0.79200000000000004</v>
      </c>
      <c r="AB1324">
        <f t="shared" si="143"/>
        <v>2025</v>
      </c>
      <c r="AC1324" t="str">
        <f t="shared" si="144"/>
        <v/>
      </c>
      <c r="AD1324" s="28">
        <f>ROUND((IF(ISBLANK(L1324),Employee_Lookups!$O$14,L1324)-J1324)/365.25,2)</f>
        <v>0.56999999999999995</v>
      </c>
      <c r="AE1324" t="str">
        <f t="shared" si="145"/>
        <v>&lt; 1 Yr (New)</v>
      </c>
      <c r="AF1324" t="str">
        <f t="shared" si="146"/>
        <v>Low Risk</v>
      </c>
    </row>
    <row r="1325" spans="1:32" x14ac:dyDescent="0.45">
      <c r="A1325" t="s">
        <v>2208</v>
      </c>
      <c r="B1325" t="s">
        <v>1129</v>
      </c>
      <c r="C1325" t="s">
        <v>51</v>
      </c>
      <c r="D1325" t="s">
        <v>50</v>
      </c>
      <c r="E1325" t="s">
        <v>176</v>
      </c>
      <c r="F1325" t="s">
        <v>82</v>
      </c>
      <c r="G1325" t="s">
        <v>177</v>
      </c>
      <c r="H1325" t="s">
        <v>106</v>
      </c>
      <c r="I1325" t="s">
        <v>107</v>
      </c>
      <c r="J1325" s="26">
        <v>45815</v>
      </c>
      <c r="K1325" t="s">
        <v>162</v>
      </c>
      <c r="L1325" s="26"/>
      <c r="M1325" t="s">
        <v>163</v>
      </c>
      <c r="N1325" t="s">
        <v>99</v>
      </c>
      <c r="O1325" s="27">
        <v>985000</v>
      </c>
      <c r="P1325">
        <v>4</v>
      </c>
      <c r="Q1325" t="s">
        <v>164</v>
      </c>
      <c r="R1325">
        <v>47</v>
      </c>
      <c r="S1325" t="s">
        <v>197</v>
      </c>
      <c r="T1325">
        <f t="shared" si="140"/>
        <v>10581</v>
      </c>
      <c r="U1325" t="str">
        <f t="shared" si="141"/>
        <v>ENG</v>
      </c>
      <c r="V1325" t="str">
        <f t="shared" si="142"/>
        <v>L2</v>
      </c>
      <c r="W1325" t="str">
        <f>PROPER(TRIM(VLOOKUP(S1325,Employee_Lookups!$I$4:$M$19,2,FALSE())))</f>
        <v>Rohan Verma</v>
      </c>
      <c r="X1325" t="str">
        <f>VLOOKUP(C1325,Employee_Lookups!$A$4:$G$9,4,FALSE())</f>
        <v>CC-101</v>
      </c>
      <c r="Y1325" t="str">
        <f>INDEX(Employee_Lookups!$C$13:$C$17,MATCH(F1325,Employee_Lookups!$A$13:$A$17,0))</f>
        <v>Band B (Mid)</v>
      </c>
      <c r="Z1325" s="27">
        <f>_xlfn.XLOOKUP(F1325,Employee_Lookups!$A$13:$A$17,Employee_Lookups!$E$13:$E$17,0)</f>
        <v>1100000</v>
      </c>
      <c r="AA1325" s="28">
        <f>ROUND(O1325/INDEX(Employee_Lookups!$E$13:$E$17,MATCH(F1325,Employee_Lookups!$A$13:$A$17,0)),3)</f>
        <v>0.89500000000000002</v>
      </c>
      <c r="AB1325">
        <f t="shared" si="143"/>
        <v>2025</v>
      </c>
      <c r="AC1325" t="str">
        <f t="shared" si="144"/>
        <v/>
      </c>
      <c r="AD1325" s="28">
        <f>ROUND((IF(ISBLANK(L1325),Employee_Lookups!$O$14,L1325)-J1325)/365.25,2)</f>
        <v>0.56999999999999995</v>
      </c>
      <c r="AE1325" t="str">
        <f t="shared" si="145"/>
        <v>&lt; 1 Yr (New)</v>
      </c>
      <c r="AF1325" t="str">
        <f t="shared" si="146"/>
        <v>Low Risk</v>
      </c>
    </row>
    <row r="1326" spans="1:32" x14ac:dyDescent="0.45">
      <c r="A1326" t="s">
        <v>2209</v>
      </c>
      <c r="B1326" t="s">
        <v>312</v>
      </c>
      <c r="C1326" t="s">
        <v>57</v>
      </c>
      <c r="D1326" t="s">
        <v>56</v>
      </c>
      <c r="E1326" t="s">
        <v>222</v>
      </c>
      <c r="F1326" t="s">
        <v>82</v>
      </c>
      <c r="G1326" t="s">
        <v>223</v>
      </c>
      <c r="H1326" t="s">
        <v>108</v>
      </c>
      <c r="I1326" t="s">
        <v>107</v>
      </c>
      <c r="J1326" s="26">
        <v>45815</v>
      </c>
      <c r="K1326" t="s">
        <v>162</v>
      </c>
      <c r="L1326" s="26"/>
      <c r="M1326" t="s">
        <v>163</v>
      </c>
      <c r="N1326" t="s">
        <v>97</v>
      </c>
      <c r="O1326" s="27">
        <v>1170000</v>
      </c>
      <c r="P1326">
        <v>1</v>
      </c>
      <c r="Q1326" t="s">
        <v>164</v>
      </c>
      <c r="R1326">
        <v>21</v>
      </c>
      <c r="S1326" t="s">
        <v>165</v>
      </c>
      <c r="T1326">
        <f t="shared" si="140"/>
        <v>11029</v>
      </c>
      <c r="U1326" t="str">
        <f t="shared" si="141"/>
        <v>MKT</v>
      </c>
      <c r="V1326" t="str">
        <f t="shared" si="142"/>
        <v>L2</v>
      </c>
      <c r="W1326" t="str">
        <f>PROPER(TRIM(VLOOKUP(S1326,Employee_Lookups!$I$4:$M$19,2,FALSE())))</f>
        <v>Arjun Sengupta</v>
      </c>
      <c r="X1326" t="str">
        <f>VLOOKUP(C1326,Employee_Lookups!$A$4:$G$9,4,FALSE())</f>
        <v>CC-606</v>
      </c>
      <c r="Y1326" t="str">
        <f>INDEX(Employee_Lookups!$C$13:$C$17,MATCH(F1326,Employee_Lookups!$A$13:$A$17,0))</f>
        <v>Band B (Mid)</v>
      </c>
      <c r="Z1326" s="27">
        <f>_xlfn.XLOOKUP(F1326,Employee_Lookups!$A$13:$A$17,Employee_Lookups!$E$13:$E$17,0)</f>
        <v>1100000</v>
      </c>
      <c r="AA1326" s="28">
        <f>ROUND(O1326/INDEX(Employee_Lookups!$E$13:$E$17,MATCH(F1326,Employee_Lookups!$A$13:$A$17,0)),3)</f>
        <v>1.0640000000000001</v>
      </c>
      <c r="AB1326">
        <f t="shared" si="143"/>
        <v>2025</v>
      </c>
      <c r="AC1326" t="str">
        <f t="shared" si="144"/>
        <v/>
      </c>
      <c r="AD1326" s="28">
        <f>ROUND((IF(ISBLANK(L1326),Employee_Lookups!$O$14,L1326)-J1326)/365.25,2)</f>
        <v>0.56999999999999995</v>
      </c>
      <c r="AE1326" t="str">
        <f t="shared" si="145"/>
        <v>&lt; 1 Yr (New)</v>
      </c>
      <c r="AF1326" t="str">
        <f t="shared" si="146"/>
        <v>Moderate Risk</v>
      </c>
    </row>
    <row r="1327" spans="1:32" x14ac:dyDescent="0.45">
      <c r="A1327" t="s">
        <v>2210</v>
      </c>
      <c r="B1327" t="s">
        <v>1323</v>
      </c>
      <c r="C1327" t="s">
        <v>57</v>
      </c>
      <c r="D1327" t="s">
        <v>56</v>
      </c>
      <c r="E1327" t="s">
        <v>160</v>
      </c>
      <c r="F1327" t="s">
        <v>81</v>
      </c>
      <c r="G1327" t="s">
        <v>161</v>
      </c>
      <c r="H1327" t="s">
        <v>109</v>
      </c>
      <c r="I1327" t="s">
        <v>110</v>
      </c>
      <c r="J1327" s="26">
        <v>45822</v>
      </c>
      <c r="K1327" t="s">
        <v>170</v>
      </c>
      <c r="L1327" s="26">
        <v>45962</v>
      </c>
      <c r="M1327" t="s">
        <v>171</v>
      </c>
      <c r="N1327" t="s">
        <v>98</v>
      </c>
      <c r="O1327" s="27">
        <v>621000</v>
      </c>
      <c r="P1327">
        <v>2</v>
      </c>
      <c r="Q1327" t="s">
        <v>164</v>
      </c>
      <c r="R1327">
        <v>4</v>
      </c>
      <c r="S1327" t="s">
        <v>224</v>
      </c>
      <c r="T1327">
        <f t="shared" si="140"/>
        <v>11395</v>
      </c>
      <c r="U1327" t="str">
        <f t="shared" si="141"/>
        <v>MKT</v>
      </c>
      <c r="V1327" t="str">
        <f t="shared" si="142"/>
        <v>L1</v>
      </c>
      <c r="W1327" t="str">
        <f>PROPER(TRIM(VLOOKUP(S1327,Employee_Lookups!$I$4:$M$19,2,FALSE())))</f>
        <v>Tanvi Chitnis</v>
      </c>
      <c r="X1327" t="str">
        <f>VLOOKUP(C1327,Employee_Lookups!$A$4:$G$9,4,FALSE())</f>
        <v>CC-606</v>
      </c>
      <c r="Y1327" t="str">
        <f>INDEX(Employee_Lookups!$C$13:$C$17,MATCH(F1327,Employee_Lookups!$A$13:$A$17,0))</f>
        <v>Band A (Entry)</v>
      </c>
      <c r="Z1327" s="27">
        <f>_xlfn.XLOOKUP(F1327,Employee_Lookups!$A$13:$A$17,Employee_Lookups!$E$13:$E$17,0)</f>
        <v>700000</v>
      </c>
      <c r="AA1327" s="28">
        <f>ROUND(O1327/INDEX(Employee_Lookups!$E$13:$E$17,MATCH(F1327,Employee_Lookups!$A$13:$A$17,0)),3)</f>
        <v>0.88700000000000001</v>
      </c>
      <c r="AB1327">
        <f t="shared" si="143"/>
        <v>2025</v>
      </c>
      <c r="AC1327">
        <f t="shared" si="144"/>
        <v>2025</v>
      </c>
      <c r="AD1327" s="28">
        <f>ROUND((IF(ISBLANK(L1327),Employee_Lookups!$O$14,L1327)-J1327)/365.25,2)</f>
        <v>0.38</v>
      </c>
      <c r="AE1327" t="str">
        <f t="shared" si="145"/>
        <v>&lt; 1 Yr (New)</v>
      </c>
      <c r="AF1327" t="str">
        <f t="shared" si="146"/>
        <v>Exited</v>
      </c>
    </row>
    <row r="1328" spans="1:32" x14ac:dyDescent="0.45">
      <c r="A1328" t="s">
        <v>2211</v>
      </c>
      <c r="B1328" t="s">
        <v>1523</v>
      </c>
      <c r="C1328" t="s">
        <v>55</v>
      </c>
      <c r="D1328" t="s">
        <v>54</v>
      </c>
      <c r="E1328" t="s">
        <v>229</v>
      </c>
      <c r="F1328" t="s">
        <v>82</v>
      </c>
      <c r="G1328" t="s">
        <v>230</v>
      </c>
      <c r="H1328" t="s">
        <v>106</v>
      </c>
      <c r="I1328" t="s">
        <v>107</v>
      </c>
      <c r="J1328" s="26">
        <v>45824</v>
      </c>
      <c r="K1328" t="s">
        <v>162</v>
      </c>
      <c r="L1328" s="26"/>
      <c r="M1328" t="s">
        <v>163</v>
      </c>
      <c r="N1328" t="s">
        <v>96</v>
      </c>
      <c r="O1328" s="27">
        <v>878000</v>
      </c>
      <c r="P1328">
        <v>3</v>
      </c>
      <c r="Q1328" t="s">
        <v>172</v>
      </c>
      <c r="R1328">
        <v>32</v>
      </c>
      <c r="S1328" t="s">
        <v>173</v>
      </c>
      <c r="T1328">
        <f t="shared" si="140"/>
        <v>11221</v>
      </c>
      <c r="U1328" t="str">
        <f t="shared" si="141"/>
        <v>OPS</v>
      </c>
      <c r="V1328" t="str">
        <f t="shared" si="142"/>
        <v>L2</v>
      </c>
      <c r="W1328" t="str">
        <f>PROPER(TRIM(VLOOKUP(S1328,Employee_Lookups!$I$4:$M$19,2,FALSE())))</f>
        <v>Deepak Patil</v>
      </c>
      <c r="X1328" t="str">
        <f>VLOOKUP(C1328,Employee_Lookups!$A$4:$G$9,4,FALSE())</f>
        <v>CC-303</v>
      </c>
      <c r="Y1328" t="str">
        <f>INDEX(Employee_Lookups!$C$13:$C$17,MATCH(F1328,Employee_Lookups!$A$13:$A$17,0))</f>
        <v>Band B (Mid)</v>
      </c>
      <c r="Z1328" s="27">
        <f>_xlfn.XLOOKUP(F1328,Employee_Lookups!$A$13:$A$17,Employee_Lookups!$E$13:$E$17,0)</f>
        <v>1100000</v>
      </c>
      <c r="AA1328" s="28">
        <f>ROUND(O1328/INDEX(Employee_Lookups!$E$13:$E$17,MATCH(F1328,Employee_Lookups!$A$13:$A$17,0)),3)</f>
        <v>0.79800000000000004</v>
      </c>
      <c r="AB1328">
        <f t="shared" si="143"/>
        <v>2025</v>
      </c>
      <c r="AC1328" t="str">
        <f t="shared" si="144"/>
        <v/>
      </c>
      <c r="AD1328" s="28">
        <f>ROUND((IF(ISBLANK(L1328),Employee_Lookups!$O$14,L1328)-J1328)/365.25,2)</f>
        <v>0.54</v>
      </c>
      <c r="AE1328" t="str">
        <f t="shared" si="145"/>
        <v>&lt; 1 Yr (New)</v>
      </c>
      <c r="AF1328" t="str">
        <f t="shared" si="146"/>
        <v>High Risk</v>
      </c>
    </row>
    <row r="1329" spans="1:32" x14ac:dyDescent="0.45">
      <c r="A1329" t="s">
        <v>2212</v>
      </c>
      <c r="B1329" t="s">
        <v>1296</v>
      </c>
      <c r="C1329" t="s">
        <v>53</v>
      </c>
      <c r="D1329" t="s">
        <v>52</v>
      </c>
      <c r="E1329" t="s">
        <v>185</v>
      </c>
      <c r="F1329" t="s">
        <v>82</v>
      </c>
      <c r="G1329" t="s">
        <v>186</v>
      </c>
      <c r="H1329" t="s">
        <v>109</v>
      </c>
      <c r="I1329" t="s">
        <v>110</v>
      </c>
      <c r="J1329" s="26">
        <v>45828</v>
      </c>
      <c r="K1329" t="s">
        <v>162</v>
      </c>
      <c r="L1329" s="26"/>
      <c r="M1329" t="s">
        <v>163</v>
      </c>
      <c r="N1329" t="s">
        <v>97</v>
      </c>
      <c r="O1329" s="27">
        <v>1014000</v>
      </c>
      <c r="P1329">
        <v>2</v>
      </c>
      <c r="Q1329" t="s">
        <v>172</v>
      </c>
      <c r="R1329">
        <v>12</v>
      </c>
      <c r="S1329" t="s">
        <v>237</v>
      </c>
      <c r="T1329">
        <f t="shared" si="140"/>
        <v>11031</v>
      </c>
      <c r="U1329" t="str">
        <f t="shared" si="141"/>
        <v>SAL</v>
      </c>
      <c r="V1329" t="str">
        <f t="shared" si="142"/>
        <v>L2</v>
      </c>
      <c r="W1329" t="str">
        <f>PROPER(TRIM(VLOOKUP(S1329,Employee_Lookups!$I$4:$M$19,2,FALSE())))</f>
        <v>Karan Malhotra</v>
      </c>
      <c r="X1329" t="str">
        <f>VLOOKUP(C1329,Employee_Lookups!$A$4:$G$9,4,FALSE())</f>
        <v>CC-202</v>
      </c>
      <c r="Y1329" t="str">
        <f>INDEX(Employee_Lookups!$C$13:$C$17,MATCH(F1329,Employee_Lookups!$A$13:$A$17,0))</f>
        <v>Band B (Mid)</v>
      </c>
      <c r="Z1329" s="27">
        <f>_xlfn.XLOOKUP(F1329,Employee_Lookups!$A$13:$A$17,Employee_Lookups!$E$13:$E$17,0)</f>
        <v>1100000</v>
      </c>
      <c r="AA1329" s="28">
        <f>ROUND(O1329/INDEX(Employee_Lookups!$E$13:$E$17,MATCH(F1329,Employee_Lookups!$A$13:$A$17,0)),3)</f>
        <v>0.92200000000000004</v>
      </c>
      <c r="AB1329">
        <f t="shared" si="143"/>
        <v>2025</v>
      </c>
      <c r="AC1329" t="str">
        <f t="shared" si="144"/>
        <v/>
      </c>
      <c r="AD1329" s="28">
        <f>ROUND((IF(ISBLANK(L1329),Employee_Lookups!$O$14,L1329)-J1329)/365.25,2)</f>
        <v>0.53</v>
      </c>
      <c r="AE1329" t="str">
        <f t="shared" si="145"/>
        <v>&lt; 1 Yr (New)</v>
      </c>
      <c r="AF1329" t="str">
        <f t="shared" si="146"/>
        <v>High Risk</v>
      </c>
    </row>
    <row r="1330" spans="1:32" x14ac:dyDescent="0.45">
      <c r="A1330" t="s">
        <v>2213</v>
      </c>
      <c r="B1330" t="s">
        <v>2214</v>
      </c>
      <c r="C1330" t="s">
        <v>57</v>
      </c>
      <c r="D1330" t="s">
        <v>56</v>
      </c>
      <c r="E1330" t="s">
        <v>455</v>
      </c>
      <c r="F1330" t="s">
        <v>84</v>
      </c>
      <c r="G1330" t="s">
        <v>456</v>
      </c>
      <c r="H1330" t="s">
        <v>106</v>
      </c>
      <c r="I1330" t="s">
        <v>107</v>
      </c>
      <c r="J1330" s="26">
        <v>45828</v>
      </c>
      <c r="K1330" t="s">
        <v>162</v>
      </c>
      <c r="L1330" s="26"/>
      <c r="M1330" t="s">
        <v>163</v>
      </c>
      <c r="N1330" t="s">
        <v>99</v>
      </c>
      <c r="O1330" s="27">
        <v>3357000</v>
      </c>
      <c r="P1330">
        <v>4</v>
      </c>
      <c r="Q1330" t="s">
        <v>164</v>
      </c>
      <c r="R1330">
        <v>21</v>
      </c>
      <c r="S1330" t="s">
        <v>165</v>
      </c>
      <c r="T1330">
        <f t="shared" si="140"/>
        <v>10912</v>
      </c>
      <c r="U1330" t="str">
        <f t="shared" si="141"/>
        <v>MKT</v>
      </c>
      <c r="V1330" t="str">
        <f t="shared" si="142"/>
        <v>L4</v>
      </c>
      <c r="W1330" t="str">
        <f>PROPER(TRIM(VLOOKUP(S1330,Employee_Lookups!$I$4:$M$19,2,FALSE())))</f>
        <v>Arjun Sengupta</v>
      </c>
      <c r="X1330" t="str">
        <f>VLOOKUP(C1330,Employee_Lookups!$A$4:$G$9,4,FALSE())</f>
        <v>CC-606</v>
      </c>
      <c r="Y1330" t="str">
        <f>INDEX(Employee_Lookups!$C$13:$C$17,MATCH(F1330,Employee_Lookups!$A$13:$A$17,0))</f>
        <v>Band D (Leadership)</v>
      </c>
      <c r="Z1330" s="27">
        <f>_xlfn.XLOOKUP(F1330,Employee_Lookups!$A$13:$A$17,Employee_Lookups!$E$13:$E$17,0)</f>
        <v>2750000</v>
      </c>
      <c r="AA1330" s="28">
        <f>ROUND(O1330/INDEX(Employee_Lookups!$E$13:$E$17,MATCH(F1330,Employee_Lookups!$A$13:$A$17,0)),3)</f>
        <v>1.2210000000000001</v>
      </c>
      <c r="AB1330">
        <f t="shared" si="143"/>
        <v>2025</v>
      </c>
      <c r="AC1330" t="str">
        <f t="shared" si="144"/>
        <v/>
      </c>
      <c r="AD1330" s="28">
        <f>ROUND((IF(ISBLANK(L1330),Employee_Lookups!$O$14,L1330)-J1330)/365.25,2)</f>
        <v>0.53</v>
      </c>
      <c r="AE1330" t="str">
        <f t="shared" si="145"/>
        <v>&lt; 1 Yr (New)</v>
      </c>
      <c r="AF1330" t="str">
        <f t="shared" si="146"/>
        <v>Low Risk</v>
      </c>
    </row>
    <row r="1331" spans="1:32" x14ac:dyDescent="0.45">
      <c r="A1331" t="s">
        <v>2215</v>
      </c>
      <c r="B1331" t="s">
        <v>1107</v>
      </c>
      <c r="C1331" t="s">
        <v>53</v>
      </c>
      <c r="D1331" t="s">
        <v>52</v>
      </c>
      <c r="E1331" t="s">
        <v>192</v>
      </c>
      <c r="F1331" t="s">
        <v>83</v>
      </c>
      <c r="G1331" t="s">
        <v>193</v>
      </c>
      <c r="H1331" t="s">
        <v>111</v>
      </c>
      <c r="I1331" t="s">
        <v>110</v>
      </c>
      <c r="J1331" s="26">
        <v>45829</v>
      </c>
      <c r="K1331" t="s">
        <v>162</v>
      </c>
      <c r="L1331" s="26"/>
      <c r="M1331" t="s">
        <v>163</v>
      </c>
      <c r="N1331" t="s">
        <v>99</v>
      </c>
      <c r="O1331" s="27">
        <v>1825000</v>
      </c>
      <c r="P1331">
        <v>3</v>
      </c>
      <c r="Q1331" t="s">
        <v>164</v>
      </c>
      <c r="R1331">
        <v>39</v>
      </c>
      <c r="S1331" t="s">
        <v>194</v>
      </c>
      <c r="T1331">
        <f t="shared" si="140"/>
        <v>10802</v>
      </c>
      <c r="U1331" t="str">
        <f t="shared" si="141"/>
        <v>SAL</v>
      </c>
      <c r="V1331" t="str">
        <f t="shared" si="142"/>
        <v>L3</v>
      </c>
      <c r="W1331" t="str">
        <f>PROPER(TRIM(VLOOKUP(S1331,Employee_Lookups!$I$4:$M$19,2,FALSE())))</f>
        <v>Vikramaditya Joshi</v>
      </c>
      <c r="X1331" t="str">
        <f>VLOOKUP(C1331,Employee_Lookups!$A$4:$G$9,4,FALSE())</f>
        <v>CC-202</v>
      </c>
      <c r="Y1331" t="str">
        <f>INDEX(Employee_Lookups!$C$13:$C$17,MATCH(F1331,Employee_Lookups!$A$13:$A$17,0))</f>
        <v>Band C (Senior)</v>
      </c>
      <c r="Z1331" s="27">
        <f>_xlfn.XLOOKUP(F1331,Employee_Lookups!$A$13:$A$17,Employee_Lookups!$E$13:$E$17,0)</f>
        <v>1725000</v>
      </c>
      <c r="AA1331" s="28">
        <f>ROUND(O1331/INDEX(Employee_Lookups!$E$13:$E$17,MATCH(F1331,Employee_Lookups!$A$13:$A$17,0)),3)</f>
        <v>1.0580000000000001</v>
      </c>
      <c r="AB1331">
        <f t="shared" si="143"/>
        <v>2025</v>
      </c>
      <c r="AC1331" t="str">
        <f t="shared" si="144"/>
        <v/>
      </c>
      <c r="AD1331" s="28">
        <f>ROUND((IF(ISBLANK(L1331),Employee_Lookups!$O$14,L1331)-J1331)/365.25,2)</f>
        <v>0.53</v>
      </c>
      <c r="AE1331" t="str">
        <f t="shared" si="145"/>
        <v>&lt; 1 Yr (New)</v>
      </c>
      <c r="AF1331" t="str">
        <f t="shared" si="146"/>
        <v>Low Risk</v>
      </c>
    </row>
    <row r="1332" spans="1:32" x14ac:dyDescent="0.45">
      <c r="A1332" t="s">
        <v>2216</v>
      </c>
      <c r="B1332" t="s">
        <v>570</v>
      </c>
      <c r="C1332" t="s">
        <v>55</v>
      </c>
      <c r="D1332" t="s">
        <v>54</v>
      </c>
      <c r="E1332" t="s">
        <v>240</v>
      </c>
      <c r="F1332" t="s">
        <v>83</v>
      </c>
      <c r="G1332" t="s">
        <v>241</v>
      </c>
      <c r="H1332" t="s">
        <v>106</v>
      </c>
      <c r="I1332" t="s">
        <v>107</v>
      </c>
      <c r="J1332" s="26">
        <v>45830</v>
      </c>
      <c r="K1332" t="s">
        <v>162</v>
      </c>
      <c r="L1332" s="26"/>
      <c r="M1332" t="s">
        <v>163</v>
      </c>
      <c r="N1332" t="s">
        <v>96</v>
      </c>
      <c r="O1332" s="27">
        <v>2065000</v>
      </c>
      <c r="P1332">
        <v>1</v>
      </c>
      <c r="Q1332" t="s">
        <v>172</v>
      </c>
      <c r="R1332">
        <v>36</v>
      </c>
      <c r="S1332" t="s">
        <v>173</v>
      </c>
      <c r="T1332">
        <f t="shared" si="140"/>
        <v>10152</v>
      </c>
      <c r="U1332" t="str">
        <f t="shared" si="141"/>
        <v>OPS</v>
      </c>
      <c r="V1332" t="str">
        <f t="shared" si="142"/>
        <v>L3</v>
      </c>
      <c r="W1332" t="str">
        <f>PROPER(TRIM(VLOOKUP(S1332,Employee_Lookups!$I$4:$M$19,2,FALSE())))</f>
        <v>Deepak Patil</v>
      </c>
      <c r="X1332" t="str">
        <f>VLOOKUP(C1332,Employee_Lookups!$A$4:$G$9,4,FALSE())</f>
        <v>CC-303</v>
      </c>
      <c r="Y1332" t="str">
        <f>INDEX(Employee_Lookups!$C$13:$C$17,MATCH(F1332,Employee_Lookups!$A$13:$A$17,0))</f>
        <v>Band C (Senior)</v>
      </c>
      <c r="Z1332" s="27">
        <f>_xlfn.XLOOKUP(F1332,Employee_Lookups!$A$13:$A$17,Employee_Lookups!$E$13:$E$17,0)</f>
        <v>1725000</v>
      </c>
      <c r="AA1332" s="28">
        <f>ROUND(O1332/INDEX(Employee_Lookups!$E$13:$E$17,MATCH(F1332,Employee_Lookups!$A$13:$A$17,0)),3)</f>
        <v>1.1970000000000001</v>
      </c>
      <c r="AB1332">
        <f t="shared" si="143"/>
        <v>2025</v>
      </c>
      <c r="AC1332" t="str">
        <f t="shared" si="144"/>
        <v/>
      </c>
      <c r="AD1332" s="28">
        <f>ROUND((IF(ISBLANK(L1332),Employee_Lookups!$O$14,L1332)-J1332)/365.25,2)</f>
        <v>0.53</v>
      </c>
      <c r="AE1332" t="str">
        <f t="shared" si="145"/>
        <v>&lt; 1 Yr (New)</v>
      </c>
      <c r="AF1332" t="str">
        <f t="shared" si="146"/>
        <v>Moderate Risk</v>
      </c>
    </row>
    <row r="1333" spans="1:32" x14ac:dyDescent="0.45">
      <c r="A1333" t="s">
        <v>2217</v>
      </c>
      <c r="B1333" t="s">
        <v>1416</v>
      </c>
      <c r="C1333" t="s">
        <v>57</v>
      </c>
      <c r="D1333" t="s">
        <v>56</v>
      </c>
      <c r="E1333" t="s">
        <v>160</v>
      </c>
      <c r="F1333" t="s">
        <v>81</v>
      </c>
      <c r="G1333" t="s">
        <v>161</v>
      </c>
      <c r="H1333" t="s">
        <v>108</v>
      </c>
      <c r="I1333" t="s">
        <v>107</v>
      </c>
      <c r="J1333" s="26">
        <v>45830</v>
      </c>
      <c r="K1333" t="s">
        <v>162</v>
      </c>
      <c r="L1333" s="26"/>
      <c r="M1333" t="s">
        <v>163</v>
      </c>
      <c r="N1333" t="s">
        <v>98</v>
      </c>
      <c r="O1333" s="27">
        <v>743000</v>
      </c>
      <c r="P1333">
        <v>2</v>
      </c>
      <c r="Q1333" t="s">
        <v>164</v>
      </c>
      <c r="R1333">
        <v>28</v>
      </c>
      <c r="S1333" t="s">
        <v>165</v>
      </c>
      <c r="T1333">
        <f t="shared" si="140"/>
        <v>10394</v>
      </c>
      <c r="U1333" t="str">
        <f t="shared" si="141"/>
        <v>MKT</v>
      </c>
      <c r="V1333" t="str">
        <f t="shared" si="142"/>
        <v>L1</v>
      </c>
      <c r="W1333" t="str">
        <f>PROPER(TRIM(VLOOKUP(S1333,Employee_Lookups!$I$4:$M$19,2,FALSE())))</f>
        <v>Arjun Sengupta</v>
      </c>
      <c r="X1333" t="str">
        <f>VLOOKUP(C1333,Employee_Lookups!$A$4:$G$9,4,FALSE())</f>
        <v>CC-606</v>
      </c>
      <c r="Y1333" t="str">
        <f>INDEX(Employee_Lookups!$C$13:$C$17,MATCH(F1333,Employee_Lookups!$A$13:$A$17,0))</f>
        <v>Band A (Entry)</v>
      </c>
      <c r="Z1333" s="27">
        <f>_xlfn.XLOOKUP(F1333,Employee_Lookups!$A$13:$A$17,Employee_Lookups!$E$13:$E$17,0)</f>
        <v>700000</v>
      </c>
      <c r="AA1333" s="28">
        <f>ROUND(O1333/INDEX(Employee_Lookups!$E$13:$E$17,MATCH(F1333,Employee_Lookups!$A$13:$A$17,0)),3)</f>
        <v>1.0609999999999999</v>
      </c>
      <c r="AB1333">
        <f t="shared" si="143"/>
        <v>2025</v>
      </c>
      <c r="AC1333" t="str">
        <f t="shared" si="144"/>
        <v/>
      </c>
      <c r="AD1333" s="28">
        <f>ROUND((IF(ISBLANK(L1333),Employee_Lookups!$O$14,L1333)-J1333)/365.25,2)</f>
        <v>0.53</v>
      </c>
      <c r="AE1333" t="str">
        <f t="shared" si="145"/>
        <v>&lt; 1 Yr (New)</v>
      </c>
      <c r="AF1333" t="str">
        <f t="shared" si="146"/>
        <v>Moderate Risk</v>
      </c>
    </row>
    <row r="1334" spans="1:32" x14ac:dyDescent="0.45">
      <c r="A1334" t="s">
        <v>2218</v>
      </c>
      <c r="B1334" t="s">
        <v>728</v>
      </c>
      <c r="C1334" t="s">
        <v>55</v>
      </c>
      <c r="D1334" t="s">
        <v>54</v>
      </c>
      <c r="E1334" t="s">
        <v>277</v>
      </c>
      <c r="F1334" t="s">
        <v>81</v>
      </c>
      <c r="G1334" t="s">
        <v>278</v>
      </c>
      <c r="H1334" t="s">
        <v>106</v>
      </c>
      <c r="I1334" t="s">
        <v>107</v>
      </c>
      <c r="J1334" s="26">
        <v>45832</v>
      </c>
      <c r="K1334" t="s">
        <v>162</v>
      </c>
      <c r="L1334" s="26"/>
      <c r="M1334" t="s">
        <v>163</v>
      </c>
      <c r="N1334" t="s">
        <v>95</v>
      </c>
      <c r="O1334" s="27">
        <v>709000</v>
      </c>
      <c r="P1334">
        <v>4</v>
      </c>
      <c r="Q1334" t="s">
        <v>164</v>
      </c>
      <c r="R1334">
        <v>36</v>
      </c>
      <c r="S1334" t="s">
        <v>274</v>
      </c>
      <c r="T1334">
        <f t="shared" si="140"/>
        <v>11198</v>
      </c>
      <c r="U1334" t="str">
        <f t="shared" si="141"/>
        <v>OPS</v>
      </c>
      <c r="V1334" t="str">
        <f t="shared" si="142"/>
        <v>L1</v>
      </c>
      <c r="W1334" t="str">
        <f>PROPER(TRIM(VLOOKUP(S1334,Employee_Lookups!$I$4:$M$19,2,FALSE())))</f>
        <v>Meera Krishnan</v>
      </c>
      <c r="X1334" t="str">
        <f>VLOOKUP(C1334,Employee_Lookups!$A$4:$G$9,4,FALSE())</f>
        <v>CC-303</v>
      </c>
      <c r="Y1334" t="str">
        <f>INDEX(Employee_Lookups!$C$13:$C$17,MATCH(F1334,Employee_Lookups!$A$13:$A$17,0))</f>
        <v>Band A (Entry)</v>
      </c>
      <c r="Z1334" s="27">
        <f>_xlfn.XLOOKUP(F1334,Employee_Lookups!$A$13:$A$17,Employee_Lookups!$E$13:$E$17,0)</f>
        <v>700000</v>
      </c>
      <c r="AA1334" s="28">
        <f>ROUND(O1334/INDEX(Employee_Lookups!$E$13:$E$17,MATCH(F1334,Employee_Lookups!$A$13:$A$17,0)),3)</f>
        <v>1.0129999999999999</v>
      </c>
      <c r="AB1334">
        <f t="shared" si="143"/>
        <v>2025</v>
      </c>
      <c r="AC1334" t="str">
        <f t="shared" si="144"/>
        <v/>
      </c>
      <c r="AD1334" s="28">
        <f>ROUND((IF(ISBLANK(L1334),Employee_Lookups!$O$14,L1334)-J1334)/365.25,2)</f>
        <v>0.52</v>
      </c>
      <c r="AE1334" t="str">
        <f t="shared" si="145"/>
        <v>&lt; 1 Yr (New)</v>
      </c>
      <c r="AF1334" t="str">
        <f t="shared" si="146"/>
        <v>Low Risk</v>
      </c>
    </row>
    <row r="1335" spans="1:32" x14ac:dyDescent="0.45">
      <c r="A1335" t="s">
        <v>2219</v>
      </c>
      <c r="B1335" t="s">
        <v>2220</v>
      </c>
      <c r="C1335" t="s">
        <v>51</v>
      </c>
      <c r="D1335" t="s">
        <v>50</v>
      </c>
      <c r="E1335" t="s">
        <v>181</v>
      </c>
      <c r="F1335" t="s">
        <v>81</v>
      </c>
      <c r="G1335" t="s">
        <v>182</v>
      </c>
      <c r="H1335" t="s">
        <v>109</v>
      </c>
      <c r="I1335" t="s">
        <v>110</v>
      </c>
      <c r="J1335" s="26">
        <v>45840</v>
      </c>
      <c r="K1335" t="s">
        <v>162</v>
      </c>
      <c r="L1335" s="26"/>
      <c r="M1335" t="s">
        <v>163</v>
      </c>
      <c r="N1335" t="s">
        <v>96</v>
      </c>
      <c r="O1335" s="27">
        <v>560000</v>
      </c>
      <c r="Q1335" t="s">
        <v>172</v>
      </c>
      <c r="R1335">
        <v>33</v>
      </c>
      <c r="S1335" t="s">
        <v>244</v>
      </c>
      <c r="T1335">
        <f t="shared" si="140"/>
        <v>10844</v>
      </c>
      <c r="U1335" t="str">
        <f t="shared" si="141"/>
        <v>ENG</v>
      </c>
      <c r="V1335" t="str">
        <f t="shared" si="142"/>
        <v>L1</v>
      </c>
      <c r="W1335" t="str">
        <f>PROPER(TRIM(VLOOKUP(S1335,Employee_Lookups!$I$4:$M$19,2,FALSE())))</f>
        <v>Siddharth Nair</v>
      </c>
      <c r="X1335" t="str">
        <f>VLOOKUP(C1335,Employee_Lookups!$A$4:$G$9,4,FALSE())</f>
        <v>CC-101</v>
      </c>
      <c r="Y1335" t="str">
        <f>INDEX(Employee_Lookups!$C$13:$C$17,MATCH(F1335,Employee_Lookups!$A$13:$A$17,0))</f>
        <v>Band A (Entry)</v>
      </c>
      <c r="Z1335" s="27">
        <f>_xlfn.XLOOKUP(F1335,Employee_Lookups!$A$13:$A$17,Employee_Lookups!$E$13:$E$17,0)</f>
        <v>700000</v>
      </c>
      <c r="AA1335" s="28">
        <f>ROUND(O1335/INDEX(Employee_Lookups!$E$13:$E$17,MATCH(F1335,Employee_Lookups!$A$13:$A$17,0)),3)</f>
        <v>0.8</v>
      </c>
      <c r="AB1335">
        <f t="shared" si="143"/>
        <v>2025</v>
      </c>
      <c r="AC1335" t="str">
        <f t="shared" si="144"/>
        <v/>
      </c>
      <c r="AD1335" s="28">
        <f>ROUND((IF(ISBLANK(L1335),Employee_Lookups!$O$14,L1335)-J1335)/365.25,2)</f>
        <v>0.5</v>
      </c>
      <c r="AE1335" t="str">
        <f t="shared" si="145"/>
        <v>&lt; 1 Yr (New)</v>
      </c>
      <c r="AF1335" t="str">
        <f t="shared" si="146"/>
        <v>High Risk</v>
      </c>
    </row>
    <row r="1336" spans="1:32" x14ac:dyDescent="0.45">
      <c r="A1336" t="s">
        <v>2221</v>
      </c>
      <c r="B1336" t="s">
        <v>303</v>
      </c>
      <c r="C1336" t="s">
        <v>55</v>
      </c>
      <c r="D1336" t="s">
        <v>54</v>
      </c>
      <c r="E1336" t="s">
        <v>229</v>
      </c>
      <c r="F1336" t="s">
        <v>82</v>
      </c>
      <c r="G1336" t="s">
        <v>230</v>
      </c>
      <c r="H1336" t="s">
        <v>109</v>
      </c>
      <c r="I1336" t="s">
        <v>110</v>
      </c>
      <c r="J1336" s="26">
        <v>45842</v>
      </c>
      <c r="K1336" t="s">
        <v>162</v>
      </c>
      <c r="L1336" s="26"/>
      <c r="M1336" t="s">
        <v>163</v>
      </c>
      <c r="N1336" t="s">
        <v>96</v>
      </c>
      <c r="O1336" s="27">
        <v>1318000</v>
      </c>
      <c r="Q1336" t="s">
        <v>172</v>
      </c>
      <c r="R1336">
        <v>43</v>
      </c>
      <c r="S1336" t="s">
        <v>262</v>
      </c>
      <c r="T1336">
        <f t="shared" si="140"/>
        <v>10601</v>
      </c>
      <c r="U1336" t="str">
        <f t="shared" si="141"/>
        <v>OPS</v>
      </c>
      <c r="V1336" t="str">
        <f t="shared" si="142"/>
        <v>L2</v>
      </c>
      <c r="W1336" t="str">
        <f>PROPER(TRIM(VLOOKUP(S1336,Employee_Lookups!$I$4:$M$19,2,FALSE())))</f>
        <v>Ananya Iyer</v>
      </c>
      <c r="X1336" t="str">
        <f>VLOOKUP(C1336,Employee_Lookups!$A$4:$G$9,4,FALSE())</f>
        <v>CC-303</v>
      </c>
      <c r="Y1336" t="str">
        <f>INDEX(Employee_Lookups!$C$13:$C$17,MATCH(F1336,Employee_Lookups!$A$13:$A$17,0))</f>
        <v>Band B (Mid)</v>
      </c>
      <c r="Z1336" s="27">
        <f>_xlfn.XLOOKUP(F1336,Employee_Lookups!$A$13:$A$17,Employee_Lookups!$E$13:$E$17,0)</f>
        <v>1100000</v>
      </c>
      <c r="AA1336" s="28">
        <f>ROUND(O1336/INDEX(Employee_Lookups!$E$13:$E$17,MATCH(F1336,Employee_Lookups!$A$13:$A$17,0)),3)</f>
        <v>1.198</v>
      </c>
      <c r="AB1336">
        <f t="shared" si="143"/>
        <v>2025</v>
      </c>
      <c r="AC1336" t="str">
        <f t="shared" si="144"/>
        <v/>
      </c>
      <c r="AD1336" s="28">
        <f>ROUND((IF(ISBLANK(L1336),Employee_Lookups!$O$14,L1336)-J1336)/365.25,2)</f>
        <v>0.49</v>
      </c>
      <c r="AE1336" t="str">
        <f t="shared" si="145"/>
        <v>&lt; 1 Yr (New)</v>
      </c>
      <c r="AF1336" t="str">
        <f t="shared" si="146"/>
        <v>Moderate Risk</v>
      </c>
    </row>
    <row r="1337" spans="1:32" x14ac:dyDescent="0.45">
      <c r="A1337" t="s">
        <v>2222</v>
      </c>
      <c r="B1337" t="s">
        <v>2223</v>
      </c>
      <c r="C1337" t="s">
        <v>51</v>
      </c>
      <c r="D1337" t="s">
        <v>50</v>
      </c>
      <c r="E1337" t="s">
        <v>181</v>
      </c>
      <c r="F1337" t="s">
        <v>81</v>
      </c>
      <c r="G1337" t="s">
        <v>182</v>
      </c>
      <c r="H1337" t="s">
        <v>108</v>
      </c>
      <c r="I1337" t="s">
        <v>107</v>
      </c>
      <c r="J1337" s="26">
        <v>45842</v>
      </c>
      <c r="K1337" t="s">
        <v>162</v>
      </c>
      <c r="L1337" s="26"/>
      <c r="M1337" t="s">
        <v>163</v>
      </c>
      <c r="N1337" t="s">
        <v>99</v>
      </c>
      <c r="O1337" s="27">
        <v>683000</v>
      </c>
      <c r="Q1337" t="s">
        <v>172</v>
      </c>
      <c r="R1337">
        <v>40</v>
      </c>
      <c r="S1337" t="s">
        <v>244</v>
      </c>
      <c r="T1337">
        <f t="shared" si="140"/>
        <v>11356</v>
      </c>
      <c r="U1337" t="str">
        <f t="shared" si="141"/>
        <v>ENG</v>
      </c>
      <c r="V1337" t="str">
        <f t="shared" si="142"/>
        <v>L1</v>
      </c>
      <c r="W1337" t="str">
        <f>PROPER(TRIM(VLOOKUP(S1337,Employee_Lookups!$I$4:$M$19,2,FALSE())))</f>
        <v>Siddharth Nair</v>
      </c>
      <c r="X1337" t="str">
        <f>VLOOKUP(C1337,Employee_Lookups!$A$4:$G$9,4,FALSE())</f>
        <v>CC-101</v>
      </c>
      <c r="Y1337" t="str">
        <f>INDEX(Employee_Lookups!$C$13:$C$17,MATCH(F1337,Employee_Lookups!$A$13:$A$17,0))</f>
        <v>Band A (Entry)</v>
      </c>
      <c r="Z1337" s="27">
        <f>_xlfn.XLOOKUP(F1337,Employee_Lookups!$A$13:$A$17,Employee_Lookups!$E$13:$E$17,0)</f>
        <v>700000</v>
      </c>
      <c r="AA1337" s="28">
        <f>ROUND(O1337/INDEX(Employee_Lookups!$E$13:$E$17,MATCH(F1337,Employee_Lookups!$A$13:$A$17,0)),3)</f>
        <v>0.97599999999999998</v>
      </c>
      <c r="AB1337">
        <f t="shared" si="143"/>
        <v>2025</v>
      </c>
      <c r="AC1337" t="str">
        <f t="shared" si="144"/>
        <v/>
      </c>
      <c r="AD1337" s="28">
        <f>ROUND((IF(ISBLANK(L1337),Employee_Lookups!$O$14,L1337)-J1337)/365.25,2)</f>
        <v>0.49</v>
      </c>
      <c r="AE1337" t="str">
        <f t="shared" si="145"/>
        <v>&lt; 1 Yr (New)</v>
      </c>
      <c r="AF1337" t="str">
        <f t="shared" si="146"/>
        <v>Moderate Risk</v>
      </c>
    </row>
    <row r="1338" spans="1:32" x14ac:dyDescent="0.45">
      <c r="A1338" t="s">
        <v>2224</v>
      </c>
      <c r="B1338" t="s">
        <v>804</v>
      </c>
      <c r="C1338" t="s">
        <v>53</v>
      </c>
      <c r="D1338" t="s">
        <v>52</v>
      </c>
      <c r="E1338" t="s">
        <v>322</v>
      </c>
      <c r="F1338" t="s">
        <v>81</v>
      </c>
      <c r="G1338" t="s">
        <v>323</v>
      </c>
      <c r="H1338" t="s">
        <v>108</v>
      </c>
      <c r="I1338" t="s">
        <v>107</v>
      </c>
      <c r="J1338" s="26">
        <v>45844</v>
      </c>
      <c r="K1338" t="s">
        <v>162</v>
      </c>
      <c r="L1338" s="26"/>
      <c r="M1338" t="s">
        <v>163</v>
      </c>
      <c r="N1338" t="s">
        <v>99</v>
      </c>
      <c r="O1338" s="27">
        <v>835000</v>
      </c>
      <c r="P1338">
        <v>1</v>
      </c>
      <c r="Q1338" t="s">
        <v>164</v>
      </c>
      <c r="R1338">
        <v>37</v>
      </c>
      <c r="S1338" t="s">
        <v>189</v>
      </c>
      <c r="T1338">
        <f t="shared" si="140"/>
        <v>11327</v>
      </c>
      <c r="U1338" t="str">
        <f t="shared" si="141"/>
        <v>SAL</v>
      </c>
      <c r="V1338" t="str">
        <f t="shared" si="142"/>
        <v>L1</v>
      </c>
      <c r="W1338" t="str">
        <f>PROPER(TRIM(VLOOKUP(S1338,Employee_Lookups!$I$4:$M$19,2,FALSE())))</f>
        <v>Priya Sharma</v>
      </c>
      <c r="X1338" t="str">
        <f>VLOOKUP(C1338,Employee_Lookups!$A$4:$G$9,4,FALSE())</f>
        <v>CC-202</v>
      </c>
      <c r="Y1338" t="str">
        <f>INDEX(Employee_Lookups!$C$13:$C$17,MATCH(F1338,Employee_Lookups!$A$13:$A$17,0))</f>
        <v>Band A (Entry)</v>
      </c>
      <c r="Z1338" s="27">
        <f>_xlfn.XLOOKUP(F1338,Employee_Lookups!$A$13:$A$17,Employee_Lookups!$E$13:$E$17,0)</f>
        <v>700000</v>
      </c>
      <c r="AA1338" s="28">
        <f>ROUND(O1338/INDEX(Employee_Lookups!$E$13:$E$17,MATCH(F1338,Employee_Lookups!$A$13:$A$17,0)),3)</f>
        <v>1.1930000000000001</v>
      </c>
      <c r="AB1338">
        <f t="shared" si="143"/>
        <v>2025</v>
      </c>
      <c r="AC1338" t="str">
        <f t="shared" si="144"/>
        <v/>
      </c>
      <c r="AD1338" s="28">
        <f>ROUND((IF(ISBLANK(L1338),Employee_Lookups!$O$14,L1338)-J1338)/365.25,2)</f>
        <v>0.49</v>
      </c>
      <c r="AE1338" t="str">
        <f t="shared" si="145"/>
        <v>&lt; 1 Yr (New)</v>
      </c>
      <c r="AF1338" t="str">
        <f t="shared" si="146"/>
        <v>Moderate Risk</v>
      </c>
    </row>
    <row r="1339" spans="1:32" x14ac:dyDescent="0.45">
      <c r="A1339" t="s">
        <v>2225</v>
      </c>
      <c r="B1339" t="s">
        <v>2226</v>
      </c>
      <c r="C1339" t="s">
        <v>61</v>
      </c>
      <c r="D1339" t="s">
        <v>60</v>
      </c>
      <c r="E1339" t="s">
        <v>356</v>
      </c>
      <c r="F1339" t="s">
        <v>81</v>
      </c>
      <c r="G1339" t="s">
        <v>357</v>
      </c>
      <c r="H1339" t="s">
        <v>108</v>
      </c>
      <c r="I1339" t="s">
        <v>107</v>
      </c>
      <c r="J1339" s="26">
        <v>45847</v>
      </c>
      <c r="K1339" t="s">
        <v>162</v>
      </c>
      <c r="L1339" s="26"/>
      <c r="M1339" t="s">
        <v>163</v>
      </c>
      <c r="N1339" t="s">
        <v>97</v>
      </c>
      <c r="O1339" s="27">
        <v>589000</v>
      </c>
      <c r="P1339">
        <v>3</v>
      </c>
      <c r="Q1339" t="s">
        <v>164</v>
      </c>
      <c r="R1339">
        <v>36</v>
      </c>
      <c r="S1339" t="s">
        <v>319</v>
      </c>
      <c r="T1339">
        <f t="shared" si="140"/>
        <v>10511</v>
      </c>
      <c r="U1339" t="str">
        <f t="shared" si="141"/>
        <v>-HR</v>
      </c>
      <c r="V1339" t="str">
        <f t="shared" si="142"/>
        <v>L1</v>
      </c>
      <c r="W1339" t="str">
        <f>PROPER(TRIM(VLOOKUP(S1339,Employee_Lookups!$I$4:$M$19,2,FALSE())))</f>
        <v>Kavita Menon</v>
      </c>
      <c r="X1339" t="str">
        <f>VLOOKUP(C1339,Employee_Lookups!$A$4:$G$9,4,FALSE())</f>
        <v>CC-505</v>
      </c>
      <c r="Y1339" t="str">
        <f>INDEX(Employee_Lookups!$C$13:$C$17,MATCH(F1339,Employee_Lookups!$A$13:$A$17,0))</f>
        <v>Band A (Entry)</v>
      </c>
      <c r="Z1339" s="27">
        <f>_xlfn.XLOOKUP(F1339,Employee_Lookups!$A$13:$A$17,Employee_Lookups!$E$13:$E$17,0)</f>
        <v>700000</v>
      </c>
      <c r="AA1339" s="28">
        <f>ROUND(O1339/INDEX(Employee_Lookups!$E$13:$E$17,MATCH(F1339,Employee_Lookups!$A$13:$A$17,0)),3)</f>
        <v>0.84099999999999997</v>
      </c>
      <c r="AB1339">
        <f t="shared" si="143"/>
        <v>2025</v>
      </c>
      <c r="AC1339" t="str">
        <f t="shared" si="144"/>
        <v/>
      </c>
      <c r="AD1339" s="28">
        <f>ROUND((IF(ISBLANK(L1339),Employee_Lookups!$O$14,L1339)-J1339)/365.25,2)</f>
        <v>0.48</v>
      </c>
      <c r="AE1339" t="str">
        <f t="shared" si="145"/>
        <v>&lt; 1 Yr (New)</v>
      </c>
      <c r="AF1339" t="str">
        <f t="shared" si="146"/>
        <v>Low Risk</v>
      </c>
    </row>
    <row r="1340" spans="1:32" x14ac:dyDescent="0.45">
      <c r="A1340" t="s">
        <v>2227</v>
      </c>
      <c r="B1340" t="s">
        <v>1432</v>
      </c>
      <c r="C1340" t="s">
        <v>51</v>
      </c>
      <c r="D1340" t="s">
        <v>50</v>
      </c>
      <c r="E1340" t="s">
        <v>181</v>
      </c>
      <c r="F1340" t="s">
        <v>81</v>
      </c>
      <c r="G1340" t="s">
        <v>182</v>
      </c>
      <c r="H1340" t="s">
        <v>108</v>
      </c>
      <c r="I1340" t="s">
        <v>107</v>
      </c>
      <c r="J1340" s="26">
        <v>45851</v>
      </c>
      <c r="K1340" t="s">
        <v>162</v>
      </c>
      <c r="L1340" s="26"/>
      <c r="M1340" t="s">
        <v>163</v>
      </c>
      <c r="N1340" t="s">
        <v>97</v>
      </c>
      <c r="O1340" s="27">
        <v>760000</v>
      </c>
      <c r="Q1340" t="s">
        <v>164</v>
      </c>
      <c r="R1340">
        <v>4</v>
      </c>
      <c r="S1340" t="s">
        <v>197</v>
      </c>
      <c r="T1340">
        <f t="shared" si="140"/>
        <v>10965</v>
      </c>
      <c r="U1340" t="str">
        <f t="shared" si="141"/>
        <v>ENG</v>
      </c>
      <c r="V1340" t="str">
        <f t="shared" si="142"/>
        <v>L1</v>
      </c>
      <c r="W1340" t="str">
        <f>PROPER(TRIM(VLOOKUP(S1340,Employee_Lookups!$I$4:$M$19,2,FALSE())))</f>
        <v>Rohan Verma</v>
      </c>
      <c r="X1340" t="str">
        <f>VLOOKUP(C1340,Employee_Lookups!$A$4:$G$9,4,FALSE())</f>
        <v>CC-101</v>
      </c>
      <c r="Y1340" t="str">
        <f>INDEX(Employee_Lookups!$C$13:$C$17,MATCH(F1340,Employee_Lookups!$A$13:$A$17,0))</f>
        <v>Band A (Entry)</v>
      </c>
      <c r="Z1340" s="27">
        <f>_xlfn.XLOOKUP(F1340,Employee_Lookups!$A$13:$A$17,Employee_Lookups!$E$13:$E$17,0)</f>
        <v>700000</v>
      </c>
      <c r="AA1340" s="28">
        <f>ROUND(O1340/INDEX(Employee_Lookups!$E$13:$E$17,MATCH(F1340,Employee_Lookups!$A$13:$A$17,0)),3)</f>
        <v>1.0860000000000001</v>
      </c>
      <c r="AB1340">
        <f t="shared" si="143"/>
        <v>2025</v>
      </c>
      <c r="AC1340" t="str">
        <f t="shared" si="144"/>
        <v/>
      </c>
      <c r="AD1340" s="28">
        <f>ROUND((IF(ISBLANK(L1340),Employee_Lookups!$O$14,L1340)-J1340)/365.25,2)</f>
        <v>0.47</v>
      </c>
      <c r="AE1340" t="str">
        <f t="shared" si="145"/>
        <v>&lt; 1 Yr (New)</v>
      </c>
      <c r="AF1340" t="str">
        <f t="shared" si="146"/>
        <v>Low Risk</v>
      </c>
    </row>
    <row r="1341" spans="1:32" x14ac:dyDescent="0.45">
      <c r="A1341" t="s">
        <v>2228</v>
      </c>
      <c r="B1341" t="s">
        <v>487</v>
      </c>
      <c r="C1341" t="s">
        <v>53</v>
      </c>
      <c r="D1341" t="s">
        <v>52</v>
      </c>
      <c r="E1341" t="s">
        <v>192</v>
      </c>
      <c r="F1341" t="s">
        <v>83</v>
      </c>
      <c r="G1341" t="s">
        <v>193</v>
      </c>
      <c r="H1341" t="s">
        <v>106</v>
      </c>
      <c r="I1341" t="s">
        <v>107</v>
      </c>
      <c r="J1341" s="26">
        <v>45851</v>
      </c>
      <c r="K1341" t="s">
        <v>162</v>
      </c>
      <c r="L1341" s="26"/>
      <c r="M1341" t="s">
        <v>163</v>
      </c>
      <c r="N1341" t="s">
        <v>97</v>
      </c>
      <c r="O1341" s="27">
        <v>1511000</v>
      </c>
      <c r="P1341">
        <v>1</v>
      </c>
      <c r="Q1341" t="s">
        <v>172</v>
      </c>
      <c r="R1341">
        <v>13</v>
      </c>
      <c r="S1341" t="s">
        <v>237</v>
      </c>
      <c r="T1341">
        <f t="shared" si="140"/>
        <v>10334</v>
      </c>
      <c r="U1341" t="str">
        <f t="shared" si="141"/>
        <v>SAL</v>
      </c>
      <c r="V1341" t="str">
        <f t="shared" si="142"/>
        <v>L3</v>
      </c>
      <c r="W1341" t="str">
        <f>PROPER(TRIM(VLOOKUP(S1341,Employee_Lookups!$I$4:$M$19,2,FALSE())))</f>
        <v>Karan Malhotra</v>
      </c>
      <c r="X1341" t="str">
        <f>VLOOKUP(C1341,Employee_Lookups!$A$4:$G$9,4,FALSE())</f>
        <v>CC-202</v>
      </c>
      <c r="Y1341" t="str">
        <f>INDEX(Employee_Lookups!$C$13:$C$17,MATCH(F1341,Employee_Lookups!$A$13:$A$17,0))</f>
        <v>Band C (Senior)</v>
      </c>
      <c r="Z1341" s="27">
        <f>_xlfn.XLOOKUP(F1341,Employee_Lookups!$A$13:$A$17,Employee_Lookups!$E$13:$E$17,0)</f>
        <v>1725000</v>
      </c>
      <c r="AA1341" s="28">
        <f>ROUND(O1341/INDEX(Employee_Lookups!$E$13:$E$17,MATCH(F1341,Employee_Lookups!$A$13:$A$17,0)),3)</f>
        <v>0.876</v>
      </c>
      <c r="AB1341">
        <f t="shared" si="143"/>
        <v>2025</v>
      </c>
      <c r="AC1341" t="str">
        <f t="shared" si="144"/>
        <v/>
      </c>
      <c r="AD1341" s="28">
        <f>ROUND((IF(ISBLANK(L1341),Employee_Lookups!$O$14,L1341)-J1341)/365.25,2)</f>
        <v>0.47</v>
      </c>
      <c r="AE1341" t="str">
        <f t="shared" si="145"/>
        <v>&lt; 1 Yr (New)</v>
      </c>
      <c r="AF1341" t="str">
        <f t="shared" si="146"/>
        <v>High Risk</v>
      </c>
    </row>
    <row r="1342" spans="1:32" x14ac:dyDescent="0.45">
      <c r="A1342" t="s">
        <v>2229</v>
      </c>
      <c r="B1342" t="s">
        <v>400</v>
      </c>
      <c r="C1342" t="s">
        <v>57</v>
      </c>
      <c r="D1342" t="s">
        <v>56</v>
      </c>
      <c r="E1342" t="s">
        <v>455</v>
      </c>
      <c r="F1342" t="s">
        <v>84</v>
      </c>
      <c r="G1342" t="s">
        <v>456</v>
      </c>
      <c r="H1342" t="s">
        <v>111</v>
      </c>
      <c r="I1342" t="s">
        <v>110</v>
      </c>
      <c r="J1342" s="26">
        <v>45852</v>
      </c>
      <c r="K1342" t="s">
        <v>162</v>
      </c>
      <c r="L1342" s="26"/>
      <c r="M1342" t="s">
        <v>163</v>
      </c>
      <c r="N1342" t="s">
        <v>98</v>
      </c>
      <c r="O1342" s="27">
        <v>2800000</v>
      </c>
      <c r="P1342">
        <v>2</v>
      </c>
      <c r="Q1342" t="s">
        <v>164</v>
      </c>
      <c r="R1342">
        <v>21</v>
      </c>
      <c r="S1342" t="s">
        <v>224</v>
      </c>
      <c r="T1342">
        <f t="shared" si="140"/>
        <v>11231</v>
      </c>
      <c r="U1342" t="str">
        <f t="shared" si="141"/>
        <v>MKT</v>
      </c>
      <c r="V1342" t="str">
        <f t="shared" si="142"/>
        <v>L4</v>
      </c>
      <c r="W1342" t="str">
        <f>PROPER(TRIM(VLOOKUP(S1342,Employee_Lookups!$I$4:$M$19,2,FALSE())))</f>
        <v>Tanvi Chitnis</v>
      </c>
      <c r="X1342" t="str">
        <f>VLOOKUP(C1342,Employee_Lookups!$A$4:$G$9,4,FALSE())</f>
        <v>CC-606</v>
      </c>
      <c r="Y1342" t="str">
        <f>INDEX(Employee_Lookups!$C$13:$C$17,MATCH(F1342,Employee_Lookups!$A$13:$A$17,0))</f>
        <v>Band D (Leadership)</v>
      </c>
      <c r="Z1342" s="27">
        <f>_xlfn.XLOOKUP(F1342,Employee_Lookups!$A$13:$A$17,Employee_Lookups!$E$13:$E$17,0)</f>
        <v>2750000</v>
      </c>
      <c r="AA1342" s="28">
        <f>ROUND(O1342/INDEX(Employee_Lookups!$E$13:$E$17,MATCH(F1342,Employee_Lookups!$A$13:$A$17,0)),3)</f>
        <v>1.018</v>
      </c>
      <c r="AB1342">
        <f t="shared" si="143"/>
        <v>2025</v>
      </c>
      <c r="AC1342" t="str">
        <f t="shared" si="144"/>
        <v/>
      </c>
      <c r="AD1342" s="28">
        <f>ROUND((IF(ISBLANK(L1342),Employee_Lookups!$O$14,L1342)-J1342)/365.25,2)</f>
        <v>0.47</v>
      </c>
      <c r="AE1342" t="str">
        <f t="shared" si="145"/>
        <v>&lt; 1 Yr (New)</v>
      </c>
      <c r="AF1342" t="str">
        <f t="shared" si="146"/>
        <v>Moderate Risk</v>
      </c>
    </row>
    <row r="1343" spans="1:32" x14ac:dyDescent="0.45">
      <c r="A1343" t="s">
        <v>2230</v>
      </c>
      <c r="B1343" t="s">
        <v>261</v>
      </c>
      <c r="C1343" t="s">
        <v>55</v>
      </c>
      <c r="D1343" t="s">
        <v>54</v>
      </c>
      <c r="E1343" t="s">
        <v>277</v>
      </c>
      <c r="F1343" t="s">
        <v>81</v>
      </c>
      <c r="G1343" t="s">
        <v>278</v>
      </c>
      <c r="H1343" t="s">
        <v>108</v>
      </c>
      <c r="I1343" t="s">
        <v>107</v>
      </c>
      <c r="J1343" s="26">
        <v>45858</v>
      </c>
      <c r="K1343" t="s">
        <v>162</v>
      </c>
      <c r="L1343" s="26"/>
      <c r="M1343" t="s">
        <v>163</v>
      </c>
      <c r="N1343" t="s">
        <v>97</v>
      </c>
      <c r="O1343" s="27">
        <v>699000</v>
      </c>
      <c r="P1343">
        <v>3</v>
      </c>
      <c r="Q1343" t="s">
        <v>172</v>
      </c>
      <c r="R1343">
        <v>35</v>
      </c>
      <c r="S1343" t="s">
        <v>262</v>
      </c>
      <c r="T1343">
        <f t="shared" si="140"/>
        <v>10740</v>
      </c>
      <c r="U1343" t="str">
        <f t="shared" si="141"/>
        <v>OPS</v>
      </c>
      <c r="V1343" t="str">
        <f t="shared" si="142"/>
        <v>L1</v>
      </c>
      <c r="W1343" t="str">
        <f>PROPER(TRIM(VLOOKUP(S1343,Employee_Lookups!$I$4:$M$19,2,FALSE())))</f>
        <v>Ananya Iyer</v>
      </c>
      <c r="X1343" t="str">
        <f>VLOOKUP(C1343,Employee_Lookups!$A$4:$G$9,4,FALSE())</f>
        <v>CC-303</v>
      </c>
      <c r="Y1343" t="str">
        <f>INDEX(Employee_Lookups!$C$13:$C$17,MATCH(F1343,Employee_Lookups!$A$13:$A$17,0))</f>
        <v>Band A (Entry)</v>
      </c>
      <c r="Z1343" s="27">
        <f>_xlfn.XLOOKUP(F1343,Employee_Lookups!$A$13:$A$17,Employee_Lookups!$E$13:$E$17,0)</f>
        <v>700000</v>
      </c>
      <c r="AA1343" s="28">
        <f>ROUND(O1343/INDEX(Employee_Lookups!$E$13:$E$17,MATCH(F1343,Employee_Lookups!$A$13:$A$17,0)),3)</f>
        <v>0.999</v>
      </c>
      <c r="AB1343">
        <f t="shared" si="143"/>
        <v>2025</v>
      </c>
      <c r="AC1343" t="str">
        <f t="shared" si="144"/>
        <v/>
      </c>
      <c r="AD1343" s="28">
        <f>ROUND((IF(ISBLANK(L1343),Employee_Lookups!$O$14,L1343)-J1343)/365.25,2)</f>
        <v>0.45</v>
      </c>
      <c r="AE1343" t="str">
        <f t="shared" si="145"/>
        <v>&lt; 1 Yr (New)</v>
      </c>
      <c r="AF1343" t="str">
        <f t="shared" si="146"/>
        <v>Moderate Risk</v>
      </c>
    </row>
    <row r="1344" spans="1:32" x14ac:dyDescent="0.45">
      <c r="A1344" t="s">
        <v>2231</v>
      </c>
      <c r="B1344" t="s">
        <v>2008</v>
      </c>
      <c r="C1344" t="s">
        <v>51</v>
      </c>
      <c r="D1344" t="s">
        <v>50</v>
      </c>
      <c r="E1344" t="s">
        <v>176</v>
      </c>
      <c r="F1344" t="s">
        <v>82</v>
      </c>
      <c r="G1344" t="s">
        <v>177</v>
      </c>
      <c r="H1344" t="s">
        <v>108</v>
      </c>
      <c r="I1344" t="s">
        <v>107</v>
      </c>
      <c r="J1344" s="26">
        <v>45858</v>
      </c>
      <c r="K1344" t="s">
        <v>162</v>
      </c>
      <c r="L1344" s="26"/>
      <c r="M1344" t="s">
        <v>163</v>
      </c>
      <c r="N1344" t="s">
        <v>96</v>
      </c>
      <c r="O1344" s="27">
        <v>940000</v>
      </c>
      <c r="P1344">
        <v>3</v>
      </c>
      <c r="Q1344" t="s">
        <v>164</v>
      </c>
      <c r="R1344">
        <v>44</v>
      </c>
      <c r="S1344" t="s">
        <v>178</v>
      </c>
      <c r="T1344">
        <f t="shared" si="140"/>
        <v>10205</v>
      </c>
      <c r="U1344" t="str">
        <f t="shared" si="141"/>
        <v>ENG</v>
      </c>
      <c r="V1344" t="str">
        <f t="shared" si="142"/>
        <v>L2</v>
      </c>
      <c r="W1344" t="str">
        <f>PROPER(TRIM(VLOOKUP(S1344,Employee_Lookups!$I$4:$M$19,2,FALSE())))</f>
        <v>Aarav Deshmukh</v>
      </c>
      <c r="X1344" t="str">
        <f>VLOOKUP(C1344,Employee_Lookups!$A$4:$G$9,4,FALSE())</f>
        <v>CC-101</v>
      </c>
      <c r="Y1344" t="str">
        <f>INDEX(Employee_Lookups!$C$13:$C$17,MATCH(F1344,Employee_Lookups!$A$13:$A$17,0))</f>
        <v>Band B (Mid)</v>
      </c>
      <c r="Z1344" s="27">
        <f>_xlfn.XLOOKUP(F1344,Employee_Lookups!$A$13:$A$17,Employee_Lookups!$E$13:$E$17,0)</f>
        <v>1100000</v>
      </c>
      <c r="AA1344" s="28">
        <f>ROUND(O1344/INDEX(Employee_Lookups!$E$13:$E$17,MATCH(F1344,Employee_Lookups!$A$13:$A$17,0)),3)</f>
        <v>0.85499999999999998</v>
      </c>
      <c r="AB1344">
        <f t="shared" si="143"/>
        <v>2025</v>
      </c>
      <c r="AC1344" t="str">
        <f t="shared" si="144"/>
        <v/>
      </c>
      <c r="AD1344" s="28">
        <f>ROUND((IF(ISBLANK(L1344),Employee_Lookups!$O$14,L1344)-J1344)/365.25,2)</f>
        <v>0.45</v>
      </c>
      <c r="AE1344" t="str">
        <f t="shared" si="145"/>
        <v>&lt; 1 Yr (New)</v>
      </c>
      <c r="AF1344" t="str">
        <f t="shared" si="146"/>
        <v>Low Risk</v>
      </c>
    </row>
    <row r="1345" spans="1:32" x14ac:dyDescent="0.45">
      <c r="A1345" t="s">
        <v>2232</v>
      </c>
      <c r="B1345" t="s">
        <v>2233</v>
      </c>
      <c r="C1345" t="s">
        <v>51</v>
      </c>
      <c r="D1345" t="s">
        <v>50</v>
      </c>
      <c r="E1345" t="s">
        <v>176</v>
      </c>
      <c r="F1345" t="s">
        <v>82</v>
      </c>
      <c r="G1345" t="s">
        <v>177</v>
      </c>
      <c r="H1345" t="s">
        <v>108</v>
      </c>
      <c r="I1345" t="s">
        <v>107</v>
      </c>
      <c r="J1345" s="26">
        <v>45858</v>
      </c>
      <c r="K1345" t="s">
        <v>162</v>
      </c>
      <c r="L1345" s="26"/>
      <c r="M1345" t="s">
        <v>163</v>
      </c>
      <c r="N1345" t="s">
        <v>97</v>
      </c>
      <c r="O1345" s="27">
        <v>1231000</v>
      </c>
      <c r="P1345">
        <v>3</v>
      </c>
      <c r="Q1345" t="s">
        <v>164</v>
      </c>
      <c r="R1345">
        <v>37</v>
      </c>
      <c r="S1345" t="s">
        <v>244</v>
      </c>
      <c r="T1345">
        <f t="shared" si="140"/>
        <v>10499</v>
      </c>
      <c r="U1345" t="str">
        <f t="shared" si="141"/>
        <v>ENG</v>
      </c>
      <c r="V1345" t="str">
        <f t="shared" si="142"/>
        <v>L2</v>
      </c>
      <c r="W1345" t="str">
        <f>PROPER(TRIM(VLOOKUP(S1345,Employee_Lookups!$I$4:$M$19,2,FALSE())))</f>
        <v>Siddharth Nair</v>
      </c>
      <c r="X1345" t="str">
        <f>VLOOKUP(C1345,Employee_Lookups!$A$4:$G$9,4,FALSE())</f>
        <v>CC-101</v>
      </c>
      <c r="Y1345" t="str">
        <f>INDEX(Employee_Lookups!$C$13:$C$17,MATCH(F1345,Employee_Lookups!$A$13:$A$17,0))</f>
        <v>Band B (Mid)</v>
      </c>
      <c r="Z1345" s="27">
        <f>_xlfn.XLOOKUP(F1345,Employee_Lookups!$A$13:$A$17,Employee_Lookups!$E$13:$E$17,0)</f>
        <v>1100000</v>
      </c>
      <c r="AA1345" s="28">
        <f>ROUND(O1345/INDEX(Employee_Lookups!$E$13:$E$17,MATCH(F1345,Employee_Lookups!$A$13:$A$17,0)),3)</f>
        <v>1.119</v>
      </c>
      <c r="AB1345">
        <f t="shared" si="143"/>
        <v>2025</v>
      </c>
      <c r="AC1345" t="str">
        <f t="shared" si="144"/>
        <v/>
      </c>
      <c r="AD1345" s="28">
        <f>ROUND((IF(ISBLANK(L1345),Employee_Lookups!$O$14,L1345)-J1345)/365.25,2)</f>
        <v>0.45</v>
      </c>
      <c r="AE1345" t="str">
        <f t="shared" si="145"/>
        <v>&lt; 1 Yr (New)</v>
      </c>
      <c r="AF1345" t="str">
        <f t="shared" si="146"/>
        <v>Low Risk</v>
      </c>
    </row>
    <row r="1346" spans="1:32" x14ac:dyDescent="0.45">
      <c r="A1346" t="s">
        <v>2234</v>
      </c>
      <c r="B1346" t="s">
        <v>1363</v>
      </c>
      <c r="C1346" t="s">
        <v>51</v>
      </c>
      <c r="D1346" t="s">
        <v>50</v>
      </c>
      <c r="E1346" t="s">
        <v>181</v>
      </c>
      <c r="F1346" t="s">
        <v>81</v>
      </c>
      <c r="G1346" t="s">
        <v>182</v>
      </c>
      <c r="H1346" t="s">
        <v>108</v>
      </c>
      <c r="I1346" t="s">
        <v>107</v>
      </c>
      <c r="J1346" s="26">
        <v>45858</v>
      </c>
      <c r="K1346" t="s">
        <v>162</v>
      </c>
      <c r="L1346" s="26"/>
      <c r="M1346" t="s">
        <v>163</v>
      </c>
      <c r="N1346" t="s">
        <v>97</v>
      </c>
      <c r="O1346" s="27">
        <v>628000</v>
      </c>
      <c r="P1346">
        <v>5</v>
      </c>
      <c r="Q1346" t="s">
        <v>164</v>
      </c>
      <c r="R1346">
        <v>31</v>
      </c>
      <c r="S1346" t="s">
        <v>178</v>
      </c>
      <c r="T1346">
        <f t="shared" ref="T1346:T1409" si="147">VALUE(MID(A1346,5,5))</f>
        <v>10905</v>
      </c>
      <c r="U1346" t="str">
        <f t="shared" ref="U1346:U1409" si="148">LEFT(E1346,3)</f>
        <v>ENG</v>
      </c>
      <c r="V1346" t="str">
        <f t="shared" ref="V1346:V1409" si="149">RIGHT(E1346,2)</f>
        <v>L1</v>
      </c>
      <c r="W1346" t="str">
        <f>PROPER(TRIM(VLOOKUP(S1346,Employee_Lookups!$I$4:$M$19,2,FALSE())))</f>
        <v>Aarav Deshmukh</v>
      </c>
      <c r="X1346" t="str">
        <f>VLOOKUP(C1346,Employee_Lookups!$A$4:$G$9,4,FALSE())</f>
        <v>CC-101</v>
      </c>
      <c r="Y1346" t="str">
        <f>INDEX(Employee_Lookups!$C$13:$C$17,MATCH(F1346,Employee_Lookups!$A$13:$A$17,0))</f>
        <v>Band A (Entry)</v>
      </c>
      <c r="Z1346" s="27">
        <f>_xlfn.XLOOKUP(F1346,Employee_Lookups!$A$13:$A$17,Employee_Lookups!$E$13:$E$17,0)</f>
        <v>700000</v>
      </c>
      <c r="AA1346" s="28">
        <f>ROUND(O1346/INDEX(Employee_Lookups!$E$13:$E$17,MATCH(F1346,Employee_Lookups!$A$13:$A$17,0)),3)</f>
        <v>0.89700000000000002</v>
      </c>
      <c r="AB1346">
        <f t="shared" ref="AB1346:AB1409" si="150">YEAR(J1346)</f>
        <v>2025</v>
      </c>
      <c r="AC1346" t="str">
        <f t="shared" ref="AC1346:AC1409" si="151">IF(ISBLANK(L1346),"",YEAR(L1346))</f>
        <v/>
      </c>
      <c r="AD1346" s="28">
        <f>ROUND((IF(ISBLANK(L1346),Employee_Lookups!$O$14,L1346)-J1346)/365.25,2)</f>
        <v>0.45</v>
      </c>
      <c r="AE1346" t="str">
        <f t="shared" ref="AE1346:AE1409" si="152">IF(AD1346&lt;1,"&lt; 1 Yr (New)",IF(AD1346&lt;3,"1 - 3 Yrs",IF(AD1346&lt;5,"3 - 5 Yrs","5+ Yrs")))</f>
        <v>&lt; 1 Yr (New)</v>
      </c>
      <c r="AF1346" t="str">
        <f t="shared" ref="AF1346:AF1409" si="153">IF(K1346&lt;&gt;"Active","Exited",IF(AND(Q1346="Yes",OR(P1346&gt;=4,AA1346&lt;0.95)),"High Risk",IF(OR(Q1346="Yes",AND(NOT(ISBLANK(P1346)),P1346&lt;=2)),"Moderate Risk","Low Risk")))</f>
        <v>Low Risk</v>
      </c>
    </row>
    <row r="1347" spans="1:32" x14ac:dyDescent="0.45">
      <c r="A1347" t="s">
        <v>2235</v>
      </c>
      <c r="B1347" t="s">
        <v>2047</v>
      </c>
      <c r="C1347" t="s">
        <v>57</v>
      </c>
      <c r="D1347" t="s">
        <v>56</v>
      </c>
      <c r="E1347" t="s">
        <v>160</v>
      </c>
      <c r="F1347" t="s">
        <v>81</v>
      </c>
      <c r="G1347" t="s">
        <v>161</v>
      </c>
      <c r="H1347" t="s">
        <v>108</v>
      </c>
      <c r="I1347" t="s">
        <v>107</v>
      </c>
      <c r="J1347" s="26">
        <v>45859</v>
      </c>
      <c r="K1347" t="s">
        <v>162</v>
      </c>
      <c r="L1347" s="26"/>
      <c r="M1347" t="s">
        <v>163</v>
      </c>
      <c r="N1347" t="s">
        <v>98</v>
      </c>
      <c r="O1347" s="27">
        <v>814000</v>
      </c>
      <c r="Q1347" t="s">
        <v>164</v>
      </c>
      <c r="R1347">
        <v>31</v>
      </c>
      <c r="S1347" t="s">
        <v>224</v>
      </c>
      <c r="T1347">
        <f t="shared" si="147"/>
        <v>10252</v>
      </c>
      <c r="U1347" t="str">
        <f t="shared" si="148"/>
        <v>MKT</v>
      </c>
      <c r="V1347" t="str">
        <f t="shared" si="149"/>
        <v>L1</v>
      </c>
      <c r="W1347" t="str">
        <f>PROPER(TRIM(VLOOKUP(S1347,Employee_Lookups!$I$4:$M$19,2,FALSE())))</f>
        <v>Tanvi Chitnis</v>
      </c>
      <c r="X1347" t="str">
        <f>VLOOKUP(C1347,Employee_Lookups!$A$4:$G$9,4,FALSE())</f>
        <v>CC-606</v>
      </c>
      <c r="Y1347" t="str">
        <f>INDEX(Employee_Lookups!$C$13:$C$17,MATCH(F1347,Employee_Lookups!$A$13:$A$17,0))</f>
        <v>Band A (Entry)</v>
      </c>
      <c r="Z1347" s="27">
        <f>_xlfn.XLOOKUP(F1347,Employee_Lookups!$A$13:$A$17,Employee_Lookups!$E$13:$E$17,0)</f>
        <v>700000</v>
      </c>
      <c r="AA1347" s="28">
        <f>ROUND(O1347/INDEX(Employee_Lookups!$E$13:$E$17,MATCH(F1347,Employee_Lookups!$A$13:$A$17,0)),3)</f>
        <v>1.163</v>
      </c>
      <c r="AB1347">
        <f t="shared" si="150"/>
        <v>2025</v>
      </c>
      <c r="AC1347" t="str">
        <f t="shared" si="151"/>
        <v/>
      </c>
      <c r="AD1347" s="28">
        <f>ROUND((IF(ISBLANK(L1347),Employee_Lookups!$O$14,L1347)-J1347)/365.25,2)</f>
        <v>0.45</v>
      </c>
      <c r="AE1347" t="str">
        <f t="shared" si="152"/>
        <v>&lt; 1 Yr (New)</v>
      </c>
      <c r="AF1347" t="str">
        <f t="shared" si="153"/>
        <v>Low Risk</v>
      </c>
    </row>
    <row r="1348" spans="1:32" x14ac:dyDescent="0.45">
      <c r="A1348" t="s">
        <v>2236</v>
      </c>
      <c r="B1348" t="s">
        <v>1039</v>
      </c>
      <c r="C1348" t="s">
        <v>59</v>
      </c>
      <c r="D1348" t="s">
        <v>58</v>
      </c>
      <c r="E1348" t="s">
        <v>206</v>
      </c>
      <c r="F1348" t="s">
        <v>81</v>
      </c>
      <c r="G1348" t="s">
        <v>207</v>
      </c>
      <c r="H1348" t="s">
        <v>112</v>
      </c>
      <c r="I1348" t="s">
        <v>113</v>
      </c>
      <c r="J1348" s="26">
        <v>45860</v>
      </c>
      <c r="K1348" t="s">
        <v>162</v>
      </c>
      <c r="L1348" s="26"/>
      <c r="M1348" t="s">
        <v>163</v>
      </c>
      <c r="N1348" t="s">
        <v>99</v>
      </c>
      <c r="O1348" s="27">
        <v>591000</v>
      </c>
      <c r="P1348">
        <v>4</v>
      </c>
      <c r="Q1348" t="s">
        <v>164</v>
      </c>
      <c r="R1348">
        <v>25</v>
      </c>
      <c r="S1348" t="s">
        <v>208</v>
      </c>
      <c r="T1348">
        <f t="shared" si="147"/>
        <v>11428</v>
      </c>
      <c r="U1348" t="str">
        <f t="shared" si="148"/>
        <v>FIN</v>
      </c>
      <c r="V1348" t="str">
        <f t="shared" si="149"/>
        <v>L1</v>
      </c>
      <c r="W1348" t="str">
        <f>PROPER(TRIM(VLOOKUP(S1348,Employee_Lookups!$I$4:$M$19,2,FALSE())))</f>
        <v>Rajeshwari Rao</v>
      </c>
      <c r="X1348" t="str">
        <f>VLOOKUP(C1348,Employee_Lookups!$A$4:$G$9,4,FALSE())</f>
        <v>CC-404</v>
      </c>
      <c r="Y1348" t="str">
        <f>INDEX(Employee_Lookups!$C$13:$C$17,MATCH(F1348,Employee_Lookups!$A$13:$A$17,0))</f>
        <v>Band A (Entry)</v>
      </c>
      <c r="Z1348" s="27">
        <f>_xlfn.XLOOKUP(F1348,Employee_Lookups!$A$13:$A$17,Employee_Lookups!$E$13:$E$17,0)</f>
        <v>700000</v>
      </c>
      <c r="AA1348" s="28">
        <f>ROUND(O1348/INDEX(Employee_Lookups!$E$13:$E$17,MATCH(F1348,Employee_Lookups!$A$13:$A$17,0)),3)</f>
        <v>0.84399999999999997</v>
      </c>
      <c r="AB1348">
        <f t="shared" si="150"/>
        <v>2025</v>
      </c>
      <c r="AC1348" t="str">
        <f t="shared" si="151"/>
        <v/>
      </c>
      <c r="AD1348" s="28">
        <f>ROUND((IF(ISBLANK(L1348),Employee_Lookups!$O$14,L1348)-J1348)/365.25,2)</f>
        <v>0.44</v>
      </c>
      <c r="AE1348" t="str">
        <f t="shared" si="152"/>
        <v>&lt; 1 Yr (New)</v>
      </c>
      <c r="AF1348" t="str">
        <f t="shared" si="153"/>
        <v>Low Risk</v>
      </c>
    </row>
    <row r="1349" spans="1:32" x14ac:dyDescent="0.45">
      <c r="A1349" t="s">
        <v>2237</v>
      </c>
      <c r="B1349" t="s">
        <v>2238</v>
      </c>
      <c r="C1349" t="s">
        <v>61</v>
      </c>
      <c r="D1349" t="s">
        <v>60</v>
      </c>
      <c r="E1349" t="s">
        <v>356</v>
      </c>
      <c r="F1349" t="s">
        <v>81</v>
      </c>
      <c r="G1349" t="s">
        <v>357</v>
      </c>
      <c r="H1349" t="s">
        <v>106</v>
      </c>
      <c r="I1349" t="s">
        <v>107</v>
      </c>
      <c r="J1349" s="26">
        <v>45863</v>
      </c>
      <c r="K1349" t="s">
        <v>162</v>
      </c>
      <c r="L1349" s="26"/>
      <c r="M1349" t="s">
        <v>163</v>
      </c>
      <c r="N1349" t="s">
        <v>99</v>
      </c>
      <c r="O1349" s="27">
        <v>744000</v>
      </c>
      <c r="Q1349" t="s">
        <v>164</v>
      </c>
      <c r="R1349">
        <v>26</v>
      </c>
      <c r="S1349" t="s">
        <v>319</v>
      </c>
      <c r="T1349">
        <f t="shared" si="147"/>
        <v>10928</v>
      </c>
      <c r="U1349" t="str">
        <f t="shared" si="148"/>
        <v>-HR</v>
      </c>
      <c r="V1349" t="str">
        <f t="shared" si="149"/>
        <v>L1</v>
      </c>
      <c r="W1349" t="str">
        <f>PROPER(TRIM(VLOOKUP(S1349,Employee_Lookups!$I$4:$M$19,2,FALSE())))</f>
        <v>Kavita Menon</v>
      </c>
      <c r="X1349" t="str">
        <f>VLOOKUP(C1349,Employee_Lookups!$A$4:$G$9,4,FALSE())</f>
        <v>CC-505</v>
      </c>
      <c r="Y1349" t="str">
        <f>INDEX(Employee_Lookups!$C$13:$C$17,MATCH(F1349,Employee_Lookups!$A$13:$A$17,0))</f>
        <v>Band A (Entry)</v>
      </c>
      <c r="Z1349" s="27">
        <f>_xlfn.XLOOKUP(F1349,Employee_Lookups!$A$13:$A$17,Employee_Lookups!$E$13:$E$17,0)</f>
        <v>700000</v>
      </c>
      <c r="AA1349" s="28">
        <f>ROUND(O1349/INDEX(Employee_Lookups!$E$13:$E$17,MATCH(F1349,Employee_Lookups!$A$13:$A$17,0)),3)</f>
        <v>1.0629999999999999</v>
      </c>
      <c r="AB1349">
        <f t="shared" si="150"/>
        <v>2025</v>
      </c>
      <c r="AC1349" t="str">
        <f t="shared" si="151"/>
        <v/>
      </c>
      <c r="AD1349" s="28">
        <f>ROUND((IF(ISBLANK(L1349),Employee_Lookups!$O$14,L1349)-J1349)/365.25,2)</f>
        <v>0.44</v>
      </c>
      <c r="AE1349" t="str">
        <f t="shared" si="152"/>
        <v>&lt; 1 Yr (New)</v>
      </c>
      <c r="AF1349" t="str">
        <f t="shared" si="153"/>
        <v>Low Risk</v>
      </c>
    </row>
    <row r="1350" spans="1:32" x14ac:dyDescent="0.45">
      <c r="A1350" t="s">
        <v>2239</v>
      </c>
      <c r="B1350" t="s">
        <v>343</v>
      </c>
      <c r="C1350" t="s">
        <v>51</v>
      </c>
      <c r="D1350" t="s">
        <v>50</v>
      </c>
      <c r="E1350" t="s">
        <v>181</v>
      </c>
      <c r="F1350" t="s">
        <v>81</v>
      </c>
      <c r="G1350" t="s">
        <v>182</v>
      </c>
      <c r="H1350" t="s">
        <v>108</v>
      </c>
      <c r="I1350" t="s">
        <v>107</v>
      </c>
      <c r="J1350" s="26">
        <v>45865</v>
      </c>
      <c r="K1350" t="s">
        <v>162</v>
      </c>
      <c r="L1350" s="26"/>
      <c r="M1350" t="s">
        <v>163</v>
      </c>
      <c r="N1350" t="s">
        <v>99</v>
      </c>
      <c r="O1350" s="27">
        <v>848000</v>
      </c>
      <c r="P1350">
        <v>2</v>
      </c>
      <c r="Q1350" t="s">
        <v>172</v>
      </c>
      <c r="R1350">
        <v>13</v>
      </c>
      <c r="S1350" t="s">
        <v>219</v>
      </c>
      <c r="T1350">
        <f t="shared" si="147"/>
        <v>11161</v>
      </c>
      <c r="U1350" t="str">
        <f t="shared" si="148"/>
        <v>ENG</v>
      </c>
      <c r="V1350" t="str">
        <f t="shared" si="149"/>
        <v>L1</v>
      </c>
      <c r="W1350" t="str">
        <f>PROPER(TRIM(VLOOKUP(S1350,Employee_Lookups!$I$4:$M$19,2,FALSE())))</f>
        <v>Neha Kulkarni</v>
      </c>
      <c r="X1350" t="str">
        <f>VLOOKUP(C1350,Employee_Lookups!$A$4:$G$9,4,FALSE())</f>
        <v>CC-101</v>
      </c>
      <c r="Y1350" t="str">
        <f>INDEX(Employee_Lookups!$C$13:$C$17,MATCH(F1350,Employee_Lookups!$A$13:$A$17,0))</f>
        <v>Band A (Entry)</v>
      </c>
      <c r="Z1350" s="27">
        <f>_xlfn.XLOOKUP(F1350,Employee_Lookups!$A$13:$A$17,Employee_Lookups!$E$13:$E$17,0)</f>
        <v>700000</v>
      </c>
      <c r="AA1350" s="28">
        <f>ROUND(O1350/INDEX(Employee_Lookups!$E$13:$E$17,MATCH(F1350,Employee_Lookups!$A$13:$A$17,0)),3)</f>
        <v>1.2110000000000001</v>
      </c>
      <c r="AB1350">
        <f t="shared" si="150"/>
        <v>2025</v>
      </c>
      <c r="AC1350" t="str">
        <f t="shared" si="151"/>
        <v/>
      </c>
      <c r="AD1350" s="28">
        <f>ROUND((IF(ISBLANK(L1350),Employee_Lookups!$O$14,L1350)-J1350)/365.25,2)</f>
        <v>0.43</v>
      </c>
      <c r="AE1350" t="str">
        <f t="shared" si="152"/>
        <v>&lt; 1 Yr (New)</v>
      </c>
      <c r="AF1350" t="str">
        <f t="shared" si="153"/>
        <v>Moderate Risk</v>
      </c>
    </row>
    <row r="1351" spans="1:32" x14ac:dyDescent="0.45">
      <c r="A1351" t="s">
        <v>2240</v>
      </c>
      <c r="B1351" t="s">
        <v>1754</v>
      </c>
      <c r="C1351" t="s">
        <v>55</v>
      </c>
      <c r="D1351" t="s">
        <v>54</v>
      </c>
      <c r="E1351" t="s">
        <v>277</v>
      </c>
      <c r="F1351" t="s">
        <v>81</v>
      </c>
      <c r="G1351" t="s">
        <v>278</v>
      </c>
      <c r="H1351" t="s">
        <v>109</v>
      </c>
      <c r="I1351" t="s">
        <v>110</v>
      </c>
      <c r="J1351" s="26">
        <v>45866</v>
      </c>
      <c r="K1351" t="s">
        <v>162</v>
      </c>
      <c r="L1351" s="26"/>
      <c r="M1351" t="s">
        <v>163</v>
      </c>
      <c r="N1351" t="s">
        <v>99</v>
      </c>
      <c r="O1351" s="27">
        <v>626000</v>
      </c>
      <c r="P1351">
        <v>4</v>
      </c>
      <c r="Q1351" t="s">
        <v>172</v>
      </c>
      <c r="R1351">
        <v>44</v>
      </c>
      <c r="S1351" t="s">
        <v>173</v>
      </c>
      <c r="T1351">
        <f t="shared" si="147"/>
        <v>10447</v>
      </c>
      <c r="U1351" t="str">
        <f t="shared" si="148"/>
        <v>OPS</v>
      </c>
      <c r="V1351" t="str">
        <f t="shared" si="149"/>
        <v>L1</v>
      </c>
      <c r="W1351" t="str">
        <f>PROPER(TRIM(VLOOKUP(S1351,Employee_Lookups!$I$4:$M$19,2,FALSE())))</f>
        <v>Deepak Patil</v>
      </c>
      <c r="X1351" t="str">
        <f>VLOOKUP(C1351,Employee_Lookups!$A$4:$G$9,4,FALSE())</f>
        <v>CC-303</v>
      </c>
      <c r="Y1351" t="str">
        <f>INDEX(Employee_Lookups!$C$13:$C$17,MATCH(F1351,Employee_Lookups!$A$13:$A$17,0))</f>
        <v>Band A (Entry)</v>
      </c>
      <c r="Z1351" s="27">
        <f>_xlfn.XLOOKUP(F1351,Employee_Lookups!$A$13:$A$17,Employee_Lookups!$E$13:$E$17,0)</f>
        <v>700000</v>
      </c>
      <c r="AA1351" s="28">
        <f>ROUND(O1351/INDEX(Employee_Lookups!$E$13:$E$17,MATCH(F1351,Employee_Lookups!$A$13:$A$17,0)),3)</f>
        <v>0.89400000000000002</v>
      </c>
      <c r="AB1351">
        <f t="shared" si="150"/>
        <v>2025</v>
      </c>
      <c r="AC1351" t="str">
        <f t="shared" si="151"/>
        <v/>
      </c>
      <c r="AD1351" s="28">
        <f>ROUND((IF(ISBLANK(L1351),Employee_Lookups!$O$14,L1351)-J1351)/365.25,2)</f>
        <v>0.43</v>
      </c>
      <c r="AE1351" t="str">
        <f t="shared" si="152"/>
        <v>&lt; 1 Yr (New)</v>
      </c>
      <c r="AF1351" t="str">
        <f t="shared" si="153"/>
        <v>High Risk</v>
      </c>
    </row>
    <row r="1352" spans="1:32" x14ac:dyDescent="0.45">
      <c r="A1352" t="s">
        <v>2241</v>
      </c>
      <c r="B1352" t="s">
        <v>159</v>
      </c>
      <c r="C1352" t="s">
        <v>53</v>
      </c>
      <c r="D1352" t="s">
        <v>52</v>
      </c>
      <c r="E1352" t="s">
        <v>185</v>
      </c>
      <c r="F1352" t="s">
        <v>82</v>
      </c>
      <c r="G1352" t="s">
        <v>186</v>
      </c>
      <c r="H1352" t="s">
        <v>109</v>
      </c>
      <c r="I1352" t="s">
        <v>110</v>
      </c>
      <c r="J1352" s="26">
        <v>45870</v>
      </c>
      <c r="K1352" t="s">
        <v>162</v>
      </c>
      <c r="L1352" s="26"/>
      <c r="M1352" t="s">
        <v>163</v>
      </c>
      <c r="N1352" t="s">
        <v>99</v>
      </c>
      <c r="O1352" s="27">
        <v>1031000</v>
      </c>
      <c r="Q1352" t="s">
        <v>172</v>
      </c>
      <c r="R1352">
        <v>34</v>
      </c>
      <c r="S1352" t="s">
        <v>189</v>
      </c>
      <c r="T1352">
        <f t="shared" si="147"/>
        <v>10018</v>
      </c>
      <c r="U1352" t="str">
        <f t="shared" si="148"/>
        <v>SAL</v>
      </c>
      <c r="V1352" t="str">
        <f t="shared" si="149"/>
        <v>L2</v>
      </c>
      <c r="W1352" t="str">
        <f>PROPER(TRIM(VLOOKUP(S1352,Employee_Lookups!$I$4:$M$19,2,FALSE())))</f>
        <v>Priya Sharma</v>
      </c>
      <c r="X1352" t="str">
        <f>VLOOKUP(C1352,Employee_Lookups!$A$4:$G$9,4,FALSE())</f>
        <v>CC-202</v>
      </c>
      <c r="Y1352" t="str">
        <f>INDEX(Employee_Lookups!$C$13:$C$17,MATCH(F1352,Employee_Lookups!$A$13:$A$17,0))</f>
        <v>Band B (Mid)</v>
      </c>
      <c r="Z1352" s="27">
        <f>_xlfn.XLOOKUP(F1352,Employee_Lookups!$A$13:$A$17,Employee_Lookups!$E$13:$E$17,0)</f>
        <v>1100000</v>
      </c>
      <c r="AA1352" s="28">
        <f>ROUND(O1352/INDEX(Employee_Lookups!$E$13:$E$17,MATCH(F1352,Employee_Lookups!$A$13:$A$17,0)),3)</f>
        <v>0.93700000000000006</v>
      </c>
      <c r="AB1352">
        <f t="shared" si="150"/>
        <v>2025</v>
      </c>
      <c r="AC1352" t="str">
        <f t="shared" si="151"/>
        <v/>
      </c>
      <c r="AD1352" s="28">
        <f>ROUND((IF(ISBLANK(L1352),Employee_Lookups!$O$14,L1352)-J1352)/365.25,2)</f>
        <v>0.42</v>
      </c>
      <c r="AE1352" t="str">
        <f t="shared" si="152"/>
        <v>&lt; 1 Yr (New)</v>
      </c>
      <c r="AF1352" t="str">
        <f t="shared" si="153"/>
        <v>High Risk</v>
      </c>
    </row>
    <row r="1353" spans="1:32" x14ac:dyDescent="0.45">
      <c r="A1353" t="s">
        <v>2242</v>
      </c>
      <c r="B1353" t="s">
        <v>899</v>
      </c>
      <c r="C1353" t="s">
        <v>57</v>
      </c>
      <c r="D1353" t="s">
        <v>56</v>
      </c>
      <c r="E1353" t="s">
        <v>160</v>
      </c>
      <c r="F1353" t="s">
        <v>81</v>
      </c>
      <c r="G1353" t="s">
        <v>161</v>
      </c>
      <c r="H1353" t="s">
        <v>108</v>
      </c>
      <c r="I1353" t="s">
        <v>107</v>
      </c>
      <c r="J1353" s="26">
        <v>45870</v>
      </c>
      <c r="K1353" t="s">
        <v>162</v>
      </c>
      <c r="L1353" s="26"/>
      <c r="M1353" t="s">
        <v>163</v>
      </c>
      <c r="N1353" t="s">
        <v>99</v>
      </c>
      <c r="O1353" s="27">
        <v>640000</v>
      </c>
      <c r="Q1353" t="s">
        <v>164</v>
      </c>
      <c r="R1353">
        <v>34</v>
      </c>
      <c r="S1353" t="s">
        <v>165</v>
      </c>
      <c r="T1353">
        <f t="shared" si="147"/>
        <v>10067</v>
      </c>
      <c r="U1353" t="str">
        <f t="shared" si="148"/>
        <v>MKT</v>
      </c>
      <c r="V1353" t="str">
        <f t="shared" si="149"/>
        <v>L1</v>
      </c>
      <c r="W1353" t="str">
        <f>PROPER(TRIM(VLOOKUP(S1353,Employee_Lookups!$I$4:$M$19,2,FALSE())))</f>
        <v>Arjun Sengupta</v>
      </c>
      <c r="X1353" t="str">
        <f>VLOOKUP(C1353,Employee_Lookups!$A$4:$G$9,4,FALSE())</f>
        <v>CC-606</v>
      </c>
      <c r="Y1353" t="str">
        <f>INDEX(Employee_Lookups!$C$13:$C$17,MATCH(F1353,Employee_Lookups!$A$13:$A$17,0))</f>
        <v>Band A (Entry)</v>
      </c>
      <c r="Z1353" s="27">
        <f>_xlfn.XLOOKUP(F1353,Employee_Lookups!$A$13:$A$17,Employee_Lookups!$E$13:$E$17,0)</f>
        <v>700000</v>
      </c>
      <c r="AA1353" s="28">
        <f>ROUND(O1353/INDEX(Employee_Lookups!$E$13:$E$17,MATCH(F1353,Employee_Lookups!$A$13:$A$17,0)),3)</f>
        <v>0.91400000000000003</v>
      </c>
      <c r="AB1353">
        <f t="shared" si="150"/>
        <v>2025</v>
      </c>
      <c r="AC1353" t="str">
        <f t="shared" si="151"/>
        <v/>
      </c>
      <c r="AD1353" s="28">
        <f>ROUND((IF(ISBLANK(L1353),Employee_Lookups!$O$14,L1353)-J1353)/365.25,2)</f>
        <v>0.42</v>
      </c>
      <c r="AE1353" t="str">
        <f t="shared" si="152"/>
        <v>&lt; 1 Yr (New)</v>
      </c>
      <c r="AF1353" t="str">
        <f t="shared" si="153"/>
        <v>Low Risk</v>
      </c>
    </row>
    <row r="1354" spans="1:32" x14ac:dyDescent="0.45">
      <c r="A1354" t="s">
        <v>2243</v>
      </c>
      <c r="B1354" t="s">
        <v>1240</v>
      </c>
      <c r="C1354" t="s">
        <v>55</v>
      </c>
      <c r="D1354" t="s">
        <v>54</v>
      </c>
      <c r="E1354" t="s">
        <v>240</v>
      </c>
      <c r="F1354" t="s">
        <v>83</v>
      </c>
      <c r="G1354" t="s">
        <v>241</v>
      </c>
      <c r="H1354" t="s">
        <v>106</v>
      </c>
      <c r="I1354" t="s">
        <v>107</v>
      </c>
      <c r="J1354" s="26">
        <v>45871</v>
      </c>
      <c r="K1354" t="s">
        <v>162</v>
      </c>
      <c r="L1354" s="26"/>
      <c r="M1354" t="s">
        <v>163</v>
      </c>
      <c r="N1354" t="s">
        <v>95</v>
      </c>
      <c r="O1354" s="27">
        <v>1925000</v>
      </c>
      <c r="P1354">
        <v>3</v>
      </c>
      <c r="Q1354" t="s">
        <v>172</v>
      </c>
      <c r="R1354">
        <v>25</v>
      </c>
      <c r="S1354" t="s">
        <v>173</v>
      </c>
      <c r="T1354">
        <f t="shared" si="147"/>
        <v>10713</v>
      </c>
      <c r="U1354" t="str">
        <f t="shared" si="148"/>
        <v>OPS</v>
      </c>
      <c r="V1354" t="str">
        <f t="shared" si="149"/>
        <v>L3</v>
      </c>
      <c r="W1354" t="str">
        <f>PROPER(TRIM(VLOOKUP(S1354,Employee_Lookups!$I$4:$M$19,2,FALSE())))</f>
        <v>Deepak Patil</v>
      </c>
      <c r="X1354" t="str">
        <f>VLOOKUP(C1354,Employee_Lookups!$A$4:$G$9,4,FALSE())</f>
        <v>CC-303</v>
      </c>
      <c r="Y1354" t="str">
        <f>INDEX(Employee_Lookups!$C$13:$C$17,MATCH(F1354,Employee_Lookups!$A$13:$A$17,0))</f>
        <v>Band C (Senior)</v>
      </c>
      <c r="Z1354" s="27">
        <f>_xlfn.XLOOKUP(F1354,Employee_Lookups!$A$13:$A$17,Employee_Lookups!$E$13:$E$17,0)</f>
        <v>1725000</v>
      </c>
      <c r="AA1354" s="28">
        <f>ROUND(O1354/INDEX(Employee_Lookups!$E$13:$E$17,MATCH(F1354,Employee_Lookups!$A$13:$A$17,0)),3)</f>
        <v>1.1160000000000001</v>
      </c>
      <c r="AB1354">
        <f t="shared" si="150"/>
        <v>2025</v>
      </c>
      <c r="AC1354" t="str">
        <f t="shared" si="151"/>
        <v/>
      </c>
      <c r="AD1354" s="28">
        <f>ROUND((IF(ISBLANK(L1354),Employee_Lookups!$O$14,L1354)-J1354)/365.25,2)</f>
        <v>0.41</v>
      </c>
      <c r="AE1354" t="str">
        <f t="shared" si="152"/>
        <v>&lt; 1 Yr (New)</v>
      </c>
      <c r="AF1354" t="str">
        <f t="shared" si="153"/>
        <v>Moderate Risk</v>
      </c>
    </row>
    <row r="1355" spans="1:32" x14ac:dyDescent="0.45">
      <c r="A1355" t="s">
        <v>2244</v>
      </c>
      <c r="B1355" t="s">
        <v>677</v>
      </c>
      <c r="C1355" t="s">
        <v>51</v>
      </c>
      <c r="D1355" t="s">
        <v>50</v>
      </c>
      <c r="E1355" t="s">
        <v>181</v>
      </c>
      <c r="F1355" t="s">
        <v>81</v>
      </c>
      <c r="G1355" t="s">
        <v>182</v>
      </c>
      <c r="H1355" t="s">
        <v>109</v>
      </c>
      <c r="I1355" t="s">
        <v>110</v>
      </c>
      <c r="J1355" s="26">
        <v>45872</v>
      </c>
      <c r="K1355" t="s">
        <v>162</v>
      </c>
      <c r="L1355" s="26"/>
      <c r="M1355" t="s">
        <v>163</v>
      </c>
      <c r="N1355" t="s">
        <v>96</v>
      </c>
      <c r="O1355" s="27">
        <v>587000</v>
      </c>
      <c r="P1355">
        <v>3</v>
      </c>
      <c r="Q1355" t="s">
        <v>172</v>
      </c>
      <c r="R1355">
        <v>42</v>
      </c>
      <c r="S1355" t="s">
        <v>197</v>
      </c>
      <c r="T1355">
        <f t="shared" si="147"/>
        <v>10888</v>
      </c>
      <c r="U1355" t="str">
        <f t="shared" si="148"/>
        <v>ENG</v>
      </c>
      <c r="V1355" t="str">
        <f t="shared" si="149"/>
        <v>L1</v>
      </c>
      <c r="W1355" t="str">
        <f>PROPER(TRIM(VLOOKUP(S1355,Employee_Lookups!$I$4:$M$19,2,FALSE())))</f>
        <v>Rohan Verma</v>
      </c>
      <c r="X1355" t="str">
        <f>VLOOKUP(C1355,Employee_Lookups!$A$4:$G$9,4,FALSE())</f>
        <v>CC-101</v>
      </c>
      <c r="Y1355" t="str">
        <f>INDEX(Employee_Lookups!$C$13:$C$17,MATCH(F1355,Employee_Lookups!$A$13:$A$17,0))</f>
        <v>Band A (Entry)</v>
      </c>
      <c r="Z1355" s="27">
        <f>_xlfn.XLOOKUP(F1355,Employee_Lookups!$A$13:$A$17,Employee_Lookups!$E$13:$E$17,0)</f>
        <v>700000</v>
      </c>
      <c r="AA1355" s="28">
        <f>ROUND(O1355/INDEX(Employee_Lookups!$E$13:$E$17,MATCH(F1355,Employee_Lookups!$A$13:$A$17,0)),3)</f>
        <v>0.83899999999999997</v>
      </c>
      <c r="AB1355">
        <f t="shared" si="150"/>
        <v>2025</v>
      </c>
      <c r="AC1355" t="str">
        <f t="shared" si="151"/>
        <v/>
      </c>
      <c r="AD1355" s="28">
        <f>ROUND((IF(ISBLANK(L1355),Employee_Lookups!$O$14,L1355)-J1355)/365.25,2)</f>
        <v>0.41</v>
      </c>
      <c r="AE1355" t="str">
        <f t="shared" si="152"/>
        <v>&lt; 1 Yr (New)</v>
      </c>
      <c r="AF1355" t="str">
        <f t="shared" si="153"/>
        <v>High Risk</v>
      </c>
    </row>
    <row r="1356" spans="1:32" x14ac:dyDescent="0.45">
      <c r="A1356" t="s">
        <v>2245</v>
      </c>
      <c r="B1356" t="s">
        <v>2246</v>
      </c>
      <c r="C1356" t="s">
        <v>51</v>
      </c>
      <c r="D1356" t="s">
        <v>50</v>
      </c>
      <c r="E1356" t="s">
        <v>181</v>
      </c>
      <c r="F1356" t="s">
        <v>81</v>
      </c>
      <c r="G1356" t="s">
        <v>182</v>
      </c>
      <c r="H1356" t="s">
        <v>108</v>
      </c>
      <c r="I1356" t="s">
        <v>107</v>
      </c>
      <c r="J1356" s="26">
        <v>45873</v>
      </c>
      <c r="K1356" t="s">
        <v>162</v>
      </c>
      <c r="L1356" s="26"/>
      <c r="M1356" t="s">
        <v>163</v>
      </c>
      <c r="N1356" t="s">
        <v>95</v>
      </c>
      <c r="O1356" s="27">
        <v>665000</v>
      </c>
      <c r="Q1356" t="s">
        <v>172</v>
      </c>
      <c r="R1356">
        <v>38</v>
      </c>
      <c r="S1356" t="s">
        <v>178</v>
      </c>
      <c r="T1356">
        <f t="shared" si="147"/>
        <v>10578</v>
      </c>
      <c r="U1356" t="str">
        <f t="shared" si="148"/>
        <v>ENG</v>
      </c>
      <c r="V1356" t="str">
        <f t="shared" si="149"/>
        <v>L1</v>
      </c>
      <c r="W1356" t="str">
        <f>PROPER(TRIM(VLOOKUP(S1356,Employee_Lookups!$I$4:$M$19,2,FALSE())))</f>
        <v>Aarav Deshmukh</v>
      </c>
      <c r="X1356" t="str">
        <f>VLOOKUP(C1356,Employee_Lookups!$A$4:$G$9,4,FALSE())</f>
        <v>CC-101</v>
      </c>
      <c r="Y1356" t="str">
        <f>INDEX(Employee_Lookups!$C$13:$C$17,MATCH(F1356,Employee_Lookups!$A$13:$A$17,0))</f>
        <v>Band A (Entry)</v>
      </c>
      <c r="Z1356" s="27">
        <f>_xlfn.XLOOKUP(F1356,Employee_Lookups!$A$13:$A$17,Employee_Lookups!$E$13:$E$17,0)</f>
        <v>700000</v>
      </c>
      <c r="AA1356" s="28">
        <f>ROUND(O1356/INDEX(Employee_Lookups!$E$13:$E$17,MATCH(F1356,Employee_Lookups!$A$13:$A$17,0)),3)</f>
        <v>0.95</v>
      </c>
      <c r="AB1356">
        <f t="shared" si="150"/>
        <v>2025</v>
      </c>
      <c r="AC1356" t="str">
        <f t="shared" si="151"/>
        <v/>
      </c>
      <c r="AD1356" s="28">
        <f>ROUND((IF(ISBLANK(L1356),Employee_Lookups!$O$14,L1356)-J1356)/365.25,2)</f>
        <v>0.41</v>
      </c>
      <c r="AE1356" t="str">
        <f t="shared" si="152"/>
        <v>&lt; 1 Yr (New)</v>
      </c>
      <c r="AF1356" t="str">
        <f t="shared" si="153"/>
        <v>Moderate Risk</v>
      </c>
    </row>
    <row r="1357" spans="1:32" x14ac:dyDescent="0.45">
      <c r="A1357" t="s">
        <v>2247</v>
      </c>
      <c r="B1357" t="s">
        <v>1172</v>
      </c>
      <c r="C1357" t="s">
        <v>55</v>
      </c>
      <c r="D1357" t="s">
        <v>54</v>
      </c>
      <c r="E1357" t="s">
        <v>240</v>
      </c>
      <c r="F1357" t="s">
        <v>83</v>
      </c>
      <c r="G1357" t="s">
        <v>241</v>
      </c>
      <c r="H1357" t="s">
        <v>106</v>
      </c>
      <c r="I1357" t="s">
        <v>107</v>
      </c>
      <c r="J1357" s="26">
        <v>45875</v>
      </c>
      <c r="K1357" t="s">
        <v>162</v>
      </c>
      <c r="L1357" s="26"/>
      <c r="M1357" t="s">
        <v>163</v>
      </c>
      <c r="N1357" t="s">
        <v>97</v>
      </c>
      <c r="O1357" s="27">
        <v>1658000</v>
      </c>
      <c r="P1357">
        <v>2</v>
      </c>
      <c r="Q1357" t="s">
        <v>172</v>
      </c>
      <c r="R1357">
        <v>4</v>
      </c>
      <c r="S1357" t="s">
        <v>173</v>
      </c>
      <c r="T1357">
        <f t="shared" si="147"/>
        <v>10554</v>
      </c>
      <c r="U1357" t="str">
        <f t="shared" si="148"/>
        <v>OPS</v>
      </c>
      <c r="V1357" t="str">
        <f t="shared" si="149"/>
        <v>L3</v>
      </c>
      <c r="W1357" t="str">
        <f>PROPER(TRIM(VLOOKUP(S1357,Employee_Lookups!$I$4:$M$19,2,FALSE())))</f>
        <v>Deepak Patil</v>
      </c>
      <c r="X1357" t="str">
        <f>VLOOKUP(C1357,Employee_Lookups!$A$4:$G$9,4,FALSE())</f>
        <v>CC-303</v>
      </c>
      <c r="Y1357" t="str">
        <f>INDEX(Employee_Lookups!$C$13:$C$17,MATCH(F1357,Employee_Lookups!$A$13:$A$17,0))</f>
        <v>Band C (Senior)</v>
      </c>
      <c r="Z1357" s="27">
        <f>_xlfn.XLOOKUP(F1357,Employee_Lookups!$A$13:$A$17,Employee_Lookups!$E$13:$E$17,0)</f>
        <v>1725000</v>
      </c>
      <c r="AA1357" s="28">
        <f>ROUND(O1357/INDEX(Employee_Lookups!$E$13:$E$17,MATCH(F1357,Employee_Lookups!$A$13:$A$17,0)),3)</f>
        <v>0.96099999999999997</v>
      </c>
      <c r="AB1357">
        <f t="shared" si="150"/>
        <v>2025</v>
      </c>
      <c r="AC1357" t="str">
        <f t="shared" si="151"/>
        <v/>
      </c>
      <c r="AD1357" s="28">
        <f>ROUND((IF(ISBLANK(L1357),Employee_Lookups!$O$14,L1357)-J1357)/365.25,2)</f>
        <v>0.4</v>
      </c>
      <c r="AE1357" t="str">
        <f t="shared" si="152"/>
        <v>&lt; 1 Yr (New)</v>
      </c>
      <c r="AF1357" t="str">
        <f t="shared" si="153"/>
        <v>Moderate Risk</v>
      </c>
    </row>
    <row r="1358" spans="1:32" x14ac:dyDescent="0.45">
      <c r="A1358" t="s">
        <v>2248</v>
      </c>
      <c r="B1358" t="s">
        <v>464</v>
      </c>
      <c r="C1358" t="s">
        <v>53</v>
      </c>
      <c r="D1358" t="s">
        <v>52</v>
      </c>
      <c r="E1358" t="s">
        <v>192</v>
      </c>
      <c r="F1358" t="s">
        <v>83</v>
      </c>
      <c r="G1358" t="s">
        <v>193</v>
      </c>
      <c r="H1358" t="s">
        <v>111</v>
      </c>
      <c r="I1358" t="s">
        <v>110</v>
      </c>
      <c r="J1358" s="26">
        <v>45875</v>
      </c>
      <c r="K1358" t="s">
        <v>187</v>
      </c>
      <c r="L1358" s="26">
        <v>46005</v>
      </c>
      <c r="M1358" t="s">
        <v>188</v>
      </c>
      <c r="N1358" t="s">
        <v>99</v>
      </c>
      <c r="O1358" s="27">
        <v>1910000</v>
      </c>
      <c r="P1358">
        <v>4</v>
      </c>
      <c r="Q1358" t="s">
        <v>172</v>
      </c>
      <c r="R1358">
        <v>12</v>
      </c>
      <c r="S1358" t="s">
        <v>237</v>
      </c>
      <c r="T1358">
        <f t="shared" si="147"/>
        <v>11184</v>
      </c>
      <c r="U1358" t="str">
        <f t="shared" si="148"/>
        <v>SAL</v>
      </c>
      <c r="V1358" t="str">
        <f t="shared" si="149"/>
        <v>L3</v>
      </c>
      <c r="W1358" t="str">
        <f>PROPER(TRIM(VLOOKUP(S1358,Employee_Lookups!$I$4:$M$19,2,FALSE())))</f>
        <v>Karan Malhotra</v>
      </c>
      <c r="X1358" t="str">
        <f>VLOOKUP(C1358,Employee_Lookups!$A$4:$G$9,4,FALSE())</f>
        <v>CC-202</v>
      </c>
      <c r="Y1358" t="str">
        <f>INDEX(Employee_Lookups!$C$13:$C$17,MATCH(F1358,Employee_Lookups!$A$13:$A$17,0))</f>
        <v>Band C (Senior)</v>
      </c>
      <c r="Z1358" s="27">
        <f>_xlfn.XLOOKUP(F1358,Employee_Lookups!$A$13:$A$17,Employee_Lookups!$E$13:$E$17,0)</f>
        <v>1725000</v>
      </c>
      <c r="AA1358" s="28">
        <f>ROUND(O1358/INDEX(Employee_Lookups!$E$13:$E$17,MATCH(F1358,Employee_Lookups!$A$13:$A$17,0)),3)</f>
        <v>1.107</v>
      </c>
      <c r="AB1358">
        <f t="shared" si="150"/>
        <v>2025</v>
      </c>
      <c r="AC1358">
        <f t="shared" si="151"/>
        <v>2025</v>
      </c>
      <c r="AD1358" s="28">
        <f>ROUND((IF(ISBLANK(L1358),Employee_Lookups!$O$14,L1358)-J1358)/365.25,2)</f>
        <v>0.36</v>
      </c>
      <c r="AE1358" t="str">
        <f t="shared" si="152"/>
        <v>&lt; 1 Yr (New)</v>
      </c>
      <c r="AF1358" t="str">
        <f t="shared" si="153"/>
        <v>Exited</v>
      </c>
    </row>
    <row r="1359" spans="1:32" x14ac:dyDescent="0.45">
      <c r="A1359" t="s">
        <v>2249</v>
      </c>
      <c r="B1359" t="s">
        <v>621</v>
      </c>
      <c r="C1359" t="s">
        <v>53</v>
      </c>
      <c r="D1359" t="s">
        <v>52</v>
      </c>
      <c r="E1359" t="s">
        <v>322</v>
      </c>
      <c r="F1359" t="s">
        <v>81</v>
      </c>
      <c r="G1359" t="s">
        <v>323</v>
      </c>
      <c r="H1359" t="s">
        <v>108</v>
      </c>
      <c r="I1359" t="s">
        <v>107</v>
      </c>
      <c r="J1359" s="26">
        <v>45880</v>
      </c>
      <c r="K1359" t="s">
        <v>187</v>
      </c>
      <c r="L1359" s="26">
        <v>45970</v>
      </c>
      <c r="M1359" t="s">
        <v>282</v>
      </c>
      <c r="N1359" t="s">
        <v>97</v>
      </c>
      <c r="O1359" s="27">
        <v>703000</v>
      </c>
      <c r="P1359">
        <v>4</v>
      </c>
      <c r="Q1359" t="s">
        <v>164</v>
      </c>
      <c r="R1359">
        <v>47</v>
      </c>
      <c r="S1359" t="s">
        <v>194</v>
      </c>
      <c r="T1359">
        <f t="shared" si="147"/>
        <v>10824</v>
      </c>
      <c r="U1359" t="str">
        <f t="shared" si="148"/>
        <v>SAL</v>
      </c>
      <c r="V1359" t="str">
        <f t="shared" si="149"/>
        <v>L1</v>
      </c>
      <c r="W1359" t="str">
        <f>PROPER(TRIM(VLOOKUP(S1359,Employee_Lookups!$I$4:$M$19,2,FALSE())))</f>
        <v>Vikramaditya Joshi</v>
      </c>
      <c r="X1359" t="str">
        <f>VLOOKUP(C1359,Employee_Lookups!$A$4:$G$9,4,FALSE())</f>
        <v>CC-202</v>
      </c>
      <c r="Y1359" t="str">
        <f>INDEX(Employee_Lookups!$C$13:$C$17,MATCH(F1359,Employee_Lookups!$A$13:$A$17,0))</f>
        <v>Band A (Entry)</v>
      </c>
      <c r="Z1359" s="27">
        <f>_xlfn.XLOOKUP(F1359,Employee_Lookups!$A$13:$A$17,Employee_Lookups!$E$13:$E$17,0)</f>
        <v>700000</v>
      </c>
      <c r="AA1359" s="28">
        <f>ROUND(O1359/INDEX(Employee_Lookups!$E$13:$E$17,MATCH(F1359,Employee_Lookups!$A$13:$A$17,0)),3)</f>
        <v>1.004</v>
      </c>
      <c r="AB1359">
        <f t="shared" si="150"/>
        <v>2025</v>
      </c>
      <c r="AC1359">
        <f t="shared" si="151"/>
        <v>2025</v>
      </c>
      <c r="AD1359" s="28">
        <f>ROUND((IF(ISBLANK(L1359),Employee_Lookups!$O$14,L1359)-J1359)/365.25,2)</f>
        <v>0.25</v>
      </c>
      <c r="AE1359" t="str">
        <f t="shared" si="152"/>
        <v>&lt; 1 Yr (New)</v>
      </c>
      <c r="AF1359" t="str">
        <f t="shared" si="153"/>
        <v>Exited</v>
      </c>
    </row>
    <row r="1360" spans="1:32" x14ac:dyDescent="0.45">
      <c r="A1360" t="s">
        <v>2250</v>
      </c>
      <c r="B1360" t="s">
        <v>2251</v>
      </c>
      <c r="C1360" t="s">
        <v>57</v>
      </c>
      <c r="D1360" t="s">
        <v>56</v>
      </c>
      <c r="E1360" t="s">
        <v>455</v>
      </c>
      <c r="F1360" t="s">
        <v>84</v>
      </c>
      <c r="G1360" t="s">
        <v>456</v>
      </c>
      <c r="H1360" t="s">
        <v>109</v>
      </c>
      <c r="I1360" t="s">
        <v>110</v>
      </c>
      <c r="J1360" s="26">
        <v>45881</v>
      </c>
      <c r="K1360" t="s">
        <v>162</v>
      </c>
      <c r="L1360" s="26"/>
      <c r="M1360" t="s">
        <v>163</v>
      </c>
      <c r="N1360" t="s">
        <v>95</v>
      </c>
      <c r="O1360" s="27">
        <v>3104000</v>
      </c>
      <c r="P1360">
        <v>2</v>
      </c>
      <c r="Q1360" t="s">
        <v>164</v>
      </c>
      <c r="R1360">
        <v>17</v>
      </c>
      <c r="S1360" t="s">
        <v>224</v>
      </c>
      <c r="T1360">
        <f t="shared" si="147"/>
        <v>10327</v>
      </c>
      <c r="U1360" t="str">
        <f t="shared" si="148"/>
        <v>MKT</v>
      </c>
      <c r="V1360" t="str">
        <f t="shared" si="149"/>
        <v>L4</v>
      </c>
      <c r="W1360" t="str">
        <f>PROPER(TRIM(VLOOKUP(S1360,Employee_Lookups!$I$4:$M$19,2,FALSE())))</f>
        <v>Tanvi Chitnis</v>
      </c>
      <c r="X1360" t="str">
        <f>VLOOKUP(C1360,Employee_Lookups!$A$4:$G$9,4,FALSE())</f>
        <v>CC-606</v>
      </c>
      <c r="Y1360" t="str">
        <f>INDEX(Employee_Lookups!$C$13:$C$17,MATCH(F1360,Employee_Lookups!$A$13:$A$17,0))</f>
        <v>Band D (Leadership)</v>
      </c>
      <c r="Z1360" s="27">
        <f>_xlfn.XLOOKUP(F1360,Employee_Lookups!$A$13:$A$17,Employee_Lookups!$E$13:$E$17,0)</f>
        <v>2750000</v>
      </c>
      <c r="AA1360" s="28">
        <f>ROUND(O1360/INDEX(Employee_Lookups!$E$13:$E$17,MATCH(F1360,Employee_Lookups!$A$13:$A$17,0)),3)</f>
        <v>1.129</v>
      </c>
      <c r="AB1360">
        <f t="shared" si="150"/>
        <v>2025</v>
      </c>
      <c r="AC1360" t="str">
        <f t="shared" si="151"/>
        <v/>
      </c>
      <c r="AD1360" s="28">
        <f>ROUND((IF(ISBLANK(L1360),Employee_Lookups!$O$14,L1360)-J1360)/365.25,2)</f>
        <v>0.39</v>
      </c>
      <c r="AE1360" t="str">
        <f t="shared" si="152"/>
        <v>&lt; 1 Yr (New)</v>
      </c>
      <c r="AF1360" t="str">
        <f t="shared" si="153"/>
        <v>Moderate Risk</v>
      </c>
    </row>
    <row r="1361" spans="1:32" x14ac:dyDescent="0.45">
      <c r="A1361" t="s">
        <v>2252</v>
      </c>
      <c r="B1361" t="s">
        <v>728</v>
      </c>
      <c r="C1361" t="s">
        <v>51</v>
      </c>
      <c r="D1361" t="s">
        <v>50</v>
      </c>
      <c r="E1361" t="s">
        <v>181</v>
      </c>
      <c r="F1361" t="s">
        <v>81</v>
      </c>
      <c r="G1361" t="s">
        <v>182</v>
      </c>
      <c r="H1361" t="s">
        <v>111</v>
      </c>
      <c r="I1361" t="s">
        <v>110</v>
      </c>
      <c r="J1361" s="26">
        <v>45883</v>
      </c>
      <c r="K1361" t="s">
        <v>162</v>
      </c>
      <c r="L1361" s="26"/>
      <c r="M1361" t="s">
        <v>163</v>
      </c>
      <c r="N1361" t="s">
        <v>96</v>
      </c>
      <c r="O1361" s="27">
        <v>760000</v>
      </c>
      <c r="P1361">
        <v>5</v>
      </c>
      <c r="Q1361" t="s">
        <v>172</v>
      </c>
      <c r="R1361">
        <v>29</v>
      </c>
      <c r="S1361" t="s">
        <v>219</v>
      </c>
      <c r="T1361">
        <f t="shared" si="147"/>
        <v>10589</v>
      </c>
      <c r="U1361" t="str">
        <f t="shared" si="148"/>
        <v>ENG</v>
      </c>
      <c r="V1361" t="str">
        <f t="shared" si="149"/>
        <v>L1</v>
      </c>
      <c r="W1361" t="str">
        <f>PROPER(TRIM(VLOOKUP(S1361,Employee_Lookups!$I$4:$M$19,2,FALSE())))</f>
        <v>Neha Kulkarni</v>
      </c>
      <c r="X1361" t="str">
        <f>VLOOKUP(C1361,Employee_Lookups!$A$4:$G$9,4,FALSE())</f>
        <v>CC-101</v>
      </c>
      <c r="Y1361" t="str">
        <f>INDEX(Employee_Lookups!$C$13:$C$17,MATCH(F1361,Employee_Lookups!$A$13:$A$17,0))</f>
        <v>Band A (Entry)</v>
      </c>
      <c r="Z1361" s="27">
        <f>_xlfn.XLOOKUP(F1361,Employee_Lookups!$A$13:$A$17,Employee_Lookups!$E$13:$E$17,0)</f>
        <v>700000</v>
      </c>
      <c r="AA1361" s="28">
        <f>ROUND(O1361/INDEX(Employee_Lookups!$E$13:$E$17,MATCH(F1361,Employee_Lookups!$A$13:$A$17,0)),3)</f>
        <v>1.0860000000000001</v>
      </c>
      <c r="AB1361">
        <f t="shared" si="150"/>
        <v>2025</v>
      </c>
      <c r="AC1361" t="str">
        <f t="shared" si="151"/>
        <v/>
      </c>
      <c r="AD1361" s="28">
        <f>ROUND((IF(ISBLANK(L1361),Employee_Lookups!$O$14,L1361)-J1361)/365.25,2)</f>
        <v>0.38</v>
      </c>
      <c r="AE1361" t="str">
        <f t="shared" si="152"/>
        <v>&lt; 1 Yr (New)</v>
      </c>
      <c r="AF1361" t="str">
        <f t="shared" si="153"/>
        <v>High Risk</v>
      </c>
    </row>
    <row r="1362" spans="1:32" x14ac:dyDescent="0.45">
      <c r="A1362" t="s">
        <v>2253</v>
      </c>
      <c r="B1362" t="s">
        <v>1395</v>
      </c>
      <c r="C1362" t="s">
        <v>53</v>
      </c>
      <c r="D1362" t="s">
        <v>52</v>
      </c>
      <c r="E1362" t="s">
        <v>322</v>
      </c>
      <c r="F1362" t="s">
        <v>81</v>
      </c>
      <c r="G1362" t="s">
        <v>323</v>
      </c>
      <c r="H1362" t="s">
        <v>109</v>
      </c>
      <c r="I1362" t="s">
        <v>110</v>
      </c>
      <c r="J1362" s="26">
        <v>45883</v>
      </c>
      <c r="K1362" t="s">
        <v>162</v>
      </c>
      <c r="L1362" s="26"/>
      <c r="M1362" t="s">
        <v>163</v>
      </c>
      <c r="N1362" t="s">
        <v>98</v>
      </c>
      <c r="O1362" s="27">
        <v>812000</v>
      </c>
      <c r="P1362">
        <v>5</v>
      </c>
      <c r="Q1362" t="s">
        <v>164</v>
      </c>
      <c r="R1362">
        <v>13</v>
      </c>
      <c r="S1362" t="s">
        <v>194</v>
      </c>
      <c r="T1362">
        <f t="shared" si="147"/>
        <v>11384</v>
      </c>
      <c r="U1362" t="str">
        <f t="shared" si="148"/>
        <v>SAL</v>
      </c>
      <c r="V1362" t="str">
        <f t="shared" si="149"/>
        <v>L1</v>
      </c>
      <c r="W1362" t="str">
        <f>PROPER(TRIM(VLOOKUP(S1362,Employee_Lookups!$I$4:$M$19,2,FALSE())))</f>
        <v>Vikramaditya Joshi</v>
      </c>
      <c r="X1362" t="str">
        <f>VLOOKUP(C1362,Employee_Lookups!$A$4:$G$9,4,FALSE())</f>
        <v>CC-202</v>
      </c>
      <c r="Y1362" t="str">
        <f>INDEX(Employee_Lookups!$C$13:$C$17,MATCH(F1362,Employee_Lookups!$A$13:$A$17,0))</f>
        <v>Band A (Entry)</v>
      </c>
      <c r="Z1362" s="27">
        <f>_xlfn.XLOOKUP(F1362,Employee_Lookups!$A$13:$A$17,Employee_Lookups!$E$13:$E$17,0)</f>
        <v>700000</v>
      </c>
      <c r="AA1362" s="28">
        <f>ROUND(O1362/INDEX(Employee_Lookups!$E$13:$E$17,MATCH(F1362,Employee_Lookups!$A$13:$A$17,0)),3)</f>
        <v>1.1599999999999999</v>
      </c>
      <c r="AB1362">
        <f t="shared" si="150"/>
        <v>2025</v>
      </c>
      <c r="AC1362" t="str">
        <f t="shared" si="151"/>
        <v/>
      </c>
      <c r="AD1362" s="28">
        <f>ROUND((IF(ISBLANK(L1362),Employee_Lookups!$O$14,L1362)-J1362)/365.25,2)</f>
        <v>0.38</v>
      </c>
      <c r="AE1362" t="str">
        <f t="shared" si="152"/>
        <v>&lt; 1 Yr (New)</v>
      </c>
      <c r="AF1362" t="str">
        <f t="shared" si="153"/>
        <v>Low Risk</v>
      </c>
    </row>
    <row r="1363" spans="1:32" x14ac:dyDescent="0.45">
      <c r="A1363" t="s">
        <v>2254</v>
      </c>
      <c r="B1363" t="s">
        <v>1399</v>
      </c>
      <c r="C1363" t="s">
        <v>57</v>
      </c>
      <c r="D1363" t="s">
        <v>56</v>
      </c>
      <c r="E1363" t="s">
        <v>391</v>
      </c>
      <c r="F1363" t="s">
        <v>83</v>
      </c>
      <c r="G1363" t="s">
        <v>392</v>
      </c>
      <c r="H1363" t="s">
        <v>109</v>
      </c>
      <c r="I1363" t="s">
        <v>110</v>
      </c>
      <c r="J1363" s="26">
        <v>45884</v>
      </c>
      <c r="K1363" t="s">
        <v>162</v>
      </c>
      <c r="L1363" s="26"/>
      <c r="M1363" t="s">
        <v>163</v>
      </c>
      <c r="N1363" t="s">
        <v>95</v>
      </c>
      <c r="O1363" s="27">
        <v>1380000</v>
      </c>
      <c r="P1363">
        <v>3</v>
      </c>
      <c r="Q1363" t="s">
        <v>164</v>
      </c>
      <c r="R1363">
        <v>13</v>
      </c>
      <c r="S1363" t="s">
        <v>165</v>
      </c>
      <c r="T1363">
        <f t="shared" si="147"/>
        <v>10544</v>
      </c>
      <c r="U1363" t="str">
        <f t="shared" si="148"/>
        <v>MKT</v>
      </c>
      <c r="V1363" t="str">
        <f t="shared" si="149"/>
        <v>L3</v>
      </c>
      <c r="W1363" t="str">
        <f>PROPER(TRIM(VLOOKUP(S1363,Employee_Lookups!$I$4:$M$19,2,FALSE())))</f>
        <v>Arjun Sengupta</v>
      </c>
      <c r="X1363" t="str">
        <f>VLOOKUP(C1363,Employee_Lookups!$A$4:$G$9,4,FALSE())</f>
        <v>CC-606</v>
      </c>
      <c r="Y1363" t="str">
        <f>INDEX(Employee_Lookups!$C$13:$C$17,MATCH(F1363,Employee_Lookups!$A$13:$A$17,0))</f>
        <v>Band C (Senior)</v>
      </c>
      <c r="Z1363" s="27">
        <f>_xlfn.XLOOKUP(F1363,Employee_Lookups!$A$13:$A$17,Employee_Lookups!$E$13:$E$17,0)</f>
        <v>1725000</v>
      </c>
      <c r="AA1363" s="28">
        <f>ROUND(O1363/INDEX(Employee_Lookups!$E$13:$E$17,MATCH(F1363,Employee_Lookups!$A$13:$A$17,0)),3)</f>
        <v>0.8</v>
      </c>
      <c r="AB1363">
        <f t="shared" si="150"/>
        <v>2025</v>
      </c>
      <c r="AC1363" t="str">
        <f t="shared" si="151"/>
        <v/>
      </c>
      <c r="AD1363" s="28">
        <f>ROUND((IF(ISBLANK(L1363),Employee_Lookups!$O$14,L1363)-J1363)/365.25,2)</f>
        <v>0.38</v>
      </c>
      <c r="AE1363" t="str">
        <f t="shared" si="152"/>
        <v>&lt; 1 Yr (New)</v>
      </c>
      <c r="AF1363" t="str">
        <f t="shared" si="153"/>
        <v>Low Risk</v>
      </c>
    </row>
    <row r="1364" spans="1:32" x14ac:dyDescent="0.45">
      <c r="A1364" t="s">
        <v>2255</v>
      </c>
      <c r="B1364" t="s">
        <v>1001</v>
      </c>
      <c r="C1364" t="s">
        <v>61</v>
      </c>
      <c r="D1364" t="s">
        <v>60</v>
      </c>
      <c r="E1364" t="s">
        <v>356</v>
      </c>
      <c r="F1364" t="s">
        <v>81</v>
      </c>
      <c r="G1364" t="s">
        <v>357</v>
      </c>
      <c r="H1364" t="s">
        <v>109</v>
      </c>
      <c r="I1364" t="s">
        <v>110</v>
      </c>
      <c r="J1364" s="26">
        <v>45884</v>
      </c>
      <c r="K1364" t="s">
        <v>162</v>
      </c>
      <c r="L1364" s="26"/>
      <c r="M1364" t="s">
        <v>163</v>
      </c>
      <c r="N1364" t="s">
        <v>97</v>
      </c>
      <c r="O1364" s="27">
        <v>789000</v>
      </c>
      <c r="P1364">
        <v>3</v>
      </c>
      <c r="Q1364" t="s">
        <v>164</v>
      </c>
      <c r="R1364">
        <v>40</v>
      </c>
      <c r="S1364" t="s">
        <v>319</v>
      </c>
      <c r="T1364">
        <f t="shared" si="147"/>
        <v>10172</v>
      </c>
      <c r="U1364" t="str">
        <f t="shared" si="148"/>
        <v>-HR</v>
      </c>
      <c r="V1364" t="str">
        <f t="shared" si="149"/>
        <v>L1</v>
      </c>
      <c r="W1364" t="str">
        <f>PROPER(TRIM(VLOOKUP(S1364,Employee_Lookups!$I$4:$M$19,2,FALSE())))</f>
        <v>Kavita Menon</v>
      </c>
      <c r="X1364" t="str">
        <f>VLOOKUP(C1364,Employee_Lookups!$A$4:$G$9,4,FALSE())</f>
        <v>CC-505</v>
      </c>
      <c r="Y1364" t="str">
        <f>INDEX(Employee_Lookups!$C$13:$C$17,MATCH(F1364,Employee_Lookups!$A$13:$A$17,0))</f>
        <v>Band A (Entry)</v>
      </c>
      <c r="Z1364" s="27">
        <f>_xlfn.XLOOKUP(F1364,Employee_Lookups!$A$13:$A$17,Employee_Lookups!$E$13:$E$17,0)</f>
        <v>700000</v>
      </c>
      <c r="AA1364" s="28">
        <f>ROUND(O1364/INDEX(Employee_Lookups!$E$13:$E$17,MATCH(F1364,Employee_Lookups!$A$13:$A$17,0)),3)</f>
        <v>1.127</v>
      </c>
      <c r="AB1364">
        <f t="shared" si="150"/>
        <v>2025</v>
      </c>
      <c r="AC1364" t="str">
        <f t="shared" si="151"/>
        <v/>
      </c>
      <c r="AD1364" s="28">
        <f>ROUND((IF(ISBLANK(L1364),Employee_Lookups!$O$14,L1364)-J1364)/365.25,2)</f>
        <v>0.38</v>
      </c>
      <c r="AE1364" t="str">
        <f t="shared" si="152"/>
        <v>&lt; 1 Yr (New)</v>
      </c>
      <c r="AF1364" t="str">
        <f t="shared" si="153"/>
        <v>Low Risk</v>
      </c>
    </row>
    <row r="1365" spans="1:32" x14ac:dyDescent="0.45">
      <c r="A1365" t="s">
        <v>2256</v>
      </c>
      <c r="B1365" t="s">
        <v>2257</v>
      </c>
      <c r="C1365" t="s">
        <v>55</v>
      </c>
      <c r="D1365" t="s">
        <v>54</v>
      </c>
      <c r="E1365" t="s">
        <v>277</v>
      </c>
      <c r="F1365" t="s">
        <v>81</v>
      </c>
      <c r="G1365" t="s">
        <v>278</v>
      </c>
      <c r="H1365" t="s">
        <v>106</v>
      </c>
      <c r="I1365" t="s">
        <v>107</v>
      </c>
      <c r="J1365" s="26">
        <v>45890</v>
      </c>
      <c r="K1365" t="s">
        <v>162</v>
      </c>
      <c r="L1365" s="26"/>
      <c r="M1365" t="s">
        <v>163</v>
      </c>
      <c r="N1365" t="s">
        <v>95</v>
      </c>
      <c r="O1365" s="27">
        <v>786000</v>
      </c>
      <c r="P1365">
        <v>3</v>
      </c>
      <c r="Q1365" t="s">
        <v>164</v>
      </c>
      <c r="R1365">
        <v>29</v>
      </c>
      <c r="S1365" t="s">
        <v>262</v>
      </c>
      <c r="T1365">
        <f t="shared" si="147"/>
        <v>10874</v>
      </c>
      <c r="U1365" t="str">
        <f t="shared" si="148"/>
        <v>OPS</v>
      </c>
      <c r="V1365" t="str">
        <f t="shared" si="149"/>
        <v>L1</v>
      </c>
      <c r="W1365" t="str">
        <f>PROPER(TRIM(VLOOKUP(S1365,Employee_Lookups!$I$4:$M$19,2,FALSE())))</f>
        <v>Ananya Iyer</v>
      </c>
      <c r="X1365" t="str">
        <f>VLOOKUP(C1365,Employee_Lookups!$A$4:$G$9,4,FALSE())</f>
        <v>CC-303</v>
      </c>
      <c r="Y1365" t="str">
        <f>INDEX(Employee_Lookups!$C$13:$C$17,MATCH(F1365,Employee_Lookups!$A$13:$A$17,0))</f>
        <v>Band A (Entry)</v>
      </c>
      <c r="Z1365" s="27">
        <f>_xlfn.XLOOKUP(F1365,Employee_Lookups!$A$13:$A$17,Employee_Lookups!$E$13:$E$17,0)</f>
        <v>700000</v>
      </c>
      <c r="AA1365" s="28">
        <f>ROUND(O1365/INDEX(Employee_Lookups!$E$13:$E$17,MATCH(F1365,Employee_Lookups!$A$13:$A$17,0)),3)</f>
        <v>1.123</v>
      </c>
      <c r="AB1365">
        <f t="shared" si="150"/>
        <v>2025</v>
      </c>
      <c r="AC1365" t="str">
        <f t="shared" si="151"/>
        <v/>
      </c>
      <c r="AD1365" s="28">
        <f>ROUND((IF(ISBLANK(L1365),Employee_Lookups!$O$14,L1365)-J1365)/365.25,2)</f>
        <v>0.36</v>
      </c>
      <c r="AE1365" t="str">
        <f t="shared" si="152"/>
        <v>&lt; 1 Yr (New)</v>
      </c>
      <c r="AF1365" t="str">
        <f t="shared" si="153"/>
        <v>Low Risk</v>
      </c>
    </row>
    <row r="1366" spans="1:32" x14ac:dyDescent="0.45">
      <c r="A1366" t="s">
        <v>2258</v>
      </c>
      <c r="B1366" t="s">
        <v>947</v>
      </c>
      <c r="C1366" t="s">
        <v>55</v>
      </c>
      <c r="D1366" t="s">
        <v>54</v>
      </c>
      <c r="E1366" t="s">
        <v>168</v>
      </c>
      <c r="F1366" t="s">
        <v>84</v>
      </c>
      <c r="G1366" t="s">
        <v>169</v>
      </c>
      <c r="H1366" t="s">
        <v>108</v>
      </c>
      <c r="I1366" t="s">
        <v>107</v>
      </c>
      <c r="J1366" s="26">
        <v>45892</v>
      </c>
      <c r="K1366" t="s">
        <v>162</v>
      </c>
      <c r="L1366" s="26"/>
      <c r="M1366" t="s">
        <v>163</v>
      </c>
      <c r="N1366" t="s">
        <v>98</v>
      </c>
      <c r="O1366" s="27">
        <v>3302000</v>
      </c>
      <c r="P1366">
        <v>3</v>
      </c>
      <c r="Q1366" t="s">
        <v>164</v>
      </c>
      <c r="R1366">
        <v>36</v>
      </c>
      <c r="S1366" t="s">
        <v>262</v>
      </c>
      <c r="T1366">
        <f t="shared" si="147"/>
        <v>10204</v>
      </c>
      <c r="U1366" t="str">
        <f t="shared" si="148"/>
        <v>OPS</v>
      </c>
      <c r="V1366" t="str">
        <f t="shared" si="149"/>
        <v>L4</v>
      </c>
      <c r="W1366" t="str">
        <f>PROPER(TRIM(VLOOKUP(S1366,Employee_Lookups!$I$4:$M$19,2,FALSE())))</f>
        <v>Ananya Iyer</v>
      </c>
      <c r="X1366" t="str">
        <f>VLOOKUP(C1366,Employee_Lookups!$A$4:$G$9,4,FALSE())</f>
        <v>CC-303</v>
      </c>
      <c r="Y1366" t="str">
        <f>INDEX(Employee_Lookups!$C$13:$C$17,MATCH(F1366,Employee_Lookups!$A$13:$A$17,0))</f>
        <v>Band D (Leadership)</v>
      </c>
      <c r="Z1366" s="27">
        <f>_xlfn.XLOOKUP(F1366,Employee_Lookups!$A$13:$A$17,Employee_Lookups!$E$13:$E$17,0)</f>
        <v>2750000</v>
      </c>
      <c r="AA1366" s="28">
        <f>ROUND(O1366/INDEX(Employee_Lookups!$E$13:$E$17,MATCH(F1366,Employee_Lookups!$A$13:$A$17,0)),3)</f>
        <v>1.2010000000000001</v>
      </c>
      <c r="AB1366">
        <f t="shared" si="150"/>
        <v>2025</v>
      </c>
      <c r="AC1366" t="str">
        <f t="shared" si="151"/>
        <v/>
      </c>
      <c r="AD1366" s="28">
        <f>ROUND((IF(ISBLANK(L1366),Employee_Lookups!$O$14,L1366)-J1366)/365.25,2)</f>
        <v>0.36</v>
      </c>
      <c r="AE1366" t="str">
        <f t="shared" si="152"/>
        <v>&lt; 1 Yr (New)</v>
      </c>
      <c r="AF1366" t="str">
        <f t="shared" si="153"/>
        <v>Low Risk</v>
      </c>
    </row>
    <row r="1367" spans="1:32" x14ac:dyDescent="0.45">
      <c r="A1367" t="s">
        <v>2259</v>
      </c>
      <c r="B1367" t="s">
        <v>1894</v>
      </c>
      <c r="C1367" t="s">
        <v>55</v>
      </c>
      <c r="D1367" t="s">
        <v>54</v>
      </c>
      <c r="E1367" t="s">
        <v>277</v>
      </c>
      <c r="F1367" t="s">
        <v>81</v>
      </c>
      <c r="G1367" t="s">
        <v>278</v>
      </c>
      <c r="H1367" t="s">
        <v>108</v>
      </c>
      <c r="I1367" t="s">
        <v>107</v>
      </c>
      <c r="J1367" s="26">
        <v>45892</v>
      </c>
      <c r="K1367" t="s">
        <v>162</v>
      </c>
      <c r="L1367" s="26"/>
      <c r="M1367" t="s">
        <v>163</v>
      </c>
      <c r="N1367" t="s">
        <v>96</v>
      </c>
      <c r="O1367" s="27">
        <v>769000</v>
      </c>
      <c r="P1367">
        <v>3</v>
      </c>
      <c r="Q1367" t="s">
        <v>172</v>
      </c>
      <c r="R1367">
        <v>31</v>
      </c>
      <c r="S1367" t="s">
        <v>274</v>
      </c>
      <c r="T1367">
        <f t="shared" si="147"/>
        <v>10742</v>
      </c>
      <c r="U1367" t="str">
        <f t="shared" si="148"/>
        <v>OPS</v>
      </c>
      <c r="V1367" t="str">
        <f t="shared" si="149"/>
        <v>L1</v>
      </c>
      <c r="W1367" t="str">
        <f>PROPER(TRIM(VLOOKUP(S1367,Employee_Lookups!$I$4:$M$19,2,FALSE())))</f>
        <v>Meera Krishnan</v>
      </c>
      <c r="X1367" t="str">
        <f>VLOOKUP(C1367,Employee_Lookups!$A$4:$G$9,4,FALSE())</f>
        <v>CC-303</v>
      </c>
      <c r="Y1367" t="str">
        <f>INDEX(Employee_Lookups!$C$13:$C$17,MATCH(F1367,Employee_Lookups!$A$13:$A$17,0))</f>
        <v>Band A (Entry)</v>
      </c>
      <c r="Z1367" s="27">
        <f>_xlfn.XLOOKUP(F1367,Employee_Lookups!$A$13:$A$17,Employee_Lookups!$E$13:$E$17,0)</f>
        <v>700000</v>
      </c>
      <c r="AA1367" s="28">
        <f>ROUND(O1367/INDEX(Employee_Lookups!$E$13:$E$17,MATCH(F1367,Employee_Lookups!$A$13:$A$17,0)),3)</f>
        <v>1.099</v>
      </c>
      <c r="AB1367">
        <f t="shared" si="150"/>
        <v>2025</v>
      </c>
      <c r="AC1367" t="str">
        <f t="shared" si="151"/>
        <v/>
      </c>
      <c r="AD1367" s="28">
        <f>ROUND((IF(ISBLANK(L1367),Employee_Lookups!$O$14,L1367)-J1367)/365.25,2)</f>
        <v>0.36</v>
      </c>
      <c r="AE1367" t="str">
        <f t="shared" si="152"/>
        <v>&lt; 1 Yr (New)</v>
      </c>
      <c r="AF1367" t="str">
        <f t="shared" si="153"/>
        <v>Moderate Risk</v>
      </c>
    </row>
    <row r="1368" spans="1:32" x14ac:dyDescent="0.45">
      <c r="A1368" t="s">
        <v>2260</v>
      </c>
      <c r="B1368" t="s">
        <v>940</v>
      </c>
      <c r="C1368" t="s">
        <v>51</v>
      </c>
      <c r="D1368" t="s">
        <v>50</v>
      </c>
      <c r="E1368" t="s">
        <v>176</v>
      </c>
      <c r="F1368" t="s">
        <v>82</v>
      </c>
      <c r="G1368" t="s">
        <v>177</v>
      </c>
      <c r="H1368" t="s">
        <v>111</v>
      </c>
      <c r="I1368" t="s">
        <v>110</v>
      </c>
      <c r="J1368" s="26">
        <v>45892</v>
      </c>
      <c r="K1368" t="s">
        <v>162</v>
      </c>
      <c r="L1368" s="26"/>
      <c r="M1368" t="s">
        <v>163</v>
      </c>
      <c r="N1368" t="s">
        <v>99</v>
      </c>
      <c r="O1368" s="27">
        <v>864000</v>
      </c>
      <c r="P1368">
        <v>3</v>
      </c>
      <c r="Q1368" t="s">
        <v>164</v>
      </c>
      <c r="R1368">
        <v>47</v>
      </c>
      <c r="S1368" t="s">
        <v>219</v>
      </c>
      <c r="T1368">
        <f t="shared" si="147"/>
        <v>10832</v>
      </c>
      <c r="U1368" t="str">
        <f t="shared" si="148"/>
        <v>ENG</v>
      </c>
      <c r="V1368" t="str">
        <f t="shared" si="149"/>
        <v>L2</v>
      </c>
      <c r="W1368" t="str">
        <f>PROPER(TRIM(VLOOKUP(S1368,Employee_Lookups!$I$4:$M$19,2,FALSE())))</f>
        <v>Neha Kulkarni</v>
      </c>
      <c r="X1368" t="str">
        <f>VLOOKUP(C1368,Employee_Lookups!$A$4:$G$9,4,FALSE())</f>
        <v>CC-101</v>
      </c>
      <c r="Y1368" t="str">
        <f>INDEX(Employee_Lookups!$C$13:$C$17,MATCH(F1368,Employee_Lookups!$A$13:$A$17,0))</f>
        <v>Band B (Mid)</v>
      </c>
      <c r="Z1368" s="27">
        <f>_xlfn.XLOOKUP(F1368,Employee_Lookups!$A$13:$A$17,Employee_Lookups!$E$13:$E$17,0)</f>
        <v>1100000</v>
      </c>
      <c r="AA1368" s="28">
        <f>ROUND(O1368/INDEX(Employee_Lookups!$E$13:$E$17,MATCH(F1368,Employee_Lookups!$A$13:$A$17,0)),3)</f>
        <v>0.78500000000000003</v>
      </c>
      <c r="AB1368">
        <f t="shared" si="150"/>
        <v>2025</v>
      </c>
      <c r="AC1368" t="str">
        <f t="shared" si="151"/>
        <v/>
      </c>
      <c r="AD1368" s="28">
        <f>ROUND((IF(ISBLANK(L1368),Employee_Lookups!$O$14,L1368)-J1368)/365.25,2)</f>
        <v>0.36</v>
      </c>
      <c r="AE1368" t="str">
        <f t="shared" si="152"/>
        <v>&lt; 1 Yr (New)</v>
      </c>
      <c r="AF1368" t="str">
        <f t="shared" si="153"/>
        <v>Low Risk</v>
      </c>
    </row>
    <row r="1369" spans="1:32" x14ac:dyDescent="0.45">
      <c r="A1369" t="s">
        <v>2261</v>
      </c>
      <c r="B1369" t="s">
        <v>2262</v>
      </c>
      <c r="C1369" t="s">
        <v>59</v>
      </c>
      <c r="D1369" t="s">
        <v>58</v>
      </c>
      <c r="E1369" t="s">
        <v>579</v>
      </c>
      <c r="F1369" t="s">
        <v>84</v>
      </c>
      <c r="G1369" t="s">
        <v>580</v>
      </c>
      <c r="H1369" t="s">
        <v>106</v>
      </c>
      <c r="I1369" t="s">
        <v>107</v>
      </c>
      <c r="J1369" s="26">
        <v>45892</v>
      </c>
      <c r="K1369" t="s">
        <v>162</v>
      </c>
      <c r="L1369" s="26"/>
      <c r="M1369" t="s">
        <v>163</v>
      </c>
      <c r="N1369" t="s">
        <v>96</v>
      </c>
      <c r="O1369" s="27">
        <v>2152000</v>
      </c>
      <c r="P1369">
        <v>5</v>
      </c>
      <c r="Q1369" t="s">
        <v>164</v>
      </c>
      <c r="R1369">
        <v>17</v>
      </c>
      <c r="S1369" t="s">
        <v>214</v>
      </c>
      <c r="T1369">
        <f t="shared" si="147"/>
        <v>10512</v>
      </c>
      <c r="U1369" t="str">
        <f t="shared" si="148"/>
        <v>FIN</v>
      </c>
      <c r="V1369" t="str">
        <f t="shared" si="149"/>
        <v>L4</v>
      </c>
      <c r="W1369" t="str">
        <f>PROPER(TRIM(VLOOKUP(S1369,Employee_Lookups!$I$4:$M$19,2,FALSE())))</f>
        <v>Aditya Gokhale</v>
      </c>
      <c r="X1369" t="str">
        <f>VLOOKUP(C1369,Employee_Lookups!$A$4:$G$9,4,FALSE())</f>
        <v>CC-404</v>
      </c>
      <c r="Y1369" t="str">
        <f>INDEX(Employee_Lookups!$C$13:$C$17,MATCH(F1369,Employee_Lookups!$A$13:$A$17,0))</f>
        <v>Band D (Leadership)</v>
      </c>
      <c r="Z1369" s="27">
        <f>_xlfn.XLOOKUP(F1369,Employee_Lookups!$A$13:$A$17,Employee_Lookups!$E$13:$E$17,0)</f>
        <v>2750000</v>
      </c>
      <c r="AA1369" s="28">
        <f>ROUND(O1369/INDEX(Employee_Lookups!$E$13:$E$17,MATCH(F1369,Employee_Lookups!$A$13:$A$17,0)),3)</f>
        <v>0.78300000000000003</v>
      </c>
      <c r="AB1369">
        <f t="shared" si="150"/>
        <v>2025</v>
      </c>
      <c r="AC1369" t="str">
        <f t="shared" si="151"/>
        <v/>
      </c>
      <c r="AD1369" s="28">
        <f>ROUND((IF(ISBLANK(L1369),Employee_Lookups!$O$14,L1369)-J1369)/365.25,2)</f>
        <v>0.36</v>
      </c>
      <c r="AE1369" t="str">
        <f t="shared" si="152"/>
        <v>&lt; 1 Yr (New)</v>
      </c>
      <c r="AF1369" t="str">
        <f t="shared" si="153"/>
        <v>Low Risk</v>
      </c>
    </row>
    <row r="1370" spans="1:32" x14ac:dyDescent="0.45">
      <c r="A1370" t="s">
        <v>2263</v>
      </c>
      <c r="B1370" t="s">
        <v>566</v>
      </c>
      <c r="C1370" t="s">
        <v>59</v>
      </c>
      <c r="D1370" t="s">
        <v>58</v>
      </c>
      <c r="E1370" t="s">
        <v>206</v>
      </c>
      <c r="F1370" t="s">
        <v>81</v>
      </c>
      <c r="G1370" t="s">
        <v>207</v>
      </c>
      <c r="H1370" t="s">
        <v>106</v>
      </c>
      <c r="I1370" t="s">
        <v>107</v>
      </c>
      <c r="J1370" s="26">
        <v>45896</v>
      </c>
      <c r="K1370" t="s">
        <v>162</v>
      </c>
      <c r="L1370" s="26"/>
      <c r="M1370" t="s">
        <v>163</v>
      </c>
      <c r="N1370" t="s">
        <v>95</v>
      </c>
      <c r="O1370" s="27">
        <v>694000</v>
      </c>
      <c r="P1370">
        <v>4</v>
      </c>
      <c r="Q1370" t="s">
        <v>164</v>
      </c>
      <c r="R1370">
        <v>42</v>
      </c>
      <c r="S1370" t="s">
        <v>208</v>
      </c>
      <c r="T1370">
        <f t="shared" si="147"/>
        <v>10924</v>
      </c>
      <c r="U1370" t="str">
        <f t="shared" si="148"/>
        <v>FIN</v>
      </c>
      <c r="V1370" t="str">
        <f t="shared" si="149"/>
        <v>L1</v>
      </c>
      <c r="W1370" t="str">
        <f>PROPER(TRIM(VLOOKUP(S1370,Employee_Lookups!$I$4:$M$19,2,FALSE())))</f>
        <v>Rajeshwari Rao</v>
      </c>
      <c r="X1370" t="str">
        <f>VLOOKUP(C1370,Employee_Lookups!$A$4:$G$9,4,FALSE())</f>
        <v>CC-404</v>
      </c>
      <c r="Y1370" t="str">
        <f>INDEX(Employee_Lookups!$C$13:$C$17,MATCH(F1370,Employee_Lookups!$A$13:$A$17,0))</f>
        <v>Band A (Entry)</v>
      </c>
      <c r="Z1370" s="27">
        <f>_xlfn.XLOOKUP(F1370,Employee_Lookups!$A$13:$A$17,Employee_Lookups!$E$13:$E$17,0)</f>
        <v>700000</v>
      </c>
      <c r="AA1370" s="28">
        <f>ROUND(O1370/INDEX(Employee_Lookups!$E$13:$E$17,MATCH(F1370,Employee_Lookups!$A$13:$A$17,0)),3)</f>
        <v>0.99099999999999999</v>
      </c>
      <c r="AB1370">
        <f t="shared" si="150"/>
        <v>2025</v>
      </c>
      <c r="AC1370" t="str">
        <f t="shared" si="151"/>
        <v/>
      </c>
      <c r="AD1370" s="28">
        <f>ROUND((IF(ISBLANK(L1370),Employee_Lookups!$O$14,L1370)-J1370)/365.25,2)</f>
        <v>0.34</v>
      </c>
      <c r="AE1370" t="str">
        <f t="shared" si="152"/>
        <v>&lt; 1 Yr (New)</v>
      </c>
      <c r="AF1370" t="str">
        <f t="shared" si="153"/>
        <v>Low Risk</v>
      </c>
    </row>
    <row r="1371" spans="1:32" x14ac:dyDescent="0.45">
      <c r="A1371" t="s">
        <v>2264</v>
      </c>
      <c r="B1371" t="s">
        <v>2265</v>
      </c>
      <c r="C1371" t="s">
        <v>57</v>
      </c>
      <c r="D1371" t="s">
        <v>56</v>
      </c>
      <c r="E1371" t="s">
        <v>1909</v>
      </c>
      <c r="F1371" t="s">
        <v>85</v>
      </c>
      <c r="G1371" t="s">
        <v>1910</v>
      </c>
      <c r="H1371" t="s">
        <v>108</v>
      </c>
      <c r="I1371" t="s">
        <v>107</v>
      </c>
      <c r="J1371" s="26">
        <v>45897</v>
      </c>
      <c r="K1371" t="s">
        <v>162</v>
      </c>
      <c r="L1371" s="26"/>
      <c r="M1371" t="s">
        <v>163</v>
      </c>
      <c r="N1371" t="s">
        <v>97</v>
      </c>
      <c r="O1371" s="27">
        <v>4074000</v>
      </c>
      <c r="Q1371" t="s">
        <v>164</v>
      </c>
      <c r="R1371">
        <v>30</v>
      </c>
      <c r="S1371" t="s">
        <v>165</v>
      </c>
      <c r="T1371">
        <f t="shared" si="147"/>
        <v>11054</v>
      </c>
      <c r="U1371" t="str">
        <f t="shared" si="148"/>
        <v>MKT</v>
      </c>
      <c r="V1371" t="str">
        <f t="shared" si="149"/>
        <v>L5</v>
      </c>
      <c r="W1371" t="str">
        <f>PROPER(TRIM(VLOOKUP(S1371,Employee_Lookups!$I$4:$M$19,2,FALSE())))</f>
        <v>Arjun Sengupta</v>
      </c>
      <c r="X1371" t="str">
        <f>VLOOKUP(C1371,Employee_Lookups!$A$4:$G$9,4,FALSE())</f>
        <v>CC-606</v>
      </c>
      <c r="Y1371" t="str">
        <f>INDEX(Employee_Lookups!$C$13:$C$17,MATCH(F1371,Employee_Lookups!$A$13:$A$17,0))</f>
        <v>Band E (Executive)</v>
      </c>
      <c r="Z1371" s="27">
        <f>_xlfn.XLOOKUP(F1371,Employee_Lookups!$A$13:$A$17,Employee_Lookups!$E$13:$E$17,0)</f>
        <v>4300000</v>
      </c>
      <c r="AA1371" s="28">
        <f>ROUND(O1371/INDEX(Employee_Lookups!$E$13:$E$17,MATCH(F1371,Employee_Lookups!$A$13:$A$17,0)),3)</f>
        <v>0.94699999999999995</v>
      </c>
      <c r="AB1371">
        <f t="shared" si="150"/>
        <v>2025</v>
      </c>
      <c r="AC1371" t="str">
        <f t="shared" si="151"/>
        <v/>
      </c>
      <c r="AD1371" s="28">
        <f>ROUND((IF(ISBLANK(L1371),Employee_Lookups!$O$14,L1371)-J1371)/365.25,2)</f>
        <v>0.34</v>
      </c>
      <c r="AE1371" t="str">
        <f t="shared" si="152"/>
        <v>&lt; 1 Yr (New)</v>
      </c>
      <c r="AF1371" t="str">
        <f t="shared" si="153"/>
        <v>Low Risk</v>
      </c>
    </row>
    <row r="1372" spans="1:32" x14ac:dyDescent="0.45">
      <c r="A1372" t="s">
        <v>2266</v>
      </c>
      <c r="B1372" t="s">
        <v>736</v>
      </c>
      <c r="C1372" t="s">
        <v>51</v>
      </c>
      <c r="D1372" t="s">
        <v>50</v>
      </c>
      <c r="E1372" t="s">
        <v>176</v>
      </c>
      <c r="F1372" t="s">
        <v>82</v>
      </c>
      <c r="G1372" t="s">
        <v>177</v>
      </c>
      <c r="H1372" t="s">
        <v>109</v>
      </c>
      <c r="I1372" t="s">
        <v>110</v>
      </c>
      <c r="J1372" s="26">
        <v>45902</v>
      </c>
      <c r="K1372" t="s">
        <v>162</v>
      </c>
      <c r="L1372" s="26"/>
      <c r="M1372" t="s">
        <v>163</v>
      </c>
      <c r="N1372" t="s">
        <v>96</v>
      </c>
      <c r="O1372" s="27">
        <v>1267000</v>
      </c>
      <c r="P1372">
        <v>4</v>
      </c>
      <c r="Q1372" t="s">
        <v>164</v>
      </c>
      <c r="R1372">
        <v>33</v>
      </c>
      <c r="S1372" t="s">
        <v>197</v>
      </c>
      <c r="T1372">
        <f t="shared" si="147"/>
        <v>10636</v>
      </c>
      <c r="U1372" t="str">
        <f t="shared" si="148"/>
        <v>ENG</v>
      </c>
      <c r="V1372" t="str">
        <f t="shared" si="149"/>
        <v>L2</v>
      </c>
      <c r="W1372" t="str">
        <f>PROPER(TRIM(VLOOKUP(S1372,Employee_Lookups!$I$4:$M$19,2,FALSE())))</f>
        <v>Rohan Verma</v>
      </c>
      <c r="X1372" t="str">
        <f>VLOOKUP(C1372,Employee_Lookups!$A$4:$G$9,4,FALSE())</f>
        <v>CC-101</v>
      </c>
      <c r="Y1372" t="str">
        <f>INDEX(Employee_Lookups!$C$13:$C$17,MATCH(F1372,Employee_Lookups!$A$13:$A$17,0))</f>
        <v>Band B (Mid)</v>
      </c>
      <c r="Z1372" s="27">
        <f>_xlfn.XLOOKUP(F1372,Employee_Lookups!$A$13:$A$17,Employee_Lookups!$E$13:$E$17,0)</f>
        <v>1100000</v>
      </c>
      <c r="AA1372" s="28">
        <f>ROUND(O1372/INDEX(Employee_Lookups!$E$13:$E$17,MATCH(F1372,Employee_Lookups!$A$13:$A$17,0)),3)</f>
        <v>1.1519999999999999</v>
      </c>
      <c r="AB1372">
        <f t="shared" si="150"/>
        <v>2025</v>
      </c>
      <c r="AC1372" t="str">
        <f t="shared" si="151"/>
        <v/>
      </c>
      <c r="AD1372" s="28">
        <f>ROUND((IF(ISBLANK(L1372),Employee_Lookups!$O$14,L1372)-J1372)/365.25,2)</f>
        <v>0.33</v>
      </c>
      <c r="AE1372" t="str">
        <f t="shared" si="152"/>
        <v>&lt; 1 Yr (New)</v>
      </c>
      <c r="AF1372" t="str">
        <f t="shared" si="153"/>
        <v>Low Risk</v>
      </c>
    </row>
    <row r="1373" spans="1:32" x14ac:dyDescent="0.45">
      <c r="A1373" t="s">
        <v>2267</v>
      </c>
      <c r="B1373" t="s">
        <v>793</v>
      </c>
      <c r="C1373" t="s">
        <v>59</v>
      </c>
      <c r="D1373" t="s">
        <v>58</v>
      </c>
      <c r="E1373" t="s">
        <v>206</v>
      </c>
      <c r="F1373" t="s">
        <v>81</v>
      </c>
      <c r="G1373" t="s">
        <v>207</v>
      </c>
      <c r="H1373" t="s">
        <v>109</v>
      </c>
      <c r="I1373" t="s">
        <v>110</v>
      </c>
      <c r="J1373" s="26">
        <v>45902</v>
      </c>
      <c r="K1373" t="s">
        <v>162</v>
      </c>
      <c r="L1373" s="26"/>
      <c r="M1373" t="s">
        <v>163</v>
      </c>
      <c r="N1373" t="s">
        <v>99</v>
      </c>
      <c r="O1373" s="27">
        <v>572000</v>
      </c>
      <c r="P1373">
        <v>2</v>
      </c>
      <c r="Q1373" t="s">
        <v>164</v>
      </c>
      <c r="R1373">
        <v>26</v>
      </c>
      <c r="S1373" t="s">
        <v>208</v>
      </c>
      <c r="T1373">
        <f t="shared" si="147"/>
        <v>10293</v>
      </c>
      <c r="U1373" t="str">
        <f t="shared" si="148"/>
        <v>FIN</v>
      </c>
      <c r="V1373" t="str">
        <f t="shared" si="149"/>
        <v>L1</v>
      </c>
      <c r="W1373" t="str">
        <f>PROPER(TRIM(VLOOKUP(S1373,Employee_Lookups!$I$4:$M$19,2,FALSE())))</f>
        <v>Rajeshwari Rao</v>
      </c>
      <c r="X1373" t="str">
        <f>VLOOKUP(C1373,Employee_Lookups!$A$4:$G$9,4,FALSE())</f>
        <v>CC-404</v>
      </c>
      <c r="Y1373" t="str">
        <f>INDEX(Employee_Lookups!$C$13:$C$17,MATCH(F1373,Employee_Lookups!$A$13:$A$17,0))</f>
        <v>Band A (Entry)</v>
      </c>
      <c r="Z1373" s="27">
        <f>_xlfn.XLOOKUP(F1373,Employee_Lookups!$A$13:$A$17,Employee_Lookups!$E$13:$E$17,0)</f>
        <v>700000</v>
      </c>
      <c r="AA1373" s="28">
        <f>ROUND(O1373/INDEX(Employee_Lookups!$E$13:$E$17,MATCH(F1373,Employee_Lookups!$A$13:$A$17,0)),3)</f>
        <v>0.81699999999999995</v>
      </c>
      <c r="AB1373">
        <f t="shared" si="150"/>
        <v>2025</v>
      </c>
      <c r="AC1373" t="str">
        <f t="shared" si="151"/>
        <v/>
      </c>
      <c r="AD1373" s="28">
        <f>ROUND((IF(ISBLANK(L1373),Employee_Lookups!$O$14,L1373)-J1373)/365.25,2)</f>
        <v>0.33</v>
      </c>
      <c r="AE1373" t="str">
        <f t="shared" si="152"/>
        <v>&lt; 1 Yr (New)</v>
      </c>
      <c r="AF1373" t="str">
        <f t="shared" si="153"/>
        <v>Moderate Risk</v>
      </c>
    </row>
    <row r="1374" spans="1:32" x14ac:dyDescent="0.45">
      <c r="A1374" t="s">
        <v>2268</v>
      </c>
      <c r="B1374" t="s">
        <v>666</v>
      </c>
      <c r="C1374" t="s">
        <v>53</v>
      </c>
      <c r="D1374" t="s">
        <v>52</v>
      </c>
      <c r="E1374" t="s">
        <v>192</v>
      </c>
      <c r="F1374" t="s">
        <v>83</v>
      </c>
      <c r="G1374" t="s">
        <v>193</v>
      </c>
      <c r="H1374" t="s">
        <v>106</v>
      </c>
      <c r="I1374" t="s">
        <v>107</v>
      </c>
      <c r="J1374" s="26">
        <v>45907</v>
      </c>
      <c r="K1374" t="s">
        <v>162</v>
      </c>
      <c r="L1374" s="26"/>
      <c r="M1374" t="s">
        <v>163</v>
      </c>
      <c r="N1374" t="s">
        <v>95</v>
      </c>
      <c r="O1374" s="27">
        <v>1462000</v>
      </c>
      <c r="P1374">
        <v>3</v>
      </c>
      <c r="Q1374" t="s">
        <v>164</v>
      </c>
      <c r="R1374">
        <v>46</v>
      </c>
      <c r="S1374" t="s">
        <v>237</v>
      </c>
      <c r="T1374">
        <f t="shared" si="147"/>
        <v>10266</v>
      </c>
      <c r="U1374" t="str">
        <f t="shared" si="148"/>
        <v>SAL</v>
      </c>
      <c r="V1374" t="str">
        <f t="shared" si="149"/>
        <v>L3</v>
      </c>
      <c r="W1374" t="str">
        <f>PROPER(TRIM(VLOOKUP(S1374,Employee_Lookups!$I$4:$M$19,2,FALSE())))</f>
        <v>Karan Malhotra</v>
      </c>
      <c r="X1374" t="str">
        <f>VLOOKUP(C1374,Employee_Lookups!$A$4:$G$9,4,FALSE())</f>
        <v>CC-202</v>
      </c>
      <c r="Y1374" t="str">
        <f>INDEX(Employee_Lookups!$C$13:$C$17,MATCH(F1374,Employee_Lookups!$A$13:$A$17,0))</f>
        <v>Band C (Senior)</v>
      </c>
      <c r="Z1374" s="27">
        <f>_xlfn.XLOOKUP(F1374,Employee_Lookups!$A$13:$A$17,Employee_Lookups!$E$13:$E$17,0)</f>
        <v>1725000</v>
      </c>
      <c r="AA1374" s="28">
        <f>ROUND(O1374/INDEX(Employee_Lookups!$E$13:$E$17,MATCH(F1374,Employee_Lookups!$A$13:$A$17,0)),3)</f>
        <v>0.84799999999999998</v>
      </c>
      <c r="AB1374">
        <f t="shared" si="150"/>
        <v>2025</v>
      </c>
      <c r="AC1374" t="str">
        <f t="shared" si="151"/>
        <v/>
      </c>
      <c r="AD1374" s="28">
        <f>ROUND((IF(ISBLANK(L1374),Employee_Lookups!$O$14,L1374)-J1374)/365.25,2)</f>
        <v>0.31</v>
      </c>
      <c r="AE1374" t="str">
        <f t="shared" si="152"/>
        <v>&lt; 1 Yr (New)</v>
      </c>
      <c r="AF1374" t="str">
        <f t="shared" si="153"/>
        <v>Low Risk</v>
      </c>
    </row>
    <row r="1375" spans="1:32" x14ac:dyDescent="0.45">
      <c r="A1375" t="s">
        <v>2269</v>
      </c>
      <c r="B1375" t="s">
        <v>790</v>
      </c>
      <c r="C1375" t="s">
        <v>57</v>
      </c>
      <c r="D1375" t="s">
        <v>56</v>
      </c>
      <c r="E1375" t="s">
        <v>160</v>
      </c>
      <c r="F1375" t="s">
        <v>81</v>
      </c>
      <c r="G1375" t="s">
        <v>161</v>
      </c>
      <c r="H1375" t="s">
        <v>106</v>
      </c>
      <c r="I1375" t="s">
        <v>107</v>
      </c>
      <c r="J1375" s="26">
        <v>45908</v>
      </c>
      <c r="K1375" t="s">
        <v>162</v>
      </c>
      <c r="L1375" s="26"/>
      <c r="M1375" t="s">
        <v>163</v>
      </c>
      <c r="N1375" t="s">
        <v>97</v>
      </c>
      <c r="O1375" s="27">
        <v>610000</v>
      </c>
      <c r="P1375">
        <v>5</v>
      </c>
      <c r="Q1375" t="s">
        <v>172</v>
      </c>
      <c r="R1375">
        <v>50</v>
      </c>
      <c r="S1375" t="s">
        <v>165</v>
      </c>
      <c r="T1375">
        <f t="shared" si="147"/>
        <v>10215</v>
      </c>
      <c r="U1375" t="str">
        <f t="shared" si="148"/>
        <v>MKT</v>
      </c>
      <c r="V1375" t="str">
        <f t="shared" si="149"/>
        <v>L1</v>
      </c>
      <c r="W1375" t="str">
        <f>PROPER(TRIM(VLOOKUP(S1375,Employee_Lookups!$I$4:$M$19,2,FALSE())))</f>
        <v>Arjun Sengupta</v>
      </c>
      <c r="X1375" t="str">
        <f>VLOOKUP(C1375,Employee_Lookups!$A$4:$G$9,4,FALSE())</f>
        <v>CC-606</v>
      </c>
      <c r="Y1375" t="str">
        <f>INDEX(Employee_Lookups!$C$13:$C$17,MATCH(F1375,Employee_Lookups!$A$13:$A$17,0))</f>
        <v>Band A (Entry)</v>
      </c>
      <c r="Z1375" s="27">
        <f>_xlfn.XLOOKUP(F1375,Employee_Lookups!$A$13:$A$17,Employee_Lookups!$E$13:$E$17,0)</f>
        <v>700000</v>
      </c>
      <c r="AA1375" s="28">
        <f>ROUND(O1375/INDEX(Employee_Lookups!$E$13:$E$17,MATCH(F1375,Employee_Lookups!$A$13:$A$17,0)),3)</f>
        <v>0.871</v>
      </c>
      <c r="AB1375">
        <f t="shared" si="150"/>
        <v>2025</v>
      </c>
      <c r="AC1375" t="str">
        <f t="shared" si="151"/>
        <v/>
      </c>
      <c r="AD1375" s="28">
        <f>ROUND((IF(ISBLANK(L1375),Employee_Lookups!$O$14,L1375)-J1375)/365.25,2)</f>
        <v>0.31</v>
      </c>
      <c r="AE1375" t="str">
        <f t="shared" si="152"/>
        <v>&lt; 1 Yr (New)</v>
      </c>
      <c r="AF1375" t="str">
        <f t="shared" si="153"/>
        <v>High Risk</v>
      </c>
    </row>
    <row r="1376" spans="1:32" x14ac:dyDescent="0.45">
      <c r="A1376" t="s">
        <v>2270</v>
      </c>
      <c r="B1376" t="s">
        <v>687</v>
      </c>
      <c r="C1376" t="s">
        <v>53</v>
      </c>
      <c r="D1376" t="s">
        <v>52</v>
      </c>
      <c r="E1376" t="s">
        <v>185</v>
      </c>
      <c r="F1376" t="s">
        <v>82</v>
      </c>
      <c r="G1376" t="s">
        <v>186</v>
      </c>
      <c r="H1376" t="s">
        <v>108</v>
      </c>
      <c r="I1376" t="s">
        <v>107</v>
      </c>
      <c r="J1376" s="26">
        <v>45909</v>
      </c>
      <c r="K1376" t="s">
        <v>162</v>
      </c>
      <c r="L1376" s="26"/>
      <c r="M1376" t="s">
        <v>163</v>
      </c>
      <c r="N1376" t="s">
        <v>99</v>
      </c>
      <c r="O1376" s="27">
        <v>1012000</v>
      </c>
      <c r="Q1376" t="s">
        <v>172</v>
      </c>
      <c r="R1376">
        <v>37</v>
      </c>
      <c r="S1376" t="s">
        <v>237</v>
      </c>
      <c r="T1376">
        <f t="shared" si="147"/>
        <v>11375</v>
      </c>
      <c r="U1376" t="str">
        <f t="shared" si="148"/>
        <v>SAL</v>
      </c>
      <c r="V1376" t="str">
        <f t="shared" si="149"/>
        <v>L2</v>
      </c>
      <c r="W1376" t="str">
        <f>PROPER(TRIM(VLOOKUP(S1376,Employee_Lookups!$I$4:$M$19,2,FALSE())))</f>
        <v>Karan Malhotra</v>
      </c>
      <c r="X1376" t="str">
        <f>VLOOKUP(C1376,Employee_Lookups!$A$4:$G$9,4,FALSE())</f>
        <v>CC-202</v>
      </c>
      <c r="Y1376" t="str">
        <f>INDEX(Employee_Lookups!$C$13:$C$17,MATCH(F1376,Employee_Lookups!$A$13:$A$17,0))</f>
        <v>Band B (Mid)</v>
      </c>
      <c r="Z1376" s="27">
        <f>_xlfn.XLOOKUP(F1376,Employee_Lookups!$A$13:$A$17,Employee_Lookups!$E$13:$E$17,0)</f>
        <v>1100000</v>
      </c>
      <c r="AA1376" s="28">
        <f>ROUND(O1376/INDEX(Employee_Lookups!$E$13:$E$17,MATCH(F1376,Employee_Lookups!$A$13:$A$17,0)),3)</f>
        <v>0.92</v>
      </c>
      <c r="AB1376">
        <f t="shared" si="150"/>
        <v>2025</v>
      </c>
      <c r="AC1376" t="str">
        <f t="shared" si="151"/>
        <v/>
      </c>
      <c r="AD1376" s="28">
        <f>ROUND((IF(ISBLANK(L1376),Employee_Lookups!$O$14,L1376)-J1376)/365.25,2)</f>
        <v>0.31</v>
      </c>
      <c r="AE1376" t="str">
        <f t="shared" si="152"/>
        <v>&lt; 1 Yr (New)</v>
      </c>
      <c r="AF1376" t="str">
        <f t="shared" si="153"/>
        <v>High Risk</v>
      </c>
    </row>
    <row r="1377" spans="1:32" x14ac:dyDescent="0.45">
      <c r="A1377" t="s">
        <v>2271</v>
      </c>
      <c r="B1377" t="s">
        <v>1956</v>
      </c>
      <c r="C1377" t="s">
        <v>51</v>
      </c>
      <c r="D1377" t="s">
        <v>50</v>
      </c>
      <c r="E1377" t="s">
        <v>176</v>
      </c>
      <c r="F1377" t="s">
        <v>82</v>
      </c>
      <c r="G1377" t="s">
        <v>177</v>
      </c>
      <c r="H1377" t="s">
        <v>106</v>
      </c>
      <c r="I1377" t="s">
        <v>107</v>
      </c>
      <c r="J1377" s="26">
        <v>45912</v>
      </c>
      <c r="K1377" t="s">
        <v>162</v>
      </c>
      <c r="L1377" s="26"/>
      <c r="M1377" t="s">
        <v>163</v>
      </c>
      <c r="N1377" t="s">
        <v>97</v>
      </c>
      <c r="O1377" s="27">
        <v>1307000</v>
      </c>
      <c r="P1377">
        <v>2</v>
      </c>
      <c r="Q1377" t="s">
        <v>164</v>
      </c>
      <c r="R1377">
        <v>21</v>
      </c>
      <c r="S1377" t="s">
        <v>219</v>
      </c>
      <c r="T1377">
        <f t="shared" si="147"/>
        <v>10131</v>
      </c>
      <c r="U1377" t="str">
        <f t="shared" si="148"/>
        <v>ENG</v>
      </c>
      <c r="V1377" t="str">
        <f t="shared" si="149"/>
        <v>L2</v>
      </c>
      <c r="W1377" t="str">
        <f>PROPER(TRIM(VLOOKUP(S1377,Employee_Lookups!$I$4:$M$19,2,FALSE())))</f>
        <v>Neha Kulkarni</v>
      </c>
      <c r="X1377" t="str">
        <f>VLOOKUP(C1377,Employee_Lookups!$A$4:$G$9,4,FALSE())</f>
        <v>CC-101</v>
      </c>
      <c r="Y1377" t="str">
        <f>INDEX(Employee_Lookups!$C$13:$C$17,MATCH(F1377,Employee_Lookups!$A$13:$A$17,0))</f>
        <v>Band B (Mid)</v>
      </c>
      <c r="Z1377" s="27">
        <f>_xlfn.XLOOKUP(F1377,Employee_Lookups!$A$13:$A$17,Employee_Lookups!$E$13:$E$17,0)</f>
        <v>1100000</v>
      </c>
      <c r="AA1377" s="28">
        <f>ROUND(O1377/INDEX(Employee_Lookups!$E$13:$E$17,MATCH(F1377,Employee_Lookups!$A$13:$A$17,0)),3)</f>
        <v>1.1879999999999999</v>
      </c>
      <c r="AB1377">
        <f t="shared" si="150"/>
        <v>2025</v>
      </c>
      <c r="AC1377" t="str">
        <f t="shared" si="151"/>
        <v/>
      </c>
      <c r="AD1377" s="28">
        <f>ROUND((IF(ISBLANK(L1377),Employee_Lookups!$O$14,L1377)-J1377)/365.25,2)</f>
        <v>0.3</v>
      </c>
      <c r="AE1377" t="str">
        <f t="shared" si="152"/>
        <v>&lt; 1 Yr (New)</v>
      </c>
      <c r="AF1377" t="str">
        <f t="shared" si="153"/>
        <v>Moderate Risk</v>
      </c>
    </row>
    <row r="1378" spans="1:32" x14ac:dyDescent="0.45">
      <c r="A1378" t="s">
        <v>2272</v>
      </c>
      <c r="B1378" t="s">
        <v>1335</v>
      </c>
      <c r="C1378" t="s">
        <v>51</v>
      </c>
      <c r="D1378" t="s">
        <v>50</v>
      </c>
      <c r="E1378" t="s">
        <v>176</v>
      </c>
      <c r="F1378" t="s">
        <v>82</v>
      </c>
      <c r="G1378" t="s">
        <v>177</v>
      </c>
      <c r="H1378" t="s">
        <v>106</v>
      </c>
      <c r="I1378" t="s">
        <v>107</v>
      </c>
      <c r="J1378" s="26">
        <v>45915</v>
      </c>
      <c r="K1378" t="s">
        <v>162</v>
      </c>
      <c r="L1378" s="26"/>
      <c r="M1378" t="s">
        <v>163</v>
      </c>
      <c r="N1378" t="s">
        <v>97</v>
      </c>
      <c r="O1378" s="27">
        <v>1031000</v>
      </c>
      <c r="Q1378" t="s">
        <v>164</v>
      </c>
      <c r="R1378">
        <v>4</v>
      </c>
      <c r="S1378" t="s">
        <v>178</v>
      </c>
      <c r="T1378">
        <f t="shared" si="147"/>
        <v>10265</v>
      </c>
      <c r="U1378" t="str">
        <f t="shared" si="148"/>
        <v>ENG</v>
      </c>
      <c r="V1378" t="str">
        <f t="shared" si="149"/>
        <v>L2</v>
      </c>
      <c r="W1378" t="str">
        <f>PROPER(TRIM(VLOOKUP(S1378,Employee_Lookups!$I$4:$M$19,2,FALSE())))</f>
        <v>Aarav Deshmukh</v>
      </c>
      <c r="X1378" t="str">
        <f>VLOOKUP(C1378,Employee_Lookups!$A$4:$G$9,4,FALSE())</f>
        <v>CC-101</v>
      </c>
      <c r="Y1378" t="str">
        <f>INDEX(Employee_Lookups!$C$13:$C$17,MATCH(F1378,Employee_Lookups!$A$13:$A$17,0))</f>
        <v>Band B (Mid)</v>
      </c>
      <c r="Z1378" s="27">
        <f>_xlfn.XLOOKUP(F1378,Employee_Lookups!$A$13:$A$17,Employee_Lookups!$E$13:$E$17,0)</f>
        <v>1100000</v>
      </c>
      <c r="AA1378" s="28">
        <f>ROUND(O1378/INDEX(Employee_Lookups!$E$13:$E$17,MATCH(F1378,Employee_Lookups!$A$13:$A$17,0)),3)</f>
        <v>0.93700000000000006</v>
      </c>
      <c r="AB1378">
        <f t="shared" si="150"/>
        <v>2025</v>
      </c>
      <c r="AC1378" t="str">
        <f t="shared" si="151"/>
        <v/>
      </c>
      <c r="AD1378" s="28">
        <f>ROUND((IF(ISBLANK(L1378),Employee_Lookups!$O$14,L1378)-J1378)/365.25,2)</f>
        <v>0.28999999999999998</v>
      </c>
      <c r="AE1378" t="str">
        <f t="shared" si="152"/>
        <v>&lt; 1 Yr (New)</v>
      </c>
      <c r="AF1378" t="str">
        <f t="shared" si="153"/>
        <v>Low Risk</v>
      </c>
    </row>
    <row r="1379" spans="1:32" x14ac:dyDescent="0.45">
      <c r="A1379" t="s">
        <v>2273</v>
      </c>
      <c r="B1379" t="s">
        <v>2274</v>
      </c>
      <c r="C1379" t="s">
        <v>55</v>
      </c>
      <c r="D1379" t="s">
        <v>54</v>
      </c>
      <c r="E1379" t="s">
        <v>277</v>
      </c>
      <c r="F1379" t="s">
        <v>81</v>
      </c>
      <c r="G1379" t="s">
        <v>278</v>
      </c>
      <c r="H1379" t="s">
        <v>106</v>
      </c>
      <c r="I1379" t="s">
        <v>107</v>
      </c>
      <c r="J1379" s="26">
        <v>45917</v>
      </c>
      <c r="K1379" t="s">
        <v>162</v>
      </c>
      <c r="L1379" s="26"/>
      <c r="M1379" t="s">
        <v>163</v>
      </c>
      <c r="N1379" t="s">
        <v>95</v>
      </c>
      <c r="O1379" s="27">
        <v>735000</v>
      </c>
      <c r="P1379">
        <v>3</v>
      </c>
      <c r="Q1379" t="s">
        <v>164</v>
      </c>
      <c r="R1379">
        <v>23</v>
      </c>
      <c r="S1379" t="s">
        <v>274</v>
      </c>
      <c r="T1379">
        <f t="shared" si="147"/>
        <v>10572</v>
      </c>
      <c r="U1379" t="str">
        <f t="shared" si="148"/>
        <v>OPS</v>
      </c>
      <c r="V1379" t="str">
        <f t="shared" si="149"/>
        <v>L1</v>
      </c>
      <c r="W1379" t="str">
        <f>PROPER(TRIM(VLOOKUP(S1379,Employee_Lookups!$I$4:$M$19,2,FALSE())))</f>
        <v>Meera Krishnan</v>
      </c>
      <c r="X1379" t="str">
        <f>VLOOKUP(C1379,Employee_Lookups!$A$4:$G$9,4,FALSE())</f>
        <v>CC-303</v>
      </c>
      <c r="Y1379" t="str">
        <f>INDEX(Employee_Lookups!$C$13:$C$17,MATCH(F1379,Employee_Lookups!$A$13:$A$17,0))</f>
        <v>Band A (Entry)</v>
      </c>
      <c r="Z1379" s="27">
        <f>_xlfn.XLOOKUP(F1379,Employee_Lookups!$A$13:$A$17,Employee_Lookups!$E$13:$E$17,0)</f>
        <v>700000</v>
      </c>
      <c r="AA1379" s="28">
        <f>ROUND(O1379/INDEX(Employee_Lookups!$E$13:$E$17,MATCH(F1379,Employee_Lookups!$A$13:$A$17,0)),3)</f>
        <v>1.05</v>
      </c>
      <c r="AB1379">
        <f t="shared" si="150"/>
        <v>2025</v>
      </c>
      <c r="AC1379" t="str">
        <f t="shared" si="151"/>
        <v/>
      </c>
      <c r="AD1379" s="28">
        <f>ROUND((IF(ISBLANK(L1379),Employee_Lookups!$O$14,L1379)-J1379)/365.25,2)</f>
        <v>0.28999999999999998</v>
      </c>
      <c r="AE1379" t="str">
        <f t="shared" si="152"/>
        <v>&lt; 1 Yr (New)</v>
      </c>
      <c r="AF1379" t="str">
        <f t="shared" si="153"/>
        <v>Low Risk</v>
      </c>
    </row>
    <row r="1380" spans="1:32" x14ac:dyDescent="0.45">
      <c r="A1380" t="s">
        <v>2275</v>
      </c>
      <c r="B1380" t="s">
        <v>1249</v>
      </c>
      <c r="C1380" t="s">
        <v>59</v>
      </c>
      <c r="D1380" t="s">
        <v>58</v>
      </c>
      <c r="E1380" t="s">
        <v>206</v>
      </c>
      <c r="F1380" t="s">
        <v>81</v>
      </c>
      <c r="G1380" t="s">
        <v>207</v>
      </c>
      <c r="H1380" t="s">
        <v>108</v>
      </c>
      <c r="I1380" t="s">
        <v>107</v>
      </c>
      <c r="J1380" s="26">
        <v>45919</v>
      </c>
      <c r="K1380" t="s">
        <v>162</v>
      </c>
      <c r="L1380" s="26"/>
      <c r="M1380" t="s">
        <v>163</v>
      </c>
      <c r="N1380" t="s">
        <v>97</v>
      </c>
      <c r="O1380" s="27">
        <v>800000</v>
      </c>
      <c r="P1380">
        <v>5</v>
      </c>
      <c r="Q1380" t="s">
        <v>172</v>
      </c>
      <c r="R1380">
        <v>28</v>
      </c>
      <c r="S1380" t="s">
        <v>208</v>
      </c>
      <c r="T1380">
        <f t="shared" si="147"/>
        <v>10970</v>
      </c>
      <c r="U1380" t="str">
        <f t="shared" si="148"/>
        <v>FIN</v>
      </c>
      <c r="V1380" t="str">
        <f t="shared" si="149"/>
        <v>L1</v>
      </c>
      <c r="W1380" t="str">
        <f>PROPER(TRIM(VLOOKUP(S1380,Employee_Lookups!$I$4:$M$19,2,FALSE())))</f>
        <v>Rajeshwari Rao</v>
      </c>
      <c r="X1380" t="str">
        <f>VLOOKUP(C1380,Employee_Lookups!$A$4:$G$9,4,FALSE())</f>
        <v>CC-404</v>
      </c>
      <c r="Y1380" t="str">
        <f>INDEX(Employee_Lookups!$C$13:$C$17,MATCH(F1380,Employee_Lookups!$A$13:$A$17,0))</f>
        <v>Band A (Entry)</v>
      </c>
      <c r="Z1380" s="27">
        <f>_xlfn.XLOOKUP(F1380,Employee_Lookups!$A$13:$A$17,Employee_Lookups!$E$13:$E$17,0)</f>
        <v>700000</v>
      </c>
      <c r="AA1380" s="28">
        <f>ROUND(O1380/INDEX(Employee_Lookups!$E$13:$E$17,MATCH(F1380,Employee_Lookups!$A$13:$A$17,0)),3)</f>
        <v>1.143</v>
      </c>
      <c r="AB1380">
        <f t="shared" si="150"/>
        <v>2025</v>
      </c>
      <c r="AC1380" t="str">
        <f t="shared" si="151"/>
        <v/>
      </c>
      <c r="AD1380" s="28">
        <f>ROUND((IF(ISBLANK(L1380),Employee_Lookups!$O$14,L1380)-J1380)/365.25,2)</f>
        <v>0.28000000000000003</v>
      </c>
      <c r="AE1380" t="str">
        <f t="shared" si="152"/>
        <v>&lt; 1 Yr (New)</v>
      </c>
      <c r="AF1380" t="str">
        <f t="shared" si="153"/>
        <v>High Risk</v>
      </c>
    </row>
    <row r="1381" spans="1:32" x14ac:dyDescent="0.45">
      <c r="A1381" t="s">
        <v>2276</v>
      </c>
      <c r="B1381" t="s">
        <v>292</v>
      </c>
      <c r="C1381" t="s">
        <v>55</v>
      </c>
      <c r="D1381" t="s">
        <v>54</v>
      </c>
      <c r="E1381" t="s">
        <v>229</v>
      </c>
      <c r="F1381" t="s">
        <v>82</v>
      </c>
      <c r="G1381" t="s">
        <v>230</v>
      </c>
      <c r="H1381" t="s">
        <v>106</v>
      </c>
      <c r="I1381" t="s">
        <v>107</v>
      </c>
      <c r="J1381" s="26">
        <v>45921</v>
      </c>
      <c r="K1381" t="s">
        <v>162</v>
      </c>
      <c r="L1381" s="26"/>
      <c r="M1381" t="s">
        <v>163</v>
      </c>
      <c r="N1381" t="s">
        <v>97</v>
      </c>
      <c r="O1381" s="27">
        <v>1243000</v>
      </c>
      <c r="P1381">
        <v>3</v>
      </c>
      <c r="Q1381" t="s">
        <v>164</v>
      </c>
      <c r="R1381">
        <v>31</v>
      </c>
      <c r="S1381" t="s">
        <v>274</v>
      </c>
      <c r="T1381">
        <f t="shared" si="147"/>
        <v>10678</v>
      </c>
      <c r="U1381" t="str">
        <f t="shared" si="148"/>
        <v>OPS</v>
      </c>
      <c r="V1381" t="str">
        <f t="shared" si="149"/>
        <v>L2</v>
      </c>
      <c r="W1381" t="str">
        <f>PROPER(TRIM(VLOOKUP(S1381,Employee_Lookups!$I$4:$M$19,2,FALSE())))</f>
        <v>Meera Krishnan</v>
      </c>
      <c r="X1381" t="str">
        <f>VLOOKUP(C1381,Employee_Lookups!$A$4:$G$9,4,FALSE())</f>
        <v>CC-303</v>
      </c>
      <c r="Y1381" t="str">
        <f>INDEX(Employee_Lookups!$C$13:$C$17,MATCH(F1381,Employee_Lookups!$A$13:$A$17,0))</f>
        <v>Band B (Mid)</v>
      </c>
      <c r="Z1381" s="27">
        <f>_xlfn.XLOOKUP(F1381,Employee_Lookups!$A$13:$A$17,Employee_Lookups!$E$13:$E$17,0)</f>
        <v>1100000</v>
      </c>
      <c r="AA1381" s="28">
        <f>ROUND(O1381/INDEX(Employee_Lookups!$E$13:$E$17,MATCH(F1381,Employee_Lookups!$A$13:$A$17,0)),3)</f>
        <v>1.1299999999999999</v>
      </c>
      <c r="AB1381">
        <f t="shared" si="150"/>
        <v>2025</v>
      </c>
      <c r="AC1381" t="str">
        <f t="shared" si="151"/>
        <v/>
      </c>
      <c r="AD1381" s="28">
        <f>ROUND((IF(ISBLANK(L1381),Employee_Lookups!$O$14,L1381)-J1381)/365.25,2)</f>
        <v>0.28000000000000003</v>
      </c>
      <c r="AE1381" t="str">
        <f t="shared" si="152"/>
        <v>&lt; 1 Yr (New)</v>
      </c>
      <c r="AF1381" t="str">
        <f t="shared" si="153"/>
        <v>Low Risk</v>
      </c>
    </row>
    <row r="1382" spans="1:32" x14ac:dyDescent="0.45">
      <c r="A1382" t="s">
        <v>2277</v>
      </c>
      <c r="B1382" t="s">
        <v>1873</v>
      </c>
      <c r="C1382" t="s">
        <v>55</v>
      </c>
      <c r="D1382" t="s">
        <v>54</v>
      </c>
      <c r="E1382" t="s">
        <v>277</v>
      </c>
      <c r="F1382" t="s">
        <v>81</v>
      </c>
      <c r="G1382" t="s">
        <v>278</v>
      </c>
      <c r="H1382" t="s">
        <v>106</v>
      </c>
      <c r="I1382" t="s">
        <v>107</v>
      </c>
      <c r="J1382" s="26">
        <v>45924</v>
      </c>
      <c r="K1382" t="s">
        <v>162</v>
      </c>
      <c r="L1382" s="26"/>
      <c r="M1382" t="s">
        <v>163</v>
      </c>
      <c r="N1382" t="s">
        <v>97</v>
      </c>
      <c r="O1382" s="27">
        <v>573000</v>
      </c>
      <c r="P1382">
        <v>4</v>
      </c>
      <c r="Q1382" t="s">
        <v>172</v>
      </c>
      <c r="R1382">
        <v>39</v>
      </c>
      <c r="S1382" t="s">
        <v>262</v>
      </c>
      <c r="T1382">
        <f t="shared" si="147"/>
        <v>11074</v>
      </c>
      <c r="U1382" t="str">
        <f t="shared" si="148"/>
        <v>OPS</v>
      </c>
      <c r="V1382" t="str">
        <f t="shared" si="149"/>
        <v>L1</v>
      </c>
      <c r="W1382" t="str">
        <f>PROPER(TRIM(VLOOKUP(S1382,Employee_Lookups!$I$4:$M$19,2,FALSE())))</f>
        <v>Ananya Iyer</v>
      </c>
      <c r="X1382" t="str">
        <f>VLOOKUP(C1382,Employee_Lookups!$A$4:$G$9,4,FALSE())</f>
        <v>CC-303</v>
      </c>
      <c r="Y1382" t="str">
        <f>INDEX(Employee_Lookups!$C$13:$C$17,MATCH(F1382,Employee_Lookups!$A$13:$A$17,0))</f>
        <v>Band A (Entry)</v>
      </c>
      <c r="Z1382" s="27">
        <f>_xlfn.XLOOKUP(F1382,Employee_Lookups!$A$13:$A$17,Employee_Lookups!$E$13:$E$17,0)</f>
        <v>700000</v>
      </c>
      <c r="AA1382" s="28">
        <f>ROUND(O1382/INDEX(Employee_Lookups!$E$13:$E$17,MATCH(F1382,Employee_Lookups!$A$13:$A$17,0)),3)</f>
        <v>0.81899999999999995</v>
      </c>
      <c r="AB1382">
        <f t="shared" si="150"/>
        <v>2025</v>
      </c>
      <c r="AC1382" t="str">
        <f t="shared" si="151"/>
        <v/>
      </c>
      <c r="AD1382" s="28">
        <f>ROUND((IF(ISBLANK(L1382),Employee_Lookups!$O$14,L1382)-J1382)/365.25,2)</f>
        <v>0.27</v>
      </c>
      <c r="AE1382" t="str">
        <f t="shared" si="152"/>
        <v>&lt; 1 Yr (New)</v>
      </c>
      <c r="AF1382" t="str">
        <f t="shared" si="153"/>
        <v>High Risk</v>
      </c>
    </row>
    <row r="1383" spans="1:32" x14ac:dyDescent="0.45">
      <c r="A1383" t="s">
        <v>2278</v>
      </c>
      <c r="B1383" t="s">
        <v>1682</v>
      </c>
      <c r="C1383" t="s">
        <v>55</v>
      </c>
      <c r="D1383" t="s">
        <v>54</v>
      </c>
      <c r="E1383" t="s">
        <v>168</v>
      </c>
      <c r="F1383" t="s">
        <v>84</v>
      </c>
      <c r="G1383" t="s">
        <v>169</v>
      </c>
      <c r="H1383" t="s">
        <v>108</v>
      </c>
      <c r="I1383" t="s">
        <v>107</v>
      </c>
      <c r="J1383" s="26">
        <v>45924</v>
      </c>
      <c r="K1383" t="s">
        <v>162</v>
      </c>
      <c r="L1383" s="26"/>
      <c r="M1383" t="s">
        <v>163</v>
      </c>
      <c r="N1383" t="s">
        <v>99</v>
      </c>
      <c r="O1383" s="27">
        <v>2258000</v>
      </c>
      <c r="Q1383" t="s">
        <v>172</v>
      </c>
      <c r="R1383">
        <v>31</v>
      </c>
      <c r="S1383" t="s">
        <v>262</v>
      </c>
      <c r="T1383">
        <f t="shared" si="147"/>
        <v>11299</v>
      </c>
      <c r="U1383" t="str">
        <f t="shared" si="148"/>
        <v>OPS</v>
      </c>
      <c r="V1383" t="str">
        <f t="shared" si="149"/>
        <v>L4</v>
      </c>
      <c r="W1383" t="str">
        <f>PROPER(TRIM(VLOOKUP(S1383,Employee_Lookups!$I$4:$M$19,2,FALSE())))</f>
        <v>Ananya Iyer</v>
      </c>
      <c r="X1383" t="str">
        <f>VLOOKUP(C1383,Employee_Lookups!$A$4:$G$9,4,FALSE())</f>
        <v>CC-303</v>
      </c>
      <c r="Y1383" t="str">
        <f>INDEX(Employee_Lookups!$C$13:$C$17,MATCH(F1383,Employee_Lookups!$A$13:$A$17,0))</f>
        <v>Band D (Leadership)</v>
      </c>
      <c r="Z1383" s="27">
        <f>_xlfn.XLOOKUP(F1383,Employee_Lookups!$A$13:$A$17,Employee_Lookups!$E$13:$E$17,0)</f>
        <v>2750000</v>
      </c>
      <c r="AA1383" s="28">
        <f>ROUND(O1383/INDEX(Employee_Lookups!$E$13:$E$17,MATCH(F1383,Employee_Lookups!$A$13:$A$17,0)),3)</f>
        <v>0.82099999999999995</v>
      </c>
      <c r="AB1383">
        <f t="shared" si="150"/>
        <v>2025</v>
      </c>
      <c r="AC1383" t="str">
        <f t="shared" si="151"/>
        <v/>
      </c>
      <c r="AD1383" s="28">
        <f>ROUND((IF(ISBLANK(L1383),Employee_Lookups!$O$14,L1383)-J1383)/365.25,2)</f>
        <v>0.27</v>
      </c>
      <c r="AE1383" t="str">
        <f t="shared" si="152"/>
        <v>&lt; 1 Yr (New)</v>
      </c>
      <c r="AF1383" t="str">
        <f t="shared" si="153"/>
        <v>High Risk</v>
      </c>
    </row>
    <row r="1384" spans="1:32" x14ac:dyDescent="0.45">
      <c r="A1384" t="s">
        <v>2279</v>
      </c>
      <c r="B1384" t="s">
        <v>918</v>
      </c>
      <c r="C1384" t="s">
        <v>55</v>
      </c>
      <c r="D1384" t="s">
        <v>54</v>
      </c>
      <c r="E1384" t="s">
        <v>229</v>
      </c>
      <c r="F1384" t="s">
        <v>82</v>
      </c>
      <c r="G1384" t="s">
        <v>230</v>
      </c>
      <c r="H1384" t="s">
        <v>108</v>
      </c>
      <c r="I1384" t="s">
        <v>107</v>
      </c>
      <c r="J1384" s="26">
        <v>45925</v>
      </c>
      <c r="K1384" t="s">
        <v>162</v>
      </c>
      <c r="L1384" s="26"/>
      <c r="M1384" t="s">
        <v>163</v>
      </c>
      <c r="N1384" t="s">
        <v>99</v>
      </c>
      <c r="O1384" s="27">
        <v>1148000</v>
      </c>
      <c r="P1384">
        <v>4</v>
      </c>
      <c r="Q1384" t="s">
        <v>172</v>
      </c>
      <c r="R1384">
        <v>38</v>
      </c>
      <c r="S1384" t="s">
        <v>262</v>
      </c>
      <c r="T1384">
        <f t="shared" si="147"/>
        <v>10093</v>
      </c>
      <c r="U1384" t="str">
        <f t="shared" si="148"/>
        <v>OPS</v>
      </c>
      <c r="V1384" t="str">
        <f t="shared" si="149"/>
        <v>L2</v>
      </c>
      <c r="W1384" t="str">
        <f>PROPER(TRIM(VLOOKUP(S1384,Employee_Lookups!$I$4:$M$19,2,FALSE())))</f>
        <v>Ananya Iyer</v>
      </c>
      <c r="X1384" t="str">
        <f>VLOOKUP(C1384,Employee_Lookups!$A$4:$G$9,4,FALSE())</f>
        <v>CC-303</v>
      </c>
      <c r="Y1384" t="str">
        <f>INDEX(Employee_Lookups!$C$13:$C$17,MATCH(F1384,Employee_Lookups!$A$13:$A$17,0))</f>
        <v>Band B (Mid)</v>
      </c>
      <c r="Z1384" s="27">
        <f>_xlfn.XLOOKUP(F1384,Employee_Lookups!$A$13:$A$17,Employee_Lookups!$E$13:$E$17,0)</f>
        <v>1100000</v>
      </c>
      <c r="AA1384" s="28">
        <f>ROUND(O1384/INDEX(Employee_Lookups!$E$13:$E$17,MATCH(F1384,Employee_Lookups!$A$13:$A$17,0)),3)</f>
        <v>1.044</v>
      </c>
      <c r="AB1384">
        <f t="shared" si="150"/>
        <v>2025</v>
      </c>
      <c r="AC1384" t="str">
        <f t="shared" si="151"/>
        <v/>
      </c>
      <c r="AD1384" s="28">
        <f>ROUND((IF(ISBLANK(L1384),Employee_Lookups!$O$14,L1384)-J1384)/365.25,2)</f>
        <v>0.27</v>
      </c>
      <c r="AE1384" t="str">
        <f t="shared" si="152"/>
        <v>&lt; 1 Yr (New)</v>
      </c>
      <c r="AF1384" t="str">
        <f t="shared" si="153"/>
        <v>High Risk</v>
      </c>
    </row>
    <row r="1385" spans="1:32" x14ac:dyDescent="0.45">
      <c r="A1385" t="s">
        <v>2280</v>
      </c>
      <c r="B1385" t="s">
        <v>548</v>
      </c>
      <c r="C1385" t="s">
        <v>51</v>
      </c>
      <c r="D1385" t="s">
        <v>50</v>
      </c>
      <c r="E1385" t="s">
        <v>217</v>
      </c>
      <c r="F1385" t="s">
        <v>83</v>
      </c>
      <c r="G1385" t="s">
        <v>218</v>
      </c>
      <c r="H1385" t="s">
        <v>106</v>
      </c>
      <c r="I1385" t="s">
        <v>107</v>
      </c>
      <c r="J1385" s="26">
        <v>45925</v>
      </c>
      <c r="K1385" t="s">
        <v>162</v>
      </c>
      <c r="L1385" s="26"/>
      <c r="M1385" t="s">
        <v>163</v>
      </c>
      <c r="N1385" t="s">
        <v>99</v>
      </c>
      <c r="O1385" s="27">
        <v>1999000</v>
      </c>
      <c r="Q1385" t="s">
        <v>164</v>
      </c>
      <c r="R1385">
        <v>25</v>
      </c>
      <c r="S1385" t="s">
        <v>197</v>
      </c>
      <c r="T1385">
        <f t="shared" si="147"/>
        <v>11342</v>
      </c>
      <c r="U1385" t="str">
        <f t="shared" si="148"/>
        <v>ENG</v>
      </c>
      <c r="V1385" t="str">
        <f t="shared" si="149"/>
        <v>L3</v>
      </c>
      <c r="W1385" t="str">
        <f>PROPER(TRIM(VLOOKUP(S1385,Employee_Lookups!$I$4:$M$19,2,FALSE())))</f>
        <v>Rohan Verma</v>
      </c>
      <c r="X1385" t="str">
        <f>VLOOKUP(C1385,Employee_Lookups!$A$4:$G$9,4,FALSE())</f>
        <v>CC-101</v>
      </c>
      <c r="Y1385" t="str">
        <f>INDEX(Employee_Lookups!$C$13:$C$17,MATCH(F1385,Employee_Lookups!$A$13:$A$17,0))</f>
        <v>Band C (Senior)</v>
      </c>
      <c r="Z1385" s="27">
        <f>_xlfn.XLOOKUP(F1385,Employee_Lookups!$A$13:$A$17,Employee_Lookups!$E$13:$E$17,0)</f>
        <v>1725000</v>
      </c>
      <c r="AA1385" s="28">
        <f>ROUND(O1385/INDEX(Employee_Lookups!$E$13:$E$17,MATCH(F1385,Employee_Lookups!$A$13:$A$17,0)),3)</f>
        <v>1.159</v>
      </c>
      <c r="AB1385">
        <f t="shared" si="150"/>
        <v>2025</v>
      </c>
      <c r="AC1385" t="str">
        <f t="shared" si="151"/>
        <v/>
      </c>
      <c r="AD1385" s="28">
        <f>ROUND((IF(ISBLANK(L1385),Employee_Lookups!$O$14,L1385)-J1385)/365.25,2)</f>
        <v>0.27</v>
      </c>
      <c r="AE1385" t="str">
        <f t="shared" si="152"/>
        <v>&lt; 1 Yr (New)</v>
      </c>
      <c r="AF1385" t="str">
        <f t="shared" si="153"/>
        <v>Low Risk</v>
      </c>
    </row>
    <row r="1386" spans="1:32" x14ac:dyDescent="0.45">
      <c r="A1386" t="s">
        <v>2281</v>
      </c>
      <c r="B1386" t="s">
        <v>248</v>
      </c>
      <c r="C1386" t="s">
        <v>51</v>
      </c>
      <c r="D1386" t="s">
        <v>50</v>
      </c>
      <c r="E1386" t="s">
        <v>181</v>
      </c>
      <c r="F1386" t="s">
        <v>81</v>
      </c>
      <c r="G1386" t="s">
        <v>182</v>
      </c>
      <c r="H1386" t="s">
        <v>106</v>
      </c>
      <c r="I1386" t="s">
        <v>107</v>
      </c>
      <c r="J1386" s="26">
        <v>45927</v>
      </c>
      <c r="K1386" t="s">
        <v>162</v>
      </c>
      <c r="L1386" s="26"/>
      <c r="M1386" t="s">
        <v>163</v>
      </c>
      <c r="N1386" t="s">
        <v>96</v>
      </c>
      <c r="O1386" s="27">
        <v>745000</v>
      </c>
      <c r="P1386">
        <v>3</v>
      </c>
      <c r="Q1386" t="s">
        <v>164</v>
      </c>
      <c r="R1386">
        <v>14</v>
      </c>
      <c r="S1386" t="s">
        <v>244</v>
      </c>
      <c r="T1386">
        <f t="shared" si="147"/>
        <v>10516</v>
      </c>
      <c r="U1386" t="str">
        <f t="shared" si="148"/>
        <v>ENG</v>
      </c>
      <c r="V1386" t="str">
        <f t="shared" si="149"/>
        <v>L1</v>
      </c>
      <c r="W1386" t="str">
        <f>PROPER(TRIM(VLOOKUP(S1386,Employee_Lookups!$I$4:$M$19,2,FALSE())))</f>
        <v>Siddharth Nair</v>
      </c>
      <c r="X1386" t="str">
        <f>VLOOKUP(C1386,Employee_Lookups!$A$4:$G$9,4,FALSE())</f>
        <v>CC-101</v>
      </c>
      <c r="Y1386" t="str">
        <f>INDEX(Employee_Lookups!$C$13:$C$17,MATCH(F1386,Employee_Lookups!$A$13:$A$17,0))</f>
        <v>Band A (Entry)</v>
      </c>
      <c r="Z1386" s="27">
        <f>_xlfn.XLOOKUP(F1386,Employee_Lookups!$A$13:$A$17,Employee_Lookups!$E$13:$E$17,0)</f>
        <v>700000</v>
      </c>
      <c r="AA1386" s="28">
        <f>ROUND(O1386/INDEX(Employee_Lookups!$E$13:$E$17,MATCH(F1386,Employee_Lookups!$A$13:$A$17,0)),3)</f>
        <v>1.0640000000000001</v>
      </c>
      <c r="AB1386">
        <f t="shared" si="150"/>
        <v>2025</v>
      </c>
      <c r="AC1386" t="str">
        <f t="shared" si="151"/>
        <v/>
      </c>
      <c r="AD1386" s="28">
        <f>ROUND((IF(ISBLANK(L1386),Employee_Lookups!$O$14,L1386)-J1386)/365.25,2)</f>
        <v>0.26</v>
      </c>
      <c r="AE1386" t="str">
        <f t="shared" si="152"/>
        <v>&lt; 1 Yr (New)</v>
      </c>
      <c r="AF1386" t="str">
        <f t="shared" si="153"/>
        <v>Low Risk</v>
      </c>
    </row>
    <row r="1387" spans="1:32" x14ac:dyDescent="0.45">
      <c r="A1387" t="s">
        <v>2282</v>
      </c>
      <c r="B1387" t="s">
        <v>1039</v>
      </c>
      <c r="C1387" t="s">
        <v>53</v>
      </c>
      <c r="D1387" t="s">
        <v>52</v>
      </c>
      <c r="E1387" t="s">
        <v>280</v>
      </c>
      <c r="F1387" t="s">
        <v>85</v>
      </c>
      <c r="G1387" t="s">
        <v>281</v>
      </c>
      <c r="H1387" t="s">
        <v>111</v>
      </c>
      <c r="I1387" t="s">
        <v>110</v>
      </c>
      <c r="J1387" s="26">
        <v>45936</v>
      </c>
      <c r="K1387" t="s">
        <v>162</v>
      </c>
      <c r="L1387" s="26"/>
      <c r="M1387" t="s">
        <v>163</v>
      </c>
      <c r="N1387" t="s">
        <v>97</v>
      </c>
      <c r="O1387" s="27">
        <v>3632000</v>
      </c>
      <c r="P1387">
        <v>2</v>
      </c>
      <c r="Q1387" t="s">
        <v>164</v>
      </c>
      <c r="R1387">
        <v>16</v>
      </c>
      <c r="S1387" t="s">
        <v>237</v>
      </c>
      <c r="T1387">
        <f t="shared" si="147"/>
        <v>10219</v>
      </c>
      <c r="U1387" t="str">
        <f t="shared" si="148"/>
        <v>SAL</v>
      </c>
      <c r="V1387" t="str">
        <f t="shared" si="149"/>
        <v>L5</v>
      </c>
      <c r="W1387" t="str">
        <f>PROPER(TRIM(VLOOKUP(S1387,Employee_Lookups!$I$4:$M$19,2,FALSE())))</f>
        <v>Karan Malhotra</v>
      </c>
      <c r="X1387" t="str">
        <f>VLOOKUP(C1387,Employee_Lookups!$A$4:$G$9,4,FALSE())</f>
        <v>CC-202</v>
      </c>
      <c r="Y1387" t="str">
        <f>INDEX(Employee_Lookups!$C$13:$C$17,MATCH(F1387,Employee_Lookups!$A$13:$A$17,0))</f>
        <v>Band E (Executive)</v>
      </c>
      <c r="Z1387" s="27">
        <f>_xlfn.XLOOKUP(F1387,Employee_Lookups!$A$13:$A$17,Employee_Lookups!$E$13:$E$17,0)</f>
        <v>4300000</v>
      </c>
      <c r="AA1387" s="28">
        <f>ROUND(O1387/INDEX(Employee_Lookups!$E$13:$E$17,MATCH(F1387,Employee_Lookups!$A$13:$A$17,0)),3)</f>
        <v>0.84499999999999997</v>
      </c>
      <c r="AB1387">
        <f t="shared" si="150"/>
        <v>2025</v>
      </c>
      <c r="AC1387" t="str">
        <f t="shared" si="151"/>
        <v/>
      </c>
      <c r="AD1387" s="28">
        <f>ROUND((IF(ISBLANK(L1387),Employee_Lookups!$O$14,L1387)-J1387)/365.25,2)</f>
        <v>0.24</v>
      </c>
      <c r="AE1387" t="str">
        <f t="shared" si="152"/>
        <v>&lt; 1 Yr (New)</v>
      </c>
      <c r="AF1387" t="str">
        <f t="shared" si="153"/>
        <v>Moderate Risk</v>
      </c>
    </row>
    <row r="1388" spans="1:32" x14ac:dyDescent="0.45">
      <c r="A1388" t="s">
        <v>2283</v>
      </c>
      <c r="B1388" t="s">
        <v>1768</v>
      </c>
      <c r="C1388" t="s">
        <v>53</v>
      </c>
      <c r="D1388" t="s">
        <v>52</v>
      </c>
      <c r="E1388" t="s">
        <v>185</v>
      </c>
      <c r="F1388" t="s">
        <v>82</v>
      </c>
      <c r="G1388" t="s">
        <v>186</v>
      </c>
      <c r="H1388" t="s">
        <v>111</v>
      </c>
      <c r="I1388" t="s">
        <v>110</v>
      </c>
      <c r="J1388" s="26">
        <v>45937</v>
      </c>
      <c r="K1388" t="s">
        <v>162</v>
      </c>
      <c r="L1388" s="26"/>
      <c r="M1388" t="s">
        <v>163</v>
      </c>
      <c r="N1388" t="s">
        <v>96</v>
      </c>
      <c r="O1388" s="27">
        <v>1315000</v>
      </c>
      <c r="Q1388" t="s">
        <v>172</v>
      </c>
      <c r="R1388">
        <v>22</v>
      </c>
      <c r="S1388" t="s">
        <v>189</v>
      </c>
      <c r="T1388">
        <f t="shared" si="147"/>
        <v>10494</v>
      </c>
      <c r="U1388" t="str">
        <f t="shared" si="148"/>
        <v>SAL</v>
      </c>
      <c r="V1388" t="str">
        <f t="shared" si="149"/>
        <v>L2</v>
      </c>
      <c r="W1388" t="str">
        <f>PROPER(TRIM(VLOOKUP(S1388,Employee_Lookups!$I$4:$M$19,2,FALSE())))</f>
        <v>Priya Sharma</v>
      </c>
      <c r="X1388" t="str">
        <f>VLOOKUP(C1388,Employee_Lookups!$A$4:$G$9,4,FALSE())</f>
        <v>CC-202</v>
      </c>
      <c r="Y1388" t="str">
        <f>INDEX(Employee_Lookups!$C$13:$C$17,MATCH(F1388,Employee_Lookups!$A$13:$A$17,0))</f>
        <v>Band B (Mid)</v>
      </c>
      <c r="Z1388" s="27">
        <f>_xlfn.XLOOKUP(F1388,Employee_Lookups!$A$13:$A$17,Employee_Lookups!$E$13:$E$17,0)</f>
        <v>1100000</v>
      </c>
      <c r="AA1388" s="28">
        <f>ROUND(O1388/INDEX(Employee_Lookups!$E$13:$E$17,MATCH(F1388,Employee_Lookups!$A$13:$A$17,0)),3)</f>
        <v>1.1950000000000001</v>
      </c>
      <c r="AB1388">
        <f t="shared" si="150"/>
        <v>2025</v>
      </c>
      <c r="AC1388" t="str">
        <f t="shared" si="151"/>
        <v/>
      </c>
      <c r="AD1388" s="28">
        <f>ROUND((IF(ISBLANK(L1388),Employee_Lookups!$O$14,L1388)-J1388)/365.25,2)</f>
        <v>0.23</v>
      </c>
      <c r="AE1388" t="str">
        <f t="shared" si="152"/>
        <v>&lt; 1 Yr (New)</v>
      </c>
      <c r="AF1388" t="str">
        <f t="shared" si="153"/>
        <v>Moderate Risk</v>
      </c>
    </row>
    <row r="1389" spans="1:32" x14ac:dyDescent="0.45">
      <c r="A1389" t="s">
        <v>2284</v>
      </c>
      <c r="B1389" t="s">
        <v>1181</v>
      </c>
      <c r="C1389" t="s">
        <v>57</v>
      </c>
      <c r="D1389" t="s">
        <v>56</v>
      </c>
      <c r="E1389" t="s">
        <v>160</v>
      </c>
      <c r="F1389" t="s">
        <v>81</v>
      </c>
      <c r="G1389" t="s">
        <v>161</v>
      </c>
      <c r="H1389" t="s">
        <v>111</v>
      </c>
      <c r="I1389" t="s">
        <v>110</v>
      </c>
      <c r="J1389" s="26">
        <v>45938</v>
      </c>
      <c r="K1389" t="s">
        <v>162</v>
      </c>
      <c r="L1389" s="26"/>
      <c r="M1389" t="s">
        <v>163</v>
      </c>
      <c r="N1389" t="s">
        <v>98</v>
      </c>
      <c r="O1389" s="27">
        <v>573000</v>
      </c>
      <c r="P1389">
        <v>3</v>
      </c>
      <c r="Q1389" t="s">
        <v>172</v>
      </c>
      <c r="R1389">
        <v>26</v>
      </c>
      <c r="S1389" t="s">
        <v>224</v>
      </c>
      <c r="T1389">
        <f t="shared" si="147"/>
        <v>11417</v>
      </c>
      <c r="U1389" t="str">
        <f t="shared" si="148"/>
        <v>MKT</v>
      </c>
      <c r="V1389" t="str">
        <f t="shared" si="149"/>
        <v>L1</v>
      </c>
      <c r="W1389" t="str">
        <f>PROPER(TRIM(VLOOKUP(S1389,Employee_Lookups!$I$4:$M$19,2,FALSE())))</f>
        <v>Tanvi Chitnis</v>
      </c>
      <c r="X1389" t="str">
        <f>VLOOKUP(C1389,Employee_Lookups!$A$4:$G$9,4,FALSE())</f>
        <v>CC-606</v>
      </c>
      <c r="Y1389" t="str">
        <f>INDEX(Employee_Lookups!$C$13:$C$17,MATCH(F1389,Employee_Lookups!$A$13:$A$17,0))</f>
        <v>Band A (Entry)</v>
      </c>
      <c r="Z1389" s="27">
        <f>_xlfn.XLOOKUP(F1389,Employee_Lookups!$A$13:$A$17,Employee_Lookups!$E$13:$E$17,0)</f>
        <v>700000</v>
      </c>
      <c r="AA1389" s="28">
        <f>ROUND(O1389/INDEX(Employee_Lookups!$E$13:$E$17,MATCH(F1389,Employee_Lookups!$A$13:$A$17,0)),3)</f>
        <v>0.81899999999999995</v>
      </c>
      <c r="AB1389">
        <f t="shared" si="150"/>
        <v>2025</v>
      </c>
      <c r="AC1389" t="str">
        <f t="shared" si="151"/>
        <v/>
      </c>
      <c r="AD1389" s="28">
        <f>ROUND((IF(ISBLANK(L1389),Employee_Lookups!$O$14,L1389)-J1389)/365.25,2)</f>
        <v>0.23</v>
      </c>
      <c r="AE1389" t="str">
        <f t="shared" si="152"/>
        <v>&lt; 1 Yr (New)</v>
      </c>
      <c r="AF1389" t="str">
        <f t="shared" si="153"/>
        <v>High Risk</v>
      </c>
    </row>
    <row r="1390" spans="1:32" x14ac:dyDescent="0.45">
      <c r="A1390" t="s">
        <v>2285</v>
      </c>
      <c r="B1390" t="s">
        <v>2029</v>
      </c>
      <c r="C1390" t="s">
        <v>51</v>
      </c>
      <c r="D1390" t="s">
        <v>50</v>
      </c>
      <c r="E1390" t="s">
        <v>181</v>
      </c>
      <c r="F1390" t="s">
        <v>81</v>
      </c>
      <c r="G1390" t="s">
        <v>182</v>
      </c>
      <c r="H1390" t="s">
        <v>106</v>
      </c>
      <c r="I1390" t="s">
        <v>107</v>
      </c>
      <c r="J1390" s="26">
        <v>45941</v>
      </c>
      <c r="K1390" t="s">
        <v>162</v>
      </c>
      <c r="L1390" s="26"/>
      <c r="M1390" t="s">
        <v>163</v>
      </c>
      <c r="N1390" t="s">
        <v>99</v>
      </c>
      <c r="O1390" s="27">
        <v>786000</v>
      </c>
      <c r="P1390">
        <v>3</v>
      </c>
      <c r="Q1390" t="s">
        <v>164</v>
      </c>
      <c r="R1390">
        <v>34</v>
      </c>
      <c r="S1390" t="s">
        <v>244</v>
      </c>
      <c r="T1390">
        <f t="shared" si="147"/>
        <v>10813</v>
      </c>
      <c r="U1390" t="str">
        <f t="shared" si="148"/>
        <v>ENG</v>
      </c>
      <c r="V1390" t="str">
        <f t="shared" si="149"/>
        <v>L1</v>
      </c>
      <c r="W1390" t="str">
        <f>PROPER(TRIM(VLOOKUP(S1390,Employee_Lookups!$I$4:$M$19,2,FALSE())))</f>
        <v>Siddharth Nair</v>
      </c>
      <c r="X1390" t="str">
        <f>VLOOKUP(C1390,Employee_Lookups!$A$4:$G$9,4,FALSE())</f>
        <v>CC-101</v>
      </c>
      <c r="Y1390" t="str">
        <f>INDEX(Employee_Lookups!$C$13:$C$17,MATCH(F1390,Employee_Lookups!$A$13:$A$17,0))</f>
        <v>Band A (Entry)</v>
      </c>
      <c r="Z1390" s="27">
        <f>_xlfn.XLOOKUP(F1390,Employee_Lookups!$A$13:$A$17,Employee_Lookups!$E$13:$E$17,0)</f>
        <v>700000</v>
      </c>
      <c r="AA1390" s="28">
        <f>ROUND(O1390/INDEX(Employee_Lookups!$E$13:$E$17,MATCH(F1390,Employee_Lookups!$A$13:$A$17,0)),3)</f>
        <v>1.123</v>
      </c>
      <c r="AB1390">
        <f t="shared" si="150"/>
        <v>2025</v>
      </c>
      <c r="AC1390" t="str">
        <f t="shared" si="151"/>
        <v/>
      </c>
      <c r="AD1390" s="28">
        <f>ROUND((IF(ISBLANK(L1390),Employee_Lookups!$O$14,L1390)-J1390)/365.25,2)</f>
        <v>0.22</v>
      </c>
      <c r="AE1390" t="str">
        <f t="shared" si="152"/>
        <v>&lt; 1 Yr (New)</v>
      </c>
      <c r="AF1390" t="str">
        <f t="shared" si="153"/>
        <v>Low Risk</v>
      </c>
    </row>
    <row r="1391" spans="1:32" x14ac:dyDescent="0.45">
      <c r="A1391" t="s">
        <v>2286</v>
      </c>
      <c r="B1391" t="s">
        <v>1186</v>
      </c>
      <c r="C1391" t="s">
        <v>55</v>
      </c>
      <c r="D1391" t="s">
        <v>54</v>
      </c>
      <c r="E1391" t="s">
        <v>229</v>
      </c>
      <c r="F1391" t="s">
        <v>82</v>
      </c>
      <c r="G1391" t="s">
        <v>230</v>
      </c>
      <c r="H1391" t="s">
        <v>108</v>
      </c>
      <c r="I1391" t="s">
        <v>107</v>
      </c>
      <c r="J1391" s="26">
        <v>45946</v>
      </c>
      <c r="K1391" t="s">
        <v>162</v>
      </c>
      <c r="L1391" s="26"/>
      <c r="M1391" t="s">
        <v>163</v>
      </c>
      <c r="N1391" t="s">
        <v>99</v>
      </c>
      <c r="O1391" s="27">
        <v>1280000</v>
      </c>
      <c r="P1391">
        <v>3</v>
      </c>
      <c r="Q1391" t="s">
        <v>172</v>
      </c>
      <c r="R1391">
        <v>29</v>
      </c>
      <c r="S1391" t="s">
        <v>262</v>
      </c>
      <c r="T1391">
        <f t="shared" si="147"/>
        <v>11258</v>
      </c>
      <c r="U1391" t="str">
        <f t="shared" si="148"/>
        <v>OPS</v>
      </c>
      <c r="V1391" t="str">
        <f t="shared" si="149"/>
        <v>L2</v>
      </c>
      <c r="W1391" t="str">
        <f>PROPER(TRIM(VLOOKUP(S1391,Employee_Lookups!$I$4:$M$19,2,FALSE())))</f>
        <v>Ananya Iyer</v>
      </c>
      <c r="X1391" t="str">
        <f>VLOOKUP(C1391,Employee_Lookups!$A$4:$G$9,4,FALSE())</f>
        <v>CC-303</v>
      </c>
      <c r="Y1391" t="str">
        <f>INDEX(Employee_Lookups!$C$13:$C$17,MATCH(F1391,Employee_Lookups!$A$13:$A$17,0))</f>
        <v>Band B (Mid)</v>
      </c>
      <c r="Z1391" s="27">
        <f>_xlfn.XLOOKUP(F1391,Employee_Lookups!$A$13:$A$17,Employee_Lookups!$E$13:$E$17,0)</f>
        <v>1100000</v>
      </c>
      <c r="AA1391" s="28">
        <f>ROUND(O1391/INDEX(Employee_Lookups!$E$13:$E$17,MATCH(F1391,Employee_Lookups!$A$13:$A$17,0)),3)</f>
        <v>1.1639999999999999</v>
      </c>
      <c r="AB1391">
        <f t="shared" si="150"/>
        <v>2025</v>
      </c>
      <c r="AC1391" t="str">
        <f t="shared" si="151"/>
        <v/>
      </c>
      <c r="AD1391" s="28">
        <f>ROUND((IF(ISBLANK(L1391),Employee_Lookups!$O$14,L1391)-J1391)/365.25,2)</f>
        <v>0.21</v>
      </c>
      <c r="AE1391" t="str">
        <f t="shared" si="152"/>
        <v>&lt; 1 Yr (New)</v>
      </c>
      <c r="AF1391" t="str">
        <f t="shared" si="153"/>
        <v>Moderate Risk</v>
      </c>
    </row>
    <row r="1392" spans="1:32" x14ac:dyDescent="0.45">
      <c r="A1392" t="s">
        <v>2287</v>
      </c>
      <c r="B1392" t="s">
        <v>2288</v>
      </c>
      <c r="C1392" t="s">
        <v>51</v>
      </c>
      <c r="D1392" t="s">
        <v>50</v>
      </c>
      <c r="E1392" t="s">
        <v>181</v>
      </c>
      <c r="F1392" t="s">
        <v>81</v>
      </c>
      <c r="G1392" t="s">
        <v>182</v>
      </c>
      <c r="H1392" t="s">
        <v>112</v>
      </c>
      <c r="I1392" t="s">
        <v>113</v>
      </c>
      <c r="J1392" s="26">
        <v>45946</v>
      </c>
      <c r="K1392" t="s">
        <v>162</v>
      </c>
      <c r="L1392" s="26"/>
      <c r="M1392" t="s">
        <v>163</v>
      </c>
      <c r="N1392" t="s">
        <v>99</v>
      </c>
      <c r="O1392" s="27">
        <v>811000</v>
      </c>
      <c r="P1392">
        <v>4</v>
      </c>
      <c r="Q1392" t="s">
        <v>164</v>
      </c>
      <c r="R1392">
        <v>28</v>
      </c>
      <c r="S1392" t="s">
        <v>197</v>
      </c>
      <c r="T1392">
        <f t="shared" si="147"/>
        <v>10833</v>
      </c>
      <c r="U1392" t="str">
        <f t="shared" si="148"/>
        <v>ENG</v>
      </c>
      <c r="V1392" t="str">
        <f t="shared" si="149"/>
        <v>L1</v>
      </c>
      <c r="W1392" t="str">
        <f>PROPER(TRIM(VLOOKUP(S1392,Employee_Lookups!$I$4:$M$19,2,FALSE())))</f>
        <v>Rohan Verma</v>
      </c>
      <c r="X1392" t="str">
        <f>VLOOKUP(C1392,Employee_Lookups!$A$4:$G$9,4,FALSE())</f>
        <v>CC-101</v>
      </c>
      <c r="Y1392" t="str">
        <f>INDEX(Employee_Lookups!$C$13:$C$17,MATCH(F1392,Employee_Lookups!$A$13:$A$17,0))</f>
        <v>Band A (Entry)</v>
      </c>
      <c r="Z1392" s="27">
        <f>_xlfn.XLOOKUP(F1392,Employee_Lookups!$A$13:$A$17,Employee_Lookups!$E$13:$E$17,0)</f>
        <v>700000</v>
      </c>
      <c r="AA1392" s="28">
        <f>ROUND(O1392/INDEX(Employee_Lookups!$E$13:$E$17,MATCH(F1392,Employee_Lookups!$A$13:$A$17,0)),3)</f>
        <v>1.159</v>
      </c>
      <c r="AB1392">
        <f t="shared" si="150"/>
        <v>2025</v>
      </c>
      <c r="AC1392" t="str">
        <f t="shared" si="151"/>
        <v/>
      </c>
      <c r="AD1392" s="28">
        <f>ROUND((IF(ISBLANK(L1392),Employee_Lookups!$O$14,L1392)-J1392)/365.25,2)</f>
        <v>0.21</v>
      </c>
      <c r="AE1392" t="str">
        <f t="shared" si="152"/>
        <v>&lt; 1 Yr (New)</v>
      </c>
      <c r="AF1392" t="str">
        <f t="shared" si="153"/>
        <v>Low Risk</v>
      </c>
    </row>
    <row r="1393" spans="1:32" x14ac:dyDescent="0.45">
      <c r="A1393" t="s">
        <v>2289</v>
      </c>
      <c r="B1393" t="s">
        <v>599</v>
      </c>
      <c r="C1393" t="s">
        <v>53</v>
      </c>
      <c r="D1393" t="s">
        <v>52</v>
      </c>
      <c r="E1393" t="s">
        <v>322</v>
      </c>
      <c r="F1393" t="s">
        <v>81</v>
      </c>
      <c r="G1393" t="s">
        <v>323</v>
      </c>
      <c r="H1393" t="s">
        <v>106</v>
      </c>
      <c r="I1393" t="s">
        <v>107</v>
      </c>
      <c r="J1393" s="26">
        <v>45946</v>
      </c>
      <c r="K1393" t="s">
        <v>162</v>
      </c>
      <c r="L1393" s="26"/>
      <c r="M1393" t="s">
        <v>163</v>
      </c>
      <c r="N1393" t="s">
        <v>99</v>
      </c>
      <c r="O1393" s="27">
        <v>740000</v>
      </c>
      <c r="P1393">
        <v>3</v>
      </c>
      <c r="Q1393" t="s">
        <v>172</v>
      </c>
      <c r="R1393">
        <v>27</v>
      </c>
      <c r="S1393" t="s">
        <v>237</v>
      </c>
      <c r="T1393">
        <f t="shared" si="147"/>
        <v>10698</v>
      </c>
      <c r="U1393" t="str">
        <f t="shared" si="148"/>
        <v>SAL</v>
      </c>
      <c r="V1393" t="str">
        <f t="shared" si="149"/>
        <v>L1</v>
      </c>
      <c r="W1393" t="str">
        <f>PROPER(TRIM(VLOOKUP(S1393,Employee_Lookups!$I$4:$M$19,2,FALSE())))</f>
        <v>Karan Malhotra</v>
      </c>
      <c r="X1393" t="str">
        <f>VLOOKUP(C1393,Employee_Lookups!$A$4:$G$9,4,FALSE())</f>
        <v>CC-202</v>
      </c>
      <c r="Y1393" t="str">
        <f>INDEX(Employee_Lookups!$C$13:$C$17,MATCH(F1393,Employee_Lookups!$A$13:$A$17,0))</f>
        <v>Band A (Entry)</v>
      </c>
      <c r="Z1393" s="27">
        <f>_xlfn.XLOOKUP(F1393,Employee_Lookups!$A$13:$A$17,Employee_Lookups!$E$13:$E$17,0)</f>
        <v>700000</v>
      </c>
      <c r="AA1393" s="28">
        <f>ROUND(O1393/INDEX(Employee_Lookups!$E$13:$E$17,MATCH(F1393,Employee_Lookups!$A$13:$A$17,0)),3)</f>
        <v>1.0569999999999999</v>
      </c>
      <c r="AB1393">
        <f t="shared" si="150"/>
        <v>2025</v>
      </c>
      <c r="AC1393" t="str">
        <f t="shared" si="151"/>
        <v/>
      </c>
      <c r="AD1393" s="28">
        <f>ROUND((IF(ISBLANK(L1393),Employee_Lookups!$O$14,L1393)-J1393)/365.25,2)</f>
        <v>0.21</v>
      </c>
      <c r="AE1393" t="str">
        <f t="shared" si="152"/>
        <v>&lt; 1 Yr (New)</v>
      </c>
      <c r="AF1393" t="str">
        <f t="shared" si="153"/>
        <v>Moderate Risk</v>
      </c>
    </row>
    <row r="1394" spans="1:32" x14ac:dyDescent="0.45">
      <c r="A1394" t="s">
        <v>2290</v>
      </c>
      <c r="B1394" t="s">
        <v>1054</v>
      </c>
      <c r="C1394" t="s">
        <v>59</v>
      </c>
      <c r="D1394" t="s">
        <v>58</v>
      </c>
      <c r="E1394" t="s">
        <v>206</v>
      </c>
      <c r="F1394" t="s">
        <v>81</v>
      </c>
      <c r="G1394" t="s">
        <v>207</v>
      </c>
      <c r="H1394" t="s">
        <v>108</v>
      </c>
      <c r="I1394" t="s">
        <v>107</v>
      </c>
      <c r="J1394" s="26">
        <v>45946</v>
      </c>
      <c r="K1394" t="s">
        <v>162</v>
      </c>
      <c r="L1394" s="26"/>
      <c r="M1394" t="s">
        <v>163</v>
      </c>
      <c r="N1394" t="s">
        <v>99</v>
      </c>
      <c r="O1394" s="27">
        <v>633000</v>
      </c>
      <c r="P1394">
        <v>1</v>
      </c>
      <c r="Q1394" t="s">
        <v>164</v>
      </c>
      <c r="R1394">
        <v>20</v>
      </c>
      <c r="S1394" t="s">
        <v>208</v>
      </c>
      <c r="T1394">
        <f t="shared" si="147"/>
        <v>11368</v>
      </c>
      <c r="U1394" t="str">
        <f t="shared" si="148"/>
        <v>FIN</v>
      </c>
      <c r="V1394" t="str">
        <f t="shared" si="149"/>
        <v>L1</v>
      </c>
      <c r="W1394" t="str">
        <f>PROPER(TRIM(VLOOKUP(S1394,Employee_Lookups!$I$4:$M$19,2,FALSE())))</f>
        <v>Rajeshwari Rao</v>
      </c>
      <c r="X1394" t="str">
        <f>VLOOKUP(C1394,Employee_Lookups!$A$4:$G$9,4,FALSE())</f>
        <v>CC-404</v>
      </c>
      <c r="Y1394" t="str">
        <f>INDEX(Employee_Lookups!$C$13:$C$17,MATCH(F1394,Employee_Lookups!$A$13:$A$17,0))</f>
        <v>Band A (Entry)</v>
      </c>
      <c r="Z1394" s="27">
        <f>_xlfn.XLOOKUP(F1394,Employee_Lookups!$A$13:$A$17,Employee_Lookups!$E$13:$E$17,0)</f>
        <v>700000</v>
      </c>
      <c r="AA1394" s="28">
        <f>ROUND(O1394/INDEX(Employee_Lookups!$E$13:$E$17,MATCH(F1394,Employee_Lookups!$A$13:$A$17,0)),3)</f>
        <v>0.90400000000000003</v>
      </c>
      <c r="AB1394">
        <f t="shared" si="150"/>
        <v>2025</v>
      </c>
      <c r="AC1394" t="str">
        <f t="shared" si="151"/>
        <v/>
      </c>
      <c r="AD1394" s="28">
        <f>ROUND((IF(ISBLANK(L1394),Employee_Lookups!$O$14,L1394)-J1394)/365.25,2)</f>
        <v>0.21</v>
      </c>
      <c r="AE1394" t="str">
        <f t="shared" si="152"/>
        <v>&lt; 1 Yr (New)</v>
      </c>
      <c r="AF1394" t="str">
        <f t="shared" si="153"/>
        <v>Moderate Risk</v>
      </c>
    </row>
    <row r="1395" spans="1:32" x14ac:dyDescent="0.45">
      <c r="A1395" t="s">
        <v>2291</v>
      </c>
      <c r="B1395" t="s">
        <v>1452</v>
      </c>
      <c r="C1395" t="s">
        <v>57</v>
      </c>
      <c r="D1395" t="s">
        <v>56</v>
      </c>
      <c r="E1395" t="s">
        <v>160</v>
      </c>
      <c r="F1395" t="s">
        <v>81</v>
      </c>
      <c r="G1395" t="s">
        <v>161</v>
      </c>
      <c r="H1395" t="s">
        <v>106</v>
      </c>
      <c r="I1395" t="s">
        <v>107</v>
      </c>
      <c r="J1395" s="26">
        <v>45946</v>
      </c>
      <c r="K1395" t="s">
        <v>162</v>
      </c>
      <c r="L1395" s="26"/>
      <c r="M1395" t="s">
        <v>163</v>
      </c>
      <c r="N1395" t="s">
        <v>96</v>
      </c>
      <c r="O1395" s="27">
        <v>734000</v>
      </c>
      <c r="P1395">
        <v>4</v>
      </c>
      <c r="Q1395" t="s">
        <v>164</v>
      </c>
      <c r="R1395">
        <v>32</v>
      </c>
      <c r="S1395" t="s">
        <v>224</v>
      </c>
      <c r="T1395">
        <f t="shared" si="147"/>
        <v>11121</v>
      </c>
      <c r="U1395" t="str">
        <f t="shared" si="148"/>
        <v>MKT</v>
      </c>
      <c r="V1395" t="str">
        <f t="shared" si="149"/>
        <v>L1</v>
      </c>
      <c r="W1395" t="str">
        <f>PROPER(TRIM(VLOOKUP(S1395,Employee_Lookups!$I$4:$M$19,2,FALSE())))</f>
        <v>Tanvi Chitnis</v>
      </c>
      <c r="X1395" t="str">
        <f>VLOOKUP(C1395,Employee_Lookups!$A$4:$G$9,4,FALSE())</f>
        <v>CC-606</v>
      </c>
      <c r="Y1395" t="str">
        <f>INDEX(Employee_Lookups!$C$13:$C$17,MATCH(F1395,Employee_Lookups!$A$13:$A$17,0))</f>
        <v>Band A (Entry)</v>
      </c>
      <c r="Z1395" s="27">
        <f>_xlfn.XLOOKUP(F1395,Employee_Lookups!$A$13:$A$17,Employee_Lookups!$E$13:$E$17,0)</f>
        <v>700000</v>
      </c>
      <c r="AA1395" s="28">
        <f>ROUND(O1395/INDEX(Employee_Lookups!$E$13:$E$17,MATCH(F1395,Employee_Lookups!$A$13:$A$17,0)),3)</f>
        <v>1.0489999999999999</v>
      </c>
      <c r="AB1395">
        <f t="shared" si="150"/>
        <v>2025</v>
      </c>
      <c r="AC1395" t="str">
        <f t="shared" si="151"/>
        <v/>
      </c>
      <c r="AD1395" s="28">
        <f>ROUND((IF(ISBLANK(L1395),Employee_Lookups!$O$14,L1395)-J1395)/365.25,2)</f>
        <v>0.21</v>
      </c>
      <c r="AE1395" t="str">
        <f t="shared" si="152"/>
        <v>&lt; 1 Yr (New)</v>
      </c>
      <c r="AF1395" t="str">
        <f t="shared" si="153"/>
        <v>Low Risk</v>
      </c>
    </row>
    <row r="1396" spans="1:32" x14ac:dyDescent="0.45">
      <c r="A1396" t="s">
        <v>2292</v>
      </c>
      <c r="B1396" t="s">
        <v>1901</v>
      </c>
      <c r="C1396" t="s">
        <v>51</v>
      </c>
      <c r="D1396" t="s">
        <v>50</v>
      </c>
      <c r="E1396" t="s">
        <v>217</v>
      </c>
      <c r="F1396" t="s">
        <v>83</v>
      </c>
      <c r="G1396" t="s">
        <v>218</v>
      </c>
      <c r="H1396" t="s">
        <v>109</v>
      </c>
      <c r="I1396" t="s">
        <v>110</v>
      </c>
      <c r="J1396" s="26">
        <v>45950</v>
      </c>
      <c r="K1396" t="s">
        <v>162</v>
      </c>
      <c r="L1396" s="26"/>
      <c r="M1396" t="s">
        <v>163</v>
      </c>
      <c r="N1396" t="s">
        <v>96</v>
      </c>
      <c r="O1396" s="27">
        <v>1407000</v>
      </c>
      <c r="Q1396" t="s">
        <v>172</v>
      </c>
      <c r="R1396">
        <v>40</v>
      </c>
      <c r="S1396" t="s">
        <v>197</v>
      </c>
      <c r="T1396">
        <f t="shared" si="147"/>
        <v>10861</v>
      </c>
      <c r="U1396" t="str">
        <f t="shared" si="148"/>
        <v>ENG</v>
      </c>
      <c r="V1396" t="str">
        <f t="shared" si="149"/>
        <v>L3</v>
      </c>
      <c r="W1396" t="str">
        <f>PROPER(TRIM(VLOOKUP(S1396,Employee_Lookups!$I$4:$M$19,2,FALSE())))</f>
        <v>Rohan Verma</v>
      </c>
      <c r="X1396" t="str">
        <f>VLOOKUP(C1396,Employee_Lookups!$A$4:$G$9,4,FALSE())</f>
        <v>CC-101</v>
      </c>
      <c r="Y1396" t="str">
        <f>INDEX(Employee_Lookups!$C$13:$C$17,MATCH(F1396,Employee_Lookups!$A$13:$A$17,0))</f>
        <v>Band C (Senior)</v>
      </c>
      <c r="Z1396" s="27">
        <f>_xlfn.XLOOKUP(F1396,Employee_Lookups!$A$13:$A$17,Employee_Lookups!$E$13:$E$17,0)</f>
        <v>1725000</v>
      </c>
      <c r="AA1396" s="28">
        <f>ROUND(O1396/INDEX(Employee_Lookups!$E$13:$E$17,MATCH(F1396,Employee_Lookups!$A$13:$A$17,0)),3)</f>
        <v>0.81599999999999995</v>
      </c>
      <c r="AB1396">
        <f t="shared" si="150"/>
        <v>2025</v>
      </c>
      <c r="AC1396" t="str">
        <f t="shared" si="151"/>
        <v/>
      </c>
      <c r="AD1396" s="28">
        <f>ROUND((IF(ISBLANK(L1396),Employee_Lookups!$O$14,L1396)-J1396)/365.25,2)</f>
        <v>0.2</v>
      </c>
      <c r="AE1396" t="str">
        <f t="shared" si="152"/>
        <v>&lt; 1 Yr (New)</v>
      </c>
      <c r="AF1396" t="str">
        <f t="shared" si="153"/>
        <v>High Risk</v>
      </c>
    </row>
    <row r="1397" spans="1:32" x14ac:dyDescent="0.45">
      <c r="A1397" t="s">
        <v>2293</v>
      </c>
      <c r="B1397" t="s">
        <v>1500</v>
      </c>
      <c r="C1397" t="s">
        <v>53</v>
      </c>
      <c r="D1397" t="s">
        <v>52</v>
      </c>
      <c r="E1397" t="s">
        <v>200</v>
      </c>
      <c r="F1397" t="s">
        <v>84</v>
      </c>
      <c r="G1397" t="s">
        <v>201</v>
      </c>
      <c r="H1397" t="s">
        <v>106</v>
      </c>
      <c r="I1397" t="s">
        <v>107</v>
      </c>
      <c r="J1397" s="26">
        <v>45951</v>
      </c>
      <c r="K1397" t="s">
        <v>162</v>
      </c>
      <c r="L1397" s="26"/>
      <c r="M1397" t="s">
        <v>163</v>
      </c>
      <c r="N1397" t="s">
        <v>99</v>
      </c>
      <c r="O1397" s="27">
        <v>2216000</v>
      </c>
      <c r="P1397">
        <v>4</v>
      </c>
      <c r="Q1397" t="s">
        <v>172</v>
      </c>
      <c r="R1397">
        <v>23</v>
      </c>
      <c r="S1397" t="s">
        <v>237</v>
      </c>
      <c r="T1397">
        <f t="shared" si="147"/>
        <v>10904</v>
      </c>
      <c r="U1397" t="str">
        <f t="shared" si="148"/>
        <v>SAL</v>
      </c>
      <c r="V1397" t="str">
        <f t="shared" si="149"/>
        <v>L4</v>
      </c>
      <c r="W1397" t="str">
        <f>PROPER(TRIM(VLOOKUP(S1397,Employee_Lookups!$I$4:$M$19,2,FALSE())))</f>
        <v>Karan Malhotra</v>
      </c>
      <c r="X1397" t="str">
        <f>VLOOKUP(C1397,Employee_Lookups!$A$4:$G$9,4,FALSE())</f>
        <v>CC-202</v>
      </c>
      <c r="Y1397" t="str">
        <f>INDEX(Employee_Lookups!$C$13:$C$17,MATCH(F1397,Employee_Lookups!$A$13:$A$17,0))</f>
        <v>Band D (Leadership)</v>
      </c>
      <c r="Z1397" s="27">
        <f>_xlfn.XLOOKUP(F1397,Employee_Lookups!$A$13:$A$17,Employee_Lookups!$E$13:$E$17,0)</f>
        <v>2750000</v>
      </c>
      <c r="AA1397" s="28">
        <f>ROUND(O1397/INDEX(Employee_Lookups!$E$13:$E$17,MATCH(F1397,Employee_Lookups!$A$13:$A$17,0)),3)</f>
        <v>0.80600000000000005</v>
      </c>
      <c r="AB1397">
        <f t="shared" si="150"/>
        <v>2025</v>
      </c>
      <c r="AC1397" t="str">
        <f t="shared" si="151"/>
        <v/>
      </c>
      <c r="AD1397" s="28">
        <f>ROUND((IF(ISBLANK(L1397),Employee_Lookups!$O$14,L1397)-J1397)/365.25,2)</f>
        <v>0.19</v>
      </c>
      <c r="AE1397" t="str">
        <f t="shared" si="152"/>
        <v>&lt; 1 Yr (New)</v>
      </c>
      <c r="AF1397" t="str">
        <f t="shared" si="153"/>
        <v>High Risk</v>
      </c>
    </row>
    <row r="1398" spans="1:32" x14ac:dyDescent="0.45">
      <c r="A1398" t="s">
        <v>2294</v>
      </c>
      <c r="B1398" t="s">
        <v>1868</v>
      </c>
      <c r="C1398" t="s">
        <v>51</v>
      </c>
      <c r="D1398" t="s">
        <v>50</v>
      </c>
      <c r="E1398" t="s">
        <v>217</v>
      </c>
      <c r="F1398" t="s">
        <v>83</v>
      </c>
      <c r="G1398" t="s">
        <v>218</v>
      </c>
      <c r="H1398" t="s">
        <v>108</v>
      </c>
      <c r="I1398" t="s">
        <v>107</v>
      </c>
      <c r="J1398" s="26">
        <v>45954</v>
      </c>
      <c r="K1398" t="s">
        <v>162</v>
      </c>
      <c r="L1398" s="26"/>
      <c r="M1398" t="s">
        <v>163</v>
      </c>
      <c r="N1398" t="s">
        <v>97</v>
      </c>
      <c r="O1398" s="27">
        <v>1747000</v>
      </c>
      <c r="P1398">
        <v>3</v>
      </c>
      <c r="Q1398" t="s">
        <v>164</v>
      </c>
      <c r="R1398">
        <v>33</v>
      </c>
      <c r="S1398" t="s">
        <v>178</v>
      </c>
      <c r="T1398">
        <f t="shared" si="147"/>
        <v>10696</v>
      </c>
      <c r="U1398" t="str">
        <f t="shared" si="148"/>
        <v>ENG</v>
      </c>
      <c r="V1398" t="str">
        <f t="shared" si="149"/>
        <v>L3</v>
      </c>
      <c r="W1398" t="str">
        <f>PROPER(TRIM(VLOOKUP(S1398,Employee_Lookups!$I$4:$M$19,2,FALSE())))</f>
        <v>Aarav Deshmukh</v>
      </c>
      <c r="X1398" t="str">
        <f>VLOOKUP(C1398,Employee_Lookups!$A$4:$G$9,4,FALSE())</f>
        <v>CC-101</v>
      </c>
      <c r="Y1398" t="str">
        <f>INDEX(Employee_Lookups!$C$13:$C$17,MATCH(F1398,Employee_Lookups!$A$13:$A$17,0))</f>
        <v>Band C (Senior)</v>
      </c>
      <c r="Z1398" s="27">
        <f>_xlfn.XLOOKUP(F1398,Employee_Lookups!$A$13:$A$17,Employee_Lookups!$E$13:$E$17,0)</f>
        <v>1725000</v>
      </c>
      <c r="AA1398" s="28">
        <f>ROUND(O1398/INDEX(Employee_Lookups!$E$13:$E$17,MATCH(F1398,Employee_Lookups!$A$13:$A$17,0)),3)</f>
        <v>1.0129999999999999</v>
      </c>
      <c r="AB1398">
        <f t="shared" si="150"/>
        <v>2025</v>
      </c>
      <c r="AC1398" t="str">
        <f t="shared" si="151"/>
        <v/>
      </c>
      <c r="AD1398" s="28">
        <f>ROUND((IF(ISBLANK(L1398),Employee_Lookups!$O$14,L1398)-J1398)/365.25,2)</f>
        <v>0.19</v>
      </c>
      <c r="AE1398" t="str">
        <f t="shared" si="152"/>
        <v>&lt; 1 Yr (New)</v>
      </c>
      <c r="AF1398" t="str">
        <f t="shared" si="153"/>
        <v>Low Risk</v>
      </c>
    </row>
    <row r="1399" spans="1:32" x14ac:dyDescent="0.45">
      <c r="A1399" t="s">
        <v>2295</v>
      </c>
      <c r="B1399" t="s">
        <v>2296</v>
      </c>
      <c r="C1399" t="s">
        <v>57</v>
      </c>
      <c r="D1399" t="s">
        <v>56</v>
      </c>
      <c r="E1399" t="s">
        <v>222</v>
      </c>
      <c r="F1399" t="s">
        <v>82</v>
      </c>
      <c r="G1399" t="s">
        <v>223</v>
      </c>
      <c r="H1399" t="s">
        <v>111</v>
      </c>
      <c r="I1399" t="s">
        <v>110</v>
      </c>
      <c r="J1399" s="26">
        <v>45954</v>
      </c>
      <c r="K1399" t="s">
        <v>162</v>
      </c>
      <c r="L1399" s="26"/>
      <c r="M1399" t="s">
        <v>163</v>
      </c>
      <c r="N1399" t="s">
        <v>97</v>
      </c>
      <c r="O1399" s="27">
        <v>1111000</v>
      </c>
      <c r="P1399">
        <v>3</v>
      </c>
      <c r="Q1399" t="s">
        <v>164</v>
      </c>
      <c r="R1399">
        <v>33</v>
      </c>
      <c r="S1399" t="s">
        <v>165</v>
      </c>
      <c r="T1399">
        <f t="shared" si="147"/>
        <v>10880</v>
      </c>
      <c r="U1399" t="str">
        <f t="shared" si="148"/>
        <v>MKT</v>
      </c>
      <c r="V1399" t="str">
        <f t="shared" si="149"/>
        <v>L2</v>
      </c>
      <c r="W1399" t="str">
        <f>PROPER(TRIM(VLOOKUP(S1399,Employee_Lookups!$I$4:$M$19,2,FALSE())))</f>
        <v>Arjun Sengupta</v>
      </c>
      <c r="X1399" t="str">
        <f>VLOOKUP(C1399,Employee_Lookups!$A$4:$G$9,4,FALSE())</f>
        <v>CC-606</v>
      </c>
      <c r="Y1399" t="str">
        <f>INDEX(Employee_Lookups!$C$13:$C$17,MATCH(F1399,Employee_Lookups!$A$13:$A$17,0))</f>
        <v>Band B (Mid)</v>
      </c>
      <c r="Z1399" s="27">
        <f>_xlfn.XLOOKUP(F1399,Employee_Lookups!$A$13:$A$17,Employee_Lookups!$E$13:$E$17,0)</f>
        <v>1100000</v>
      </c>
      <c r="AA1399" s="28">
        <f>ROUND(O1399/INDEX(Employee_Lookups!$E$13:$E$17,MATCH(F1399,Employee_Lookups!$A$13:$A$17,0)),3)</f>
        <v>1.01</v>
      </c>
      <c r="AB1399">
        <f t="shared" si="150"/>
        <v>2025</v>
      </c>
      <c r="AC1399" t="str">
        <f t="shared" si="151"/>
        <v/>
      </c>
      <c r="AD1399" s="28">
        <f>ROUND((IF(ISBLANK(L1399),Employee_Lookups!$O$14,L1399)-J1399)/365.25,2)</f>
        <v>0.19</v>
      </c>
      <c r="AE1399" t="str">
        <f t="shared" si="152"/>
        <v>&lt; 1 Yr (New)</v>
      </c>
      <c r="AF1399" t="str">
        <f t="shared" si="153"/>
        <v>Low Risk</v>
      </c>
    </row>
    <row r="1400" spans="1:32" x14ac:dyDescent="0.45">
      <c r="A1400" t="s">
        <v>2297</v>
      </c>
      <c r="B1400" t="s">
        <v>2298</v>
      </c>
      <c r="C1400" t="s">
        <v>53</v>
      </c>
      <c r="D1400" t="s">
        <v>52</v>
      </c>
      <c r="E1400" t="s">
        <v>322</v>
      </c>
      <c r="F1400" t="s">
        <v>81</v>
      </c>
      <c r="G1400" t="s">
        <v>323</v>
      </c>
      <c r="H1400" t="s">
        <v>108</v>
      </c>
      <c r="I1400" t="s">
        <v>107</v>
      </c>
      <c r="J1400" s="26">
        <v>45955</v>
      </c>
      <c r="K1400" t="s">
        <v>162</v>
      </c>
      <c r="L1400" s="26"/>
      <c r="M1400" t="s">
        <v>163</v>
      </c>
      <c r="N1400" t="s">
        <v>97</v>
      </c>
      <c r="O1400" s="27">
        <v>648000</v>
      </c>
      <c r="P1400">
        <v>4</v>
      </c>
      <c r="Q1400" t="s">
        <v>164</v>
      </c>
      <c r="R1400">
        <v>28</v>
      </c>
      <c r="S1400" t="s">
        <v>237</v>
      </c>
      <c r="T1400">
        <f t="shared" si="147"/>
        <v>10729</v>
      </c>
      <c r="U1400" t="str">
        <f t="shared" si="148"/>
        <v>SAL</v>
      </c>
      <c r="V1400" t="str">
        <f t="shared" si="149"/>
        <v>L1</v>
      </c>
      <c r="W1400" t="str">
        <f>PROPER(TRIM(VLOOKUP(S1400,Employee_Lookups!$I$4:$M$19,2,FALSE())))</f>
        <v>Karan Malhotra</v>
      </c>
      <c r="X1400" t="str">
        <f>VLOOKUP(C1400,Employee_Lookups!$A$4:$G$9,4,FALSE())</f>
        <v>CC-202</v>
      </c>
      <c r="Y1400" t="str">
        <f>INDEX(Employee_Lookups!$C$13:$C$17,MATCH(F1400,Employee_Lookups!$A$13:$A$17,0))</f>
        <v>Band A (Entry)</v>
      </c>
      <c r="Z1400" s="27">
        <f>_xlfn.XLOOKUP(F1400,Employee_Lookups!$A$13:$A$17,Employee_Lookups!$E$13:$E$17,0)</f>
        <v>700000</v>
      </c>
      <c r="AA1400" s="28">
        <f>ROUND(O1400/INDEX(Employee_Lookups!$E$13:$E$17,MATCH(F1400,Employee_Lookups!$A$13:$A$17,0)),3)</f>
        <v>0.92600000000000005</v>
      </c>
      <c r="AB1400">
        <f t="shared" si="150"/>
        <v>2025</v>
      </c>
      <c r="AC1400" t="str">
        <f t="shared" si="151"/>
        <v/>
      </c>
      <c r="AD1400" s="28">
        <f>ROUND((IF(ISBLANK(L1400),Employee_Lookups!$O$14,L1400)-J1400)/365.25,2)</f>
        <v>0.18</v>
      </c>
      <c r="AE1400" t="str">
        <f t="shared" si="152"/>
        <v>&lt; 1 Yr (New)</v>
      </c>
      <c r="AF1400" t="str">
        <f t="shared" si="153"/>
        <v>Low Risk</v>
      </c>
    </row>
    <row r="1401" spans="1:32" x14ac:dyDescent="0.45">
      <c r="A1401" t="s">
        <v>2299</v>
      </c>
      <c r="B1401" t="s">
        <v>758</v>
      </c>
      <c r="C1401" t="s">
        <v>55</v>
      </c>
      <c r="D1401" t="s">
        <v>54</v>
      </c>
      <c r="E1401" t="s">
        <v>277</v>
      </c>
      <c r="F1401" t="s">
        <v>81</v>
      </c>
      <c r="G1401" t="s">
        <v>278</v>
      </c>
      <c r="H1401" t="s">
        <v>106</v>
      </c>
      <c r="I1401" t="s">
        <v>107</v>
      </c>
      <c r="J1401" s="26">
        <v>45963</v>
      </c>
      <c r="K1401" t="s">
        <v>162</v>
      </c>
      <c r="L1401" s="26"/>
      <c r="M1401" t="s">
        <v>163</v>
      </c>
      <c r="N1401" t="s">
        <v>99</v>
      </c>
      <c r="O1401" s="27">
        <v>702000</v>
      </c>
      <c r="Q1401" t="s">
        <v>172</v>
      </c>
      <c r="R1401">
        <v>30</v>
      </c>
      <c r="S1401" t="s">
        <v>262</v>
      </c>
      <c r="T1401">
        <f t="shared" si="147"/>
        <v>11415</v>
      </c>
      <c r="U1401" t="str">
        <f t="shared" si="148"/>
        <v>OPS</v>
      </c>
      <c r="V1401" t="str">
        <f t="shared" si="149"/>
        <v>L1</v>
      </c>
      <c r="W1401" t="str">
        <f>PROPER(TRIM(VLOOKUP(S1401,Employee_Lookups!$I$4:$M$19,2,FALSE())))</f>
        <v>Ananya Iyer</v>
      </c>
      <c r="X1401" t="str">
        <f>VLOOKUP(C1401,Employee_Lookups!$A$4:$G$9,4,FALSE())</f>
        <v>CC-303</v>
      </c>
      <c r="Y1401" t="str">
        <f>INDEX(Employee_Lookups!$C$13:$C$17,MATCH(F1401,Employee_Lookups!$A$13:$A$17,0))</f>
        <v>Band A (Entry)</v>
      </c>
      <c r="Z1401" s="27">
        <f>_xlfn.XLOOKUP(F1401,Employee_Lookups!$A$13:$A$17,Employee_Lookups!$E$13:$E$17,0)</f>
        <v>700000</v>
      </c>
      <c r="AA1401" s="28">
        <f>ROUND(O1401/INDEX(Employee_Lookups!$E$13:$E$17,MATCH(F1401,Employee_Lookups!$A$13:$A$17,0)),3)</f>
        <v>1.0029999999999999</v>
      </c>
      <c r="AB1401">
        <f t="shared" si="150"/>
        <v>2025</v>
      </c>
      <c r="AC1401" t="str">
        <f t="shared" si="151"/>
        <v/>
      </c>
      <c r="AD1401" s="28">
        <f>ROUND((IF(ISBLANK(L1401),Employee_Lookups!$O$14,L1401)-J1401)/365.25,2)</f>
        <v>0.16</v>
      </c>
      <c r="AE1401" t="str">
        <f t="shared" si="152"/>
        <v>&lt; 1 Yr (New)</v>
      </c>
      <c r="AF1401" t="str">
        <f t="shared" si="153"/>
        <v>Moderate Risk</v>
      </c>
    </row>
    <row r="1402" spans="1:32" x14ac:dyDescent="0.45">
      <c r="A1402" t="s">
        <v>2300</v>
      </c>
      <c r="B1402" t="s">
        <v>726</v>
      </c>
      <c r="C1402" t="s">
        <v>53</v>
      </c>
      <c r="D1402" t="s">
        <v>52</v>
      </c>
      <c r="E1402" t="s">
        <v>192</v>
      </c>
      <c r="F1402" t="s">
        <v>83</v>
      </c>
      <c r="G1402" t="s">
        <v>193</v>
      </c>
      <c r="H1402" t="s">
        <v>109</v>
      </c>
      <c r="I1402" t="s">
        <v>110</v>
      </c>
      <c r="J1402" s="26">
        <v>45965</v>
      </c>
      <c r="K1402" t="s">
        <v>162</v>
      </c>
      <c r="L1402" s="26"/>
      <c r="M1402" t="s">
        <v>163</v>
      </c>
      <c r="N1402" t="s">
        <v>95</v>
      </c>
      <c r="O1402" s="27">
        <v>1473000</v>
      </c>
      <c r="Q1402" t="s">
        <v>164</v>
      </c>
      <c r="R1402">
        <v>49</v>
      </c>
      <c r="S1402" t="s">
        <v>189</v>
      </c>
      <c r="T1402">
        <f t="shared" si="147"/>
        <v>10331</v>
      </c>
      <c r="U1402" t="str">
        <f t="shared" si="148"/>
        <v>SAL</v>
      </c>
      <c r="V1402" t="str">
        <f t="shared" si="149"/>
        <v>L3</v>
      </c>
      <c r="W1402" t="str">
        <f>PROPER(TRIM(VLOOKUP(S1402,Employee_Lookups!$I$4:$M$19,2,FALSE())))</f>
        <v>Priya Sharma</v>
      </c>
      <c r="X1402" t="str">
        <f>VLOOKUP(C1402,Employee_Lookups!$A$4:$G$9,4,FALSE())</f>
        <v>CC-202</v>
      </c>
      <c r="Y1402" t="str">
        <f>INDEX(Employee_Lookups!$C$13:$C$17,MATCH(F1402,Employee_Lookups!$A$13:$A$17,0))</f>
        <v>Band C (Senior)</v>
      </c>
      <c r="Z1402" s="27">
        <f>_xlfn.XLOOKUP(F1402,Employee_Lookups!$A$13:$A$17,Employee_Lookups!$E$13:$E$17,0)</f>
        <v>1725000</v>
      </c>
      <c r="AA1402" s="28">
        <f>ROUND(O1402/INDEX(Employee_Lookups!$E$13:$E$17,MATCH(F1402,Employee_Lookups!$A$13:$A$17,0)),3)</f>
        <v>0.85399999999999998</v>
      </c>
      <c r="AB1402">
        <f t="shared" si="150"/>
        <v>2025</v>
      </c>
      <c r="AC1402" t="str">
        <f t="shared" si="151"/>
        <v/>
      </c>
      <c r="AD1402" s="28">
        <f>ROUND((IF(ISBLANK(L1402),Employee_Lookups!$O$14,L1402)-J1402)/365.25,2)</f>
        <v>0.16</v>
      </c>
      <c r="AE1402" t="str">
        <f t="shared" si="152"/>
        <v>&lt; 1 Yr (New)</v>
      </c>
      <c r="AF1402" t="str">
        <f t="shared" si="153"/>
        <v>Low Risk</v>
      </c>
    </row>
    <row r="1403" spans="1:32" x14ac:dyDescent="0.45">
      <c r="A1403" t="s">
        <v>2301</v>
      </c>
      <c r="B1403" t="s">
        <v>1460</v>
      </c>
      <c r="C1403" t="s">
        <v>61</v>
      </c>
      <c r="D1403" t="s">
        <v>60</v>
      </c>
      <c r="E1403" t="s">
        <v>317</v>
      </c>
      <c r="F1403" t="s">
        <v>84</v>
      </c>
      <c r="G1403" t="s">
        <v>318</v>
      </c>
      <c r="H1403" t="s">
        <v>108</v>
      </c>
      <c r="I1403" t="s">
        <v>107</v>
      </c>
      <c r="J1403" s="26">
        <v>45965</v>
      </c>
      <c r="K1403" t="s">
        <v>162</v>
      </c>
      <c r="L1403" s="26"/>
      <c r="M1403" t="s">
        <v>163</v>
      </c>
      <c r="N1403" t="s">
        <v>98</v>
      </c>
      <c r="O1403" s="27">
        <v>2529000</v>
      </c>
      <c r="Q1403" t="s">
        <v>164</v>
      </c>
      <c r="R1403">
        <v>36</v>
      </c>
      <c r="S1403" t="s">
        <v>253</v>
      </c>
      <c r="T1403">
        <f t="shared" si="147"/>
        <v>10104</v>
      </c>
      <c r="U1403" t="str">
        <f t="shared" si="148"/>
        <v>-HR</v>
      </c>
      <c r="V1403" t="str">
        <f t="shared" si="149"/>
        <v>L4</v>
      </c>
      <c r="W1403" t="str">
        <f>PROPER(TRIM(VLOOKUP(S1403,Employee_Lookups!$I$4:$M$19,2,FALSE())))</f>
        <v>Nikhil Chatterjee</v>
      </c>
      <c r="X1403" t="str">
        <f>VLOOKUP(C1403,Employee_Lookups!$A$4:$G$9,4,FALSE())</f>
        <v>CC-505</v>
      </c>
      <c r="Y1403" t="str">
        <f>INDEX(Employee_Lookups!$C$13:$C$17,MATCH(F1403,Employee_Lookups!$A$13:$A$17,0))</f>
        <v>Band D (Leadership)</v>
      </c>
      <c r="Z1403" s="27">
        <f>_xlfn.XLOOKUP(F1403,Employee_Lookups!$A$13:$A$17,Employee_Lookups!$E$13:$E$17,0)</f>
        <v>2750000</v>
      </c>
      <c r="AA1403" s="28">
        <f>ROUND(O1403/INDEX(Employee_Lookups!$E$13:$E$17,MATCH(F1403,Employee_Lookups!$A$13:$A$17,0)),3)</f>
        <v>0.92</v>
      </c>
      <c r="AB1403">
        <f t="shared" si="150"/>
        <v>2025</v>
      </c>
      <c r="AC1403" t="str">
        <f t="shared" si="151"/>
        <v/>
      </c>
      <c r="AD1403" s="28">
        <f>ROUND((IF(ISBLANK(L1403),Employee_Lookups!$O$14,L1403)-J1403)/365.25,2)</f>
        <v>0.16</v>
      </c>
      <c r="AE1403" t="str">
        <f t="shared" si="152"/>
        <v>&lt; 1 Yr (New)</v>
      </c>
      <c r="AF1403" t="str">
        <f t="shared" si="153"/>
        <v>Low Risk</v>
      </c>
    </row>
    <row r="1404" spans="1:32" x14ac:dyDescent="0.45">
      <c r="A1404" t="s">
        <v>2302</v>
      </c>
      <c r="B1404" t="s">
        <v>2303</v>
      </c>
      <c r="C1404" t="s">
        <v>55</v>
      </c>
      <c r="D1404" t="s">
        <v>54</v>
      </c>
      <c r="E1404" t="s">
        <v>277</v>
      </c>
      <c r="F1404" t="s">
        <v>81</v>
      </c>
      <c r="G1404" t="s">
        <v>278</v>
      </c>
      <c r="H1404" t="s">
        <v>111</v>
      </c>
      <c r="I1404" t="s">
        <v>110</v>
      </c>
      <c r="J1404" s="26">
        <v>45966</v>
      </c>
      <c r="K1404" t="s">
        <v>162</v>
      </c>
      <c r="L1404" s="26"/>
      <c r="M1404" t="s">
        <v>163</v>
      </c>
      <c r="N1404" t="s">
        <v>98</v>
      </c>
      <c r="O1404" s="27">
        <v>610000</v>
      </c>
      <c r="P1404">
        <v>3</v>
      </c>
      <c r="Q1404" t="s">
        <v>164</v>
      </c>
      <c r="R1404">
        <v>35</v>
      </c>
      <c r="S1404" t="s">
        <v>173</v>
      </c>
      <c r="T1404">
        <f t="shared" si="147"/>
        <v>10501</v>
      </c>
      <c r="U1404" t="str">
        <f t="shared" si="148"/>
        <v>OPS</v>
      </c>
      <c r="V1404" t="str">
        <f t="shared" si="149"/>
        <v>L1</v>
      </c>
      <c r="W1404" t="str">
        <f>PROPER(TRIM(VLOOKUP(S1404,Employee_Lookups!$I$4:$M$19,2,FALSE())))</f>
        <v>Deepak Patil</v>
      </c>
      <c r="X1404" t="str">
        <f>VLOOKUP(C1404,Employee_Lookups!$A$4:$G$9,4,FALSE())</f>
        <v>CC-303</v>
      </c>
      <c r="Y1404" t="str">
        <f>INDEX(Employee_Lookups!$C$13:$C$17,MATCH(F1404,Employee_Lookups!$A$13:$A$17,0))</f>
        <v>Band A (Entry)</v>
      </c>
      <c r="Z1404" s="27">
        <f>_xlfn.XLOOKUP(F1404,Employee_Lookups!$A$13:$A$17,Employee_Lookups!$E$13:$E$17,0)</f>
        <v>700000</v>
      </c>
      <c r="AA1404" s="28">
        <f>ROUND(O1404/INDEX(Employee_Lookups!$E$13:$E$17,MATCH(F1404,Employee_Lookups!$A$13:$A$17,0)),3)</f>
        <v>0.871</v>
      </c>
      <c r="AB1404">
        <f t="shared" si="150"/>
        <v>2025</v>
      </c>
      <c r="AC1404" t="str">
        <f t="shared" si="151"/>
        <v/>
      </c>
      <c r="AD1404" s="28">
        <f>ROUND((IF(ISBLANK(L1404),Employee_Lookups!$O$14,L1404)-J1404)/365.25,2)</f>
        <v>0.15</v>
      </c>
      <c r="AE1404" t="str">
        <f t="shared" si="152"/>
        <v>&lt; 1 Yr (New)</v>
      </c>
      <c r="AF1404" t="str">
        <f t="shared" si="153"/>
        <v>Low Risk</v>
      </c>
    </row>
    <row r="1405" spans="1:32" x14ac:dyDescent="0.45">
      <c r="A1405" t="s">
        <v>2304</v>
      </c>
      <c r="B1405" t="s">
        <v>1134</v>
      </c>
      <c r="C1405" t="s">
        <v>53</v>
      </c>
      <c r="D1405" t="s">
        <v>52</v>
      </c>
      <c r="E1405" t="s">
        <v>322</v>
      </c>
      <c r="F1405" t="s">
        <v>81</v>
      </c>
      <c r="G1405" t="s">
        <v>323</v>
      </c>
      <c r="H1405" t="s">
        <v>106</v>
      </c>
      <c r="I1405" t="s">
        <v>107</v>
      </c>
      <c r="J1405" s="26">
        <v>45967</v>
      </c>
      <c r="K1405" t="s">
        <v>162</v>
      </c>
      <c r="L1405" s="26"/>
      <c r="M1405" t="s">
        <v>163</v>
      </c>
      <c r="N1405" t="s">
        <v>97</v>
      </c>
      <c r="O1405" s="27">
        <v>553000</v>
      </c>
      <c r="Q1405" t="s">
        <v>164</v>
      </c>
      <c r="R1405">
        <v>53</v>
      </c>
      <c r="S1405" t="s">
        <v>194</v>
      </c>
      <c r="T1405">
        <f t="shared" si="147"/>
        <v>10446</v>
      </c>
      <c r="U1405" t="str">
        <f t="shared" si="148"/>
        <v>SAL</v>
      </c>
      <c r="V1405" t="str">
        <f t="shared" si="149"/>
        <v>L1</v>
      </c>
      <c r="W1405" t="str">
        <f>PROPER(TRIM(VLOOKUP(S1405,Employee_Lookups!$I$4:$M$19,2,FALSE())))</f>
        <v>Vikramaditya Joshi</v>
      </c>
      <c r="X1405" t="str">
        <f>VLOOKUP(C1405,Employee_Lookups!$A$4:$G$9,4,FALSE())</f>
        <v>CC-202</v>
      </c>
      <c r="Y1405" t="str">
        <f>INDEX(Employee_Lookups!$C$13:$C$17,MATCH(F1405,Employee_Lookups!$A$13:$A$17,0))</f>
        <v>Band A (Entry)</v>
      </c>
      <c r="Z1405" s="27">
        <f>_xlfn.XLOOKUP(F1405,Employee_Lookups!$A$13:$A$17,Employee_Lookups!$E$13:$E$17,0)</f>
        <v>700000</v>
      </c>
      <c r="AA1405" s="28">
        <f>ROUND(O1405/INDEX(Employee_Lookups!$E$13:$E$17,MATCH(F1405,Employee_Lookups!$A$13:$A$17,0)),3)</f>
        <v>0.79</v>
      </c>
      <c r="AB1405">
        <f t="shared" si="150"/>
        <v>2025</v>
      </c>
      <c r="AC1405" t="str">
        <f t="shared" si="151"/>
        <v/>
      </c>
      <c r="AD1405" s="28">
        <f>ROUND((IF(ISBLANK(L1405),Employee_Lookups!$O$14,L1405)-J1405)/365.25,2)</f>
        <v>0.15</v>
      </c>
      <c r="AE1405" t="str">
        <f t="shared" si="152"/>
        <v>&lt; 1 Yr (New)</v>
      </c>
      <c r="AF1405" t="str">
        <f t="shared" si="153"/>
        <v>Low Risk</v>
      </c>
    </row>
    <row r="1406" spans="1:32" x14ac:dyDescent="0.45">
      <c r="A1406" t="s">
        <v>2305</v>
      </c>
      <c r="B1406" t="s">
        <v>294</v>
      </c>
      <c r="C1406" t="s">
        <v>53</v>
      </c>
      <c r="D1406" t="s">
        <v>52</v>
      </c>
      <c r="E1406" t="s">
        <v>185</v>
      </c>
      <c r="F1406" t="s">
        <v>82</v>
      </c>
      <c r="G1406" t="s">
        <v>186</v>
      </c>
      <c r="H1406" t="s">
        <v>108</v>
      </c>
      <c r="I1406" t="s">
        <v>107</v>
      </c>
      <c r="J1406" s="26">
        <v>45968</v>
      </c>
      <c r="K1406" t="s">
        <v>170</v>
      </c>
      <c r="L1406" s="26">
        <v>46013</v>
      </c>
      <c r="M1406" t="s">
        <v>171</v>
      </c>
      <c r="N1406" t="s">
        <v>95</v>
      </c>
      <c r="O1406" s="27">
        <v>989000</v>
      </c>
      <c r="P1406">
        <v>3</v>
      </c>
      <c r="Q1406" t="s">
        <v>172</v>
      </c>
      <c r="R1406">
        <v>39</v>
      </c>
      <c r="S1406" t="s">
        <v>194</v>
      </c>
      <c r="T1406">
        <f t="shared" si="147"/>
        <v>10047</v>
      </c>
      <c r="U1406" t="str">
        <f t="shared" si="148"/>
        <v>SAL</v>
      </c>
      <c r="V1406" t="str">
        <f t="shared" si="149"/>
        <v>L2</v>
      </c>
      <c r="W1406" t="str">
        <f>PROPER(TRIM(VLOOKUP(S1406,Employee_Lookups!$I$4:$M$19,2,FALSE())))</f>
        <v>Vikramaditya Joshi</v>
      </c>
      <c r="X1406" t="str">
        <f>VLOOKUP(C1406,Employee_Lookups!$A$4:$G$9,4,FALSE())</f>
        <v>CC-202</v>
      </c>
      <c r="Y1406" t="str">
        <f>INDEX(Employee_Lookups!$C$13:$C$17,MATCH(F1406,Employee_Lookups!$A$13:$A$17,0))</f>
        <v>Band B (Mid)</v>
      </c>
      <c r="Z1406" s="27">
        <f>_xlfn.XLOOKUP(F1406,Employee_Lookups!$A$13:$A$17,Employee_Lookups!$E$13:$E$17,0)</f>
        <v>1100000</v>
      </c>
      <c r="AA1406" s="28">
        <f>ROUND(O1406/INDEX(Employee_Lookups!$E$13:$E$17,MATCH(F1406,Employee_Lookups!$A$13:$A$17,0)),3)</f>
        <v>0.89900000000000002</v>
      </c>
      <c r="AB1406">
        <f t="shared" si="150"/>
        <v>2025</v>
      </c>
      <c r="AC1406">
        <f t="shared" si="151"/>
        <v>2025</v>
      </c>
      <c r="AD1406" s="28">
        <f>ROUND((IF(ISBLANK(L1406),Employee_Lookups!$O$14,L1406)-J1406)/365.25,2)</f>
        <v>0.12</v>
      </c>
      <c r="AE1406" t="str">
        <f t="shared" si="152"/>
        <v>&lt; 1 Yr (New)</v>
      </c>
      <c r="AF1406" t="str">
        <f t="shared" si="153"/>
        <v>Exited</v>
      </c>
    </row>
    <row r="1407" spans="1:32" x14ac:dyDescent="0.45">
      <c r="A1407" t="s">
        <v>2306</v>
      </c>
      <c r="B1407" t="s">
        <v>2296</v>
      </c>
      <c r="C1407" t="s">
        <v>53</v>
      </c>
      <c r="D1407" t="s">
        <v>52</v>
      </c>
      <c r="E1407" t="s">
        <v>322</v>
      </c>
      <c r="F1407" t="s">
        <v>81</v>
      </c>
      <c r="G1407" t="s">
        <v>323</v>
      </c>
      <c r="H1407" t="s">
        <v>106</v>
      </c>
      <c r="I1407" t="s">
        <v>107</v>
      </c>
      <c r="J1407" s="26">
        <v>45971</v>
      </c>
      <c r="K1407" t="s">
        <v>162</v>
      </c>
      <c r="L1407" s="26"/>
      <c r="M1407" t="s">
        <v>163</v>
      </c>
      <c r="N1407" t="s">
        <v>99</v>
      </c>
      <c r="O1407" s="27">
        <v>745000</v>
      </c>
      <c r="P1407">
        <v>2</v>
      </c>
      <c r="Q1407" t="s">
        <v>164</v>
      </c>
      <c r="R1407">
        <v>10</v>
      </c>
      <c r="S1407" t="s">
        <v>189</v>
      </c>
      <c r="T1407">
        <f t="shared" si="147"/>
        <v>10479</v>
      </c>
      <c r="U1407" t="str">
        <f t="shared" si="148"/>
        <v>SAL</v>
      </c>
      <c r="V1407" t="str">
        <f t="shared" si="149"/>
        <v>L1</v>
      </c>
      <c r="W1407" t="str">
        <f>PROPER(TRIM(VLOOKUP(S1407,Employee_Lookups!$I$4:$M$19,2,FALSE())))</f>
        <v>Priya Sharma</v>
      </c>
      <c r="X1407" t="str">
        <f>VLOOKUP(C1407,Employee_Lookups!$A$4:$G$9,4,FALSE())</f>
        <v>CC-202</v>
      </c>
      <c r="Y1407" t="str">
        <f>INDEX(Employee_Lookups!$C$13:$C$17,MATCH(F1407,Employee_Lookups!$A$13:$A$17,0))</f>
        <v>Band A (Entry)</v>
      </c>
      <c r="Z1407" s="27">
        <f>_xlfn.XLOOKUP(F1407,Employee_Lookups!$A$13:$A$17,Employee_Lookups!$E$13:$E$17,0)</f>
        <v>700000</v>
      </c>
      <c r="AA1407" s="28">
        <f>ROUND(O1407/INDEX(Employee_Lookups!$E$13:$E$17,MATCH(F1407,Employee_Lookups!$A$13:$A$17,0)),3)</f>
        <v>1.0640000000000001</v>
      </c>
      <c r="AB1407">
        <f t="shared" si="150"/>
        <v>2025</v>
      </c>
      <c r="AC1407" t="str">
        <f t="shared" si="151"/>
        <v/>
      </c>
      <c r="AD1407" s="28">
        <f>ROUND((IF(ISBLANK(L1407),Employee_Lookups!$O$14,L1407)-J1407)/365.25,2)</f>
        <v>0.14000000000000001</v>
      </c>
      <c r="AE1407" t="str">
        <f t="shared" si="152"/>
        <v>&lt; 1 Yr (New)</v>
      </c>
      <c r="AF1407" t="str">
        <f t="shared" si="153"/>
        <v>Moderate Risk</v>
      </c>
    </row>
    <row r="1408" spans="1:32" x14ac:dyDescent="0.45">
      <c r="A1408" t="s">
        <v>2307</v>
      </c>
      <c r="B1408" t="s">
        <v>325</v>
      </c>
      <c r="C1408" t="s">
        <v>55</v>
      </c>
      <c r="D1408" t="s">
        <v>54</v>
      </c>
      <c r="E1408" t="s">
        <v>168</v>
      </c>
      <c r="F1408" t="s">
        <v>84</v>
      </c>
      <c r="G1408" t="s">
        <v>169</v>
      </c>
      <c r="H1408" t="s">
        <v>106</v>
      </c>
      <c r="I1408" t="s">
        <v>107</v>
      </c>
      <c r="J1408" s="26">
        <v>45972</v>
      </c>
      <c r="K1408" t="s">
        <v>162</v>
      </c>
      <c r="L1408" s="26"/>
      <c r="M1408" t="s">
        <v>163</v>
      </c>
      <c r="N1408" t="s">
        <v>99</v>
      </c>
      <c r="O1408" s="27">
        <v>2424000</v>
      </c>
      <c r="P1408">
        <v>3</v>
      </c>
      <c r="Q1408" t="s">
        <v>172</v>
      </c>
      <c r="R1408">
        <v>45</v>
      </c>
      <c r="S1408" t="s">
        <v>262</v>
      </c>
      <c r="T1408">
        <f t="shared" si="147"/>
        <v>10060</v>
      </c>
      <c r="U1408" t="str">
        <f t="shared" si="148"/>
        <v>OPS</v>
      </c>
      <c r="V1408" t="str">
        <f t="shared" si="149"/>
        <v>L4</v>
      </c>
      <c r="W1408" t="str">
        <f>PROPER(TRIM(VLOOKUP(S1408,Employee_Lookups!$I$4:$M$19,2,FALSE())))</f>
        <v>Ananya Iyer</v>
      </c>
      <c r="X1408" t="str">
        <f>VLOOKUP(C1408,Employee_Lookups!$A$4:$G$9,4,FALSE())</f>
        <v>CC-303</v>
      </c>
      <c r="Y1408" t="str">
        <f>INDEX(Employee_Lookups!$C$13:$C$17,MATCH(F1408,Employee_Lookups!$A$13:$A$17,0))</f>
        <v>Band D (Leadership)</v>
      </c>
      <c r="Z1408" s="27">
        <f>_xlfn.XLOOKUP(F1408,Employee_Lookups!$A$13:$A$17,Employee_Lookups!$E$13:$E$17,0)</f>
        <v>2750000</v>
      </c>
      <c r="AA1408" s="28">
        <f>ROUND(O1408/INDEX(Employee_Lookups!$E$13:$E$17,MATCH(F1408,Employee_Lookups!$A$13:$A$17,0)),3)</f>
        <v>0.88100000000000001</v>
      </c>
      <c r="AB1408">
        <f t="shared" si="150"/>
        <v>2025</v>
      </c>
      <c r="AC1408" t="str">
        <f t="shared" si="151"/>
        <v/>
      </c>
      <c r="AD1408" s="28">
        <f>ROUND((IF(ISBLANK(L1408),Employee_Lookups!$O$14,L1408)-J1408)/365.25,2)</f>
        <v>0.14000000000000001</v>
      </c>
      <c r="AE1408" t="str">
        <f t="shared" si="152"/>
        <v>&lt; 1 Yr (New)</v>
      </c>
      <c r="AF1408" t="str">
        <f t="shared" si="153"/>
        <v>High Risk</v>
      </c>
    </row>
    <row r="1409" spans="1:32" x14ac:dyDescent="0.45">
      <c r="A1409" t="s">
        <v>2308</v>
      </c>
      <c r="B1409" t="s">
        <v>1968</v>
      </c>
      <c r="C1409" t="s">
        <v>55</v>
      </c>
      <c r="D1409" t="s">
        <v>54</v>
      </c>
      <c r="E1409" t="s">
        <v>229</v>
      </c>
      <c r="F1409" t="s">
        <v>82</v>
      </c>
      <c r="G1409" t="s">
        <v>230</v>
      </c>
      <c r="H1409" t="s">
        <v>106</v>
      </c>
      <c r="I1409" t="s">
        <v>107</v>
      </c>
      <c r="J1409" s="26">
        <v>45972</v>
      </c>
      <c r="K1409" t="s">
        <v>162</v>
      </c>
      <c r="L1409" s="26"/>
      <c r="M1409" t="s">
        <v>163</v>
      </c>
      <c r="N1409" t="s">
        <v>96</v>
      </c>
      <c r="O1409" s="27">
        <v>1212000</v>
      </c>
      <c r="P1409">
        <v>3</v>
      </c>
      <c r="Q1409" t="s">
        <v>172</v>
      </c>
      <c r="R1409">
        <v>47</v>
      </c>
      <c r="S1409" t="s">
        <v>262</v>
      </c>
      <c r="T1409">
        <f t="shared" si="147"/>
        <v>10702</v>
      </c>
      <c r="U1409" t="str">
        <f t="shared" si="148"/>
        <v>OPS</v>
      </c>
      <c r="V1409" t="str">
        <f t="shared" si="149"/>
        <v>L2</v>
      </c>
      <c r="W1409" t="str">
        <f>PROPER(TRIM(VLOOKUP(S1409,Employee_Lookups!$I$4:$M$19,2,FALSE())))</f>
        <v>Ananya Iyer</v>
      </c>
      <c r="X1409" t="str">
        <f>VLOOKUP(C1409,Employee_Lookups!$A$4:$G$9,4,FALSE())</f>
        <v>CC-303</v>
      </c>
      <c r="Y1409" t="str">
        <f>INDEX(Employee_Lookups!$C$13:$C$17,MATCH(F1409,Employee_Lookups!$A$13:$A$17,0))</f>
        <v>Band B (Mid)</v>
      </c>
      <c r="Z1409" s="27">
        <f>_xlfn.XLOOKUP(F1409,Employee_Lookups!$A$13:$A$17,Employee_Lookups!$E$13:$E$17,0)</f>
        <v>1100000</v>
      </c>
      <c r="AA1409" s="28">
        <f>ROUND(O1409/INDEX(Employee_Lookups!$E$13:$E$17,MATCH(F1409,Employee_Lookups!$A$13:$A$17,0)),3)</f>
        <v>1.1020000000000001</v>
      </c>
      <c r="AB1409">
        <f t="shared" si="150"/>
        <v>2025</v>
      </c>
      <c r="AC1409" t="str">
        <f t="shared" si="151"/>
        <v/>
      </c>
      <c r="AD1409" s="28">
        <f>ROUND((IF(ISBLANK(L1409),Employee_Lookups!$O$14,L1409)-J1409)/365.25,2)</f>
        <v>0.14000000000000001</v>
      </c>
      <c r="AE1409" t="str">
        <f t="shared" si="152"/>
        <v>&lt; 1 Yr (New)</v>
      </c>
      <c r="AF1409" t="str">
        <f t="shared" si="153"/>
        <v>Moderate Risk</v>
      </c>
    </row>
    <row r="1410" spans="1:32" x14ac:dyDescent="0.45">
      <c r="A1410" t="s">
        <v>2309</v>
      </c>
      <c r="B1410" t="s">
        <v>2238</v>
      </c>
      <c r="C1410" t="s">
        <v>55</v>
      </c>
      <c r="D1410" t="s">
        <v>54</v>
      </c>
      <c r="E1410" t="s">
        <v>168</v>
      </c>
      <c r="F1410" t="s">
        <v>84</v>
      </c>
      <c r="G1410" t="s">
        <v>169</v>
      </c>
      <c r="H1410" t="s">
        <v>106</v>
      </c>
      <c r="I1410" t="s">
        <v>107</v>
      </c>
      <c r="J1410" s="26">
        <v>45972</v>
      </c>
      <c r="K1410" t="s">
        <v>162</v>
      </c>
      <c r="L1410" s="26"/>
      <c r="M1410" t="s">
        <v>163</v>
      </c>
      <c r="N1410" t="s">
        <v>98</v>
      </c>
      <c r="O1410" s="27">
        <v>3254000</v>
      </c>
      <c r="P1410">
        <v>2</v>
      </c>
      <c r="Q1410" t="s">
        <v>164</v>
      </c>
      <c r="R1410">
        <v>27</v>
      </c>
      <c r="S1410" t="s">
        <v>274</v>
      </c>
      <c r="T1410">
        <f t="shared" ref="T1410:T1451" si="154">VALUE(MID(A1410,5,5))</f>
        <v>10706</v>
      </c>
      <c r="U1410" t="str">
        <f t="shared" ref="U1410:U1451" si="155">LEFT(E1410,3)</f>
        <v>OPS</v>
      </c>
      <c r="V1410" t="str">
        <f t="shared" ref="V1410:V1451" si="156">RIGHT(E1410,2)</f>
        <v>L4</v>
      </c>
      <c r="W1410" t="str">
        <f>PROPER(TRIM(VLOOKUP(S1410,Employee_Lookups!$I$4:$M$19,2,FALSE())))</f>
        <v>Meera Krishnan</v>
      </c>
      <c r="X1410" t="str">
        <f>VLOOKUP(C1410,Employee_Lookups!$A$4:$G$9,4,FALSE())</f>
        <v>CC-303</v>
      </c>
      <c r="Y1410" t="str">
        <f>INDEX(Employee_Lookups!$C$13:$C$17,MATCH(F1410,Employee_Lookups!$A$13:$A$17,0))</f>
        <v>Band D (Leadership)</v>
      </c>
      <c r="Z1410" s="27">
        <f>_xlfn.XLOOKUP(F1410,Employee_Lookups!$A$13:$A$17,Employee_Lookups!$E$13:$E$17,0)</f>
        <v>2750000</v>
      </c>
      <c r="AA1410" s="28">
        <f>ROUND(O1410/INDEX(Employee_Lookups!$E$13:$E$17,MATCH(F1410,Employee_Lookups!$A$13:$A$17,0)),3)</f>
        <v>1.1830000000000001</v>
      </c>
      <c r="AB1410">
        <f t="shared" ref="AB1410:AB1451" si="157">YEAR(J1410)</f>
        <v>2025</v>
      </c>
      <c r="AC1410" t="str">
        <f t="shared" ref="AC1410:AC1451" si="158">IF(ISBLANK(L1410),"",YEAR(L1410))</f>
        <v/>
      </c>
      <c r="AD1410" s="28">
        <f>ROUND((IF(ISBLANK(L1410),Employee_Lookups!$O$14,L1410)-J1410)/365.25,2)</f>
        <v>0.14000000000000001</v>
      </c>
      <c r="AE1410" t="str">
        <f t="shared" ref="AE1410:AE1451" si="159">IF(AD1410&lt;1,"&lt; 1 Yr (New)",IF(AD1410&lt;3,"1 - 3 Yrs",IF(AD1410&lt;5,"3 - 5 Yrs","5+ Yrs")))</f>
        <v>&lt; 1 Yr (New)</v>
      </c>
      <c r="AF1410" t="str">
        <f t="shared" ref="AF1410:AF1451" si="160">IF(K1410&lt;&gt;"Active","Exited",IF(AND(Q1410="Yes",OR(P1410&gt;=4,AA1410&lt;0.95)),"High Risk",IF(OR(Q1410="Yes",AND(NOT(ISBLANK(P1410)),P1410&lt;=2)),"Moderate Risk","Low Risk")))</f>
        <v>Moderate Risk</v>
      </c>
    </row>
    <row r="1411" spans="1:32" x14ac:dyDescent="0.45">
      <c r="A1411" t="s">
        <v>2310</v>
      </c>
      <c r="B1411" t="s">
        <v>812</v>
      </c>
      <c r="C1411" t="s">
        <v>51</v>
      </c>
      <c r="D1411" t="s">
        <v>50</v>
      </c>
      <c r="E1411" t="s">
        <v>397</v>
      </c>
      <c r="F1411" t="s">
        <v>84</v>
      </c>
      <c r="G1411" t="s">
        <v>398</v>
      </c>
      <c r="H1411" t="s">
        <v>109</v>
      </c>
      <c r="I1411" t="s">
        <v>110</v>
      </c>
      <c r="J1411" s="26">
        <v>45972</v>
      </c>
      <c r="K1411" t="s">
        <v>162</v>
      </c>
      <c r="L1411" s="26"/>
      <c r="M1411" t="s">
        <v>163</v>
      </c>
      <c r="N1411" t="s">
        <v>95</v>
      </c>
      <c r="O1411" s="27">
        <v>2665000</v>
      </c>
      <c r="Q1411" t="s">
        <v>172</v>
      </c>
      <c r="R1411">
        <v>52</v>
      </c>
      <c r="S1411" t="s">
        <v>197</v>
      </c>
      <c r="T1411">
        <f t="shared" si="154"/>
        <v>10015</v>
      </c>
      <c r="U1411" t="str">
        <f t="shared" si="155"/>
        <v>ENG</v>
      </c>
      <c r="V1411" t="str">
        <f t="shared" si="156"/>
        <v>L4</v>
      </c>
      <c r="W1411" t="str">
        <f>PROPER(TRIM(VLOOKUP(S1411,Employee_Lookups!$I$4:$M$19,2,FALSE())))</f>
        <v>Rohan Verma</v>
      </c>
      <c r="X1411" t="str">
        <f>VLOOKUP(C1411,Employee_Lookups!$A$4:$G$9,4,FALSE())</f>
        <v>CC-101</v>
      </c>
      <c r="Y1411" t="str">
        <f>INDEX(Employee_Lookups!$C$13:$C$17,MATCH(F1411,Employee_Lookups!$A$13:$A$17,0))</f>
        <v>Band D (Leadership)</v>
      </c>
      <c r="Z1411" s="27">
        <f>_xlfn.XLOOKUP(F1411,Employee_Lookups!$A$13:$A$17,Employee_Lookups!$E$13:$E$17,0)</f>
        <v>2750000</v>
      </c>
      <c r="AA1411" s="28">
        <f>ROUND(O1411/INDEX(Employee_Lookups!$E$13:$E$17,MATCH(F1411,Employee_Lookups!$A$13:$A$17,0)),3)</f>
        <v>0.96899999999999997</v>
      </c>
      <c r="AB1411">
        <f t="shared" si="157"/>
        <v>2025</v>
      </c>
      <c r="AC1411" t="str">
        <f t="shared" si="158"/>
        <v/>
      </c>
      <c r="AD1411" s="28">
        <f>ROUND((IF(ISBLANK(L1411),Employee_Lookups!$O$14,L1411)-J1411)/365.25,2)</f>
        <v>0.14000000000000001</v>
      </c>
      <c r="AE1411" t="str">
        <f t="shared" si="159"/>
        <v>&lt; 1 Yr (New)</v>
      </c>
      <c r="AF1411" t="str">
        <f t="shared" si="160"/>
        <v>Moderate Risk</v>
      </c>
    </row>
    <row r="1412" spans="1:32" x14ac:dyDescent="0.45">
      <c r="A1412" t="s">
        <v>2311</v>
      </c>
      <c r="B1412" t="s">
        <v>205</v>
      </c>
      <c r="C1412" t="s">
        <v>53</v>
      </c>
      <c r="D1412" t="s">
        <v>52</v>
      </c>
      <c r="E1412" t="s">
        <v>185</v>
      </c>
      <c r="F1412" t="s">
        <v>82</v>
      </c>
      <c r="G1412" t="s">
        <v>186</v>
      </c>
      <c r="H1412" t="s">
        <v>108</v>
      </c>
      <c r="I1412" t="s">
        <v>107</v>
      </c>
      <c r="J1412" s="26">
        <v>45973</v>
      </c>
      <c r="K1412" t="s">
        <v>162</v>
      </c>
      <c r="L1412" s="26"/>
      <c r="M1412" t="s">
        <v>163</v>
      </c>
      <c r="N1412" t="s">
        <v>95</v>
      </c>
      <c r="O1412" s="27">
        <v>1000000</v>
      </c>
      <c r="Q1412" t="s">
        <v>172</v>
      </c>
      <c r="R1412">
        <v>27</v>
      </c>
      <c r="S1412" t="s">
        <v>189</v>
      </c>
      <c r="T1412">
        <f t="shared" si="154"/>
        <v>10330</v>
      </c>
      <c r="U1412" t="str">
        <f t="shared" si="155"/>
        <v>SAL</v>
      </c>
      <c r="V1412" t="str">
        <f t="shared" si="156"/>
        <v>L2</v>
      </c>
      <c r="W1412" t="str">
        <f>PROPER(TRIM(VLOOKUP(S1412,Employee_Lookups!$I$4:$M$19,2,FALSE())))</f>
        <v>Priya Sharma</v>
      </c>
      <c r="X1412" t="str">
        <f>VLOOKUP(C1412,Employee_Lookups!$A$4:$G$9,4,FALSE())</f>
        <v>CC-202</v>
      </c>
      <c r="Y1412" t="str">
        <f>INDEX(Employee_Lookups!$C$13:$C$17,MATCH(F1412,Employee_Lookups!$A$13:$A$17,0))</f>
        <v>Band B (Mid)</v>
      </c>
      <c r="Z1412" s="27">
        <f>_xlfn.XLOOKUP(F1412,Employee_Lookups!$A$13:$A$17,Employee_Lookups!$E$13:$E$17,0)</f>
        <v>1100000</v>
      </c>
      <c r="AA1412" s="28">
        <f>ROUND(O1412/INDEX(Employee_Lookups!$E$13:$E$17,MATCH(F1412,Employee_Lookups!$A$13:$A$17,0)),3)</f>
        <v>0.90900000000000003</v>
      </c>
      <c r="AB1412">
        <f t="shared" si="157"/>
        <v>2025</v>
      </c>
      <c r="AC1412" t="str">
        <f t="shared" si="158"/>
        <v/>
      </c>
      <c r="AD1412" s="28">
        <f>ROUND((IF(ISBLANK(L1412),Employee_Lookups!$O$14,L1412)-J1412)/365.25,2)</f>
        <v>0.13</v>
      </c>
      <c r="AE1412" t="str">
        <f t="shared" si="159"/>
        <v>&lt; 1 Yr (New)</v>
      </c>
      <c r="AF1412" t="str">
        <f t="shared" si="160"/>
        <v>High Risk</v>
      </c>
    </row>
    <row r="1413" spans="1:32" x14ac:dyDescent="0.45">
      <c r="A1413" t="s">
        <v>2312</v>
      </c>
      <c r="B1413" t="s">
        <v>2313</v>
      </c>
      <c r="C1413" t="s">
        <v>57</v>
      </c>
      <c r="D1413" t="s">
        <v>56</v>
      </c>
      <c r="E1413" t="s">
        <v>1909</v>
      </c>
      <c r="F1413" t="s">
        <v>85</v>
      </c>
      <c r="G1413" t="s">
        <v>1910</v>
      </c>
      <c r="H1413" t="s">
        <v>111</v>
      </c>
      <c r="I1413" t="s">
        <v>110</v>
      </c>
      <c r="J1413" s="26">
        <v>45973</v>
      </c>
      <c r="K1413" t="s">
        <v>187</v>
      </c>
      <c r="L1413" s="26">
        <v>46021</v>
      </c>
      <c r="M1413" t="s">
        <v>213</v>
      </c>
      <c r="N1413" t="s">
        <v>99</v>
      </c>
      <c r="O1413" s="27">
        <v>3821000</v>
      </c>
      <c r="P1413">
        <v>4</v>
      </c>
      <c r="Q1413" t="s">
        <v>172</v>
      </c>
      <c r="R1413">
        <v>47</v>
      </c>
      <c r="S1413" t="s">
        <v>165</v>
      </c>
      <c r="T1413">
        <f t="shared" si="154"/>
        <v>10135</v>
      </c>
      <c r="U1413" t="str">
        <f t="shared" si="155"/>
        <v>MKT</v>
      </c>
      <c r="V1413" t="str">
        <f t="shared" si="156"/>
        <v>L5</v>
      </c>
      <c r="W1413" t="str">
        <f>PROPER(TRIM(VLOOKUP(S1413,Employee_Lookups!$I$4:$M$19,2,FALSE())))</f>
        <v>Arjun Sengupta</v>
      </c>
      <c r="X1413" t="str">
        <f>VLOOKUP(C1413,Employee_Lookups!$A$4:$G$9,4,FALSE())</f>
        <v>CC-606</v>
      </c>
      <c r="Y1413" t="str">
        <f>INDEX(Employee_Lookups!$C$13:$C$17,MATCH(F1413,Employee_Lookups!$A$13:$A$17,0))</f>
        <v>Band E (Executive)</v>
      </c>
      <c r="Z1413" s="27">
        <f>_xlfn.XLOOKUP(F1413,Employee_Lookups!$A$13:$A$17,Employee_Lookups!$E$13:$E$17,0)</f>
        <v>4300000</v>
      </c>
      <c r="AA1413" s="28">
        <f>ROUND(O1413/INDEX(Employee_Lookups!$E$13:$E$17,MATCH(F1413,Employee_Lookups!$A$13:$A$17,0)),3)</f>
        <v>0.88900000000000001</v>
      </c>
      <c r="AB1413">
        <f t="shared" si="157"/>
        <v>2025</v>
      </c>
      <c r="AC1413">
        <f t="shared" si="158"/>
        <v>2025</v>
      </c>
      <c r="AD1413" s="28">
        <f>ROUND((IF(ISBLANK(L1413),Employee_Lookups!$O$14,L1413)-J1413)/365.25,2)</f>
        <v>0.13</v>
      </c>
      <c r="AE1413" t="str">
        <f t="shared" si="159"/>
        <v>&lt; 1 Yr (New)</v>
      </c>
      <c r="AF1413" t="str">
        <f t="shared" si="160"/>
        <v>Exited</v>
      </c>
    </row>
    <row r="1414" spans="1:32" x14ac:dyDescent="0.45">
      <c r="A1414" t="s">
        <v>2314</v>
      </c>
      <c r="B1414" t="s">
        <v>2315</v>
      </c>
      <c r="C1414" t="s">
        <v>51</v>
      </c>
      <c r="D1414" t="s">
        <v>50</v>
      </c>
      <c r="E1414" t="s">
        <v>181</v>
      </c>
      <c r="F1414" t="s">
        <v>81</v>
      </c>
      <c r="G1414" t="s">
        <v>182</v>
      </c>
      <c r="H1414" t="s">
        <v>106</v>
      </c>
      <c r="I1414" t="s">
        <v>107</v>
      </c>
      <c r="J1414" s="26">
        <v>45974</v>
      </c>
      <c r="K1414" t="s">
        <v>162</v>
      </c>
      <c r="L1414" s="26"/>
      <c r="M1414" t="s">
        <v>163</v>
      </c>
      <c r="N1414" t="s">
        <v>98</v>
      </c>
      <c r="O1414" s="27">
        <v>768000</v>
      </c>
      <c r="P1414">
        <v>3</v>
      </c>
      <c r="Q1414" t="s">
        <v>164</v>
      </c>
      <c r="R1414">
        <v>23</v>
      </c>
      <c r="S1414" t="s">
        <v>178</v>
      </c>
      <c r="T1414">
        <f t="shared" si="154"/>
        <v>10384</v>
      </c>
      <c r="U1414" t="str">
        <f t="shared" si="155"/>
        <v>ENG</v>
      </c>
      <c r="V1414" t="str">
        <f t="shared" si="156"/>
        <v>L1</v>
      </c>
      <c r="W1414" t="str">
        <f>PROPER(TRIM(VLOOKUP(S1414,Employee_Lookups!$I$4:$M$19,2,FALSE())))</f>
        <v>Aarav Deshmukh</v>
      </c>
      <c r="X1414" t="str">
        <f>VLOOKUP(C1414,Employee_Lookups!$A$4:$G$9,4,FALSE())</f>
        <v>CC-101</v>
      </c>
      <c r="Y1414" t="str">
        <f>INDEX(Employee_Lookups!$C$13:$C$17,MATCH(F1414,Employee_Lookups!$A$13:$A$17,0))</f>
        <v>Band A (Entry)</v>
      </c>
      <c r="Z1414" s="27">
        <f>_xlfn.XLOOKUP(F1414,Employee_Lookups!$A$13:$A$17,Employee_Lookups!$E$13:$E$17,0)</f>
        <v>700000</v>
      </c>
      <c r="AA1414" s="28">
        <f>ROUND(O1414/INDEX(Employee_Lookups!$E$13:$E$17,MATCH(F1414,Employee_Lookups!$A$13:$A$17,0)),3)</f>
        <v>1.097</v>
      </c>
      <c r="AB1414">
        <f t="shared" si="157"/>
        <v>2025</v>
      </c>
      <c r="AC1414" t="str">
        <f t="shared" si="158"/>
        <v/>
      </c>
      <c r="AD1414" s="28">
        <f>ROUND((IF(ISBLANK(L1414),Employee_Lookups!$O$14,L1414)-J1414)/365.25,2)</f>
        <v>0.13</v>
      </c>
      <c r="AE1414" t="str">
        <f t="shared" si="159"/>
        <v>&lt; 1 Yr (New)</v>
      </c>
      <c r="AF1414" t="str">
        <f t="shared" si="160"/>
        <v>Low Risk</v>
      </c>
    </row>
    <row r="1415" spans="1:32" x14ac:dyDescent="0.45">
      <c r="A1415" t="s">
        <v>2316</v>
      </c>
      <c r="B1415" t="s">
        <v>640</v>
      </c>
      <c r="C1415" t="s">
        <v>51</v>
      </c>
      <c r="D1415" t="s">
        <v>50</v>
      </c>
      <c r="E1415" t="s">
        <v>217</v>
      </c>
      <c r="F1415" t="s">
        <v>83</v>
      </c>
      <c r="G1415" t="s">
        <v>218</v>
      </c>
      <c r="H1415" t="s">
        <v>106</v>
      </c>
      <c r="I1415" t="s">
        <v>107</v>
      </c>
      <c r="J1415" s="26">
        <v>45977</v>
      </c>
      <c r="K1415" t="s">
        <v>162</v>
      </c>
      <c r="L1415" s="26"/>
      <c r="M1415" t="s">
        <v>163</v>
      </c>
      <c r="N1415" t="s">
        <v>96</v>
      </c>
      <c r="O1415" s="27">
        <v>1749000</v>
      </c>
      <c r="P1415">
        <v>4</v>
      </c>
      <c r="Q1415" t="s">
        <v>172</v>
      </c>
      <c r="R1415">
        <v>46</v>
      </c>
      <c r="S1415" t="s">
        <v>244</v>
      </c>
      <c r="T1415">
        <f t="shared" si="154"/>
        <v>10295</v>
      </c>
      <c r="U1415" t="str">
        <f t="shared" si="155"/>
        <v>ENG</v>
      </c>
      <c r="V1415" t="str">
        <f t="shared" si="156"/>
        <v>L3</v>
      </c>
      <c r="W1415" t="str">
        <f>PROPER(TRIM(VLOOKUP(S1415,Employee_Lookups!$I$4:$M$19,2,FALSE())))</f>
        <v>Siddharth Nair</v>
      </c>
      <c r="X1415" t="str">
        <f>VLOOKUP(C1415,Employee_Lookups!$A$4:$G$9,4,FALSE())</f>
        <v>CC-101</v>
      </c>
      <c r="Y1415" t="str">
        <f>INDEX(Employee_Lookups!$C$13:$C$17,MATCH(F1415,Employee_Lookups!$A$13:$A$17,0))</f>
        <v>Band C (Senior)</v>
      </c>
      <c r="Z1415" s="27">
        <f>_xlfn.XLOOKUP(F1415,Employee_Lookups!$A$13:$A$17,Employee_Lookups!$E$13:$E$17,0)</f>
        <v>1725000</v>
      </c>
      <c r="AA1415" s="28">
        <f>ROUND(O1415/INDEX(Employee_Lookups!$E$13:$E$17,MATCH(F1415,Employee_Lookups!$A$13:$A$17,0)),3)</f>
        <v>1.014</v>
      </c>
      <c r="AB1415">
        <f t="shared" si="157"/>
        <v>2025</v>
      </c>
      <c r="AC1415" t="str">
        <f t="shared" si="158"/>
        <v/>
      </c>
      <c r="AD1415" s="28">
        <f>ROUND((IF(ISBLANK(L1415),Employee_Lookups!$O$14,L1415)-J1415)/365.25,2)</f>
        <v>0.12</v>
      </c>
      <c r="AE1415" t="str">
        <f t="shared" si="159"/>
        <v>&lt; 1 Yr (New)</v>
      </c>
      <c r="AF1415" t="str">
        <f t="shared" si="160"/>
        <v>High Risk</v>
      </c>
    </row>
    <row r="1416" spans="1:32" x14ac:dyDescent="0.45">
      <c r="A1416" t="s">
        <v>2317</v>
      </c>
      <c r="B1416" t="s">
        <v>1424</v>
      </c>
      <c r="C1416" t="s">
        <v>51</v>
      </c>
      <c r="D1416" t="s">
        <v>50</v>
      </c>
      <c r="E1416" t="s">
        <v>176</v>
      </c>
      <c r="F1416" t="s">
        <v>82</v>
      </c>
      <c r="G1416" t="s">
        <v>177</v>
      </c>
      <c r="H1416" t="s">
        <v>106</v>
      </c>
      <c r="I1416" t="s">
        <v>107</v>
      </c>
      <c r="J1416" s="26">
        <v>45977</v>
      </c>
      <c r="K1416" t="s">
        <v>162</v>
      </c>
      <c r="L1416" s="26"/>
      <c r="M1416" t="s">
        <v>163</v>
      </c>
      <c r="N1416" t="s">
        <v>97</v>
      </c>
      <c r="O1416" s="27">
        <v>979000</v>
      </c>
      <c r="P1416">
        <v>3</v>
      </c>
      <c r="Q1416" t="s">
        <v>164</v>
      </c>
      <c r="R1416">
        <v>73</v>
      </c>
      <c r="S1416" t="s">
        <v>178</v>
      </c>
      <c r="T1416">
        <f t="shared" si="154"/>
        <v>11212</v>
      </c>
      <c r="U1416" t="str">
        <f t="shared" si="155"/>
        <v>ENG</v>
      </c>
      <c r="V1416" t="str">
        <f t="shared" si="156"/>
        <v>L2</v>
      </c>
      <c r="W1416" t="str">
        <f>PROPER(TRIM(VLOOKUP(S1416,Employee_Lookups!$I$4:$M$19,2,FALSE())))</f>
        <v>Aarav Deshmukh</v>
      </c>
      <c r="X1416" t="str">
        <f>VLOOKUP(C1416,Employee_Lookups!$A$4:$G$9,4,FALSE())</f>
        <v>CC-101</v>
      </c>
      <c r="Y1416" t="str">
        <f>INDEX(Employee_Lookups!$C$13:$C$17,MATCH(F1416,Employee_Lookups!$A$13:$A$17,0))</f>
        <v>Band B (Mid)</v>
      </c>
      <c r="Z1416" s="27">
        <f>_xlfn.XLOOKUP(F1416,Employee_Lookups!$A$13:$A$17,Employee_Lookups!$E$13:$E$17,0)</f>
        <v>1100000</v>
      </c>
      <c r="AA1416" s="28">
        <f>ROUND(O1416/INDEX(Employee_Lookups!$E$13:$E$17,MATCH(F1416,Employee_Lookups!$A$13:$A$17,0)),3)</f>
        <v>0.89</v>
      </c>
      <c r="AB1416">
        <f t="shared" si="157"/>
        <v>2025</v>
      </c>
      <c r="AC1416" t="str">
        <f t="shared" si="158"/>
        <v/>
      </c>
      <c r="AD1416" s="28">
        <f>ROUND((IF(ISBLANK(L1416),Employee_Lookups!$O$14,L1416)-J1416)/365.25,2)</f>
        <v>0.12</v>
      </c>
      <c r="AE1416" t="str">
        <f t="shared" si="159"/>
        <v>&lt; 1 Yr (New)</v>
      </c>
      <c r="AF1416" t="str">
        <f t="shared" si="160"/>
        <v>Low Risk</v>
      </c>
    </row>
    <row r="1417" spans="1:32" x14ac:dyDescent="0.45">
      <c r="A1417" t="s">
        <v>2318</v>
      </c>
      <c r="B1417" t="s">
        <v>2106</v>
      </c>
      <c r="C1417" t="s">
        <v>53</v>
      </c>
      <c r="D1417" t="s">
        <v>52</v>
      </c>
      <c r="E1417" t="s">
        <v>322</v>
      </c>
      <c r="F1417" t="s">
        <v>81</v>
      </c>
      <c r="G1417" t="s">
        <v>323</v>
      </c>
      <c r="H1417" t="s">
        <v>109</v>
      </c>
      <c r="I1417" t="s">
        <v>110</v>
      </c>
      <c r="J1417" s="26">
        <v>45977</v>
      </c>
      <c r="K1417" t="s">
        <v>162</v>
      </c>
      <c r="L1417" s="26"/>
      <c r="M1417" t="s">
        <v>163</v>
      </c>
      <c r="N1417" t="s">
        <v>96</v>
      </c>
      <c r="O1417" s="27">
        <v>712000</v>
      </c>
      <c r="P1417">
        <v>2</v>
      </c>
      <c r="Q1417" t="s">
        <v>172</v>
      </c>
      <c r="R1417">
        <v>26</v>
      </c>
      <c r="S1417" t="s">
        <v>194</v>
      </c>
      <c r="T1417">
        <f t="shared" si="154"/>
        <v>10763</v>
      </c>
      <c r="U1417" t="str">
        <f t="shared" si="155"/>
        <v>SAL</v>
      </c>
      <c r="V1417" t="str">
        <f t="shared" si="156"/>
        <v>L1</v>
      </c>
      <c r="W1417" t="str">
        <f>PROPER(TRIM(VLOOKUP(S1417,Employee_Lookups!$I$4:$M$19,2,FALSE())))</f>
        <v>Vikramaditya Joshi</v>
      </c>
      <c r="X1417" t="str">
        <f>VLOOKUP(C1417,Employee_Lookups!$A$4:$G$9,4,FALSE())</f>
        <v>CC-202</v>
      </c>
      <c r="Y1417" t="str">
        <f>INDEX(Employee_Lookups!$C$13:$C$17,MATCH(F1417,Employee_Lookups!$A$13:$A$17,0))</f>
        <v>Band A (Entry)</v>
      </c>
      <c r="Z1417" s="27">
        <f>_xlfn.XLOOKUP(F1417,Employee_Lookups!$A$13:$A$17,Employee_Lookups!$E$13:$E$17,0)</f>
        <v>700000</v>
      </c>
      <c r="AA1417" s="28">
        <f>ROUND(O1417/INDEX(Employee_Lookups!$E$13:$E$17,MATCH(F1417,Employee_Lookups!$A$13:$A$17,0)),3)</f>
        <v>1.0169999999999999</v>
      </c>
      <c r="AB1417">
        <f t="shared" si="157"/>
        <v>2025</v>
      </c>
      <c r="AC1417" t="str">
        <f t="shared" si="158"/>
        <v/>
      </c>
      <c r="AD1417" s="28">
        <f>ROUND((IF(ISBLANK(L1417),Employee_Lookups!$O$14,L1417)-J1417)/365.25,2)</f>
        <v>0.12</v>
      </c>
      <c r="AE1417" t="str">
        <f t="shared" si="159"/>
        <v>&lt; 1 Yr (New)</v>
      </c>
      <c r="AF1417" t="str">
        <f t="shared" si="160"/>
        <v>Moderate Risk</v>
      </c>
    </row>
    <row r="1418" spans="1:32" x14ac:dyDescent="0.45">
      <c r="A1418" t="s">
        <v>2319</v>
      </c>
      <c r="B1418" t="s">
        <v>2119</v>
      </c>
      <c r="C1418" t="s">
        <v>61</v>
      </c>
      <c r="D1418" t="s">
        <v>60</v>
      </c>
      <c r="E1418" t="s">
        <v>923</v>
      </c>
      <c r="F1418" t="s">
        <v>85</v>
      </c>
      <c r="G1418" t="s">
        <v>924</v>
      </c>
      <c r="H1418" t="s">
        <v>108</v>
      </c>
      <c r="I1418" t="s">
        <v>107</v>
      </c>
      <c r="J1418" s="26">
        <v>45977</v>
      </c>
      <c r="K1418" t="s">
        <v>162</v>
      </c>
      <c r="L1418" s="26"/>
      <c r="M1418" t="s">
        <v>163</v>
      </c>
      <c r="N1418" t="s">
        <v>99</v>
      </c>
      <c r="O1418" s="27">
        <v>4113000</v>
      </c>
      <c r="P1418">
        <v>3</v>
      </c>
      <c r="Q1418" t="s">
        <v>164</v>
      </c>
      <c r="R1418">
        <v>35</v>
      </c>
      <c r="S1418" t="s">
        <v>319</v>
      </c>
      <c r="T1418">
        <f t="shared" si="154"/>
        <v>10854</v>
      </c>
      <c r="U1418" t="str">
        <f t="shared" si="155"/>
        <v>-HR</v>
      </c>
      <c r="V1418" t="str">
        <f t="shared" si="156"/>
        <v>L5</v>
      </c>
      <c r="W1418" t="str">
        <f>PROPER(TRIM(VLOOKUP(S1418,Employee_Lookups!$I$4:$M$19,2,FALSE())))</f>
        <v>Kavita Menon</v>
      </c>
      <c r="X1418" t="str">
        <f>VLOOKUP(C1418,Employee_Lookups!$A$4:$G$9,4,FALSE())</f>
        <v>CC-505</v>
      </c>
      <c r="Y1418" t="str">
        <f>INDEX(Employee_Lookups!$C$13:$C$17,MATCH(F1418,Employee_Lookups!$A$13:$A$17,0))</f>
        <v>Band E (Executive)</v>
      </c>
      <c r="Z1418" s="27">
        <f>_xlfn.XLOOKUP(F1418,Employee_Lookups!$A$13:$A$17,Employee_Lookups!$E$13:$E$17,0)</f>
        <v>4300000</v>
      </c>
      <c r="AA1418" s="28">
        <f>ROUND(O1418/INDEX(Employee_Lookups!$E$13:$E$17,MATCH(F1418,Employee_Lookups!$A$13:$A$17,0)),3)</f>
        <v>0.95699999999999996</v>
      </c>
      <c r="AB1418">
        <f t="shared" si="157"/>
        <v>2025</v>
      </c>
      <c r="AC1418" t="str">
        <f t="shared" si="158"/>
        <v/>
      </c>
      <c r="AD1418" s="28">
        <f>ROUND((IF(ISBLANK(L1418),Employee_Lookups!$O$14,L1418)-J1418)/365.25,2)</f>
        <v>0.12</v>
      </c>
      <c r="AE1418" t="str">
        <f t="shared" si="159"/>
        <v>&lt; 1 Yr (New)</v>
      </c>
      <c r="AF1418" t="str">
        <f t="shared" si="160"/>
        <v>Low Risk</v>
      </c>
    </row>
    <row r="1419" spans="1:32" x14ac:dyDescent="0.45">
      <c r="A1419" t="s">
        <v>2320</v>
      </c>
      <c r="B1419" t="s">
        <v>499</v>
      </c>
      <c r="C1419" t="s">
        <v>57</v>
      </c>
      <c r="D1419" t="s">
        <v>56</v>
      </c>
      <c r="E1419" t="s">
        <v>160</v>
      </c>
      <c r="F1419" t="s">
        <v>81</v>
      </c>
      <c r="G1419" t="s">
        <v>161</v>
      </c>
      <c r="H1419" t="s">
        <v>112</v>
      </c>
      <c r="I1419" t="s">
        <v>113</v>
      </c>
      <c r="J1419" s="26">
        <v>45978</v>
      </c>
      <c r="K1419" t="s">
        <v>162</v>
      </c>
      <c r="L1419" s="26"/>
      <c r="M1419" t="s">
        <v>163</v>
      </c>
      <c r="N1419" t="s">
        <v>97</v>
      </c>
      <c r="O1419" s="27">
        <v>729000</v>
      </c>
      <c r="P1419">
        <v>3</v>
      </c>
      <c r="Q1419" t="s">
        <v>164</v>
      </c>
      <c r="R1419">
        <v>41</v>
      </c>
      <c r="S1419" t="s">
        <v>165</v>
      </c>
      <c r="T1419">
        <f t="shared" si="154"/>
        <v>10061</v>
      </c>
      <c r="U1419" t="str">
        <f t="shared" si="155"/>
        <v>MKT</v>
      </c>
      <c r="V1419" t="str">
        <f t="shared" si="156"/>
        <v>L1</v>
      </c>
      <c r="W1419" t="str">
        <f>PROPER(TRIM(VLOOKUP(S1419,Employee_Lookups!$I$4:$M$19,2,FALSE())))</f>
        <v>Arjun Sengupta</v>
      </c>
      <c r="X1419" t="str">
        <f>VLOOKUP(C1419,Employee_Lookups!$A$4:$G$9,4,FALSE())</f>
        <v>CC-606</v>
      </c>
      <c r="Y1419" t="str">
        <f>INDEX(Employee_Lookups!$C$13:$C$17,MATCH(F1419,Employee_Lookups!$A$13:$A$17,0))</f>
        <v>Band A (Entry)</v>
      </c>
      <c r="Z1419" s="27">
        <f>_xlfn.XLOOKUP(F1419,Employee_Lookups!$A$13:$A$17,Employee_Lookups!$E$13:$E$17,0)</f>
        <v>700000</v>
      </c>
      <c r="AA1419" s="28">
        <f>ROUND(O1419/INDEX(Employee_Lookups!$E$13:$E$17,MATCH(F1419,Employee_Lookups!$A$13:$A$17,0)),3)</f>
        <v>1.0409999999999999</v>
      </c>
      <c r="AB1419">
        <f t="shared" si="157"/>
        <v>2025</v>
      </c>
      <c r="AC1419" t="str">
        <f t="shared" si="158"/>
        <v/>
      </c>
      <c r="AD1419" s="28">
        <f>ROUND((IF(ISBLANK(L1419),Employee_Lookups!$O$14,L1419)-J1419)/365.25,2)</f>
        <v>0.12</v>
      </c>
      <c r="AE1419" t="str">
        <f t="shared" si="159"/>
        <v>&lt; 1 Yr (New)</v>
      </c>
      <c r="AF1419" t="str">
        <f t="shared" si="160"/>
        <v>Low Risk</v>
      </c>
    </row>
    <row r="1420" spans="1:32" x14ac:dyDescent="0.45">
      <c r="A1420" t="s">
        <v>2321</v>
      </c>
      <c r="B1420" t="s">
        <v>802</v>
      </c>
      <c r="C1420" t="s">
        <v>57</v>
      </c>
      <c r="D1420" t="s">
        <v>56</v>
      </c>
      <c r="E1420" t="s">
        <v>391</v>
      </c>
      <c r="F1420" t="s">
        <v>83</v>
      </c>
      <c r="G1420" t="s">
        <v>392</v>
      </c>
      <c r="H1420" t="s">
        <v>106</v>
      </c>
      <c r="I1420" t="s">
        <v>107</v>
      </c>
      <c r="J1420" s="26">
        <v>45978</v>
      </c>
      <c r="K1420" t="s">
        <v>162</v>
      </c>
      <c r="L1420" s="26"/>
      <c r="M1420" t="s">
        <v>163</v>
      </c>
      <c r="N1420" t="s">
        <v>95</v>
      </c>
      <c r="O1420" s="27">
        <v>1489000</v>
      </c>
      <c r="P1420">
        <v>4</v>
      </c>
      <c r="Q1420" t="s">
        <v>164</v>
      </c>
      <c r="R1420">
        <v>39</v>
      </c>
      <c r="S1420" t="s">
        <v>224</v>
      </c>
      <c r="T1420">
        <f t="shared" si="154"/>
        <v>10629</v>
      </c>
      <c r="U1420" t="str">
        <f t="shared" si="155"/>
        <v>MKT</v>
      </c>
      <c r="V1420" t="str">
        <f t="shared" si="156"/>
        <v>L3</v>
      </c>
      <c r="W1420" t="str">
        <f>PROPER(TRIM(VLOOKUP(S1420,Employee_Lookups!$I$4:$M$19,2,FALSE())))</f>
        <v>Tanvi Chitnis</v>
      </c>
      <c r="X1420" t="str">
        <f>VLOOKUP(C1420,Employee_Lookups!$A$4:$G$9,4,FALSE())</f>
        <v>CC-606</v>
      </c>
      <c r="Y1420" t="str">
        <f>INDEX(Employee_Lookups!$C$13:$C$17,MATCH(F1420,Employee_Lookups!$A$13:$A$17,0))</f>
        <v>Band C (Senior)</v>
      </c>
      <c r="Z1420" s="27">
        <f>_xlfn.XLOOKUP(F1420,Employee_Lookups!$A$13:$A$17,Employee_Lookups!$E$13:$E$17,0)</f>
        <v>1725000</v>
      </c>
      <c r="AA1420" s="28">
        <f>ROUND(O1420/INDEX(Employee_Lookups!$E$13:$E$17,MATCH(F1420,Employee_Lookups!$A$13:$A$17,0)),3)</f>
        <v>0.86299999999999999</v>
      </c>
      <c r="AB1420">
        <f t="shared" si="157"/>
        <v>2025</v>
      </c>
      <c r="AC1420" t="str">
        <f t="shared" si="158"/>
        <v/>
      </c>
      <c r="AD1420" s="28">
        <f>ROUND((IF(ISBLANK(L1420),Employee_Lookups!$O$14,L1420)-J1420)/365.25,2)</f>
        <v>0.12</v>
      </c>
      <c r="AE1420" t="str">
        <f t="shared" si="159"/>
        <v>&lt; 1 Yr (New)</v>
      </c>
      <c r="AF1420" t="str">
        <f t="shared" si="160"/>
        <v>Low Risk</v>
      </c>
    </row>
    <row r="1421" spans="1:32" x14ac:dyDescent="0.45">
      <c r="A1421" t="s">
        <v>2322</v>
      </c>
      <c r="B1421" t="s">
        <v>2185</v>
      </c>
      <c r="C1421" t="s">
        <v>55</v>
      </c>
      <c r="D1421" t="s">
        <v>54</v>
      </c>
      <c r="E1421" t="s">
        <v>277</v>
      </c>
      <c r="F1421" t="s">
        <v>81</v>
      </c>
      <c r="G1421" t="s">
        <v>278</v>
      </c>
      <c r="H1421" t="s">
        <v>108</v>
      </c>
      <c r="I1421" t="s">
        <v>107</v>
      </c>
      <c r="J1421" s="26">
        <v>45979</v>
      </c>
      <c r="K1421" t="s">
        <v>162</v>
      </c>
      <c r="L1421" s="26"/>
      <c r="M1421" t="s">
        <v>163</v>
      </c>
      <c r="N1421" t="s">
        <v>99</v>
      </c>
      <c r="O1421" s="27">
        <v>822000</v>
      </c>
      <c r="Q1421" t="s">
        <v>172</v>
      </c>
      <c r="R1421">
        <v>31</v>
      </c>
      <c r="S1421" t="s">
        <v>262</v>
      </c>
      <c r="T1421">
        <f t="shared" si="154"/>
        <v>10530</v>
      </c>
      <c r="U1421" t="str">
        <f t="shared" si="155"/>
        <v>OPS</v>
      </c>
      <c r="V1421" t="str">
        <f t="shared" si="156"/>
        <v>L1</v>
      </c>
      <c r="W1421" t="str">
        <f>PROPER(TRIM(VLOOKUP(S1421,Employee_Lookups!$I$4:$M$19,2,FALSE())))</f>
        <v>Ananya Iyer</v>
      </c>
      <c r="X1421" t="str">
        <f>VLOOKUP(C1421,Employee_Lookups!$A$4:$G$9,4,FALSE())</f>
        <v>CC-303</v>
      </c>
      <c r="Y1421" t="str">
        <f>INDEX(Employee_Lookups!$C$13:$C$17,MATCH(F1421,Employee_Lookups!$A$13:$A$17,0))</f>
        <v>Band A (Entry)</v>
      </c>
      <c r="Z1421" s="27">
        <f>_xlfn.XLOOKUP(F1421,Employee_Lookups!$A$13:$A$17,Employee_Lookups!$E$13:$E$17,0)</f>
        <v>700000</v>
      </c>
      <c r="AA1421" s="28">
        <f>ROUND(O1421/INDEX(Employee_Lookups!$E$13:$E$17,MATCH(F1421,Employee_Lookups!$A$13:$A$17,0)),3)</f>
        <v>1.1739999999999999</v>
      </c>
      <c r="AB1421">
        <f t="shared" si="157"/>
        <v>2025</v>
      </c>
      <c r="AC1421" t="str">
        <f t="shared" si="158"/>
        <v/>
      </c>
      <c r="AD1421" s="28">
        <f>ROUND((IF(ISBLANK(L1421),Employee_Lookups!$O$14,L1421)-J1421)/365.25,2)</f>
        <v>0.12</v>
      </c>
      <c r="AE1421" t="str">
        <f t="shared" si="159"/>
        <v>&lt; 1 Yr (New)</v>
      </c>
      <c r="AF1421" t="str">
        <f t="shared" si="160"/>
        <v>Moderate Risk</v>
      </c>
    </row>
    <row r="1422" spans="1:32" x14ac:dyDescent="0.45">
      <c r="A1422" t="s">
        <v>2323</v>
      </c>
      <c r="B1422" t="s">
        <v>877</v>
      </c>
      <c r="C1422" t="s">
        <v>51</v>
      </c>
      <c r="D1422" t="s">
        <v>50</v>
      </c>
      <c r="E1422" t="s">
        <v>217</v>
      </c>
      <c r="F1422" t="s">
        <v>83</v>
      </c>
      <c r="G1422" t="s">
        <v>218</v>
      </c>
      <c r="H1422" t="s">
        <v>108</v>
      </c>
      <c r="I1422" t="s">
        <v>107</v>
      </c>
      <c r="J1422" s="26">
        <v>45980</v>
      </c>
      <c r="K1422" t="s">
        <v>162</v>
      </c>
      <c r="L1422" s="26"/>
      <c r="M1422" t="s">
        <v>163</v>
      </c>
      <c r="N1422" t="s">
        <v>99</v>
      </c>
      <c r="O1422" s="27">
        <v>1872000</v>
      </c>
      <c r="P1422">
        <v>2</v>
      </c>
      <c r="Q1422" t="s">
        <v>172</v>
      </c>
      <c r="R1422">
        <v>38</v>
      </c>
      <c r="S1422" t="s">
        <v>244</v>
      </c>
      <c r="T1422">
        <f t="shared" si="154"/>
        <v>10058</v>
      </c>
      <c r="U1422" t="str">
        <f t="shared" si="155"/>
        <v>ENG</v>
      </c>
      <c r="V1422" t="str">
        <f t="shared" si="156"/>
        <v>L3</v>
      </c>
      <c r="W1422" t="str">
        <f>PROPER(TRIM(VLOOKUP(S1422,Employee_Lookups!$I$4:$M$19,2,FALSE())))</f>
        <v>Siddharth Nair</v>
      </c>
      <c r="X1422" t="str">
        <f>VLOOKUP(C1422,Employee_Lookups!$A$4:$G$9,4,FALSE())</f>
        <v>CC-101</v>
      </c>
      <c r="Y1422" t="str">
        <f>INDEX(Employee_Lookups!$C$13:$C$17,MATCH(F1422,Employee_Lookups!$A$13:$A$17,0))</f>
        <v>Band C (Senior)</v>
      </c>
      <c r="Z1422" s="27">
        <f>_xlfn.XLOOKUP(F1422,Employee_Lookups!$A$13:$A$17,Employee_Lookups!$E$13:$E$17,0)</f>
        <v>1725000</v>
      </c>
      <c r="AA1422" s="28">
        <f>ROUND(O1422/INDEX(Employee_Lookups!$E$13:$E$17,MATCH(F1422,Employee_Lookups!$A$13:$A$17,0)),3)</f>
        <v>1.085</v>
      </c>
      <c r="AB1422">
        <f t="shared" si="157"/>
        <v>2025</v>
      </c>
      <c r="AC1422" t="str">
        <f t="shared" si="158"/>
        <v/>
      </c>
      <c r="AD1422" s="28">
        <f>ROUND((IF(ISBLANK(L1422),Employee_Lookups!$O$14,L1422)-J1422)/365.25,2)</f>
        <v>0.11</v>
      </c>
      <c r="AE1422" t="str">
        <f t="shared" si="159"/>
        <v>&lt; 1 Yr (New)</v>
      </c>
      <c r="AF1422" t="str">
        <f t="shared" si="160"/>
        <v>Moderate Risk</v>
      </c>
    </row>
    <row r="1423" spans="1:32" x14ac:dyDescent="0.45">
      <c r="A1423" t="s">
        <v>2324</v>
      </c>
      <c r="B1423" t="s">
        <v>2325</v>
      </c>
      <c r="C1423" t="s">
        <v>51</v>
      </c>
      <c r="D1423" t="s">
        <v>50</v>
      </c>
      <c r="E1423" t="s">
        <v>176</v>
      </c>
      <c r="F1423" t="s">
        <v>82</v>
      </c>
      <c r="G1423" t="s">
        <v>177</v>
      </c>
      <c r="H1423" t="s">
        <v>106</v>
      </c>
      <c r="I1423" t="s">
        <v>107</v>
      </c>
      <c r="J1423" s="26">
        <v>45980</v>
      </c>
      <c r="K1423" t="s">
        <v>162</v>
      </c>
      <c r="L1423" s="26"/>
      <c r="M1423" t="s">
        <v>163</v>
      </c>
      <c r="N1423" t="s">
        <v>97</v>
      </c>
      <c r="O1423" s="27">
        <v>1039000</v>
      </c>
      <c r="P1423">
        <v>4</v>
      </c>
      <c r="Q1423" t="s">
        <v>164</v>
      </c>
      <c r="R1423">
        <v>27</v>
      </c>
      <c r="S1423" t="s">
        <v>219</v>
      </c>
      <c r="T1423">
        <f t="shared" si="154"/>
        <v>10411</v>
      </c>
      <c r="U1423" t="str">
        <f t="shared" si="155"/>
        <v>ENG</v>
      </c>
      <c r="V1423" t="str">
        <f t="shared" si="156"/>
        <v>L2</v>
      </c>
      <c r="W1423" t="str">
        <f>PROPER(TRIM(VLOOKUP(S1423,Employee_Lookups!$I$4:$M$19,2,FALSE())))</f>
        <v>Neha Kulkarni</v>
      </c>
      <c r="X1423" t="str">
        <f>VLOOKUP(C1423,Employee_Lookups!$A$4:$G$9,4,FALSE())</f>
        <v>CC-101</v>
      </c>
      <c r="Y1423" t="str">
        <f>INDEX(Employee_Lookups!$C$13:$C$17,MATCH(F1423,Employee_Lookups!$A$13:$A$17,0))</f>
        <v>Band B (Mid)</v>
      </c>
      <c r="Z1423" s="27">
        <f>_xlfn.XLOOKUP(F1423,Employee_Lookups!$A$13:$A$17,Employee_Lookups!$E$13:$E$17,0)</f>
        <v>1100000</v>
      </c>
      <c r="AA1423" s="28">
        <f>ROUND(O1423/INDEX(Employee_Lookups!$E$13:$E$17,MATCH(F1423,Employee_Lookups!$A$13:$A$17,0)),3)</f>
        <v>0.94499999999999995</v>
      </c>
      <c r="AB1423">
        <f t="shared" si="157"/>
        <v>2025</v>
      </c>
      <c r="AC1423" t="str">
        <f t="shared" si="158"/>
        <v/>
      </c>
      <c r="AD1423" s="28">
        <f>ROUND((IF(ISBLANK(L1423),Employee_Lookups!$O$14,L1423)-J1423)/365.25,2)</f>
        <v>0.11</v>
      </c>
      <c r="AE1423" t="str">
        <f t="shared" si="159"/>
        <v>&lt; 1 Yr (New)</v>
      </c>
      <c r="AF1423" t="str">
        <f t="shared" si="160"/>
        <v>Low Risk</v>
      </c>
    </row>
    <row r="1424" spans="1:32" x14ac:dyDescent="0.45">
      <c r="A1424" t="s">
        <v>2326</v>
      </c>
      <c r="B1424" t="s">
        <v>1235</v>
      </c>
      <c r="C1424" t="s">
        <v>55</v>
      </c>
      <c r="D1424" t="s">
        <v>54</v>
      </c>
      <c r="E1424" t="s">
        <v>277</v>
      </c>
      <c r="F1424" t="s">
        <v>81</v>
      </c>
      <c r="G1424" t="s">
        <v>278</v>
      </c>
      <c r="H1424" t="s">
        <v>106</v>
      </c>
      <c r="I1424" t="s">
        <v>107</v>
      </c>
      <c r="J1424" s="26">
        <v>45981</v>
      </c>
      <c r="K1424" t="s">
        <v>162</v>
      </c>
      <c r="L1424" s="26"/>
      <c r="M1424" t="s">
        <v>163</v>
      </c>
      <c r="N1424" t="s">
        <v>99</v>
      </c>
      <c r="O1424" s="27">
        <v>846000</v>
      </c>
      <c r="P1424">
        <v>3</v>
      </c>
      <c r="Q1424" t="s">
        <v>164</v>
      </c>
      <c r="R1424">
        <v>66</v>
      </c>
      <c r="S1424" t="s">
        <v>173</v>
      </c>
      <c r="T1424">
        <f t="shared" si="154"/>
        <v>10858</v>
      </c>
      <c r="U1424" t="str">
        <f t="shared" si="155"/>
        <v>OPS</v>
      </c>
      <c r="V1424" t="str">
        <f t="shared" si="156"/>
        <v>L1</v>
      </c>
      <c r="W1424" t="str">
        <f>PROPER(TRIM(VLOOKUP(S1424,Employee_Lookups!$I$4:$M$19,2,FALSE())))</f>
        <v>Deepak Patil</v>
      </c>
      <c r="X1424" t="str">
        <f>VLOOKUP(C1424,Employee_Lookups!$A$4:$G$9,4,FALSE())</f>
        <v>CC-303</v>
      </c>
      <c r="Y1424" t="str">
        <f>INDEX(Employee_Lookups!$C$13:$C$17,MATCH(F1424,Employee_Lookups!$A$13:$A$17,0))</f>
        <v>Band A (Entry)</v>
      </c>
      <c r="Z1424" s="27">
        <f>_xlfn.XLOOKUP(F1424,Employee_Lookups!$A$13:$A$17,Employee_Lookups!$E$13:$E$17,0)</f>
        <v>700000</v>
      </c>
      <c r="AA1424" s="28">
        <f>ROUND(O1424/INDEX(Employee_Lookups!$E$13:$E$17,MATCH(F1424,Employee_Lookups!$A$13:$A$17,0)),3)</f>
        <v>1.2090000000000001</v>
      </c>
      <c r="AB1424">
        <f t="shared" si="157"/>
        <v>2025</v>
      </c>
      <c r="AC1424" t="str">
        <f t="shared" si="158"/>
        <v/>
      </c>
      <c r="AD1424" s="28">
        <f>ROUND((IF(ISBLANK(L1424),Employee_Lookups!$O$14,L1424)-J1424)/365.25,2)</f>
        <v>0.11</v>
      </c>
      <c r="AE1424" t="str">
        <f t="shared" si="159"/>
        <v>&lt; 1 Yr (New)</v>
      </c>
      <c r="AF1424" t="str">
        <f t="shared" si="160"/>
        <v>Low Risk</v>
      </c>
    </row>
    <row r="1425" spans="1:32" x14ac:dyDescent="0.45">
      <c r="A1425" t="s">
        <v>2327</v>
      </c>
      <c r="B1425" t="s">
        <v>650</v>
      </c>
      <c r="C1425" t="s">
        <v>59</v>
      </c>
      <c r="D1425" t="s">
        <v>58</v>
      </c>
      <c r="E1425" t="s">
        <v>206</v>
      </c>
      <c r="F1425" t="s">
        <v>81</v>
      </c>
      <c r="G1425" t="s">
        <v>207</v>
      </c>
      <c r="H1425" t="s">
        <v>109</v>
      </c>
      <c r="I1425" t="s">
        <v>110</v>
      </c>
      <c r="J1425" s="26">
        <v>45981</v>
      </c>
      <c r="K1425" t="s">
        <v>162</v>
      </c>
      <c r="L1425" s="26"/>
      <c r="M1425" t="s">
        <v>163</v>
      </c>
      <c r="N1425" t="s">
        <v>98</v>
      </c>
      <c r="O1425" s="27">
        <v>623000</v>
      </c>
      <c r="P1425">
        <v>3</v>
      </c>
      <c r="Q1425" t="s">
        <v>164</v>
      </c>
      <c r="R1425">
        <v>27</v>
      </c>
      <c r="S1425" t="s">
        <v>208</v>
      </c>
      <c r="T1425">
        <f t="shared" si="154"/>
        <v>10517</v>
      </c>
      <c r="U1425" t="str">
        <f t="shared" si="155"/>
        <v>FIN</v>
      </c>
      <c r="V1425" t="str">
        <f t="shared" si="156"/>
        <v>L1</v>
      </c>
      <c r="W1425" t="str">
        <f>PROPER(TRIM(VLOOKUP(S1425,Employee_Lookups!$I$4:$M$19,2,FALSE())))</f>
        <v>Rajeshwari Rao</v>
      </c>
      <c r="X1425" t="str">
        <f>VLOOKUP(C1425,Employee_Lookups!$A$4:$G$9,4,FALSE())</f>
        <v>CC-404</v>
      </c>
      <c r="Y1425" t="str">
        <f>INDEX(Employee_Lookups!$C$13:$C$17,MATCH(F1425,Employee_Lookups!$A$13:$A$17,0))</f>
        <v>Band A (Entry)</v>
      </c>
      <c r="Z1425" s="27">
        <f>_xlfn.XLOOKUP(F1425,Employee_Lookups!$A$13:$A$17,Employee_Lookups!$E$13:$E$17,0)</f>
        <v>700000</v>
      </c>
      <c r="AA1425" s="28">
        <f>ROUND(O1425/INDEX(Employee_Lookups!$E$13:$E$17,MATCH(F1425,Employee_Lookups!$A$13:$A$17,0)),3)</f>
        <v>0.89</v>
      </c>
      <c r="AB1425">
        <f t="shared" si="157"/>
        <v>2025</v>
      </c>
      <c r="AC1425" t="str">
        <f t="shared" si="158"/>
        <v/>
      </c>
      <c r="AD1425" s="28">
        <f>ROUND((IF(ISBLANK(L1425),Employee_Lookups!$O$14,L1425)-J1425)/365.25,2)</f>
        <v>0.11</v>
      </c>
      <c r="AE1425" t="str">
        <f t="shared" si="159"/>
        <v>&lt; 1 Yr (New)</v>
      </c>
      <c r="AF1425" t="str">
        <f t="shared" si="160"/>
        <v>Low Risk</v>
      </c>
    </row>
    <row r="1426" spans="1:32" x14ac:dyDescent="0.45">
      <c r="A1426" t="s">
        <v>2328</v>
      </c>
      <c r="B1426" t="s">
        <v>2296</v>
      </c>
      <c r="C1426" t="s">
        <v>57</v>
      </c>
      <c r="D1426" t="s">
        <v>56</v>
      </c>
      <c r="E1426" t="s">
        <v>160</v>
      </c>
      <c r="F1426" t="s">
        <v>81</v>
      </c>
      <c r="G1426" t="s">
        <v>161</v>
      </c>
      <c r="H1426" t="s">
        <v>109</v>
      </c>
      <c r="I1426" t="s">
        <v>110</v>
      </c>
      <c r="J1426" s="26">
        <v>45981</v>
      </c>
      <c r="K1426" t="s">
        <v>162</v>
      </c>
      <c r="L1426" s="26"/>
      <c r="M1426" t="s">
        <v>163</v>
      </c>
      <c r="N1426" t="s">
        <v>95</v>
      </c>
      <c r="O1426" s="27">
        <v>784000</v>
      </c>
      <c r="Q1426" t="s">
        <v>172</v>
      </c>
      <c r="R1426">
        <v>22</v>
      </c>
      <c r="S1426" t="s">
        <v>165</v>
      </c>
      <c r="T1426">
        <f t="shared" si="154"/>
        <v>10761</v>
      </c>
      <c r="U1426" t="str">
        <f t="shared" si="155"/>
        <v>MKT</v>
      </c>
      <c r="V1426" t="str">
        <f t="shared" si="156"/>
        <v>L1</v>
      </c>
      <c r="W1426" t="str">
        <f>PROPER(TRIM(VLOOKUP(S1426,Employee_Lookups!$I$4:$M$19,2,FALSE())))</f>
        <v>Arjun Sengupta</v>
      </c>
      <c r="X1426" t="str">
        <f>VLOOKUP(C1426,Employee_Lookups!$A$4:$G$9,4,FALSE())</f>
        <v>CC-606</v>
      </c>
      <c r="Y1426" t="str">
        <f>INDEX(Employee_Lookups!$C$13:$C$17,MATCH(F1426,Employee_Lookups!$A$13:$A$17,0))</f>
        <v>Band A (Entry)</v>
      </c>
      <c r="Z1426" s="27">
        <f>_xlfn.XLOOKUP(F1426,Employee_Lookups!$A$13:$A$17,Employee_Lookups!$E$13:$E$17,0)</f>
        <v>700000</v>
      </c>
      <c r="AA1426" s="28">
        <f>ROUND(O1426/INDEX(Employee_Lookups!$E$13:$E$17,MATCH(F1426,Employee_Lookups!$A$13:$A$17,0)),3)</f>
        <v>1.1200000000000001</v>
      </c>
      <c r="AB1426">
        <f t="shared" si="157"/>
        <v>2025</v>
      </c>
      <c r="AC1426" t="str">
        <f t="shared" si="158"/>
        <v/>
      </c>
      <c r="AD1426" s="28">
        <f>ROUND((IF(ISBLANK(L1426),Employee_Lookups!$O$14,L1426)-J1426)/365.25,2)</f>
        <v>0.11</v>
      </c>
      <c r="AE1426" t="str">
        <f t="shared" si="159"/>
        <v>&lt; 1 Yr (New)</v>
      </c>
      <c r="AF1426" t="str">
        <f t="shared" si="160"/>
        <v>Moderate Risk</v>
      </c>
    </row>
    <row r="1427" spans="1:32" x14ac:dyDescent="0.45">
      <c r="A1427" t="s">
        <v>2329</v>
      </c>
      <c r="B1427" t="s">
        <v>1958</v>
      </c>
      <c r="C1427" t="s">
        <v>55</v>
      </c>
      <c r="D1427" t="s">
        <v>54</v>
      </c>
      <c r="E1427" t="s">
        <v>277</v>
      </c>
      <c r="F1427" t="s">
        <v>81</v>
      </c>
      <c r="G1427" t="s">
        <v>278</v>
      </c>
      <c r="H1427" t="s">
        <v>111</v>
      </c>
      <c r="I1427" t="s">
        <v>110</v>
      </c>
      <c r="J1427" s="26">
        <v>45982</v>
      </c>
      <c r="K1427" t="s">
        <v>162</v>
      </c>
      <c r="L1427" s="26"/>
      <c r="M1427" t="s">
        <v>163</v>
      </c>
      <c r="N1427" t="s">
        <v>97</v>
      </c>
      <c r="O1427" s="27">
        <v>797000</v>
      </c>
      <c r="P1427">
        <v>1</v>
      </c>
      <c r="Q1427" t="s">
        <v>172</v>
      </c>
      <c r="R1427">
        <v>9</v>
      </c>
      <c r="S1427" t="s">
        <v>274</v>
      </c>
      <c r="T1427">
        <f t="shared" si="154"/>
        <v>11066</v>
      </c>
      <c r="U1427" t="str">
        <f t="shared" si="155"/>
        <v>OPS</v>
      </c>
      <c r="V1427" t="str">
        <f t="shared" si="156"/>
        <v>L1</v>
      </c>
      <c r="W1427" t="str">
        <f>PROPER(TRIM(VLOOKUP(S1427,Employee_Lookups!$I$4:$M$19,2,FALSE())))</f>
        <v>Meera Krishnan</v>
      </c>
      <c r="X1427" t="str">
        <f>VLOOKUP(C1427,Employee_Lookups!$A$4:$G$9,4,FALSE())</f>
        <v>CC-303</v>
      </c>
      <c r="Y1427" t="str">
        <f>INDEX(Employee_Lookups!$C$13:$C$17,MATCH(F1427,Employee_Lookups!$A$13:$A$17,0))</f>
        <v>Band A (Entry)</v>
      </c>
      <c r="Z1427" s="27">
        <f>_xlfn.XLOOKUP(F1427,Employee_Lookups!$A$13:$A$17,Employee_Lookups!$E$13:$E$17,0)</f>
        <v>700000</v>
      </c>
      <c r="AA1427" s="28">
        <f>ROUND(O1427/INDEX(Employee_Lookups!$E$13:$E$17,MATCH(F1427,Employee_Lookups!$A$13:$A$17,0)),3)</f>
        <v>1.139</v>
      </c>
      <c r="AB1427">
        <f t="shared" si="157"/>
        <v>2025</v>
      </c>
      <c r="AC1427" t="str">
        <f t="shared" si="158"/>
        <v/>
      </c>
      <c r="AD1427" s="28">
        <f>ROUND((IF(ISBLANK(L1427),Employee_Lookups!$O$14,L1427)-J1427)/365.25,2)</f>
        <v>0.11</v>
      </c>
      <c r="AE1427" t="str">
        <f t="shared" si="159"/>
        <v>&lt; 1 Yr (New)</v>
      </c>
      <c r="AF1427" t="str">
        <f t="shared" si="160"/>
        <v>Moderate Risk</v>
      </c>
    </row>
    <row r="1428" spans="1:32" x14ac:dyDescent="0.45">
      <c r="A1428" t="s">
        <v>2330</v>
      </c>
      <c r="B1428" t="s">
        <v>2331</v>
      </c>
      <c r="C1428" t="s">
        <v>51</v>
      </c>
      <c r="D1428" t="s">
        <v>50</v>
      </c>
      <c r="E1428" t="s">
        <v>176</v>
      </c>
      <c r="F1428" t="s">
        <v>82</v>
      </c>
      <c r="G1428" t="s">
        <v>177</v>
      </c>
      <c r="H1428" t="s">
        <v>106</v>
      </c>
      <c r="I1428" t="s">
        <v>107</v>
      </c>
      <c r="J1428" s="26">
        <v>45982</v>
      </c>
      <c r="K1428" t="s">
        <v>162</v>
      </c>
      <c r="L1428" s="26"/>
      <c r="M1428" t="s">
        <v>163</v>
      </c>
      <c r="N1428" t="s">
        <v>95</v>
      </c>
      <c r="O1428" s="27">
        <v>865000</v>
      </c>
      <c r="P1428">
        <v>3</v>
      </c>
      <c r="Q1428" t="s">
        <v>172</v>
      </c>
      <c r="R1428">
        <v>23</v>
      </c>
      <c r="S1428" t="s">
        <v>178</v>
      </c>
      <c r="T1428">
        <f t="shared" si="154"/>
        <v>11005</v>
      </c>
      <c r="U1428" t="str">
        <f t="shared" si="155"/>
        <v>ENG</v>
      </c>
      <c r="V1428" t="str">
        <f t="shared" si="156"/>
        <v>L2</v>
      </c>
      <c r="W1428" t="str">
        <f>PROPER(TRIM(VLOOKUP(S1428,Employee_Lookups!$I$4:$M$19,2,FALSE())))</f>
        <v>Aarav Deshmukh</v>
      </c>
      <c r="X1428" t="str">
        <f>VLOOKUP(C1428,Employee_Lookups!$A$4:$G$9,4,FALSE())</f>
        <v>CC-101</v>
      </c>
      <c r="Y1428" t="str">
        <f>INDEX(Employee_Lookups!$C$13:$C$17,MATCH(F1428,Employee_Lookups!$A$13:$A$17,0))</f>
        <v>Band B (Mid)</v>
      </c>
      <c r="Z1428" s="27">
        <f>_xlfn.XLOOKUP(F1428,Employee_Lookups!$A$13:$A$17,Employee_Lookups!$E$13:$E$17,0)</f>
        <v>1100000</v>
      </c>
      <c r="AA1428" s="28">
        <f>ROUND(O1428/INDEX(Employee_Lookups!$E$13:$E$17,MATCH(F1428,Employee_Lookups!$A$13:$A$17,0)),3)</f>
        <v>0.78600000000000003</v>
      </c>
      <c r="AB1428">
        <f t="shared" si="157"/>
        <v>2025</v>
      </c>
      <c r="AC1428" t="str">
        <f t="shared" si="158"/>
        <v/>
      </c>
      <c r="AD1428" s="28">
        <f>ROUND((IF(ISBLANK(L1428),Employee_Lookups!$O$14,L1428)-J1428)/365.25,2)</f>
        <v>0.11</v>
      </c>
      <c r="AE1428" t="str">
        <f t="shared" si="159"/>
        <v>&lt; 1 Yr (New)</v>
      </c>
      <c r="AF1428" t="str">
        <f t="shared" si="160"/>
        <v>High Risk</v>
      </c>
    </row>
    <row r="1429" spans="1:32" x14ac:dyDescent="0.45">
      <c r="A1429" t="s">
        <v>2332</v>
      </c>
      <c r="B1429" t="s">
        <v>1609</v>
      </c>
      <c r="C1429" t="s">
        <v>61</v>
      </c>
      <c r="D1429" t="s">
        <v>60</v>
      </c>
      <c r="E1429" t="s">
        <v>251</v>
      </c>
      <c r="F1429" t="s">
        <v>82</v>
      </c>
      <c r="G1429" t="s">
        <v>252</v>
      </c>
      <c r="H1429" t="s">
        <v>108</v>
      </c>
      <c r="I1429" t="s">
        <v>107</v>
      </c>
      <c r="J1429" s="26">
        <v>45982</v>
      </c>
      <c r="K1429" t="s">
        <v>162</v>
      </c>
      <c r="L1429" s="26"/>
      <c r="M1429" t="s">
        <v>163</v>
      </c>
      <c r="N1429" t="s">
        <v>96</v>
      </c>
      <c r="O1429" s="27">
        <v>918000</v>
      </c>
      <c r="P1429">
        <v>3</v>
      </c>
      <c r="Q1429" t="s">
        <v>172</v>
      </c>
      <c r="R1429">
        <v>43</v>
      </c>
      <c r="S1429" t="s">
        <v>319</v>
      </c>
      <c r="T1429">
        <f t="shared" si="154"/>
        <v>11447</v>
      </c>
      <c r="U1429" t="str">
        <f t="shared" si="155"/>
        <v>-HR</v>
      </c>
      <c r="V1429" t="str">
        <f t="shared" si="156"/>
        <v>L2</v>
      </c>
      <c r="W1429" t="str">
        <f>PROPER(TRIM(VLOOKUP(S1429,Employee_Lookups!$I$4:$M$19,2,FALSE())))</f>
        <v>Kavita Menon</v>
      </c>
      <c r="X1429" t="str">
        <f>VLOOKUP(C1429,Employee_Lookups!$A$4:$G$9,4,FALSE())</f>
        <v>CC-505</v>
      </c>
      <c r="Y1429" t="str">
        <f>INDEX(Employee_Lookups!$C$13:$C$17,MATCH(F1429,Employee_Lookups!$A$13:$A$17,0))</f>
        <v>Band B (Mid)</v>
      </c>
      <c r="Z1429" s="27">
        <f>_xlfn.XLOOKUP(F1429,Employee_Lookups!$A$13:$A$17,Employee_Lookups!$E$13:$E$17,0)</f>
        <v>1100000</v>
      </c>
      <c r="AA1429" s="28">
        <f>ROUND(O1429/INDEX(Employee_Lookups!$E$13:$E$17,MATCH(F1429,Employee_Lookups!$A$13:$A$17,0)),3)</f>
        <v>0.83499999999999996</v>
      </c>
      <c r="AB1429">
        <f t="shared" si="157"/>
        <v>2025</v>
      </c>
      <c r="AC1429" t="str">
        <f t="shared" si="158"/>
        <v/>
      </c>
      <c r="AD1429" s="28">
        <f>ROUND((IF(ISBLANK(L1429),Employee_Lookups!$O$14,L1429)-J1429)/365.25,2)</f>
        <v>0.11</v>
      </c>
      <c r="AE1429" t="str">
        <f t="shared" si="159"/>
        <v>&lt; 1 Yr (New)</v>
      </c>
      <c r="AF1429" t="str">
        <f t="shared" si="160"/>
        <v>High Risk</v>
      </c>
    </row>
    <row r="1430" spans="1:32" x14ac:dyDescent="0.45">
      <c r="A1430" t="s">
        <v>2333</v>
      </c>
      <c r="B1430" t="s">
        <v>780</v>
      </c>
      <c r="C1430" t="s">
        <v>55</v>
      </c>
      <c r="D1430" t="s">
        <v>54</v>
      </c>
      <c r="E1430" t="s">
        <v>229</v>
      </c>
      <c r="F1430" t="s">
        <v>82</v>
      </c>
      <c r="G1430" t="s">
        <v>230</v>
      </c>
      <c r="H1430" t="s">
        <v>108</v>
      </c>
      <c r="I1430" t="s">
        <v>107</v>
      </c>
      <c r="J1430" s="26">
        <v>45983</v>
      </c>
      <c r="K1430" t="s">
        <v>162</v>
      </c>
      <c r="L1430" s="26"/>
      <c r="M1430" t="s">
        <v>163</v>
      </c>
      <c r="N1430" t="s">
        <v>96</v>
      </c>
      <c r="O1430" s="27">
        <v>1174000</v>
      </c>
      <c r="P1430">
        <v>3</v>
      </c>
      <c r="Q1430" t="s">
        <v>172</v>
      </c>
      <c r="R1430">
        <v>59</v>
      </c>
      <c r="S1430" t="s">
        <v>262</v>
      </c>
      <c r="T1430">
        <f t="shared" si="154"/>
        <v>10325</v>
      </c>
      <c r="U1430" t="str">
        <f t="shared" si="155"/>
        <v>OPS</v>
      </c>
      <c r="V1430" t="str">
        <f t="shared" si="156"/>
        <v>L2</v>
      </c>
      <c r="W1430" t="str">
        <f>PROPER(TRIM(VLOOKUP(S1430,Employee_Lookups!$I$4:$M$19,2,FALSE())))</f>
        <v>Ananya Iyer</v>
      </c>
      <c r="X1430" t="str">
        <f>VLOOKUP(C1430,Employee_Lookups!$A$4:$G$9,4,FALSE())</f>
        <v>CC-303</v>
      </c>
      <c r="Y1430" t="str">
        <f>INDEX(Employee_Lookups!$C$13:$C$17,MATCH(F1430,Employee_Lookups!$A$13:$A$17,0))</f>
        <v>Band B (Mid)</v>
      </c>
      <c r="Z1430" s="27">
        <f>_xlfn.XLOOKUP(F1430,Employee_Lookups!$A$13:$A$17,Employee_Lookups!$E$13:$E$17,0)</f>
        <v>1100000</v>
      </c>
      <c r="AA1430" s="28">
        <f>ROUND(O1430/INDEX(Employee_Lookups!$E$13:$E$17,MATCH(F1430,Employee_Lookups!$A$13:$A$17,0)),3)</f>
        <v>1.0669999999999999</v>
      </c>
      <c r="AB1430">
        <f t="shared" si="157"/>
        <v>2025</v>
      </c>
      <c r="AC1430" t="str">
        <f t="shared" si="158"/>
        <v/>
      </c>
      <c r="AD1430" s="28">
        <f>ROUND((IF(ISBLANK(L1430),Employee_Lookups!$O$14,L1430)-J1430)/365.25,2)</f>
        <v>0.11</v>
      </c>
      <c r="AE1430" t="str">
        <f t="shared" si="159"/>
        <v>&lt; 1 Yr (New)</v>
      </c>
      <c r="AF1430" t="str">
        <f t="shared" si="160"/>
        <v>Moderate Risk</v>
      </c>
    </row>
    <row r="1431" spans="1:32" x14ac:dyDescent="0.45">
      <c r="A1431" t="s">
        <v>2334</v>
      </c>
      <c r="B1431" t="s">
        <v>2335</v>
      </c>
      <c r="C1431" t="s">
        <v>55</v>
      </c>
      <c r="D1431" t="s">
        <v>54</v>
      </c>
      <c r="E1431" t="s">
        <v>240</v>
      </c>
      <c r="F1431" t="s">
        <v>83</v>
      </c>
      <c r="G1431" t="s">
        <v>241</v>
      </c>
      <c r="H1431" t="s">
        <v>106</v>
      </c>
      <c r="I1431" t="s">
        <v>107</v>
      </c>
      <c r="J1431" s="26">
        <v>45983</v>
      </c>
      <c r="K1431" t="s">
        <v>162</v>
      </c>
      <c r="L1431" s="26"/>
      <c r="M1431" t="s">
        <v>163</v>
      </c>
      <c r="N1431" t="s">
        <v>96</v>
      </c>
      <c r="O1431" s="27">
        <v>1650000</v>
      </c>
      <c r="Q1431" t="s">
        <v>172</v>
      </c>
      <c r="R1431">
        <v>18</v>
      </c>
      <c r="S1431" t="s">
        <v>274</v>
      </c>
      <c r="T1431">
        <f t="shared" si="154"/>
        <v>10946</v>
      </c>
      <c r="U1431" t="str">
        <f t="shared" si="155"/>
        <v>OPS</v>
      </c>
      <c r="V1431" t="str">
        <f t="shared" si="156"/>
        <v>L3</v>
      </c>
      <c r="W1431" t="str">
        <f>PROPER(TRIM(VLOOKUP(S1431,Employee_Lookups!$I$4:$M$19,2,FALSE())))</f>
        <v>Meera Krishnan</v>
      </c>
      <c r="X1431" t="str">
        <f>VLOOKUP(C1431,Employee_Lookups!$A$4:$G$9,4,FALSE())</f>
        <v>CC-303</v>
      </c>
      <c r="Y1431" t="str">
        <f>INDEX(Employee_Lookups!$C$13:$C$17,MATCH(F1431,Employee_Lookups!$A$13:$A$17,0))</f>
        <v>Band C (Senior)</v>
      </c>
      <c r="Z1431" s="27">
        <f>_xlfn.XLOOKUP(F1431,Employee_Lookups!$A$13:$A$17,Employee_Lookups!$E$13:$E$17,0)</f>
        <v>1725000</v>
      </c>
      <c r="AA1431" s="28">
        <f>ROUND(O1431/INDEX(Employee_Lookups!$E$13:$E$17,MATCH(F1431,Employee_Lookups!$A$13:$A$17,0)),3)</f>
        <v>0.95699999999999996</v>
      </c>
      <c r="AB1431">
        <f t="shared" si="157"/>
        <v>2025</v>
      </c>
      <c r="AC1431" t="str">
        <f t="shared" si="158"/>
        <v/>
      </c>
      <c r="AD1431" s="28">
        <f>ROUND((IF(ISBLANK(L1431),Employee_Lookups!$O$14,L1431)-J1431)/365.25,2)</f>
        <v>0.11</v>
      </c>
      <c r="AE1431" t="str">
        <f t="shared" si="159"/>
        <v>&lt; 1 Yr (New)</v>
      </c>
      <c r="AF1431" t="str">
        <f t="shared" si="160"/>
        <v>Moderate Risk</v>
      </c>
    </row>
    <row r="1432" spans="1:32" x14ac:dyDescent="0.45">
      <c r="A1432" t="s">
        <v>2336</v>
      </c>
      <c r="B1432" t="s">
        <v>1107</v>
      </c>
      <c r="C1432" t="s">
        <v>53</v>
      </c>
      <c r="D1432" t="s">
        <v>52</v>
      </c>
      <c r="E1432" t="s">
        <v>192</v>
      </c>
      <c r="F1432" t="s">
        <v>83</v>
      </c>
      <c r="G1432" t="s">
        <v>193</v>
      </c>
      <c r="H1432" t="s">
        <v>108</v>
      </c>
      <c r="I1432" t="s">
        <v>107</v>
      </c>
      <c r="J1432" s="26">
        <v>45983</v>
      </c>
      <c r="K1432" t="s">
        <v>162</v>
      </c>
      <c r="L1432" s="26"/>
      <c r="M1432" t="s">
        <v>163</v>
      </c>
      <c r="N1432" t="s">
        <v>97</v>
      </c>
      <c r="O1432" s="27">
        <v>1748000</v>
      </c>
      <c r="P1432">
        <v>5</v>
      </c>
      <c r="Q1432" t="s">
        <v>172</v>
      </c>
      <c r="R1432">
        <v>42</v>
      </c>
      <c r="S1432" t="s">
        <v>194</v>
      </c>
      <c r="T1432">
        <f t="shared" si="154"/>
        <v>10361</v>
      </c>
      <c r="U1432" t="str">
        <f t="shared" si="155"/>
        <v>SAL</v>
      </c>
      <c r="V1432" t="str">
        <f t="shared" si="156"/>
        <v>L3</v>
      </c>
      <c r="W1432" t="str">
        <f>PROPER(TRIM(VLOOKUP(S1432,Employee_Lookups!$I$4:$M$19,2,FALSE())))</f>
        <v>Vikramaditya Joshi</v>
      </c>
      <c r="X1432" t="str">
        <f>VLOOKUP(C1432,Employee_Lookups!$A$4:$G$9,4,FALSE())</f>
        <v>CC-202</v>
      </c>
      <c r="Y1432" t="str">
        <f>INDEX(Employee_Lookups!$C$13:$C$17,MATCH(F1432,Employee_Lookups!$A$13:$A$17,0))</f>
        <v>Band C (Senior)</v>
      </c>
      <c r="Z1432" s="27">
        <f>_xlfn.XLOOKUP(F1432,Employee_Lookups!$A$13:$A$17,Employee_Lookups!$E$13:$E$17,0)</f>
        <v>1725000</v>
      </c>
      <c r="AA1432" s="28">
        <f>ROUND(O1432/INDEX(Employee_Lookups!$E$13:$E$17,MATCH(F1432,Employee_Lookups!$A$13:$A$17,0)),3)</f>
        <v>1.0129999999999999</v>
      </c>
      <c r="AB1432">
        <f t="shared" si="157"/>
        <v>2025</v>
      </c>
      <c r="AC1432" t="str">
        <f t="shared" si="158"/>
        <v/>
      </c>
      <c r="AD1432" s="28">
        <f>ROUND((IF(ISBLANK(L1432),Employee_Lookups!$O$14,L1432)-J1432)/365.25,2)</f>
        <v>0.11</v>
      </c>
      <c r="AE1432" t="str">
        <f t="shared" si="159"/>
        <v>&lt; 1 Yr (New)</v>
      </c>
      <c r="AF1432" t="str">
        <f t="shared" si="160"/>
        <v>High Risk</v>
      </c>
    </row>
    <row r="1433" spans="1:32" x14ac:dyDescent="0.45">
      <c r="A1433" t="s">
        <v>2337</v>
      </c>
      <c r="B1433" t="s">
        <v>942</v>
      </c>
      <c r="C1433" t="s">
        <v>53</v>
      </c>
      <c r="D1433" t="s">
        <v>52</v>
      </c>
      <c r="E1433" t="s">
        <v>192</v>
      </c>
      <c r="F1433" t="s">
        <v>83</v>
      </c>
      <c r="G1433" t="s">
        <v>193</v>
      </c>
      <c r="H1433" t="s">
        <v>109</v>
      </c>
      <c r="I1433" t="s">
        <v>110</v>
      </c>
      <c r="J1433" s="26">
        <v>45984</v>
      </c>
      <c r="K1433" t="s">
        <v>162</v>
      </c>
      <c r="L1433" s="26"/>
      <c r="M1433" t="s">
        <v>163</v>
      </c>
      <c r="N1433" t="s">
        <v>99</v>
      </c>
      <c r="O1433" s="27">
        <v>1490000</v>
      </c>
      <c r="Q1433" t="s">
        <v>164</v>
      </c>
      <c r="R1433">
        <v>46</v>
      </c>
      <c r="S1433" t="s">
        <v>194</v>
      </c>
      <c r="T1433">
        <f t="shared" si="154"/>
        <v>10879</v>
      </c>
      <c r="U1433" t="str">
        <f t="shared" si="155"/>
        <v>SAL</v>
      </c>
      <c r="V1433" t="str">
        <f t="shared" si="156"/>
        <v>L3</v>
      </c>
      <c r="W1433" t="str">
        <f>PROPER(TRIM(VLOOKUP(S1433,Employee_Lookups!$I$4:$M$19,2,FALSE())))</f>
        <v>Vikramaditya Joshi</v>
      </c>
      <c r="X1433" t="str">
        <f>VLOOKUP(C1433,Employee_Lookups!$A$4:$G$9,4,FALSE())</f>
        <v>CC-202</v>
      </c>
      <c r="Y1433" t="str">
        <f>INDEX(Employee_Lookups!$C$13:$C$17,MATCH(F1433,Employee_Lookups!$A$13:$A$17,0))</f>
        <v>Band C (Senior)</v>
      </c>
      <c r="Z1433" s="27">
        <f>_xlfn.XLOOKUP(F1433,Employee_Lookups!$A$13:$A$17,Employee_Lookups!$E$13:$E$17,0)</f>
        <v>1725000</v>
      </c>
      <c r="AA1433" s="28">
        <f>ROUND(O1433/INDEX(Employee_Lookups!$E$13:$E$17,MATCH(F1433,Employee_Lookups!$A$13:$A$17,0)),3)</f>
        <v>0.86399999999999999</v>
      </c>
      <c r="AB1433">
        <f t="shared" si="157"/>
        <v>2025</v>
      </c>
      <c r="AC1433" t="str">
        <f t="shared" si="158"/>
        <v/>
      </c>
      <c r="AD1433" s="28">
        <f>ROUND((IF(ISBLANK(L1433),Employee_Lookups!$O$14,L1433)-J1433)/365.25,2)</f>
        <v>0.1</v>
      </c>
      <c r="AE1433" t="str">
        <f t="shared" si="159"/>
        <v>&lt; 1 Yr (New)</v>
      </c>
      <c r="AF1433" t="str">
        <f t="shared" si="160"/>
        <v>Low Risk</v>
      </c>
    </row>
    <row r="1434" spans="1:32" x14ac:dyDescent="0.45">
      <c r="A1434" t="s">
        <v>2338</v>
      </c>
      <c r="B1434" t="s">
        <v>1956</v>
      </c>
      <c r="C1434" t="s">
        <v>57</v>
      </c>
      <c r="D1434" t="s">
        <v>56</v>
      </c>
      <c r="E1434" t="s">
        <v>160</v>
      </c>
      <c r="F1434" t="s">
        <v>81</v>
      </c>
      <c r="G1434" t="s">
        <v>161</v>
      </c>
      <c r="H1434" t="s">
        <v>106</v>
      </c>
      <c r="I1434" t="s">
        <v>107</v>
      </c>
      <c r="J1434" s="26">
        <v>45984</v>
      </c>
      <c r="K1434" t="s">
        <v>162</v>
      </c>
      <c r="L1434" s="26"/>
      <c r="M1434" t="s">
        <v>163</v>
      </c>
      <c r="N1434" t="s">
        <v>96</v>
      </c>
      <c r="O1434" s="27">
        <v>843000</v>
      </c>
      <c r="Q1434" t="s">
        <v>164</v>
      </c>
      <c r="R1434">
        <v>26</v>
      </c>
      <c r="S1434" t="s">
        <v>224</v>
      </c>
      <c r="T1434">
        <f t="shared" si="154"/>
        <v>10088</v>
      </c>
      <c r="U1434" t="str">
        <f t="shared" si="155"/>
        <v>MKT</v>
      </c>
      <c r="V1434" t="str">
        <f t="shared" si="156"/>
        <v>L1</v>
      </c>
      <c r="W1434" t="str">
        <f>PROPER(TRIM(VLOOKUP(S1434,Employee_Lookups!$I$4:$M$19,2,FALSE())))</f>
        <v>Tanvi Chitnis</v>
      </c>
      <c r="X1434" t="str">
        <f>VLOOKUP(C1434,Employee_Lookups!$A$4:$G$9,4,FALSE())</f>
        <v>CC-606</v>
      </c>
      <c r="Y1434" t="str">
        <f>INDEX(Employee_Lookups!$C$13:$C$17,MATCH(F1434,Employee_Lookups!$A$13:$A$17,0))</f>
        <v>Band A (Entry)</v>
      </c>
      <c r="Z1434" s="27">
        <f>_xlfn.XLOOKUP(F1434,Employee_Lookups!$A$13:$A$17,Employee_Lookups!$E$13:$E$17,0)</f>
        <v>700000</v>
      </c>
      <c r="AA1434" s="28">
        <f>ROUND(O1434/INDEX(Employee_Lookups!$E$13:$E$17,MATCH(F1434,Employee_Lookups!$A$13:$A$17,0)),3)</f>
        <v>1.204</v>
      </c>
      <c r="AB1434">
        <f t="shared" si="157"/>
        <v>2025</v>
      </c>
      <c r="AC1434" t="str">
        <f t="shared" si="158"/>
        <v/>
      </c>
      <c r="AD1434" s="28">
        <f>ROUND((IF(ISBLANK(L1434),Employee_Lookups!$O$14,L1434)-J1434)/365.25,2)</f>
        <v>0.1</v>
      </c>
      <c r="AE1434" t="str">
        <f t="shared" si="159"/>
        <v>&lt; 1 Yr (New)</v>
      </c>
      <c r="AF1434" t="str">
        <f t="shared" si="160"/>
        <v>Low Risk</v>
      </c>
    </row>
    <row r="1435" spans="1:32" x14ac:dyDescent="0.45">
      <c r="A1435" t="s">
        <v>2339</v>
      </c>
      <c r="B1435" t="s">
        <v>991</v>
      </c>
      <c r="C1435" t="s">
        <v>61</v>
      </c>
      <c r="D1435" t="s">
        <v>60</v>
      </c>
      <c r="E1435" t="s">
        <v>356</v>
      </c>
      <c r="F1435" t="s">
        <v>81</v>
      </c>
      <c r="G1435" t="s">
        <v>357</v>
      </c>
      <c r="H1435" t="s">
        <v>109</v>
      </c>
      <c r="I1435" t="s">
        <v>110</v>
      </c>
      <c r="J1435" s="26">
        <v>45984</v>
      </c>
      <c r="K1435" t="s">
        <v>162</v>
      </c>
      <c r="L1435" s="26"/>
      <c r="M1435" t="s">
        <v>163</v>
      </c>
      <c r="N1435" t="s">
        <v>99</v>
      </c>
      <c r="O1435" s="27">
        <v>832000</v>
      </c>
      <c r="P1435">
        <v>2</v>
      </c>
      <c r="Q1435" t="s">
        <v>164</v>
      </c>
      <c r="R1435">
        <v>21</v>
      </c>
      <c r="S1435" t="s">
        <v>253</v>
      </c>
      <c r="T1435">
        <f t="shared" si="154"/>
        <v>10809</v>
      </c>
      <c r="U1435" t="str">
        <f t="shared" si="155"/>
        <v>-HR</v>
      </c>
      <c r="V1435" t="str">
        <f t="shared" si="156"/>
        <v>L1</v>
      </c>
      <c r="W1435" t="str">
        <f>PROPER(TRIM(VLOOKUP(S1435,Employee_Lookups!$I$4:$M$19,2,FALSE())))</f>
        <v>Nikhil Chatterjee</v>
      </c>
      <c r="X1435" t="str">
        <f>VLOOKUP(C1435,Employee_Lookups!$A$4:$G$9,4,FALSE())</f>
        <v>CC-505</v>
      </c>
      <c r="Y1435" t="str">
        <f>INDEX(Employee_Lookups!$C$13:$C$17,MATCH(F1435,Employee_Lookups!$A$13:$A$17,0))</f>
        <v>Band A (Entry)</v>
      </c>
      <c r="Z1435" s="27">
        <f>_xlfn.XLOOKUP(F1435,Employee_Lookups!$A$13:$A$17,Employee_Lookups!$E$13:$E$17,0)</f>
        <v>700000</v>
      </c>
      <c r="AA1435" s="28">
        <f>ROUND(O1435/INDEX(Employee_Lookups!$E$13:$E$17,MATCH(F1435,Employee_Lookups!$A$13:$A$17,0)),3)</f>
        <v>1.1890000000000001</v>
      </c>
      <c r="AB1435">
        <f t="shared" si="157"/>
        <v>2025</v>
      </c>
      <c r="AC1435" t="str">
        <f t="shared" si="158"/>
        <v/>
      </c>
      <c r="AD1435" s="28">
        <f>ROUND((IF(ISBLANK(L1435),Employee_Lookups!$O$14,L1435)-J1435)/365.25,2)</f>
        <v>0.1</v>
      </c>
      <c r="AE1435" t="str">
        <f t="shared" si="159"/>
        <v>&lt; 1 Yr (New)</v>
      </c>
      <c r="AF1435" t="str">
        <f t="shared" si="160"/>
        <v>Moderate Risk</v>
      </c>
    </row>
    <row r="1436" spans="1:32" x14ac:dyDescent="0.45">
      <c r="A1436" t="s">
        <v>2340</v>
      </c>
      <c r="B1436" t="s">
        <v>402</v>
      </c>
      <c r="C1436" t="s">
        <v>51</v>
      </c>
      <c r="D1436" t="s">
        <v>50</v>
      </c>
      <c r="E1436" t="s">
        <v>181</v>
      </c>
      <c r="F1436" t="s">
        <v>81</v>
      </c>
      <c r="G1436" t="s">
        <v>182</v>
      </c>
      <c r="H1436" t="s">
        <v>111</v>
      </c>
      <c r="I1436" t="s">
        <v>110</v>
      </c>
      <c r="J1436" s="26">
        <v>45985</v>
      </c>
      <c r="K1436" t="s">
        <v>162</v>
      </c>
      <c r="L1436" s="26"/>
      <c r="M1436" t="s">
        <v>163</v>
      </c>
      <c r="N1436" t="s">
        <v>97</v>
      </c>
      <c r="O1436" s="27">
        <v>712000</v>
      </c>
      <c r="Q1436" t="s">
        <v>164</v>
      </c>
      <c r="R1436">
        <v>39</v>
      </c>
      <c r="S1436" t="s">
        <v>197</v>
      </c>
      <c r="T1436">
        <f t="shared" si="154"/>
        <v>10138</v>
      </c>
      <c r="U1436" t="str">
        <f t="shared" si="155"/>
        <v>ENG</v>
      </c>
      <c r="V1436" t="str">
        <f t="shared" si="156"/>
        <v>L1</v>
      </c>
      <c r="W1436" t="str">
        <f>PROPER(TRIM(VLOOKUP(S1436,Employee_Lookups!$I$4:$M$19,2,FALSE())))</f>
        <v>Rohan Verma</v>
      </c>
      <c r="X1436" t="str">
        <f>VLOOKUP(C1436,Employee_Lookups!$A$4:$G$9,4,FALSE())</f>
        <v>CC-101</v>
      </c>
      <c r="Y1436" t="str">
        <f>INDEX(Employee_Lookups!$C$13:$C$17,MATCH(F1436,Employee_Lookups!$A$13:$A$17,0))</f>
        <v>Band A (Entry)</v>
      </c>
      <c r="Z1436" s="27">
        <f>_xlfn.XLOOKUP(F1436,Employee_Lookups!$A$13:$A$17,Employee_Lookups!$E$13:$E$17,0)</f>
        <v>700000</v>
      </c>
      <c r="AA1436" s="28">
        <f>ROUND(O1436/INDEX(Employee_Lookups!$E$13:$E$17,MATCH(F1436,Employee_Lookups!$A$13:$A$17,0)),3)</f>
        <v>1.0169999999999999</v>
      </c>
      <c r="AB1436">
        <f t="shared" si="157"/>
        <v>2025</v>
      </c>
      <c r="AC1436" t="str">
        <f t="shared" si="158"/>
        <v/>
      </c>
      <c r="AD1436" s="28">
        <f>ROUND((IF(ISBLANK(L1436),Employee_Lookups!$O$14,L1436)-J1436)/365.25,2)</f>
        <v>0.1</v>
      </c>
      <c r="AE1436" t="str">
        <f t="shared" si="159"/>
        <v>&lt; 1 Yr (New)</v>
      </c>
      <c r="AF1436" t="str">
        <f t="shared" si="160"/>
        <v>Low Risk</v>
      </c>
    </row>
    <row r="1437" spans="1:32" x14ac:dyDescent="0.45">
      <c r="A1437" t="s">
        <v>2341</v>
      </c>
      <c r="B1437" t="s">
        <v>932</v>
      </c>
      <c r="C1437" t="s">
        <v>51</v>
      </c>
      <c r="D1437" t="s">
        <v>50</v>
      </c>
      <c r="E1437" t="s">
        <v>217</v>
      </c>
      <c r="F1437" t="s">
        <v>83</v>
      </c>
      <c r="G1437" t="s">
        <v>218</v>
      </c>
      <c r="H1437" t="s">
        <v>108</v>
      </c>
      <c r="I1437" t="s">
        <v>107</v>
      </c>
      <c r="J1437" s="26">
        <v>45986</v>
      </c>
      <c r="K1437" t="s">
        <v>162</v>
      </c>
      <c r="L1437" s="26"/>
      <c r="M1437" t="s">
        <v>163</v>
      </c>
      <c r="N1437" t="s">
        <v>99</v>
      </c>
      <c r="O1437" s="27">
        <v>2065000</v>
      </c>
      <c r="P1437">
        <v>2</v>
      </c>
      <c r="Q1437" t="s">
        <v>164</v>
      </c>
      <c r="R1437">
        <v>17</v>
      </c>
      <c r="S1437" t="s">
        <v>219</v>
      </c>
      <c r="T1437">
        <f t="shared" si="154"/>
        <v>10320</v>
      </c>
      <c r="U1437" t="str">
        <f t="shared" si="155"/>
        <v>ENG</v>
      </c>
      <c r="V1437" t="str">
        <f t="shared" si="156"/>
        <v>L3</v>
      </c>
      <c r="W1437" t="str">
        <f>PROPER(TRIM(VLOOKUP(S1437,Employee_Lookups!$I$4:$M$19,2,FALSE())))</f>
        <v>Neha Kulkarni</v>
      </c>
      <c r="X1437" t="str">
        <f>VLOOKUP(C1437,Employee_Lookups!$A$4:$G$9,4,FALSE())</f>
        <v>CC-101</v>
      </c>
      <c r="Y1437" t="str">
        <f>INDEX(Employee_Lookups!$C$13:$C$17,MATCH(F1437,Employee_Lookups!$A$13:$A$17,0))</f>
        <v>Band C (Senior)</v>
      </c>
      <c r="Z1437" s="27">
        <f>_xlfn.XLOOKUP(F1437,Employee_Lookups!$A$13:$A$17,Employee_Lookups!$E$13:$E$17,0)</f>
        <v>1725000</v>
      </c>
      <c r="AA1437" s="28">
        <f>ROUND(O1437/INDEX(Employee_Lookups!$E$13:$E$17,MATCH(F1437,Employee_Lookups!$A$13:$A$17,0)),3)</f>
        <v>1.1970000000000001</v>
      </c>
      <c r="AB1437">
        <f t="shared" si="157"/>
        <v>2025</v>
      </c>
      <c r="AC1437" t="str">
        <f t="shared" si="158"/>
        <v/>
      </c>
      <c r="AD1437" s="28">
        <f>ROUND((IF(ISBLANK(L1437),Employee_Lookups!$O$14,L1437)-J1437)/365.25,2)</f>
        <v>0.1</v>
      </c>
      <c r="AE1437" t="str">
        <f t="shared" si="159"/>
        <v>&lt; 1 Yr (New)</v>
      </c>
      <c r="AF1437" t="str">
        <f t="shared" si="160"/>
        <v>Moderate Risk</v>
      </c>
    </row>
    <row r="1438" spans="1:32" x14ac:dyDescent="0.45">
      <c r="A1438" t="s">
        <v>2342</v>
      </c>
      <c r="B1438" t="s">
        <v>2343</v>
      </c>
      <c r="C1438" t="s">
        <v>55</v>
      </c>
      <c r="D1438" t="s">
        <v>54</v>
      </c>
      <c r="E1438" t="s">
        <v>229</v>
      </c>
      <c r="F1438" t="s">
        <v>82</v>
      </c>
      <c r="G1438" t="s">
        <v>230</v>
      </c>
      <c r="H1438" t="s">
        <v>106</v>
      </c>
      <c r="I1438" t="s">
        <v>107</v>
      </c>
      <c r="J1438" s="26">
        <v>45988</v>
      </c>
      <c r="K1438" t="s">
        <v>162</v>
      </c>
      <c r="L1438" s="26"/>
      <c r="M1438" t="s">
        <v>163</v>
      </c>
      <c r="N1438" t="s">
        <v>99</v>
      </c>
      <c r="O1438" s="27">
        <v>1017000</v>
      </c>
      <c r="P1438">
        <v>3</v>
      </c>
      <c r="Q1438" t="s">
        <v>172</v>
      </c>
      <c r="R1438">
        <v>34</v>
      </c>
      <c r="S1438" t="s">
        <v>274</v>
      </c>
      <c r="T1438">
        <f t="shared" si="154"/>
        <v>10806</v>
      </c>
      <c r="U1438" t="str">
        <f t="shared" si="155"/>
        <v>OPS</v>
      </c>
      <c r="V1438" t="str">
        <f t="shared" si="156"/>
        <v>L2</v>
      </c>
      <c r="W1438" t="str">
        <f>PROPER(TRIM(VLOOKUP(S1438,Employee_Lookups!$I$4:$M$19,2,FALSE())))</f>
        <v>Meera Krishnan</v>
      </c>
      <c r="X1438" t="str">
        <f>VLOOKUP(C1438,Employee_Lookups!$A$4:$G$9,4,FALSE())</f>
        <v>CC-303</v>
      </c>
      <c r="Y1438" t="str">
        <f>INDEX(Employee_Lookups!$C$13:$C$17,MATCH(F1438,Employee_Lookups!$A$13:$A$17,0))</f>
        <v>Band B (Mid)</v>
      </c>
      <c r="Z1438" s="27">
        <f>_xlfn.XLOOKUP(F1438,Employee_Lookups!$A$13:$A$17,Employee_Lookups!$E$13:$E$17,0)</f>
        <v>1100000</v>
      </c>
      <c r="AA1438" s="28">
        <f>ROUND(O1438/INDEX(Employee_Lookups!$E$13:$E$17,MATCH(F1438,Employee_Lookups!$A$13:$A$17,0)),3)</f>
        <v>0.92500000000000004</v>
      </c>
      <c r="AB1438">
        <f t="shared" si="157"/>
        <v>2025</v>
      </c>
      <c r="AC1438" t="str">
        <f t="shared" si="158"/>
        <v/>
      </c>
      <c r="AD1438" s="28">
        <f>ROUND((IF(ISBLANK(L1438),Employee_Lookups!$O$14,L1438)-J1438)/365.25,2)</f>
        <v>0.09</v>
      </c>
      <c r="AE1438" t="str">
        <f t="shared" si="159"/>
        <v>&lt; 1 Yr (New)</v>
      </c>
      <c r="AF1438" t="str">
        <f t="shared" si="160"/>
        <v>High Risk</v>
      </c>
    </row>
    <row r="1439" spans="1:32" x14ac:dyDescent="0.45">
      <c r="A1439" t="s">
        <v>2344</v>
      </c>
      <c r="B1439" t="s">
        <v>2345</v>
      </c>
      <c r="C1439" t="s">
        <v>51</v>
      </c>
      <c r="D1439" t="s">
        <v>50</v>
      </c>
      <c r="E1439" t="s">
        <v>328</v>
      </c>
      <c r="F1439" t="s">
        <v>85</v>
      </c>
      <c r="G1439" t="s">
        <v>329</v>
      </c>
      <c r="H1439" t="s">
        <v>109</v>
      </c>
      <c r="I1439" t="s">
        <v>110</v>
      </c>
      <c r="J1439" s="26">
        <v>45989</v>
      </c>
      <c r="K1439" t="s">
        <v>162</v>
      </c>
      <c r="L1439" s="26"/>
      <c r="M1439" t="s">
        <v>163</v>
      </c>
      <c r="N1439" t="s">
        <v>97</v>
      </c>
      <c r="O1439" s="27">
        <v>4144000</v>
      </c>
      <c r="P1439">
        <v>4</v>
      </c>
      <c r="Q1439" t="s">
        <v>164</v>
      </c>
      <c r="R1439">
        <v>45</v>
      </c>
      <c r="S1439" t="s">
        <v>178</v>
      </c>
      <c r="T1439">
        <f t="shared" si="154"/>
        <v>10106</v>
      </c>
      <c r="U1439" t="str">
        <f t="shared" si="155"/>
        <v>ENG</v>
      </c>
      <c r="V1439" t="str">
        <f t="shared" si="156"/>
        <v>L5</v>
      </c>
      <c r="W1439" t="str">
        <f>PROPER(TRIM(VLOOKUP(S1439,Employee_Lookups!$I$4:$M$19,2,FALSE())))</f>
        <v>Aarav Deshmukh</v>
      </c>
      <c r="X1439" t="str">
        <f>VLOOKUP(C1439,Employee_Lookups!$A$4:$G$9,4,FALSE())</f>
        <v>CC-101</v>
      </c>
      <c r="Y1439" t="str">
        <f>INDEX(Employee_Lookups!$C$13:$C$17,MATCH(F1439,Employee_Lookups!$A$13:$A$17,0))</f>
        <v>Band E (Executive)</v>
      </c>
      <c r="Z1439" s="27">
        <f>_xlfn.XLOOKUP(F1439,Employee_Lookups!$A$13:$A$17,Employee_Lookups!$E$13:$E$17,0)</f>
        <v>4300000</v>
      </c>
      <c r="AA1439" s="28">
        <f>ROUND(O1439/INDEX(Employee_Lookups!$E$13:$E$17,MATCH(F1439,Employee_Lookups!$A$13:$A$17,0)),3)</f>
        <v>0.96399999999999997</v>
      </c>
      <c r="AB1439">
        <f t="shared" si="157"/>
        <v>2025</v>
      </c>
      <c r="AC1439" t="str">
        <f t="shared" si="158"/>
        <v/>
      </c>
      <c r="AD1439" s="28">
        <f>ROUND((IF(ISBLANK(L1439),Employee_Lookups!$O$14,L1439)-J1439)/365.25,2)</f>
        <v>0.09</v>
      </c>
      <c r="AE1439" t="str">
        <f t="shared" si="159"/>
        <v>&lt; 1 Yr (New)</v>
      </c>
      <c r="AF1439" t="str">
        <f t="shared" si="160"/>
        <v>Low Risk</v>
      </c>
    </row>
    <row r="1440" spans="1:32" x14ac:dyDescent="0.45">
      <c r="A1440" t="s">
        <v>2346</v>
      </c>
      <c r="B1440" t="s">
        <v>2347</v>
      </c>
      <c r="C1440" t="s">
        <v>53</v>
      </c>
      <c r="D1440" t="s">
        <v>52</v>
      </c>
      <c r="E1440" t="s">
        <v>322</v>
      </c>
      <c r="F1440" t="s">
        <v>81</v>
      </c>
      <c r="G1440" t="s">
        <v>323</v>
      </c>
      <c r="H1440" t="s">
        <v>108</v>
      </c>
      <c r="I1440" t="s">
        <v>107</v>
      </c>
      <c r="J1440" s="26">
        <v>45992</v>
      </c>
      <c r="K1440" t="s">
        <v>162</v>
      </c>
      <c r="L1440" s="26"/>
      <c r="M1440" t="s">
        <v>163</v>
      </c>
      <c r="N1440" t="s">
        <v>99</v>
      </c>
      <c r="O1440" s="27">
        <v>742000</v>
      </c>
      <c r="P1440">
        <v>3</v>
      </c>
      <c r="Q1440" t="s">
        <v>164</v>
      </c>
      <c r="R1440">
        <v>36</v>
      </c>
      <c r="S1440" t="s">
        <v>189</v>
      </c>
      <c r="T1440">
        <f t="shared" si="154"/>
        <v>10899</v>
      </c>
      <c r="U1440" t="str">
        <f t="shared" si="155"/>
        <v>SAL</v>
      </c>
      <c r="V1440" t="str">
        <f t="shared" si="156"/>
        <v>L1</v>
      </c>
      <c r="W1440" t="str">
        <f>PROPER(TRIM(VLOOKUP(S1440,Employee_Lookups!$I$4:$M$19,2,FALSE())))</f>
        <v>Priya Sharma</v>
      </c>
      <c r="X1440" t="str">
        <f>VLOOKUP(C1440,Employee_Lookups!$A$4:$G$9,4,FALSE())</f>
        <v>CC-202</v>
      </c>
      <c r="Y1440" t="str">
        <f>INDEX(Employee_Lookups!$C$13:$C$17,MATCH(F1440,Employee_Lookups!$A$13:$A$17,0))</f>
        <v>Band A (Entry)</v>
      </c>
      <c r="Z1440" s="27">
        <f>_xlfn.XLOOKUP(F1440,Employee_Lookups!$A$13:$A$17,Employee_Lookups!$E$13:$E$17,0)</f>
        <v>700000</v>
      </c>
      <c r="AA1440" s="28">
        <f>ROUND(O1440/INDEX(Employee_Lookups!$E$13:$E$17,MATCH(F1440,Employee_Lookups!$A$13:$A$17,0)),3)</f>
        <v>1.06</v>
      </c>
      <c r="AB1440">
        <f t="shared" si="157"/>
        <v>2025</v>
      </c>
      <c r="AC1440" t="str">
        <f t="shared" si="158"/>
        <v/>
      </c>
      <c r="AD1440" s="28">
        <f>ROUND((IF(ISBLANK(L1440),Employee_Lookups!$O$14,L1440)-J1440)/365.25,2)</f>
        <v>0.08</v>
      </c>
      <c r="AE1440" t="str">
        <f t="shared" si="159"/>
        <v>&lt; 1 Yr (New)</v>
      </c>
      <c r="AF1440" t="str">
        <f t="shared" si="160"/>
        <v>Low Risk</v>
      </c>
    </row>
    <row r="1441" spans="1:32" x14ac:dyDescent="0.45">
      <c r="A1441" t="s">
        <v>2348</v>
      </c>
      <c r="B1441" t="s">
        <v>786</v>
      </c>
      <c r="C1441" t="s">
        <v>51</v>
      </c>
      <c r="D1441" t="s">
        <v>50</v>
      </c>
      <c r="E1441" t="s">
        <v>217</v>
      </c>
      <c r="F1441" t="s">
        <v>83</v>
      </c>
      <c r="G1441" t="s">
        <v>218</v>
      </c>
      <c r="H1441" t="s">
        <v>106</v>
      </c>
      <c r="I1441" t="s">
        <v>107</v>
      </c>
      <c r="J1441" s="26">
        <v>45993</v>
      </c>
      <c r="K1441" t="s">
        <v>162</v>
      </c>
      <c r="L1441" s="26"/>
      <c r="M1441" t="s">
        <v>163</v>
      </c>
      <c r="N1441" t="s">
        <v>98</v>
      </c>
      <c r="O1441" s="27">
        <v>1711000</v>
      </c>
      <c r="P1441">
        <v>4</v>
      </c>
      <c r="Q1441" t="s">
        <v>172</v>
      </c>
      <c r="R1441">
        <v>24</v>
      </c>
      <c r="S1441" t="s">
        <v>178</v>
      </c>
      <c r="T1441">
        <f t="shared" si="154"/>
        <v>11301</v>
      </c>
      <c r="U1441" t="str">
        <f t="shared" si="155"/>
        <v>ENG</v>
      </c>
      <c r="V1441" t="str">
        <f t="shared" si="156"/>
        <v>L3</v>
      </c>
      <c r="W1441" t="str">
        <f>PROPER(TRIM(VLOOKUP(S1441,Employee_Lookups!$I$4:$M$19,2,FALSE())))</f>
        <v>Aarav Deshmukh</v>
      </c>
      <c r="X1441" t="str">
        <f>VLOOKUP(C1441,Employee_Lookups!$A$4:$G$9,4,FALSE())</f>
        <v>CC-101</v>
      </c>
      <c r="Y1441" t="str">
        <f>INDEX(Employee_Lookups!$C$13:$C$17,MATCH(F1441,Employee_Lookups!$A$13:$A$17,0))</f>
        <v>Band C (Senior)</v>
      </c>
      <c r="Z1441" s="27">
        <f>_xlfn.XLOOKUP(F1441,Employee_Lookups!$A$13:$A$17,Employee_Lookups!$E$13:$E$17,0)</f>
        <v>1725000</v>
      </c>
      <c r="AA1441" s="28">
        <f>ROUND(O1441/INDEX(Employee_Lookups!$E$13:$E$17,MATCH(F1441,Employee_Lookups!$A$13:$A$17,0)),3)</f>
        <v>0.99199999999999999</v>
      </c>
      <c r="AB1441">
        <f t="shared" si="157"/>
        <v>2025</v>
      </c>
      <c r="AC1441" t="str">
        <f t="shared" si="158"/>
        <v/>
      </c>
      <c r="AD1441" s="28">
        <f>ROUND((IF(ISBLANK(L1441),Employee_Lookups!$O$14,L1441)-J1441)/365.25,2)</f>
        <v>0.08</v>
      </c>
      <c r="AE1441" t="str">
        <f t="shared" si="159"/>
        <v>&lt; 1 Yr (New)</v>
      </c>
      <c r="AF1441" t="str">
        <f t="shared" si="160"/>
        <v>High Risk</v>
      </c>
    </row>
    <row r="1442" spans="1:32" x14ac:dyDescent="0.45">
      <c r="A1442" t="s">
        <v>2349</v>
      </c>
      <c r="B1442" t="s">
        <v>1782</v>
      </c>
      <c r="C1442" t="s">
        <v>53</v>
      </c>
      <c r="D1442" t="s">
        <v>52</v>
      </c>
      <c r="E1442" t="s">
        <v>185</v>
      </c>
      <c r="F1442" t="s">
        <v>82</v>
      </c>
      <c r="G1442" t="s">
        <v>186</v>
      </c>
      <c r="H1442" t="s">
        <v>108</v>
      </c>
      <c r="I1442" t="s">
        <v>107</v>
      </c>
      <c r="J1442" s="26">
        <v>45996</v>
      </c>
      <c r="K1442" t="s">
        <v>162</v>
      </c>
      <c r="L1442" s="26"/>
      <c r="M1442" t="s">
        <v>163</v>
      </c>
      <c r="N1442" t="s">
        <v>97</v>
      </c>
      <c r="O1442" s="27">
        <v>1156000</v>
      </c>
      <c r="P1442">
        <v>3</v>
      </c>
      <c r="Q1442" t="s">
        <v>172</v>
      </c>
      <c r="R1442">
        <v>49</v>
      </c>
      <c r="S1442" t="s">
        <v>189</v>
      </c>
      <c r="T1442">
        <f t="shared" si="154"/>
        <v>11210</v>
      </c>
      <c r="U1442" t="str">
        <f t="shared" si="155"/>
        <v>SAL</v>
      </c>
      <c r="V1442" t="str">
        <f t="shared" si="156"/>
        <v>L2</v>
      </c>
      <c r="W1442" t="str">
        <f>PROPER(TRIM(VLOOKUP(S1442,Employee_Lookups!$I$4:$M$19,2,FALSE())))</f>
        <v>Priya Sharma</v>
      </c>
      <c r="X1442" t="str">
        <f>VLOOKUP(C1442,Employee_Lookups!$A$4:$G$9,4,FALSE())</f>
        <v>CC-202</v>
      </c>
      <c r="Y1442" t="str">
        <f>INDEX(Employee_Lookups!$C$13:$C$17,MATCH(F1442,Employee_Lookups!$A$13:$A$17,0))</f>
        <v>Band B (Mid)</v>
      </c>
      <c r="Z1442" s="27">
        <f>_xlfn.XLOOKUP(F1442,Employee_Lookups!$A$13:$A$17,Employee_Lookups!$E$13:$E$17,0)</f>
        <v>1100000</v>
      </c>
      <c r="AA1442" s="28">
        <f>ROUND(O1442/INDEX(Employee_Lookups!$E$13:$E$17,MATCH(F1442,Employee_Lookups!$A$13:$A$17,0)),3)</f>
        <v>1.0509999999999999</v>
      </c>
      <c r="AB1442">
        <f t="shared" si="157"/>
        <v>2025</v>
      </c>
      <c r="AC1442" t="str">
        <f t="shared" si="158"/>
        <v/>
      </c>
      <c r="AD1442" s="28">
        <f>ROUND((IF(ISBLANK(L1442),Employee_Lookups!$O$14,L1442)-J1442)/365.25,2)</f>
        <v>7.0000000000000007E-2</v>
      </c>
      <c r="AE1442" t="str">
        <f t="shared" si="159"/>
        <v>&lt; 1 Yr (New)</v>
      </c>
      <c r="AF1442" t="str">
        <f t="shared" si="160"/>
        <v>Moderate Risk</v>
      </c>
    </row>
    <row r="1443" spans="1:32" x14ac:dyDescent="0.45">
      <c r="A1443" t="s">
        <v>2350</v>
      </c>
      <c r="B1443" t="s">
        <v>490</v>
      </c>
      <c r="C1443" t="s">
        <v>57</v>
      </c>
      <c r="D1443" t="s">
        <v>56</v>
      </c>
      <c r="E1443" t="s">
        <v>222</v>
      </c>
      <c r="F1443" t="s">
        <v>82</v>
      </c>
      <c r="G1443" t="s">
        <v>223</v>
      </c>
      <c r="H1443" t="s">
        <v>106</v>
      </c>
      <c r="I1443" t="s">
        <v>107</v>
      </c>
      <c r="J1443" s="26">
        <v>45998</v>
      </c>
      <c r="K1443" t="s">
        <v>162</v>
      </c>
      <c r="L1443" s="26"/>
      <c r="M1443" t="s">
        <v>163</v>
      </c>
      <c r="N1443" t="s">
        <v>98</v>
      </c>
      <c r="O1443" s="27">
        <v>1109000</v>
      </c>
      <c r="Q1443" t="s">
        <v>164</v>
      </c>
      <c r="R1443">
        <v>33</v>
      </c>
      <c r="S1443" t="s">
        <v>165</v>
      </c>
      <c r="T1443">
        <f t="shared" si="154"/>
        <v>10243</v>
      </c>
      <c r="U1443" t="str">
        <f t="shared" si="155"/>
        <v>MKT</v>
      </c>
      <c r="V1443" t="str">
        <f t="shared" si="156"/>
        <v>L2</v>
      </c>
      <c r="W1443" t="str">
        <f>PROPER(TRIM(VLOOKUP(S1443,Employee_Lookups!$I$4:$M$19,2,FALSE())))</f>
        <v>Arjun Sengupta</v>
      </c>
      <c r="X1443" t="str">
        <f>VLOOKUP(C1443,Employee_Lookups!$A$4:$G$9,4,FALSE())</f>
        <v>CC-606</v>
      </c>
      <c r="Y1443" t="str">
        <f>INDEX(Employee_Lookups!$C$13:$C$17,MATCH(F1443,Employee_Lookups!$A$13:$A$17,0))</f>
        <v>Band B (Mid)</v>
      </c>
      <c r="Z1443" s="27">
        <f>_xlfn.XLOOKUP(F1443,Employee_Lookups!$A$13:$A$17,Employee_Lookups!$E$13:$E$17,0)</f>
        <v>1100000</v>
      </c>
      <c r="AA1443" s="28">
        <f>ROUND(O1443/INDEX(Employee_Lookups!$E$13:$E$17,MATCH(F1443,Employee_Lookups!$A$13:$A$17,0)),3)</f>
        <v>1.008</v>
      </c>
      <c r="AB1443">
        <f t="shared" si="157"/>
        <v>2025</v>
      </c>
      <c r="AC1443" t="str">
        <f t="shared" si="158"/>
        <v/>
      </c>
      <c r="AD1443" s="28">
        <f>ROUND((IF(ISBLANK(L1443),Employee_Lookups!$O$14,L1443)-J1443)/365.25,2)</f>
        <v>7.0000000000000007E-2</v>
      </c>
      <c r="AE1443" t="str">
        <f t="shared" si="159"/>
        <v>&lt; 1 Yr (New)</v>
      </c>
      <c r="AF1443" t="str">
        <f t="shared" si="160"/>
        <v>Low Risk</v>
      </c>
    </row>
    <row r="1444" spans="1:32" x14ac:dyDescent="0.45">
      <c r="A1444" t="s">
        <v>2351</v>
      </c>
      <c r="B1444" t="s">
        <v>1699</v>
      </c>
      <c r="C1444" t="s">
        <v>57</v>
      </c>
      <c r="D1444" t="s">
        <v>56</v>
      </c>
      <c r="E1444" t="s">
        <v>160</v>
      </c>
      <c r="F1444" t="s">
        <v>81</v>
      </c>
      <c r="G1444" t="s">
        <v>161</v>
      </c>
      <c r="H1444" t="s">
        <v>106</v>
      </c>
      <c r="I1444" t="s">
        <v>107</v>
      </c>
      <c r="J1444" s="26">
        <v>45998</v>
      </c>
      <c r="K1444" t="s">
        <v>162</v>
      </c>
      <c r="L1444" s="26"/>
      <c r="M1444" t="s">
        <v>163</v>
      </c>
      <c r="N1444" t="s">
        <v>99</v>
      </c>
      <c r="O1444" s="27">
        <v>602000</v>
      </c>
      <c r="P1444">
        <v>2</v>
      </c>
      <c r="Q1444" t="s">
        <v>164</v>
      </c>
      <c r="R1444">
        <v>18</v>
      </c>
      <c r="S1444" t="s">
        <v>224</v>
      </c>
      <c r="T1444">
        <f t="shared" si="154"/>
        <v>10848</v>
      </c>
      <c r="U1444" t="str">
        <f t="shared" si="155"/>
        <v>MKT</v>
      </c>
      <c r="V1444" t="str">
        <f t="shared" si="156"/>
        <v>L1</v>
      </c>
      <c r="W1444" t="str">
        <f>PROPER(TRIM(VLOOKUP(S1444,Employee_Lookups!$I$4:$M$19,2,FALSE())))</f>
        <v>Tanvi Chitnis</v>
      </c>
      <c r="X1444" t="str">
        <f>VLOOKUP(C1444,Employee_Lookups!$A$4:$G$9,4,FALSE())</f>
        <v>CC-606</v>
      </c>
      <c r="Y1444" t="str">
        <f>INDEX(Employee_Lookups!$C$13:$C$17,MATCH(F1444,Employee_Lookups!$A$13:$A$17,0))</f>
        <v>Band A (Entry)</v>
      </c>
      <c r="Z1444" s="27">
        <f>_xlfn.XLOOKUP(F1444,Employee_Lookups!$A$13:$A$17,Employee_Lookups!$E$13:$E$17,0)</f>
        <v>700000</v>
      </c>
      <c r="AA1444" s="28">
        <f>ROUND(O1444/INDEX(Employee_Lookups!$E$13:$E$17,MATCH(F1444,Employee_Lookups!$A$13:$A$17,0)),3)</f>
        <v>0.86</v>
      </c>
      <c r="AB1444">
        <f t="shared" si="157"/>
        <v>2025</v>
      </c>
      <c r="AC1444" t="str">
        <f t="shared" si="158"/>
        <v/>
      </c>
      <c r="AD1444" s="28">
        <f>ROUND((IF(ISBLANK(L1444),Employee_Lookups!$O$14,L1444)-J1444)/365.25,2)</f>
        <v>7.0000000000000007E-2</v>
      </c>
      <c r="AE1444" t="str">
        <f t="shared" si="159"/>
        <v>&lt; 1 Yr (New)</v>
      </c>
      <c r="AF1444" t="str">
        <f t="shared" si="160"/>
        <v>Moderate Risk</v>
      </c>
    </row>
    <row r="1445" spans="1:32" x14ac:dyDescent="0.45">
      <c r="A1445" t="s">
        <v>2352</v>
      </c>
      <c r="B1445" t="s">
        <v>2353</v>
      </c>
      <c r="C1445" t="s">
        <v>51</v>
      </c>
      <c r="D1445" t="s">
        <v>50</v>
      </c>
      <c r="E1445" t="s">
        <v>181</v>
      </c>
      <c r="F1445" t="s">
        <v>81</v>
      </c>
      <c r="G1445" t="s">
        <v>182</v>
      </c>
      <c r="H1445" t="s">
        <v>109</v>
      </c>
      <c r="I1445" t="s">
        <v>110</v>
      </c>
      <c r="J1445" s="26">
        <v>45999</v>
      </c>
      <c r="K1445" t="s">
        <v>162</v>
      </c>
      <c r="L1445" s="26"/>
      <c r="M1445" t="s">
        <v>163</v>
      </c>
      <c r="N1445" t="s">
        <v>99</v>
      </c>
      <c r="O1445" s="27">
        <v>715000</v>
      </c>
      <c r="P1445">
        <v>3</v>
      </c>
      <c r="Q1445" t="s">
        <v>172</v>
      </c>
      <c r="R1445">
        <v>26</v>
      </c>
      <c r="S1445" t="s">
        <v>178</v>
      </c>
      <c r="T1445">
        <f t="shared" si="154"/>
        <v>10821</v>
      </c>
      <c r="U1445" t="str">
        <f t="shared" si="155"/>
        <v>ENG</v>
      </c>
      <c r="V1445" t="str">
        <f t="shared" si="156"/>
        <v>L1</v>
      </c>
      <c r="W1445" t="str">
        <f>PROPER(TRIM(VLOOKUP(S1445,Employee_Lookups!$I$4:$M$19,2,FALSE())))</f>
        <v>Aarav Deshmukh</v>
      </c>
      <c r="X1445" t="str">
        <f>VLOOKUP(C1445,Employee_Lookups!$A$4:$G$9,4,FALSE())</f>
        <v>CC-101</v>
      </c>
      <c r="Y1445" t="str">
        <f>INDEX(Employee_Lookups!$C$13:$C$17,MATCH(F1445,Employee_Lookups!$A$13:$A$17,0))</f>
        <v>Band A (Entry)</v>
      </c>
      <c r="Z1445" s="27">
        <f>_xlfn.XLOOKUP(F1445,Employee_Lookups!$A$13:$A$17,Employee_Lookups!$E$13:$E$17,0)</f>
        <v>700000</v>
      </c>
      <c r="AA1445" s="28">
        <f>ROUND(O1445/INDEX(Employee_Lookups!$E$13:$E$17,MATCH(F1445,Employee_Lookups!$A$13:$A$17,0)),3)</f>
        <v>1.0209999999999999</v>
      </c>
      <c r="AB1445">
        <f t="shared" si="157"/>
        <v>2025</v>
      </c>
      <c r="AC1445" t="str">
        <f t="shared" si="158"/>
        <v/>
      </c>
      <c r="AD1445" s="28">
        <f>ROUND((IF(ISBLANK(L1445),Employee_Lookups!$O$14,L1445)-J1445)/365.25,2)</f>
        <v>0.06</v>
      </c>
      <c r="AE1445" t="str">
        <f t="shared" si="159"/>
        <v>&lt; 1 Yr (New)</v>
      </c>
      <c r="AF1445" t="str">
        <f t="shared" si="160"/>
        <v>Moderate Risk</v>
      </c>
    </row>
    <row r="1446" spans="1:32" x14ac:dyDescent="0.45">
      <c r="A1446" t="s">
        <v>2354</v>
      </c>
      <c r="B1446" t="s">
        <v>804</v>
      </c>
      <c r="C1446" t="s">
        <v>51</v>
      </c>
      <c r="D1446" t="s">
        <v>50</v>
      </c>
      <c r="E1446" t="s">
        <v>176</v>
      </c>
      <c r="F1446" t="s">
        <v>82</v>
      </c>
      <c r="G1446" t="s">
        <v>177</v>
      </c>
      <c r="H1446" t="s">
        <v>108</v>
      </c>
      <c r="I1446" t="s">
        <v>107</v>
      </c>
      <c r="J1446" s="26">
        <v>45999</v>
      </c>
      <c r="K1446" t="s">
        <v>162</v>
      </c>
      <c r="L1446" s="26"/>
      <c r="M1446" t="s">
        <v>163</v>
      </c>
      <c r="N1446" t="s">
        <v>95</v>
      </c>
      <c r="O1446" s="27">
        <v>1097000</v>
      </c>
      <c r="P1446">
        <v>3</v>
      </c>
      <c r="Q1446" t="s">
        <v>172</v>
      </c>
      <c r="R1446">
        <v>33</v>
      </c>
      <c r="S1446" t="s">
        <v>197</v>
      </c>
      <c r="T1446">
        <f t="shared" si="154"/>
        <v>11008</v>
      </c>
      <c r="U1446" t="str">
        <f t="shared" si="155"/>
        <v>ENG</v>
      </c>
      <c r="V1446" t="str">
        <f t="shared" si="156"/>
        <v>L2</v>
      </c>
      <c r="W1446" t="str">
        <f>PROPER(TRIM(VLOOKUP(S1446,Employee_Lookups!$I$4:$M$19,2,FALSE())))</f>
        <v>Rohan Verma</v>
      </c>
      <c r="X1446" t="str">
        <f>VLOOKUP(C1446,Employee_Lookups!$A$4:$G$9,4,FALSE())</f>
        <v>CC-101</v>
      </c>
      <c r="Y1446" t="str">
        <f>INDEX(Employee_Lookups!$C$13:$C$17,MATCH(F1446,Employee_Lookups!$A$13:$A$17,0))</f>
        <v>Band B (Mid)</v>
      </c>
      <c r="Z1446" s="27">
        <f>_xlfn.XLOOKUP(F1446,Employee_Lookups!$A$13:$A$17,Employee_Lookups!$E$13:$E$17,0)</f>
        <v>1100000</v>
      </c>
      <c r="AA1446" s="28">
        <f>ROUND(O1446/INDEX(Employee_Lookups!$E$13:$E$17,MATCH(F1446,Employee_Lookups!$A$13:$A$17,0)),3)</f>
        <v>0.997</v>
      </c>
      <c r="AB1446">
        <f t="shared" si="157"/>
        <v>2025</v>
      </c>
      <c r="AC1446" t="str">
        <f t="shared" si="158"/>
        <v/>
      </c>
      <c r="AD1446" s="28">
        <f>ROUND((IF(ISBLANK(L1446),Employee_Lookups!$O$14,L1446)-J1446)/365.25,2)</f>
        <v>0.06</v>
      </c>
      <c r="AE1446" t="str">
        <f t="shared" si="159"/>
        <v>&lt; 1 Yr (New)</v>
      </c>
      <c r="AF1446" t="str">
        <f t="shared" si="160"/>
        <v>Moderate Risk</v>
      </c>
    </row>
    <row r="1447" spans="1:32" x14ac:dyDescent="0.45">
      <c r="A1447" t="s">
        <v>2355</v>
      </c>
      <c r="B1447" t="s">
        <v>264</v>
      </c>
      <c r="C1447" t="s">
        <v>61</v>
      </c>
      <c r="D1447" t="s">
        <v>60</v>
      </c>
      <c r="E1447" t="s">
        <v>251</v>
      </c>
      <c r="F1447" t="s">
        <v>82</v>
      </c>
      <c r="G1447" t="s">
        <v>252</v>
      </c>
      <c r="H1447" t="s">
        <v>106</v>
      </c>
      <c r="I1447" t="s">
        <v>107</v>
      </c>
      <c r="J1447" s="26">
        <v>45999</v>
      </c>
      <c r="K1447" t="s">
        <v>162</v>
      </c>
      <c r="L1447" s="26"/>
      <c r="M1447" t="s">
        <v>163</v>
      </c>
      <c r="N1447" t="s">
        <v>95</v>
      </c>
      <c r="O1447" s="27">
        <v>1200000</v>
      </c>
      <c r="P1447">
        <v>3</v>
      </c>
      <c r="Q1447" t="s">
        <v>164</v>
      </c>
      <c r="R1447">
        <v>47</v>
      </c>
      <c r="S1447" t="s">
        <v>319</v>
      </c>
      <c r="T1447">
        <f t="shared" si="154"/>
        <v>10566</v>
      </c>
      <c r="U1447" t="str">
        <f t="shared" si="155"/>
        <v>-HR</v>
      </c>
      <c r="V1447" t="str">
        <f t="shared" si="156"/>
        <v>L2</v>
      </c>
      <c r="W1447" t="str">
        <f>PROPER(TRIM(VLOOKUP(S1447,Employee_Lookups!$I$4:$M$19,2,FALSE())))</f>
        <v>Kavita Menon</v>
      </c>
      <c r="X1447" t="str">
        <f>VLOOKUP(C1447,Employee_Lookups!$A$4:$G$9,4,FALSE())</f>
        <v>CC-505</v>
      </c>
      <c r="Y1447" t="str">
        <f>INDEX(Employee_Lookups!$C$13:$C$17,MATCH(F1447,Employee_Lookups!$A$13:$A$17,0))</f>
        <v>Band B (Mid)</v>
      </c>
      <c r="Z1447" s="27">
        <f>_xlfn.XLOOKUP(F1447,Employee_Lookups!$A$13:$A$17,Employee_Lookups!$E$13:$E$17,0)</f>
        <v>1100000</v>
      </c>
      <c r="AA1447" s="28">
        <f>ROUND(O1447/INDEX(Employee_Lookups!$E$13:$E$17,MATCH(F1447,Employee_Lookups!$A$13:$A$17,0)),3)</f>
        <v>1.091</v>
      </c>
      <c r="AB1447">
        <f t="shared" si="157"/>
        <v>2025</v>
      </c>
      <c r="AC1447" t="str">
        <f t="shared" si="158"/>
        <v/>
      </c>
      <c r="AD1447" s="28">
        <f>ROUND((IF(ISBLANK(L1447),Employee_Lookups!$O$14,L1447)-J1447)/365.25,2)</f>
        <v>0.06</v>
      </c>
      <c r="AE1447" t="str">
        <f t="shared" si="159"/>
        <v>&lt; 1 Yr (New)</v>
      </c>
      <c r="AF1447" t="str">
        <f t="shared" si="160"/>
        <v>Low Risk</v>
      </c>
    </row>
    <row r="1448" spans="1:32" x14ac:dyDescent="0.45">
      <c r="A1448" t="s">
        <v>2356</v>
      </c>
      <c r="B1448" t="s">
        <v>464</v>
      </c>
      <c r="C1448" t="s">
        <v>59</v>
      </c>
      <c r="D1448" t="s">
        <v>58</v>
      </c>
      <c r="E1448" t="s">
        <v>206</v>
      </c>
      <c r="F1448" t="s">
        <v>81</v>
      </c>
      <c r="G1448" t="s">
        <v>207</v>
      </c>
      <c r="H1448" t="s">
        <v>111</v>
      </c>
      <c r="I1448" t="s">
        <v>110</v>
      </c>
      <c r="J1448" s="26">
        <v>46001</v>
      </c>
      <c r="K1448" t="s">
        <v>162</v>
      </c>
      <c r="L1448" s="26"/>
      <c r="M1448" t="s">
        <v>163</v>
      </c>
      <c r="N1448" t="s">
        <v>99</v>
      </c>
      <c r="O1448" s="27">
        <v>564000</v>
      </c>
      <c r="Q1448" t="s">
        <v>164</v>
      </c>
      <c r="R1448">
        <v>31</v>
      </c>
      <c r="S1448" t="s">
        <v>208</v>
      </c>
      <c r="T1448">
        <f t="shared" si="154"/>
        <v>10121</v>
      </c>
      <c r="U1448" t="str">
        <f t="shared" si="155"/>
        <v>FIN</v>
      </c>
      <c r="V1448" t="str">
        <f t="shared" si="156"/>
        <v>L1</v>
      </c>
      <c r="W1448" t="str">
        <f>PROPER(TRIM(VLOOKUP(S1448,Employee_Lookups!$I$4:$M$19,2,FALSE())))</f>
        <v>Rajeshwari Rao</v>
      </c>
      <c r="X1448" t="str">
        <f>VLOOKUP(C1448,Employee_Lookups!$A$4:$G$9,4,FALSE())</f>
        <v>CC-404</v>
      </c>
      <c r="Y1448" t="str">
        <f>INDEX(Employee_Lookups!$C$13:$C$17,MATCH(F1448,Employee_Lookups!$A$13:$A$17,0))</f>
        <v>Band A (Entry)</v>
      </c>
      <c r="Z1448" s="27">
        <f>_xlfn.XLOOKUP(F1448,Employee_Lookups!$A$13:$A$17,Employee_Lookups!$E$13:$E$17,0)</f>
        <v>700000</v>
      </c>
      <c r="AA1448" s="28">
        <f>ROUND(O1448/INDEX(Employee_Lookups!$E$13:$E$17,MATCH(F1448,Employee_Lookups!$A$13:$A$17,0)),3)</f>
        <v>0.80600000000000005</v>
      </c>
      <c r="AB1448">
        <f t="shared" si="157"/>
        <v>2025</v>
      </c>
      <c r="AC1448" t="str">
        <f t="shared" si="158"/>
        <v/>
      </c>
      <c r="AD1448" s="28">
        <f>ROUND((IF(ISBLANK(L1448),Employee_Lookups!$O$14,L1448)-J1448)/365.25,2)</f>
        <v>0.06</v>
      </c>
      <c r="AE1448" t="str">
        <f t="shared" si="159"/>
        <v>&lt; 1 Yr (New)</v>
      </c>
      <c r="AF1448" t="str">
        <f t="shared" si="160"/>
        <v>Low Risk</v>
      </c>
    </row>
    <row r="1449" spans="1:32" x14ac:dyDescent="0.45">
      <c r="A1449" t="s">
        <v>2357</v>
      </c>
      <c r="B1449" t="s">
        <v>1736</v>
      </c>
      <c r="C1449" t="s">
        <v>57</v>
      </c>
      <c r="D1449" t="s">
        <v>56</v>
      </c>
      <c r="E1449" t="s">
        <v>222</v>
      </c>
      <c r="F1449" t="s">
        <v>82</v>
      </c>
      <c r="G1449" t="s">
        <v>223</v>
      </c>
      <c r="H1449" t="s">
        <v>108</v>
      </c>
      <c r="I1449" t="s">
        <v>107</v>
      </c>
      <c r="J1449" s="26">
        <v>46001</v>
      </c>
      <c r="K1449" t="s">
        <v>162</v>
      </c>
      <c r="L1449" s="26"/>
      <c r="M1449" t="s">
        <v>163</v>
      </c>
      <c r="N1449" t="s">
        <v>99</v>
      </c>
      <c r="O1449" s="27">
        <v>1039000</v>
      </c>
      <c r="P1449">
        <v>2</v>
      </c>
      <c r="Q1449" t="s">
        <v>164</v>
      </c>
      <c r="R1449">
        <v>43</v>
      </c>
      <c r="S1449" t="s">
        <v>224</v>
      </c>
      <c r="T1449">
        <f t="shared" si="154"/>
        <v>11218</v>
      </c>
      <c r="U1449" t="str">
        <f t="shared" si="155"/>
        <v>MKT</v>
      </c>
      <c r="V1449" t="str">
        <f t="shared" si="156"/>
        <v>L2</v>
      </c>
      <c r="W1449" t="str">
        <f>PROPER(TRIM(VLOOKUP(S1449,Employee_Lookups!$I$4:$M$19,2,FALSE())))</f>
        <v>Tanvi Chitnis</v>
      </c>
      <c r="X1449" t="str">
        <f>VLOOKUP(C1449,Employee_Lookups!$A$4:$G$9,4,FALSE())</f>
        <v>CC-606</v>
      </c>
      <c r="Y1449" t="str">
        <f>INDEX(Employee_Lookups!$C$13:$C$17,MATCH(F1449,Employee_Lookups!$A$13:$A$17,0))</f>
        <v>Band B (Mid)</v>
      </c>
      <c r="Z1449" s="27">
        <f>_xlfn.XLOOKUP(F1449,Employee_Lookups!$A$13:$A$17,Employee_Lookups!$E$13:$E$17,0)</f>
        <v>1100000</v>
      </c>
      <c r="AA1449" s="28">
        <f>ROUND(O1449/INDEX(Employee_Lookups!$E$13:$E$17,MATCH(F1449,Employee_Lookups!$A$13:$A$17,0)),3)</f>
        <v>0.94499999999999995</v>
      </c>
      <c r="AB1449">
        <f t="shared" si="157"/>
        <v>2025</v>
      </c>
      <c r="AC1449" t="str">
        <f t="shared" si="158"/>
        <v/>
      </c>
      <c r="AD1449" s="28">
        <f>ROUND((IF(ISBLANK(L1449),Employee_Lookups!$O$14,L1449)-J1449)/365.25,2)</f>
        <v>0.06</v>
      </c>
      <c r="AE1449" t="str">
        <f t="shared" si="159"/>
        <v>&lt; 1 Yr (New)</v>
      </c>
      <c r="AF1449" t="str">
        <f t="shared" si="160"/>
        <v>Moderate Risk</v>
      </c>
    </row>
    <row r="1450" spans="1:32" x14ac:dyDescent="0.45">
      <c r="A1450" t="s">
        <v>2358</v>
      </c>
      <c r="B1450" t="s">
        <v>799</v>
      </c>
      <c r="C1450" t="s">
        <v>57</v>
      </c>
      <c r="D1450" t="s">
        <v>56</v>
      </c>
      <c r="E1450" t="s">
        <v>160</v>
      </c>
      <c r="F1450" t="s">
        <v>81</v>
      </c>
      <c r="G1450" t="s">
        <v>161</v>
      </c>
      <c r="H1450" t="s">
        <v>109</v>
      </c>
      <c r="I1450" t="s">
        <v>110</v>
      </c>
      <c r="J1450" s="26">
        <v>46006</v>
      </c>
      <c r="K1450" t="s">
        <v>162</v>
      </c>
      <c r="L1450" s="26"/>
      <c r="M1450" t="s">
        <v>163</v>
      </c>
      <c r="N1450" t="s">
        <v>97</v>
      </c>
      <c r="O1450" s="27">
        <v>576000</v>
      </c>
      <c r="P1450">
        <v>4</v>
      </c>
      <c r="Q1450" t="s">
        <v>164</v>
      </c>
      <c r="R1450">
        <v>38</v>
      </c>
      <c r="S1450" t="s">
        <v>224</v>
      </c>
      <c r="T1450">
        <f t="shared" si="154"/>
        <v>10685</v>
      </c>
      <c r="U1450" t="str">
        <f t="shared" si="155"/>
        <v>MKT</v>
      </c>
      <c r="V1450" t="str">
        <f t="shared" si="156"/>
        <v>L1</v>
      </c>
      <c r="W1450" t="str">
        <f>PROPER(TRIM(VLOOKUP(S1450,Employee_Lookups!$I$4:$M$19,2,FALSE())))</f>
        <v>Tanvi Chitnis</v>
      </c>
      <c r="X1450" t="str">
        <f>VLOOKUP(C1450,Employee_Lookups!$A$4:$G$9,4,FALSE())</f>
        <v>CC-606</v>
      </c>
      <c r="Y1450" t="str">
        <f>INDEX(Employee_Lookups!$C$13:$C$17,MATCH(F1450,Employee_Lookups!$A$13:$A$17,0))</f>
        <v>Band A (Entry)</v>
      </c>
      <c r="Z1450" s="27">
        <f>_xlfn.XLOOKUP(F1450,Employee_Lookups!$A$13:$A$17,Employee_Lookups!$E$13:$E$17,0)</f>
        <v>700000</v>
      </c>
      <c r="AA1450" s="28">
        <f>ROUND(O1450/INDEX(Employee_Lookups!$E$13:$E$17,MATCH(F1450,Employee_Lookups!$A$13:$A$17,0)),3)</f>
        <v>0.82299999999999995</v>
      </c>
      <c r="AB1450">
        <f t="shared" si="157"/>
        <v>2025</v>
      </c>
      <c r="AC1450" t="str">
        <f t="shared" si="158"/>
        <v/>
      </c>
      <c r="AD1450" s="28">
        <f>ROUND((IF(ISBLANK(L1450),Employee_Lookups!$O$14,L1450)-J1450)/365.25,2)</f>
        <v>0.04</v>
      </c>
      <c r="AE1450" t="str">
        <f t="shared" si="159"/>
        <v>&lt; 1 Yr (New)</v>
      </c>
      <c r="AF1450" t="str">
        <f t="shared" si="160"/>
        <v>Low Risk</v>
      </c>
    </row>
    <row r="1451" spans="1:32" x14ac:dyDescent="0.45">
      <c r="A1451" t="s">
        <v>2359</v>
      </c>
      <c r="B1451" t="s">
        <v>2119</v>
      </c>
      <c r="C1451" t="s">
        <v>61</v>
      </c>
      <c r="D1451" t="s">
        <v>60</v>
      </c>
      <c r="E1451" t="s">
        <v>251</v>
      </c>
      <c r="F1451" t="s">
        <v>82</v>
      </c>
      <c r="G1451" t="s">
        <v>252</v>
      </c>
      <c r="H1451" t="s">
        <v>108</v>
      </c>
      <c r="I1451" t="s">
        <v>107</v>
      </c>
      <c r="J1451" s="26">
        <v>46006</v>
      </c>
      <c r="K1451" t="s">
        <v>162</v>
      </c>
      <c r="L1451" s="26"/>
      <c r="M1451" t="s">
        <v>163</v>
      </c>
      <c r="N1451" t="s">
        <v>98</v>
      </c>
      <c r="O1451" s="27">
        <v>1099000</v>
      </c>
      <c r="P1451">
        <v>2</v>
      </c>
      <c r="Q1451" t="s">
        <v>164</v>
      </c>
      <c r="R1451">
        <v>15</v>
      </c>
      <c r="S1451" t="s">
        <v>253</v>
      </c>
      <c r="T1451">
        <f t="shared" si="154"/>
        <v>10958</v>
      </c>
      <c r="U1451" t="str">
        <f t="shared" si="155"/>
        <v>-HR</v>
      </c>
      <c r="V1451" t="str">
        <f t="shared" si="156"/>
        <v>L2</v>
      </c>
      <c r="W1451" t="str">
        <f>PROPER(TRIM(VLOOKUP(S1451,Employee_Lookups!$I$4:$M$19,2,FALSE())))</f>
        <v>Nikhil Chatterjee</v>
      </c>
      <c r="X1451" t="str">
        <f>VLOOKUP(C1451,Employee_Lookups!$A$4:$G$9,4,FALSE())</f>
        <v>CC-505</v>
      </c>
      <c r="Y1451" t="str">
        <f>INDEX(Employee_Lookups!$C$13:$C$17,MATCH(F1451,Employee_Lookups!$A$13:$A$17,0))</f>
        <v>Band B (Mid)</v>
      </c>
      <c r="Z1451" s="27">
        <f>_xlfn.XLOOKUP(F1451,Employee_Lookups!$A$13:$A$17,Employee_Lookups!$E$13:$E$17,0)</f>
        <v>1100000</v>
      </c>
      <c r="AA1451" s="28">
        <f>ROUND(O1451/INDEX(Employee_Lookups!$E$13:$E$17,MATCH(F1451,Employee_Lookups!$A$13:$A$17,0)),3)</f>
        <v>0.999</v>
      </c>
      <c r="AB1451">
        <f t="shared" si="157"/>
        <v>2025</v>
      </c>
      <c r="AC1451" t="str">
        <f t="shared" si="158"/>
        <v/>
      </c>
      <c r="AD1451" s="28">
        <f>ROUND((IF(ISBLANK(L1451),Employee_Lookups!$O$14,L1451)-J1451)/365.25,2)</f>
        <v>0.04</v>
      </c>
      <c r="AE1451" t="str">
        <f t="shared" si="159"/>
        <v>&lt; 1 Yr (New)</v>
      </c>
      <c r="AF1451" t="str">
        <f t="shared" si="160"/>
        <v>Moderate Risk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5"/>
  <sheetViews>
    <sheetView zoomScale="57" zoomScaleNormal="57" workbookViewId="0"/>
  </sheetViews>
  <sheetFormatPr defaultColWidth="8.6640625" defaultRowHeight="14.25" customHeight="1" x14ac:dyDescent="0.45"/>
  <cols>
    <col min="1" max="16" width="22" customWidth="1"/>
  </cols>
  <sheetData>
    <row r="1" spans="1:16" ht="16.5" customHeight="1" x14ac:dyDescent="0.5">
      <c r="A1" s="14" t="s">
        <v>2360</v>
      </c>
    </row>
    <row r="2" spans="1:16" x14ac:dyDescent="0.45">
      <c r="I2" s="3" t="s">
        <v>2361</v>
      </c>
      <c r="O2" s="3" t="s">
        <v>2362</v>
      </c>
    </row>
    <row r="3" spans="1:16" x14ac:dyDescent="0.45">
      <c r="A3" s="16" t="s">
        <v>33</v>
      </c>
      <c r="B3" s="16" t="s">
        <v>2363</v>
      </c>
      <c r="C3" s="16" t="s">
        <v>2364</v>
      </c>
      <c r="D3" s="16" t="s">
        <v>2365</v>
      </c>
      <c r="E3" s="16" t="s">
        <v>2366</v>
      </c>
      <c r="F3" s="16" t="s">
        <v>2367</v>
      </c>
      <c r="G3" s="16" t="s">
        <v>2368</v>
      </c>
      <c r="I3" s="16" t="s">
        <v>144</v>
      </c>
      <c r="J3" s="16" t="s">
        <v>2369</v>
      </c>
      <c r="K3" s="16" t="s">
        <v>2370</v>
      </c>
      <c r="L3" s="16" t="s">
        <v>33</v>
      </c>
      <c r="M3" s="16" t="s">
        <v>2371</v>
      </c>
      <c r="O3" s="16" t="s">
        <v>2372</v>
      </c>
      <c r="P3" s="16" t="s">
        <v>2373</v>
      </c>
    </row>
    <row r="4" spans="1:16" x14ac:dyDescent="0.45">
      <c r="A4" s="5" t="s">
        <v>51</v>
      </c>
      <c r="B4" s="5" t="s">
        <v>50</v>
      </c>
      <c r="C4" s="5" t="s">
        <v>2374</v>
      </c>
      <c r="D4" s="5" t="s">
        <v>2375</v>
      </c>
      <c r="E4" s="5">
        <v>380</v>
      </c>
      <c r="F4" s="6">
        <v>560000000</v>
      </c>
      <c r="G4" s="7">
        <v>0.1</v>
      </c>
      <c r="I4" s="5" t="s">
        <v>178</v>
      </c>
      <c r="J4" s="5" t="s">
        <v>2376</v>
      </c>
      <c r="K4" s="5" t="s">
        <v>410</v>
      </c>
      <c r="L4" s="5" t="s">
        <v>51</v>
      </c>
      <c r="M4" s="5" t="s">
        <v>106</v>
      </c>
      <c r="O4" s="29" t="s">
        <v>3</v>
      </c>
      <c r="P4" s="29">
        <v>2025</v>
      </c>
    </row>
    <row r="5" spans="1:16" x14ac:dyDescent="0.45">
      <c r="A5" s="8" t="s">
        <v>53</v>
      </c>
      <c r="B5" s="8" t="s">
        <v>52</v>
      </c>
      <c r="C5" s="8" t="s">
        <v>2377</v>
      </c>
      <c r="D5" s="8" t="s">
        <v>2378</v>
      </c>
      <c r="E5" s="8">
        <v>215</v>
      </c>
      <c r="F5" s="9">
        <v>295000000</v>
      </c>
      <c r="G5" s="10">
        <v>0.14000000000000001</v>
      </c>
      <c r="I5" s="8" t="s">
        <v>219</v>
      </c>
      <c r="J5" s="8" t="s">
        <v>2379</v>
      </c>
      <c r="K5" s="8" t="s">
        <v>1079</v>
      </c>
      <c r="L5" s="8" t="s">
        <v>51</v>
      </c>
      <c r="M5" s="8" t="s">
        <v>108</v>
      </c>
      <c r="O5" s="29" t="s">
        <v>50</v>
      </c>
      <c r="P5" s="29">
        <v>2024</v>
      </c>
    </row>
    <row r="6" spans="1:16" x14ac:dyDescent="0.45">
      <c r="A6" s="5" t="s">
        <v>55</v>
      </c>
      <c r="B6" s="5" t="s">
        <v>54</v>
      </c>
      <c r="C6" s="5" t="s">
        <v>2380</v>
      </c>
      <c r="D6" s="5" t="s">
        <v>2381</v>
      </c>
      <c r="E6" s="5">
        <v>180</v>
      </c>
      <c r="F6" s="6">
        <v>195000000</v>
      </c>
      <c r="G6" s="7">
        <v>0.14000000000000001</v>
      </c>
      <c r="I6" s="5" t="s">
        <v>197</v>
      </c>
      <c r="J6" s="5" t="s">
        <v>2382</v>
      </c>
      <c r="K6" s="5" t="s">
        <v>2383</v>
      </c>
      <c r="L6" s="5" t="s">
        <v>51</v>
      </c>
      <c r="M6" s="5" t="s">
        <v>109</v>
      </c>
      <c r="O6" s="29" t="s">
        <v>52</v>
      </c>
      <c r="P6" s="29">
        <v>2023</v>
      </c>
    </row>
    <row r="7" spans="1:16" x14ac:dyDescent="0.45">
      <c r="A7" s="8" t="s">
        <v>59</v>
      </c>
      <c r="B7" s="8" t="s">
        <v>58</v>
      </c>
      <c r="C7" s="8" t="s">
        <v>2384</v>
      </c>
      <c r="D7" s="8" t="s">
        <v>2385</v>
      </c>
      <c r="E7" s="8">
        <v>100</v>
      </c>
      <c r="F7" s="9">
        <v>148000000</v>
      </c>
      <c r="G7" s="10">
        <v>0.08</v>
      </c>
      <c r="I7" s="8" t="s">
        <v>244</v>
      </c>
      <c r="J7" s="8" t="s">
        <v>2386</v>
      </c>
      <c r="K7" s="8" t="s">
        <v>1311</v>
      </c>
      <c r="L7" s="8" t="s">
        <v>51</v>
      </c>
      <c r="M7" s="8" t="s">
        <v>106</v>
      </c>
      <c r="O7" s="29" t="s">
        <v>54</v>
      </c>
      <c r="P7" s="29">
        <v>2022</v>
      </c>
    </row>
    <row r="8" spans="1:16" x14ac:dyDescent="0.45">
      <c r="A8" s="5" t="s">
        <v>61</v>
      </c>
      <c r="B8" s="5" t="s">
        <v>60</v>
      </c>
      <c r="C8" s="5" t="s">
        <v>2387</v>
      </c>
      <c r="D8" s="5" t="s">
        <v>2388</v>
      </c>
      <c r="E8" s="5">
        <v>95</v>
      </c>
      <c r="F8" s="6">
        <v>118000000</v>
      </c>
      <c r="G8" s="7">
        <v>0.09</v>
      </c>
      <c r="I8" s="5" t="s">
        <v>194</v>
      </c>
      <c r="J8" s="5" t="s">
        <v>2389</v>
      </c>
      <c r="K8" s="5" t="s">
        <v>2390</v>
      </c>
      <c r="L8" s="5" t="s">
        <v>53</v>
      </c>
      <c r="M8" s="5" t="s">
        <v>111</v>
      </c>
      <c r="O8" s="29" t="s">
        <v>56</v>
      </c>
      <c r="P8" s="29">
        <v>2021</v>
      </c>
    </row>
    <row r="9" spans="1:16" x14ac:dyDescent="0.45">
      <c r="A9" s="8" t="s">
        <v>57</v>
      </c>
      <c r="B9" s="8" t="s">
        <v>56</v>
      </c>
      <c r="C9" s="8" t="s">
        <v>2391</v>
      </c>
      <c r="D9" s="8" t="s">
        <v>2392</v>
      </c>
      <c r="E9" s="8">
        <v>125</v>
      </c>
      <c r="F9" s="9">
        <v>168000000</v>
      </c>
      <c r="G9" s="10">
        <v>0.12</v>
      </c>
      <c r="I9" s="8" t="s">
        <v>189</v>
      </c>
      <c r="J9" s="8" t="s">
        <v>2393</v>
      </c>
      <c r="K9" s="8" t="s">
        <v>2394</v>
      </c>
      <c r="L9" s="8" t="s">
        <v>53</v>
      </c>
      <c r="M9" s="8" t="s">
        <v>106</v>
      </c>
      <c r="O9" s="29" t="s">
        <v>58</v>
      </c>
      <c r="P9" s="29">
        <v>2020</v>
      </c>
    </row>
    <row r="10" spans="1:16" x14ac:dyDescent="0.45">
      <c r="I10" s="5" t="s">
        <v>237</v>
      </c>
      <c r="J10" s="5" t="s">
        <v>2395</v>
      </c>
      <c r="K10" s="5" t="s">
        <v>2396</v>
      </c>
      <c r="L10" s="5" t="s">
        <v>53</v>
      </c>
      <c r="M10" s="5" t="s">
        <v>109</v>
      </c>
      <c r="O10" s="29" t="s">
        <v>60</v>
      </c>
      <c r="P10" s="29">
        <v>2019</v>
      </c>
    </row>
    <row r="11" spans="1:16" x14ac:dyDescent="0.45">
      <c r="A11" s="3" t="s">
        <v>2397</v>
      </c>
      <c r="I11" s="8" t="s">
        <v>262</v>
      </c>
      <c r="J11" s="8" t="s">
        <v>2398</v>
      </c>
      <c r="K11" s="8" t="s">
        <v>458</v>
      </c>
      <c r="L11" s="8" t="s">
        <v>55</v>
      </c>
      <c r="M11" s="8" t="s">
        <v>108</v>
      </c>
    </row>
    <row r="12" spans="1:16" x14ac:dyDescent="0.45">
      <c r="A12" s="16" t="s">
        <v>74</v>
      </c>
      <c r="B12" s="16" t="s">
        <v>2399</v>
      </c>
      <c r="C12" s="16" t="s">
        <v>2400</v>
      </c>
      <c r="D12" s="16" t="s">
        <v>2401</v>
      </c>
      <c r="E12" s="16" t="s">
        <v>79</v>
      </c>
      <c r="F12" s="16" t="s">
        <v>2402</v>
      </c>
      <c r="G12" s="16" t="s">
        <v>2403</v>
      </c>
      <c r="I12" s="5" t="s">
        <v>173</v>
      </c>
      <c r="J12" s="5" t="s">
        <v>2404</v>
      </c>
      <c r="K12" s="5" t="s">
        <v>2405</v>
      </c>
      <c r="L12" s="5" t="s">
        <v>55</v>
      </c>
      <c r="M12" s="5" t="s">
        <v>109</v>
      </c>
    </row>
    <row r="13" spans="1:16" x14ac:dyDescent="0.45">
      <c r="A13" s="8" t="s">
        <v>81</v>
      </c>
      <c r="B13" s="8" t="s">
        <v>2406</v>
      </c>
      <c r="C13" s="8" t="s">
        <v>2407</v>
      </c>
      <c r="D13" s="9">
        <v>550000</v>
      </c>
      <c r="E13" s="9">
        <v>700000</v>
      </c>
      <c r="F13" s="9">
        <v>850000</v>
      </c>
      <c r="G13" s="8">
        <v>40</v>
      </c>
      <c r="I13" s="8" t="s">
        <v>274</v>
      </c>
      <c r="J13" s="8" t="s">
        <v>2408</v>
      </c>
      <c r="K13" s="8" t="s">
        <v>2409</v>
      </c>
      <c r="L13" s="8" t="s">
        <v>55</v>
      </c>
      <c r="M13" s="8" t="s">
        <v>106</v>
      </c>
      <c r="O13" s="16" t="s">
        <v>2410</v>
      </c>
    </row>
    <row r="14" spans="1:16" x14ac:dyDescent="0.45">
      <c r="A14" s="5" t="s">
        <v>82</v>
      </c>
      <c r="B14" s="5" t="s">
        <v>2411</v>
      </c>
      <c r="C14" s="5" t="s">
        <v>2412</v>
      </c>
      <c r="D14" s="6">
        <v>850001</v>
      </c>
      <c r="E14" s="6">
        <v>1100000</v>
      </c>
      <c r="F14" s="6">
        <v>1350000</v>
      </c>
      <c r="G14" s="5">
        <v>36</v>
      </c>
      <c r="I14" s="5" t="s">
        <v>208</v>
      </c>
      <c r="J14" s="5" t="s">
        <v>2413</v>
      </c>
      <c r="K14" s="5" t="s">
        <v>2414</v>
      </c>
      <c r="L14" s="5" t="s">
        <v>59</v>
      </c>
      <c r="M14" s="5" t="s">
        <v>111</v>
      </c>
      <c r="O14" s="30">
        <v>46022</v>
      </c>
    </row>
    <row r="15" spans="1:16" x14ac:dyDescent="0.45">
      <c r="A15" s="8" t="s">
        <v>83</v>
      </c>
      <c r="B15" s="8" t="s">
        <v>2415</v>
      </c>
      <c r="C15" s="8" t="s">
        <v>2416</v>
      </c>
      <c r="D15" s="9">
        <v>1350001</v>
      </c>
      <c r="E15" s="9">
        <v>1725000</v>
      </c>
      <c r="F15" s="9">
        <v>2100000</v>
      </c>
      <c r="G15" s="8">
        <v>32</v>
      </c>
      <c r="I15" s="8" t="s">
        <v>214</v>
      </c>
      <c r="J15" s="8" t="s">
        <v>2417</v>
      </c>
      <c r="K15" s="8" t="s">
        <v>1043</v>
      </c>
      <c r="L15" s="8" t="s">
        <v>59</v>
      </c>
      <c r="M15" s="8" t="s">
        <v>108</v>
      </c>
    </row>
    <row r="16" spans="1:16" x14ac:dyDescent="0.45">
      <c r="A16" s="5" t="s">
        <v>84</v>
      </c>
      <c r="B16" s="5" t="s">
        <v>2418</v>
      </c>
      <c r="C16" s="5" t="s">
        <v>2419</v>
      </c>
      <c r="D16" s="6">
        <v>2100001</v>
      </c>
      <c r="E16" s="6">
        <v>2750000</v>
      </c>
      <c r="F16" s="6">
        <v>3400000</v>
      </c>
      <c r="G16" s="5">
        <v>28</v>
      </c>
      <c r="I16" s="5" t="s">
        <v>319</v>
      </c>
      <c r="J16" s="5" t="s">
        <v>2420</v>
      </c>
      <c r="K16" s="5" t="s">
        <v>2421</v>
      </c>
      <c r="L16" s="5" t="s">
        <v>61</v>
      </c>
      <c r="M16" s="5" t="s">
        <v>106</v>
      </c>
    </row>
    <row r="17" spans="1:13" x14ac:dyDescent="0.45">
      <c r="A17" s="8" t="s">
        <v>85</v>
      </c>
      <c r="B17" s="8" t="s">
        <v>2422</v>
      </c>
      <c r="C17" s="8" t="s">
        <v>2423</v>
      </c>
      <c r="D17" s="9">
        <v>3400001</v>
      </c>
      <c r="E17" s="9">
        <v>4300000</v>
      </c>
      <c r="F17" s="9">
        <v>5200000</v>
      </c>
      <c r="G17" s="8">
        <v>24</v>
      </c>
      <c r="I17" s="8" t="s">
        <v>253</v>
      </c>
      <c r="J17" s="8" t="s">
        <v>2424</v>
      </c>
      <c r="K17" s="8" t="s">
        <v>1775</v>
      </c>
      <c r="L17" s="8" t="s">
        <v>61</v>
      </c>
      <c r="M17" s="8" t="s">
        <v>108</v>
      </c>
    </row>
    <row r="18" spans="1:13" x14ac:dyDescent="0.45">
      <c r="I18" s="5" t="s">
        <v>224</v>
      </c>
      <c r="J18" s="5" t="s">
        <v>2425</v>
      </c>
      <c r="K18" s="5" t="s">
        <v>1958</v>
      </c>
      <c r="L18" s="5" t="s">
        <v>57</v>
      </c>
      <c r="M18" s="5" t="s">
        <v>106</v>
      </c>
    </row>
    <row r="19" spans="1:13" x14ac:dyDescent="0.45">
      <c r="A19" s="3" t="s">
        <v>2426</v>
      </c>
      <c r="I19" s="8" t="s">
        <v>165</v>
      </c>
      <c r="J19" s="8" t="s">
        <v>2427</v>
      </c>
      <c r="K19" s="8" t="s">
        <v>1685</v>
      </c>
      <c r="L19" s="8" t="s">
        <v>57</v>
      </c>
      <c r="M19" s="8" t="s">
        <v>111</v>
      </c>
    </row>
    <row r="20" spans="1:13" x14ac:dyDescent="0.45">
      <c r="A20" s="16" t="s">
        <v>87</v>
      </c>
      <c r="B20" s="16" t="s">
        <v>94</v>
      </c>
      <c r="C20" s="16" t="s">
        <v>2428</v>
      </c>
    </row>
    <row r="21" spans="1:13" x14ac:dyDescent="0.45">
      <c r="A21" s="8" t="s">
        <v>95</v>
      </c>
      <c r="B21" s="9">
        <v>35000</v>
      </c>
      <c r="C21" s="8">
        <v>45</v>
      </c>
    </row>
    <row r="22" spans="1:13" x14ac:dyDescent="0.45">
      <c r="A22" s="5" t="s">
        <v>96</v>
      </c>
      <c r="B22" s="6">
        <v>22000</v>
      </c>
      <c r="C22" s="5">
        <v>30</v>
      </c>
    </row>
    <row r="23" spans="1:13" x14ac:dyDescent="0.45">
      <c r="A23" s="8" t="s">
        <v>97</v>
      </c>
      <c r="B23" s="9">
        <v>42000</v>
      </c>
      <c r="C23" s="8">
        <v>28</v>
      </c>
    </row>
    <row r="24" spans="1:13" x14ac:dyDescent="0.45">
      <c r="A24" s="5" t="s">
        <v>98</v>
      </c>
      <c r="B24" s="6">
        <v>145000</v>
      </c>
      <c r="C24" s="5">
        <v>25</v>
      </c>
    </row>
    <row r="25" spans="1:13" x14ac:dyDescent="0.45">
      <c r="A25" s="8" t="s">
        <v>99</v>
      </c>
      <c r="B25" s="9">
        <v>68000</v>
      </c>
      <c r="C25" s="8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86"/>
  <sheetViews>
    <sheetView topLeftCell="C1" zoomScale="85" zoomScaleNormal="85" workbookViewId="0">
      <pane ySplit="1" topLeftCell="A49" activePane="bottomLeft" state="frozen"/>
      <selection activeCell="C1" sqref="C1"/>
      <selection pane="bottomLeft" activeCell="E70" sqref="E70"/>
    </sheetView>
  </sheetViews>
  <sheetFormatPr defaultColWidth="8.6640625" defaultRowHeight="14.25" customHeight="1" x14ac:dyDescent="0.45"/>
  <cols>
    <col min="1" max="20" width="18" customWidth="1"/>
  </cols>
  <sheetData>
    <row r="1" spans="1:20" ht="25.5" customHeight="1" x14ac:dyDescent="0.45">
      <c r="A1" s="16" t="s">
        <v>132</v>
      </c>
      <c r="B1" s="16" t="s">
        <v>133</v>
      </c>
      <c r="C1" s="16" t="s">
        <v>33</v>
      </c>
      <c r="D1" s="16" t="s">
        <v>14</v>
      </c>
      <c r="E1" s="16" t="s">
        <v>134</v>
      </c>
      <c r="F1" s="16" t="s">
        <v>74</v>
      </c>
      <c r="G1" s="16" t="s">
        <v>135</v>
      </c>
      <c r="H1" s="16" t="s">
        <v>102</v>
      </c>
      <c r="I1" s="16" t="s">
        <v>103</v>
      </c>
      <c r="J1" s="16" t="s">
        <v>136</v>
      </c>
      <c r="K1" s="16" t="s">
        <v>137</v>
      </c>
      <c r="L1" s="16" t="s">
        <v>138</v>
      </c>
      <c r="M1" s="16" t="s">
        <v>139</v>
      </c>
      <c r="N1" s="16" t="s">
        <v>87</v>
      </c>
      <c r="O1" s="16" t="s">
        <v>140</v>
      </c>
      <c r="P1" s="16" t="s">
        <v>141</v>
      </c>
      <c r="Q1" s="16" t="s">
        <v>142</v>
      </c>
      <c r="R1" s="16" t="s">
        <v>143</v>
      </c>
      <c r="S1" s="16" t="s">
        <v>144</v>
      </c>
      <c r="T1" s="31" t="s">
        <v>2429</v>
      </c>
    </row>
    <row r="2" spans="1:20" x14ac:dyDescent="0.45">
      <c r="A2" t="s">
        <v>725</v>
      </c>
      <c r="B2" t="s">
        <v>2430</v>
      </c>
      <c r="C2" t="s">
        <v>53</v>
      </c>
      <c r="D2" t="s">
        <v>52</v>
      </c>
      <c r="E2" t="s">
        <v>200</v>
      </c>
      <c r="F2" t="s">
        <v>84</v>
      </c>
      <c r="G2" t="s">
        <v>201</v>
      </c>
      <c r="H2" t="s">
        <v>109</v>
      </c>
      <c r="I2" t="s">
        <v>110</v>
      </c>
      <c r="J2" t="s">
        <v>2431</v>
      </c>
      <c r="K2" t="s">
        <v>162</v>
      </c>
      <c r="M2" t="s">
        <v>163</v>
      </c>
      <c r="N2" t="s">
        <v>95</v>
      </c>
      <c r="O2" s="27">
        <v>3057000</v>
      </c>
      <c r="P2">
        <v>2</v>
      </c>
      <c r="Q2" t="s">
        <v>172</v>
      </c>
      <c r="R2">
        <v>40</v>
      </c>
      <c r="S2" t="s">
        <v>237</v>
      </c>
      <c r="T2" t="str">
        <f>IF(COUNTIF($A$2:A2,A2)&gt;1,"Duplicate","Unique")</f>
        <v>Unique</v>
      </c>
    </row>
    <row r="3" spans="1:20" x14ac:dyDescent="0.45">
      <c r="A3" t="s">
        <v>616</v>
      </c>
      <c r="B3" t="s">
        <v>617</v>
      </c>
      <c r="C3" t="s">
        <v>51</v>
      </c>
      <c r="D3" t="s">
        <v>50</v>
      </c>
      <c r="E3" t="s">
        <v>397</v>
      </c>
      <c r="F3" t="s">
        <v>84</v>
      </c>
      <c r="G3" t="s">
        <v>398</v>
      </c>
      <c r="H3" t="s">
        <v>109</v>
      </c>
      <c r="I3" t="s">
        <v>110</v>
      </c>
      <c r="J3" t="s">
        <v>2432</v>
      </c>
      <c r="K3" t="s">
        <v>162</v>
      </c>
      <c r="M3" t="s">
        <v>163</v>
      </c>
      <c r="N3" t="s">
        <v>97</v>
      </c>
      <c r="O3" s="27">
        <v>2402000</v>
      </c>
      <c r="P3">
        <v>3</v>
      </c>
      <c r="Q3" t="s">
        <v>172</v>
      </c>
      <c r="R3">
        <v>45</v>
      </c>
      <c r="S3" t="s">
        <v>244</v>
      </c>
      <c r="T3" t="str">
        <f>IF(COUNTIF($A$2:A3,A3)&gt;1,"Duplicate","Unique")</f>
        <v>Unique</v>
      </c>
    </row>
    <row r="4" spans="1:20" x14ac:dyDescent="0.45">
      <c r="A4" t="s">
        <v>1508</v>
      </c>
      <c r="B4" t="s">
        <v>1407</v>
      </c>
      <c r="C4" t="s">
        <v>51</v>
      </c>
      <c r="D4" t="s">
        <v>50</v>
      </c>
      <c r="E4" t="s">
        <v>176</v>
      </c>
      <c r="F4" t="s">
        <v>82</v>
      </c>
      <c r="G4" t="s">
        <v>177</v>
      </c>
      <c r="H4" t="s">
        <v>108</v>
      </c>
      <c r="I4" t="s">
        <v>107</v>
      </c>
      <c r="J4" t="s">
        <v>2433</v>
      </c>
      <c r="K4" t="s">
        <v>170</v>
      </c>
      <c r="L4" t="s">
        <v>2434</v>
      </c>
      <c r="M4" t="s">
        <v>171</v>
      </c>
      <c r="N4" t="s">
        <v>99</v>
      </c>
      <c r="O4" s="27">
        <v>1255000</v>
      </c>
      <c r="P4">
        <v>2</v>
      </c>
      <c r="Q4" t="s">
        <v>164</v>
      </c>
      <c r="R4">
        <v>11</v>
      </c>
      <c r="S4" t="s">
        <v>244</v>
      </c>
      <c r="T4" t="str">
        <f>IF(COUNTIF($A$2:A4,A4)&gt;1,"Duplicate","Unique")</f>
        <v>Unique</v>
      </c>
    </row>
    <row r="5" spans="1:20" x14ac:dyDescent="0.45">
      <c r="A5" t="s">
        <v>233</v>
      </c>
      <c r="B5" t="s">
        <v>234</v>
      </c>
      <c r="C5" t="s">
        <v>59</v>
      </c>
      <c r="D5" t="s">
        <v>58</v>
      </c>
      <c r="E5" t="s">
        <v>206</v>
      </c>
      <c r="F5" t="s">
        <v>81</v>
      </c>
      <c r="G5" t="s">
        <v>207</v>
      </c>
      <c r="H5" t="s">
        <v>108</v>
      </c>
      <c r="I5" t="s">
        <v>107</v>
      </c>
      <c r="J5" t="s">
        <v>2435</v>
      </c>
      <c r="K5" t="s">
        <v>187</v>
      </c>
      <c r="L5" t="s">
        <v>2436</v>
      </c>
      <c r="M5" t="s">
        <v>213</v>
      </c>
      <c r="N5" t="s">
        <v>95</v>
      </c>
      <c r="O5" s="27">
        <v>651000</v>
      </c>
      <c r="P5">
        <v>3</v>
      </c>
      <c r="Q5" t="s">
        <v>164</v>
      </c>
      <c r="R5">
        <v>19</v>
      </c>
      <c r="S5" t="s">
        <v>214</v>
      </c>
      <c r="T5" t="str">
        <f>IF(COUNTIF($A$2:A5,A5)&gt;1,"Duplicate","Unique")</f>
        <v>Unique</v>
      </c>
    </row>
    <row r="6" spans="1:20" x14ac:dyDescent="0.45">
      <c r="A6" t="s">
        <v>1369</v>
      </c>
      <c r="B6" t="s">
        <v>1370</v>
      </c>
      <c r="C6" t="s">
        <v>51</v>
      </c>
      <c r="D6" t="s">
        <v>50</v>
      </c>
      <c r="E6" t="s">
        <v>397</v>
      </c>
      <c r="F6" t="s">
        <v>84</v>
      </c>
      <c r="G6" t="s">
        <v>398</v>
      </c>
      <c r="H6" t="s">
        <v>112</v>
      </c>
      <c r="I6" t="s">
        <v>113</v>
      </c>
      <c r="J6" t="s">
        <v>2437</v>
      </c>
      <c r="K6" t="s">
        <v>162</v>
      </c>
      <c r="M6" t="s">
        <v>163</v>
      </c>
      <c r="N6" t="s">
        <v>98</v>
      </c>
      <c r="O6" s="27">
        <v>3365000</v>
      </c>
      <c r="P6">
        <v>2</v>
      </c>
      <c r="Q6" t="s">
        <v>164</v>
      </c>
      <c r="R6">
        <v>14</v>
      </c>
      <c r="S6" t="s">
        <v>178</v>
      </c>
      <c r="T6" t="str">
        <f>IF(COUNTIF($A$2:A6,A6)&gt;1,"Duplicate","Unique")</f>
        <v>Unique</v>
      </c>
    </row>
    <row r="7" spans="1:20" x14ac:dyDescent="0.45">
      <c r="A7" t="s">
        <v>867</v>
      </c>
      <c r="B7" t="s">
        <v>868</v>
      </c>
      <c r="C7" t="s">
        <v>51</v>
      </c>
      <c r="D7" t="s">
        <v>50</v>
      </c>
      <c r="E7" t="s">
        <v>176</v>
      </c>
      <c r="F7" t="s">
        <v>82</v>
      </c>
      <c r="G7" t="s">
        <v>177</v>
      </c>
      <c r="H7" t="s">
        <v>106</v>
      </c>
      <c r="I7" t="s">
        <v>107</v>
      </c>
      <c r="J7" t="s">
        <v>2438</v>
      </c>
      <c r="K7" t="s">
        <v>162</v>
      </c>
      <c r="M7" t="s">
        <v>163</v>
      </c>
      <c r="N7" t="s">
        <v>96</v>
      </c>
      <c r="O7" s="27">
        <v>873000</v>
      </c>
      <c r="P7">
        <v>4</v>
      </c>
      <c r="Q7" t="s">
        <v>164</v>
      </c>
      <c r="R7">
        <v>58</v>
      </c>
      <c r="S7" t="s">
        <v>197</v>
      </c>
      <c r="T7" t="str">
        <f>IF(COUNTIF($A$2:A7,A7)&gt;1,"Duplicate","Unique")</f>
        <v>Unique</v>
      </c>
    </row>
    <row r="8" spans="1:20" x14ac:dyDescent="0.45">
      <c r="A8" t="s">
        <v>2132</v>
      </c>
      <c r="B8" t="s">
        <v>1281</v>
      </c>
      <c r="C8" t="s">
        <v>51</v>
      </c>
      <c r="D8" t="s">
        <v>50</v>
      </c>
      <c r="E8" t="s">
        <v>176</v>
      </c>
      <c r="F8" t="s">
        <v>82</v>
      </c>
      <c r="G8" t="s">
        <v>177</v>
      </c>
      <c r="H8" t="s">
        <v>108</v>
      </c>
      <c r="I8" t="s">
        <v>107</v>
      </c>
      <c r="J8" t="s">
        <v>2439</v>
      </c>
      <c r="K8" t="s">
        <v>162</v>
      </c>
      <c r="M8" t="s">
        <v>163</v>
      </c>
      <c r="N8" t="s">
        <v>97</v>
      </c>
      <c r="O8" s="27">
        <v>1168000</v>
      </c>
      <c r="P8">
        <v>4</v>
      </c>
      <c r="Q8" t="s">
        <v>172</v>
      </c>
      <c r="R8">
        <v>44</v>
      </c>
      <c r="S8" t="s">
        <v>219</v>
      </c>
      <c r="T8" t="str">
        <f>IF(COUNTIF($A$2:A8,A8)&gt;1,"Duplicate","Unique")</f>
        <v>Unique</v>
      </c>
    </row>
    <row r="9" spans="1:20" x14ac:dyDescent="0.45">
      <c r="A9" t="s">
        <v>1322</v>
      </c>
      <c r="B9" t="s">
        <v>1323</v>
      </c>
      <c r="C9" t="s">
        <v>51</v>
      </c>
      <c r="D9" t="s">
        <v>50</v>
      </c>
      <c r="E9" t="s">
        <v>181</v>
      </c>
      <c r="F9" t="s">
        <v>81</v>
      </c>
      <c r="G9" t="s">
        <v>182</v>
      </c>
      <c r="H9" t="s">
        <v>106</v>
      </c>
      <c r="I9" t="s">
        <v>107</v>
      </c>
      <c r="J9" t="s">
        <v>2440</v>
      </c>
      <c r="K9" t="s">
        <v>170</v>
      </c>
      <c r="L9" t="s">
        <v>2441</v>
      </c>
      <c r="M9" t="s">
        <v>171</v>
      </c>
      <c r="N9" t="s">
        <v>99</v>
      </c>
      <c r="O9" s="27">
        <v>755000</v>
      </c>
      <c r="P9">
        <v>3</v>
      </c>
      <c r="Q9" t="s">
        <v>164</v>
      </c>
      <c r="R9">
        <v>38</v>
      </c>
      <c r="S9" t="s">
        <v>219</v>
      </c>
      <c r="T9" t="str">
        <f>IF(COUNTIF($A$2:A9,A9)&gt;1,"Duplicate","Unique")</f>
        <v>Unique</v>
      </c>
    </row>
    <row r="10" spans="1:20" x14ac:dyDescent="0.45">
      <c r="A10" t="s">
        <v>1935</v>
      </c>
      <c r="B10" t="s">
        <v>1646</v>
      </c>
      <c r="C10" t="s">
        <v>53</v>
      </c>
      <c r="D10" t="s">
        <v>2442</v>
      </c>
      <c r="E10" t="s">
        <v>322</v>
      </c>
      <c r="F10" t="s">
        <v>81</v>
      </c>
      <c r="G10" t="s">
        <v>323</v>
      </c>
      <c r="H10" t="s">
        <v>108</v>
      </c>
      <c r="I10" t="s">
        <v>107</v>
      </c>
      <c r="J10" t="s">
        <v>2443</v>
      </c>
      <c r="K10" t="s">
        <v>162</v>
      </c>
      <c r="M10" t="s">
        <v>163</v>
      </c>
      <c r="N10" t="s">
        <v>97</v>
      </c>
      <c r="O10" s="27">
        <v>742000</v>
      </c>
      <c r="P10">
        <v>2</v>
      </c>
      <c r="Q10" t="s">
        <v>164</v>
      </c>
      <c r="R10">
        <v>28</v>
      </c>
      <c r="S10" t="s">
        <v>189</v>
      </c>
      <c r="T10" t="str">
        <f>IF(COUNTIF($A$2:A10,A10)&gt;1,"Duplicate","Unique")</f>
        <v>Unique</v>
      </c>
    </row>
    <row r="11" spans="1:20" x14ac:dyDescent="0.45">
      <c r="A11" t="s">
        <v>424</v>
      </c>
      <c r="B11" t="s">
        <v>425</v>
      </c>
      <c r="C11" t="s">
        <v>59</v>
      </c>
      <c r="D11" t="s">
        <v>58</v>
      </c>
      <c r="E11" t="s">
        <v>287</v>
      </c>
      <c r="F11" t="s">
        <v>83</v>
      </c>
      <c r="G11" t="s">
        <v>288</v>
      </c>
      <c r="H11" t="s">
        <v>106</v>
      </c>
      <c r="I11" t="s">
        <v>107</v>
      </c>
      <c r="J11" t="s">
        <v>2444</v>
      </c>
      <c r="K11" t="s">
        <v>162</v>
      </c>
      <c r="M11" t="s">
        <v>163</v>
      </c>
      <c r="N11" t="s">
        <v>99</v>
      </c>
      <c r="O11" s="27">
        <v>1551000</v>
      </c>
      <c r="P11">
        <v>4</v>
      </c>
      <c r="Q11" t="s">
        <v>164</v>
      </c>
      <c r="R11">
        <v>46</v>
      </c>
      <c r="S11" t="s">
        <v>208</v>
      </c>
      <c r="T11" t="str">
        <f>IF(COUNTIF($A$2:A11,A11)&gt;1,"Duplicate","Unique")</f>
        <v>Unique</v>
      </c>
    </row>
    <row r="12" spans="1:20" x14ac:dyDescent="0.45">
      <c r="A12" t="s">
        <v>1330</v>
      </c>
      <c r="B12" t="s">
        <v>1331</v>
      </c>
      <c r="C12" t="s">
        <v>55</v>
      </c>
      <c r="D12" t="s">
        <v>54</v>
      </c>
      <c r="E12" t="s">
        <v>277</v>
      </c>
      <c r="F12" t="s">
        <v>81</v>
      </c>
      <c r="G12" t="s">
        <v>278</v>
      </c>
      <c r="H12" t="s">
        <v>106</v>
      </c>
      <c r="I12" t="s">
        <v>107</v>
      </c>
      <c r="J12" t="s">
        <v>2445</v>
      </c>
      <c r="K12" t="s">
        <v>187</v>
      </c>
      <c r="L12" t="s">
        <v>2446</v>
      </c>
      <c r="M12" t="s">
        <v>282</v>
      </c>
      <c r="N12" t="s">
        <v>99</v>
      </c>
      <c r="O12" s="27">
        <v>824000</v>
      </c>
      <c r="P12">
        <v>4</v>
      </c>
      <c r="Q12" t="s">
        <v>172</v>
      </c>
      <c r="R12">
        <v>46</v>
      </c>
      <c r="S12" t="s">
        <v>262</v>
      </c>
      <c r="T12" t="str">
        <f>IF(COUNTIF($A$2:A12,A12)&gt;1,"Duplicate","Unique")</f>
        <v>Unique</v>
      </c>
    </row>
    <row r="13" spans="1:20" x14ac:dyDescent="0.45">
      <c r="A13" t="s">
        <v>2084</v>
      </c>
      <c r="B13" t="s">
        <v>1012</v>
      </c>
      <c r="C13" t="s">
        <v>51</v>
      </c>
      <c r="D13" t="s">
        <v>50</v>
      </c>
      <c r="E13" t="s">
        <v>176</v>
      </c>
      <c r="F13" t="s">
        <v>82</v>
      </c>
      <c r="G13" t="s">
        <v>177</v>
      </c>
      <c r="H13" t="s">
        <v>109</v>
      </c>
      <c r="I13" t="s">
        <v>110</v>
      </c>
      <c r="J13" t="s">
        <v>2447</v>
      </c>
      <c r="K13" t="s">
        <v>162</v>
      </c>
      <c r="M13" t="s">
        <v>163</v>
      </c>
      <c r="N13" t="s">
        <v>95</v>
      </c>
      <c r="O13" s="27">
        <v>1142000</v>
      </c>
      <c r="P13">
        <v>3</v>
      </c>
      <c r="Q13" t="s">
        <v>164</v>
      </c>
      <c r="R13">
        <v>39</v>
      </c>
      <c r="S13" t="s">
        <v>197</v>
      </c>
      <c r="T13" t="str">
        <f>IF(COUNTIF($A$2:A13,A13)&gt;1,"Duplicate","Unique")</f>
        <v>Unique</v>
      </c>
    </row>
    <row r="14" spans="1:20" x14ac:dyDescent="0.45">
      <c r="A14" t="s">
        <v>227</v>
      </c>
      <c r="B14" t="s">
        <v>228</v>
      </c>
      <c r="C14" t="s">
        <v>55</v>
      </c>
      <c r="D14" t="s">
        <v>54</v>
      </c>
      <c r="E14" t="s">
        <v>229</v>
      </c>
      <c r="F14" t="s">
        <v>82</v>
      </c>
      <c r="G14" t="s">
        <v>230</v>
      </c>
      <c r="H14" t="s">
        <v>106</v>
      </c>
      <c r="I14" t="s">
        <v>107</v>
      </c>
      <c r="J14" t="s">
        <v>2448</v>
      </c>
      <c r="K14" t="s">
        <v>162</v>
      </c>
      <c r="M14" t="s">
        <v>163</v>
      </c>
      <c r="N14" t="s">
        <v>97</v>
      </c>
      <c r="O14" s="27">
        <v>905000</v>
      </c>
      <c r="P14">
        <v>3</v>
      </c>
      <c r="Q14" t="s">
        <v>172</v>
      </c>
      <c r="R14">
        <v>37</v>
      </c>
      <c r="S14" t="s">
        <v>173</v>
      </c>
      <c r="T14" t="str">
        <f>IF(COUNTIF($A$2:A14,A14)&gt;1,"Duplicate","Unique")</f>
        <v>Unique</v>
      </c>
    </row>
    <row r="15" spans="1:20" x14ac:dyDescent="0.45">
      <c r="A15" t="s">
        <v>781</v>
      </c>
      <c r="B15" t="s">
        <v>782</v>
      </c>
      <c r="C15" t="s">
        <v>57</v>
      </c>
      <c r="D15" t="s">
        <v>56</v>
      </c>
      <c r="E15" t="s">
        <v>160</v>
      </c>
      <c r="F15" t="s">
        <v>81</v>
      </c>
      <c r="G15" t="s">
        <v>161</v>
      </c>
      <c r="H15" t="s">
        <v>108</v>
      </c>
      <c r="I15" t="s">
        <v>107</v>
      </c>
      <c r="J15" t="s">
        <v>2449</v>
      </c>
      <c r="K15" t="s">
        <v>170</v>
      </c>
      <c r="L15" t="s">
        <v>2450</v>
      </c>
      <c r="M15" t="s">
        <v>171</v>
      </c>
      <c r="N15" t="s">
        <v>98</v>
      </c>
      <c r="O15" s="27">
        <v>690000</v>
      </c>
      <c r="P15">
        <v>2</v>
      </c>
      <c r="Q15" t="s">
        <v>164</v>
      </c>
      <c r="R15">
        <v>4</v>
      </c>
      <c r="S15" t="s">
        <v>224</v>
      </c>
      <c r="T15" t="str">
        <f>IF(COUNTIF($A$2:A15,A15)&gt;1,"Duplicate","Unique")</f>
        <v>Unique</v>
      </c>
    </row>
    <row r="16" spans="1:20" x14ac:dyDescent="0.45">
      <c r="A16" t="s">
        <v>2310</v>
      </c>
      <c r="B16" t="s">
        <v>2451</v>
      </c>
      <c r="C16" t="s">
        <v>51</v>
      </c>
      <c r="D16" t="s">
        <v>50</v>
      </c>
      <c r="E16" t="s">
        <v>397</v>
      </c>
      <c r="F16" t="s">
        <v>84</v>
      </c>
      <c r="G16" t="s">
        <v>398</v>
      </c>
      <c r="H16" t="s">
        <v>109</v>
      </c>
      <c r="I16" t="s">
        <v>110</v>
      </c>
      <c r="J16" t="s">
        <v>2452</v>
      </c>
      <c r="K16" t="s">
        <v>162</v>
      </c>
      <c r="M16" t="s">
        <v>163</v>
      </c>
      <c r="N16" t="s">
        <v>95</v>
      </c>
      <c r="O16" s="27">
        <v>2665000</v>
      </c>
      <c r="Q16" t="s">
        <v>172</v>
      </c>
      <c r="R16">
        <v>52</v>
      </c>
      <c r="S16" t="s">
        <v>197</v>
      </c>
      <c r="T16" t="str">
        <f>IF(COUNTIF($A$2:A16,A16)&gt;1,"Duplicate","Unique")</f>
        <v>Unique</v>
      </c>
    </row>
    <row r="17" spans="1:20" x14ac:dyDescent="0.45">
      <c r="A17" t="s">
        <v>1263</v>
      </c>
      <c r="B17" t="s">
        <v>501</v>
      </c>
      <c r="C17" t="s">
        <v>57</v>
      </c>
      <c r="D17" t="s">
        <v>56</v>
      </c>
      <c r="E17" t="s">
        <v>160</v>
      </c>
      <c r="F17" t="s">
        <v>81</v>
      </c>
      <c r="G17" t="s">
        <v>161</v>
      </c>
      <c r="H17" t="s">
        <v>106</v>
      </c>
      <c r="I17" t="s">
        <v>107</v>
      </c>
      <c r="J17" t="s">
        <v>2453</v>
      </c>
      <c r="K17" t="s">
        <v>162</v>
      </c>
      <c r="M17" t="s">
        <v>163</v>
      </c>
      <c r="N17" t="s">
        <v>99</v>
      </c>
      <c r="O17" s="27">
        <v>640000</v>
      </c>
      <c r="P17">
        <v>4</v>
      </c>
      <c r="Q17" t="s">
        <v>164</v>
      </c>
      <c r="R17">
        <v>38</v>
      </c>
      <c r="S17" t="s">
        <v>224</v>
      </c>
      <c r="T17" t="str">
        <f>IF(COUNTIF($A$2:A17,A17)&gt;1,"Duplicate","Unique")</f>
        <v>Unique</v>
      </c>
    </row>
    <row r="18" spans="1:20" x14ac:dyDescent="0.45">
      <c r="A18" t="s">
        <v>764</v>
      </c>
      <c r="B18" t="s">
        <v>765</v>
      </c>
      <c r="C18" t="s">
        <v>61</v>
      </c>
      <c r="D18" t="s">
        <v>60</v>
      </c>
      <c r="E18" t="s">
        <v>356</v>
      </c>
      <c r="F18" t="s">
        <v>81</v>
      </c>
      <c r="G18" t="s">
        <v>357</v>
      </c>
      <c r="H18" t="s">
        <v>108</v>
      </c>
      <c r="I18" t="s">
        <v>107</v>
      </c>
      <c r="J18" t="s">
        <v>2454</v>
      </c>
      <c r="K18" t="s">
        <v>162</v>
      </c>
      <c r="M18" t="s">
        <v>163</v>
      </c>
      <c r="N18" t="s">
        <v>99</v>
      </c>
      <c r="O18" s="27">
        <v>836000</v>
      </c>
      <c r="P18">
        <v>2</v>
      </c>
      <c r="Q18" t="s">
        <v>172</v>
      </c>
      <c r="R18">
        <v>27</v>
      </c>
      <c r="S18" t="s">
        <v>319</v>
      </c>
      <c r="T18" t="str">
        <f>IF(COUNTIF($A$2:A18,A18)&gt;1,"Duplicate","Unique")</f>
        <v>Unique</v>
      </c>
    </row>
    <row r="19" spans="1:20" x14ac:dyDescent="0.45">
      <c r="A19" t="s">
        <v>2241</v>
      </c>
      <c r="B19" t="s">
        <v>2455</v>
      </c>
      <c r="C19" t="s">
        <v>53</v>
      </c>
      <c r="D19" t="s">
        <v>52</v>
      </c>
      <c r="E19" t="s">
        <v>185</v>
      </c>
      <c r="F19" t="s">
        <v>82</v>
      </c>
      <c r="G19" t="s">
        <v>186</v>
      </c>
      <c r="H19" t="s">
        <v>109</v>
      </c>
      <c r="I19" t="s">
        <v>110</v>
      </c>
      <c r="J19" t="s">
        <v>2456</v>
      </c>
      <c r="K19" t="s">
        <v>162</v>
      </c>
      <c r="M19" t="s">
        <v>163</v>
      </c>
      <c r="N19" t="s">
        <v>99</v>
      </c>
      <c r="O19" s="27">
        <v>1031000</v>
      </c>
      <c r="Q19" t="s">
        <v>172</v>
      </c>
      <c r="R19">
        <v>34</v>
      </c>
      <c r="S19" t="s">
        <v>189</v>
      </c>
      <c r="T19" t="str">
        <f>IF(COUNTIF($A$2:A19,A19)&gt;1,"Duplicate","Unique")</f>
        <v>Unique</v>
      </c>
    </row>
    <row r="20" spans="1:20" x14ac:dyDescent="0.45">
      <c r="A20" t="s">
        <v>258</v>
      </c>
      <c r="B20" t="s">
        <v>259</v>
      </c>
      <c r="C20" t="s">
        <v>51</v>
      </c>
      <c r="D20" t="s">
        <v>50</v>
      </c>
      <c r="E20" t="s">
        <v>176</v>
      </c>
      <c r="F20" t="s">
        <v>82</v>
      </c>
      <c r="G20" t="s">
        <v>177</v>
      </c>
      <c r="H20" t="s">
        <v>106</v>
      </c>
      <c r="I20" t="s">
        <v>107</v>
      </c>
      <c r="J20" t="s">
        <v>2457</v>
      </c>
      <c r="K20" t="s">
        <v>162</v>
      </c>
      <c r="M20" t="s">
        <v>163</v>
      </c>
      <c r="N20" t="s">
        <v>99</v>
      </c>
      <c r="O20" s="27">
        <v>893000</v>
      </c>
      <c r="P20">
        <v>3</v>
      </c>
      <c r="Q20" t="s">
        <v>164</v>
      </c>
      <c r="R20">
        <v>28</v>
      </c>
      <c r="S20" t="s">
        <v>178</v>
      </c>
      <c r="T20" t="str">
        <f>IF(COUNTIF($A$2:A20,A20)&gt;1,"Duplicate","Unique")</f>
        <v>Unique</v>
      </c>
    </row>
    <row r="21" spans="1:20" x14ac:dyDescent="0.45">
      <c r="A21" t="s">
        <v>1065</v>
      </c>
      <c r="B21" t="s">
        <v>1066</v>
      </c>
      <c r="C21" t="s">
        <v>51</v>
      </c>
      <c r="D21" t="s">
        <v>50</v>
      </c>
      <c r="E21" t="s">
        <v>397</v>
      </c>
      <c r="F21" t="s">
        <v>84</v>
      </c>
      <c r="G21" t="s">
        <v>398</v>
      </c>
      <c r="H21" t="s">
        <v>106</v>
      </c>
      <c r="I21" t="s">
        <v>107</v>
      </c>
      <c r="J21" t="s">
        <v>2458</v>
      </c>
      <c r="K21" t="s">
        <v>162</v>
      </c>
      <c r="M21" t="s">
        <v>163</v>
      </c>
      <c r="N21" t="s">
        <v>97</v>
      </c>
      <c r="O21" s="27">
        <v>2815000</v>
      </c>
      <c r="P21">
        <v>5</v>
      </c>
      <c r="Q21" t="s">
        <v>164</v>
      </c>
      <c r="R21">
        <v>36</v>
      </c>
      <c r="S21" t="s">
        <v>219</v>
      </c>
      <c r="T21" t="str">
        <f>IF(COUNTIF($A$2:A21,A21)&gt;1,"Duplicate","Unique")</f>
        <v>Unique</v>
      </c>
    </row>
    <row r="22" spans="1:20" x14ac:dyDescent="0.45">
      <c r="A22" t="s">
        <v>2006</v>
      </c>
      <c r="B22" t="s">
        <v>246</v>
      </c>
      <c r="C22" t="s">
        <v>51</v>
      </c>
      <c r="D22" t="s">
        <v>50</v>
      </c>
      <c r="E22" t="s">
        <v>176</v>
      </c>
      <c r="F22" t="s">
        <v>82</v>
      </c>
      <c r="G22" t="s">
        <v>177</v>
      </c>
      <c r="H22" t="s">
        <v>109</v>
      </c>
      <c r="I22" t="s">
        <v>110</v>
      </c>
      <c r="J22" t="s">
        <v>2459</v>
      </c>
      <c r="K22" t="s">
        <v>162</v>
      </c>
      <c r="M22" t="s">
        <v>163</v>
      </c>
      <c r="N22" t="s">
        <v>99</v>
      </c>
      <c r="O22" s="27">
        <v>951000</v>
      </c>
      <c r="P22">
        <v>3</v>
      </c>
      <c r="Q22" t="s">
        <v>164</v>
      </c>
      <c r="R22">
        <v>52</v>
      </c>
      <c r="S22" t="s">
        <v>219</v>
      </c>
      <c r="T22" t="str">
        <f>IF(COUNTIF($A$2:A22,A22)&gt;1,"Duplicate","Unique")</f>
        <v>Unique</v>
      </c>
    </row>
    <row r="23" spans="1:20" x14ac:dyDescent="0.45">
      <c r="A23" t="s">
        <v>801</v>
      </c>
      <c r="B23" t="s">
        <v>802</v>
      </c>
      <c r="C23" t="s">
        <v>55</v>
      </c>
      <c r="D23" t="s">
        <v>54</v>
      </c>
      <c r="E23" t="s">
        <v>277</v>
      </c>
      <c r="F23" t="s">
        <v>81</v>
      </c>
      <c r="G23" t="s">
        <v>278</v>
      </c>
      <c r="H23" t="s">
        <v>109</v>
      </c>
      <c r="I23" t="s">
        <v>110</v>
      </c>
      <c r="J23" t="s">
        <v>2460</v>
      </c>
      <c r="K23" t="s">
        <v>170</v>
      </c>
      <c r="L23" t="s">
        <v>2461</v>
      </c>
      <c r="M23" t="s">
        <v>171</v>
      </c>
      <c r="N23" t="s">
        <v>99</v>
      </c>
      <c r="O23" s="27">
        <v>569000</v>
      </c>
      <c r="P23">
        <v>2</v>
      </c>
      <c r="Q23" t="s">
        <v>172</v>
      </c>
      <c r="R23">
        <v>38</v>
      </c>
      <c r="S23" t="s">
        <v>274</v>
      </c>
      <c r="T23" t="str">
        <f>IF(COUNTIF($A$2:A23,A23)&gt;1,"Duplicate","Unique")</f>
        <v>Unique</v>
      </c>
    </row>
    <row r="24" spans="1:20" x14ac:dyDescent="0.45">
      <c r="A24" t="s">
        <v>1748</v>
      </c>
      <c r="B24" t="s">
        <v>1749</v>
      </c>
      <c r="C24" t="s">
        <v>55</v>
      </c>
      <c r="D24" t="s">
        <v>54</v>
      </c>
      <c r="E24" t="s">
        <v>277</v>
      </c>
      <c r="F24" t="s">
        <v>81</v>
      </c>
      <c r="G24" t="s">
        <v>278</v>
      </c>
      <c r="H24" t="s">
        <v>108</v>
      </c>
      <c r="I24" t="s">
        <v>107</v>
      </c>
      <c r="J24" t="s">
        <v>2462</v>
      </c>
      <c r="K24" t="s">
        <v>170</v>
      </c>
      <c r="L24" t="s">
        <v>2463</v>
      </c>
      <c r="M24" t="s">
        <v>171</v>
      </c>
      <c r="N24" t="s">
        <v>99</v>
      </c>
      <c r="O24" s="27">
        <v>570000</v>
      </c>
      <c r="P24">
        <v>2</v>
      </c>
      <c r="Q24" t="s">
        <v>172</v>
      </c>
      <c r="R24">
        <v>10</v>
      </c>
      <c r="S24" t="s">
        <v>262</v>
      </c>
      <c r="T24" t="str">
        <f>IF(COUNTIF($A$2:A24,A24)&gt;1,"Duplicate","Unique")</f>
        <v>Unique</v>
      </c>
    </row>
    <row r="25" spans="1:20" x14ac:dyDescent="0.45">
      <c r="A25" t="s">
        <v>2169</v>
      </c>
      <c r="B25" t="s">
        <v>438</v>
      </c>
      <c r="C25" t="s">
        <v>51</v>
      </c>
      <c r="D25" t="s">
        <v>2464</v>
      </c>
      <c r="E25" t="s">
        <v>181</v>
      </c>
      <c r="F25" t="s">
        <v>81</v>
      </c>
      <c r="G25" t="s">
        <v>182</v>
      </c>
      <c r="H25" t="s">
        <v>2465</v>
      </c>
      <c r="I25" t="s">
        <v>107</v>
      </c>
      <c r="J25" t="s">
        <v>2466</v>
      </c>
      <c r="K25" t="s">
        <v>162</v>
      </c>
      <c r="M25" t="s">
        <v>163</v>
      </c>
      <c r="N25" t="s">
        <v>96</v>
      </c>
      <c r="O25" s="27">
        <v>831000</v>
      </c>
      <c r="P25">
        <v>3</v>
      </c>
      <c r="Q25" t="s">
        <v>2467</v>
      </c>
      <c r="R25">
        <v>54</v>
      </c>
      <c r="S25" t="s">
        <v>244</v>
      </c>
      <c r="T25" t="str">
        <f>IF(COUNTIF($A$2:A25,A25)&gt;1,"Duplicate","Unique")</f>
        <v>Unique</v>
      </c>
    </row>
    <row r="26" spans="1:20" x14ac:dyDescent="0.45">
      <c r="A26" t="s">
        <v>772</v>
      </c>
      <c r="B26" t="s">
        <v>353</v>
      </c>
      <c r="C26" t="s">
        <v>55</v>
      </c>
      <c r="D26" t="s">
        <v>54</v>
      </c>
      <c r="E26" t="s">
        <v>240</v>
      </c>
      <c r="F26" t="s">
        <v>83</v>
      </c>
      <c r="G26" t="s">
        <v>241</v>
      </c>
      <c r="H26" t="s">
        <v>108</v>
      </c>
      <c r="I26" t="s">
        <v>107</v>
      </c>
      <c r="J26" t="s">
        <v>2468</v>
      </c>
      <c r="K26" t="s">
        <v>170</v>
      </c>
      <c r="L26" t="s">
        <v>2469</v>
      </c>
      <c r="M26" t="s">
        <v>171</v>
      </c>
      <c r="N26" t="s">
        <v>95</v>
      </c>
      <c r="O26" s="27">
        <v>1844000</v>
      </c>
      <c r="P26">
        <v>2</v>
      </c>
      <c r="Q26" t="s">
        <v>172</v>
      </c>
      <c r="R26">
        <v>4</v>
      </c>
      <c r="S26" t="s">
        <v>173</v>
      </c>
      <c r="T26" t="str">
        <f>IF(COUNTIF($A$2:A26,A26)&gt;1,"Duplicate","Unique")</f>
        <v>Unique</v>
      </c>
    </row>
    <row r="27" spans="1:20" x14ac:dyDescent="0.45">
      <c r="A27" t="s">
        <v>1739</v>
      </c>
      <c r="B27" t="s">
        <v>531</v>
      </c>
      <c r="C27" t="s">
        <v>59</v>
      </c>
      <c r="D27" t="s">
        <v>58</v>
      </c>
      <c r="E27" t="s">
        <v>287</v>
      </c>
      <c r="F27" t="s">
        <v>83</v>
      </c>
      <c r="G27" t="s">
        <v>288</v>
      </c>
      <c r="H27" t="s">
        <v>111</v>
      </c>
      <c r="I27" t="s">
        <v>110</v>
      </c>
      <c r="J27" t="s">
        <v>2470</v>
      </c>
      <c r="K27" t="s">
        <v>170</v>
      </c>
      <c r="L27" t="s">
        <v>2471</v>
      </c>
      <c r="M27" t="s">
        <v>171</v>
      </c>
      <c r="N27" t="s">
        <v>98</v>
      </c>
      <c r="O27" s="27">
        <v>1432000</v>
      </c>
      <c r="P27">
        <v>2</v>
      </c>
      <c r="Q27" t="s">
        <v>164</v>
      </c>
      <c r="R27">
        <v>36</v>
      </c>
      <c r="S27" t="s">
        <v>214</v>
      </c>
      <c r="T27" t="str">
        <f>IF(COUNTIF($A$2:A27,A27)&gt;1,"Duplicate","Unique")</f>
        <v>Unique</v>
      </c>
    </row>
    <row r="28" spans="1:20" x14ac:dyDescent="0.45">
      <c r="A28" t="s">
        <v>1632</v>
      </c>
      <c r="B28" t="s">
        <v>1464</v>
      </c>
      <c r="C28" t="s">
        <v>57</v>
      </c>
      <c r="D28" t="s">
        <v>56</v>
      </c>
      <c r="E28" t="s">
        <v>222</v>
      </c>
      <c r="F28" t="s">
        <v>82</v>
      </c>
      <c r="G28" t="s">
        <v>223</v>
      </c>
      <c r="H28" t="s">
        <v>106</v>
      </c>
      <c r="I28" t="s">
        <v>107</v>
      </c>
      <c r="J28" t="s">
        <v>2472</v>
      </c>
      <c r="K28" t="s">
        <v>162</v>
      </c>
      <c r="M28" t="s">
        <v>163</v>
      </c>
      <c r="N28" t="s">
        <v>97</v>
      </c>
      <c r="O28" s="27">
        <v>888000</v>
      </c>
      <c r="P28">
        <v>1</v>
      </c>
      <c r="Q28" t="s">
        <v>164</v>
      </c>
      <c r="R28">
        <v>24</v>
      </c>
      <c r="S28" t="s">
        <v>165</v>
      </c>
      <c r="T28" t="str">
        <f>IF(COUNTIF($A$2:A28,A28)&gt;1,"Duplicate","Unique")</f>
        <v>Unique</v>
      </c>
    </row>
    <row r="29" spans="1:20" x14ac:dyDescent="0.45">
      <c r="A29" t="s">
        <v>908</v>
      </c>
      <c r="B29" t="s">
        <v>909</v>
      </c>
      <c r="C29" t="s">
        <v>55</v>
      </c>
      <c r="D29" t="s">
        <v>54</v>
      </c>
      <c r="E29" t="s">
        <v>229</v>
      </c>
      <c r="F29" t="s">
        <v>82</v>
      </c>
      <c r="G29" t="s">
        <v>230</v>
      </c>
      <c r="H29" t="s">
        <v>106</v>
      </c>
      <c r="I29" t="s">
        <v>107</v>
      </c>
      <c r="J29" t="s">
        <v>2473</v>
      </c>
      <c r="K29" t="s">
        <v>162</v>
      </c>
      <c r="M29" t="s">
        <v>163</v>
      </c>
      <c r="N29" t="s">
        <v>98</v>
      </c>
      <c r="O29" s="27">
        <v>1334000</v>
      </c>
      <c r="P29">
        <v>3</v>
      </c>
      <c r="Q29" t="s">
        <v>164</v>
      </c>
      <c r="R29">
        <v>21</v>
      </c>
      <c r="S29" t="s">
        <v>262</v>
      </c>
      <c r="T29" t="str">
        <f>IF(COUNTIF($A$2:A29,A29)&gt;1,"Duplicate","Unique")</f>
        <v>Unique</v>
      </c>
    </row>
    <row r="30" spans="1:20" x14ac:dyDescent="0.45">
      <c r="A30" t="s">
        <v>1645</v>
      </c>
      <c r="B30" t="s">
        <v>1646</v>
      </c>
      <c r="C30" t="s">
        <v>59</v>
      </c>
      <c r="D30" t="s">
        <v>58</v>
      </c>
      <c r="E30" t="s">
        <v>211</v>
      </c>
      <c r="F30" t="s">
        <v>82</v>
      </c>
      <c r="G30" t="s">
        <v>212</v>
      </c>
      <c r="H30" t="s">
        <v>109</v>
      </c>
      <c r="I30" t="s">
        <v>110</v>
      </c>
      <c r="J30" t="s">
        <v>2474</v>
      </c>
      <c r="K30" t="s">
        <v>170</v>
      </c>
      <c r="L30" t="s">
        <v>2475</v>
      </c>
      <c r="M30" t="s">
        <v>171</v>
      </c>
      <c r="N30" t="s">
        <v>95</v>
      </c>
      <c r="O30" s="27">
        <v>1051000</v>
      </c>
      <c r="P30">
        <v>2</v>
      </c>
      <c r="Q30" t="s">
        <v>172</v>
      </c>
      <c r="R30">
        <v>5</v>
      </c>
      <c r="S30" t="s">
        <v>214</v>
      </c>
      <c r="T30" t="str">
        <f>IF(COUNTIF($A$2:A30,A30)&gt;1,"Duplicate","Unique")</f>
        <v>Unique</v>
      </c>
    </row>
    <row r="31" spans="1:20" x14ac:dyDescent="0.45">
      <c r="A31" t="s">
        <v>1950</v>
      </c>
      <c r="B31" t="s">
        <v>472</v>
      </c>
      <c r="C31" t="s">
        <v>57</v>
      </c>
      <c r="D31" t="s">
        <v>2476</v>
      </c>
      <c r="E31" t="s">
        <v>160</v>
      </c>
      <c r="F31" t="s">
        <v>81</v>
      </c>
      <c r="G31" t="s">
        <v>161</v>
      </c>
      <c r="H31" t="s">
        <v>111</v>
      </c>
      <c r="I31" t="s">
        <v>110</v>
      </c>
      <c r="J31" t="s">
        <v>2477</v>
      </c>
      <c r="K31" t="s">
        <v>162</v>
      </c>
      <c r="M31" t="s">
        <v>163</v>
      </c>
      <c r="N31" t="s">
        <v>95</v>
      </c>
      <c r="O31" s="27">
        <v>849000</v>
      </c>
      <c r="P31">
        <v>3</v>
      </c>
      <c r="Q31" t="s">
        <v>164</v>
      </c>
      <c r="R31">
        <v>26</v>
      </c>
      <c r="S31" t="s">
        <v>165</v>
      </c>
      <c r="T31" t="str">
        <f>IF(COUNTIF($A$2:A31,A31)&gt;1,"Duplicate","Unique")</f>
        <v>Unique</v>
      </c>
    </row>
    <row r="32" spans="1:20" x14ac:dyDescent="0.45">
      <c r="A32" t="s">
        <v>723</v>
      </c>
      <c r="B32" t="s">
        <v>724</v>
      </c>
      <c r="C32" t="s">
        <v>55</v>
      </c>
      <c r="D32" t="s">
        <v>54</v>
      </c>
      <c r="E32" t="s">
        <v>229</v>
      </c>
      <c r="F32" t="s">
        <v>82</v>
      </c>
      <c r="G32" t="s">
        <v>230</v>
      </c>
      <c r="H32" t="s">
        <v>106</v>
      </c>
      <c r="I32" t="s">
        <v>107</v>
      </c>
      <c r="J32" t="s">
        <v>2478</v>
      </c>
      <c r="K32" t="s">
        <v>170</v>
      </c>
      <c r="L32" t="s">
        <v>2479</v>
      </c>
      <c r="M32" t="s">
        <v>171</v>
      </c>
      <c r="N32" t="s">
        <v>98</v>
      </c>
      <c r="O32" s="27">
        <v>1140000</v>
      </c>
      <c r="P32">
        <v>1</v>
      </c>
      <c r="Q32" t="s">
        <v>164</v>
      </c>
      <c r="R32">
        <v>9</v>
      </c>
      <c r="S32" t="s">
        <v>262</v>
      </c>
      <c r="T32" t="str">
        <f>IF(COUNTIF($A$2:A32,A32)&gt;1,"Duplicate","Unique")</f>
        <v>Unique</v>
      </c>
    </row>
    <row r="33" spans="1:20" x14ac:dyDescent="0.45">
      <c r="A33" t="s">
        <v>2110</v>
      </c>
      <c r="B33" t="s">
        <v>1897</v>
      </c>
      <c r="C33" t="s">
        <v>57</v>
      </c>
      <c r="D33" t="s">
        <v>56</v>
      </c>
      <c r="E33" t="s">
        <v>455</v>
      </c>
      <c r="F33" t="s">
        <v>84</v>
      </c>
      <c r="G33" t="s">
        <v>456</v>
      </c>
      <c r="H33" t="s">
        <v>106</v>
      </c>
      <c r="I33" t="s">
        <v>107</v>
      </c>
      <c r="J33" t="s">
        <v>2480</v>
      </c>
      <c r="K33" t="s">
        <v>162</v>
      </c>
      <c r="M33" t="s">
        <v>163</v>
      </c>
      <c r="N33" t="s">
        <v>97</v>
      </c>
      <c r="O33" s="27">
        <v>2342000</v>
      </c>
      <c r="P33">
        <v>3</v>
      </c>
      <c r="Q33" t="s">
        <v>172</v>
      </c>
      <c r="R33">
        <v>41</v>
      </c>
      <c r="S33" t="s">
        <v>224</v>
      </c>
      <c r="T33" t="str">
        <f>IF(COUNTIF($A$2:A33,A33)&gt;1,"Duplicate","Unique")</f>
        <v>Unique</v>
      </c>
    </row>
    <row r="34" spans="1:20" x14ac:dyDescent="0.45">
      <c r="A34" t="s">
        <v>1302</v>
      </c>
      <c r="B34" t="s">
        <v>2481</v>
      </c>
      <c r="C34" t="s">
        <v>57</v>
      </c>
      <c r="D34" t="s">
        <v>56</v>
      </c>
      <c r="E34" t="s">
        <v>455</v>
      </c>
      <c r="F34" t="s">
        <v>84</v>
      </c>
      <c r="G34" t="s">
        <v>456</v>
      </c>
      <c r="H34" t="s">
        <v>111</v>
      </c>
      <c r="I34" t="s">
        <v>110</v>
      </c>
      <c r="J34" t="s">
        <v>2482</v>
      </c>
      <c r="K34" t="s">
        <v>187</v>
      </c>
      <c r="L34" t="s">
        <v>2483</v>
      </c>
      <c r="M34" t="s">
        <v>282</v>
      </c>
      <c r="N34" t="s">
        <v>99</v>
      </c>
      <c r="O34" s="27">
        <v>2152000</v>
      </c>
      <c r="P34">
        <v>4</v>
      </c>
      <c r="Q34" t="s">
        <v>164</v>
      </c>
      <c r="R34">
        <v>24</v>
      </c>
      <c r="S34" t="s">
        <v>224</v>
      </c>
      <c r="T34" t="str">
        <f>IF(COUNTIF($A$2:A34,A34)&gt;1,"Duplicate","Unique")</f>
        <v>Unique</v>
      </c>
    </row>
    <row r="35" spans="1:20" x14ac:dyDescent="0.45">
      <c r="A35" t="s">
        <v>1721</v>
      </c>
      <c r="B35" t="s">
        <v>1643</v>
      </c>
      <c r="C35" t="s">
        <v>57</v>
      </c>
      <c r="D35" t="s">
        <v>2484</v>
      </c>
      <c r="E35" t="s">
        <v>222</v>
      </c>
      <c r="F35" t="s">
        <v>82</v>
      </c>
      <c r="G35" t="s">
        <v>223</v>
      </c>
      <c r="H35" t="s">
        <v>108</v>
      </c>
      <c r="I35" t="s">
        <v>107</v>
      </c>
      <c r="J35" t="s">
        <v>2485</v>
      </c>
      <c r="K35" t="s">
        <v>187</v>
      </c>
      <c r="L35" t="s">
        <v>2486</v>
      </c>
      <c r="M35" t="s">
        <v>213</v>
      </c>
      <c r="N35" t="s">
        <v>97</v>
      </c>
      <c r="O35" s="27">
        <v>983000</v>
      </c>
      <c r="P35">
        <v>5</v>
      </c>
      <c r="Q35" t="s">
        <v>172</v>
      </c>
      <c r="R35">
        <v>29</v>
      </c>
      <c r="S35" t="s">
        <v>224</v>
      </c>
      <c r="T35" t="str">
        <f>IF(COUNTIF($A$2:A35,A35)&gt;1,"Duplicate","Unique")</f>
        <v>Unique</v>
      </c>
    </row>
    <row r="36" spans="1:20" x14ac:dyDescent="0.45">
      <c r="A36" t="s">
        <v>1983</v>
      </c>
      <c r="B36" t="s">
        <v>1984</v>
      </c>
      <c r="C36" t="s">
        <v>53</v>
      </c>
      <c r="D36" t="s">
        <v>52</v>
      </c>
      <c r="E36" t="s">
        <v>192</v>
      </c>
      <c r="F36" t="s">
        <v>83</v>
      </c>
      <c r="G36" t="s">
        <v>193</v>
      </c>
      <c r="H36" t="s">
        <v>109</v>
      </c>
      <c r="I36" t="s">
        <v>110</v>
      </c>
      <c r="J36" t="s">
        <v>2487</v>
      </c>
      <c r="K36" t="s">
        <v>187</v>
      </c>
      <c r="L36" t="s">
        <v>2488</v>
      </c>
      <c r="M36" t="s">
        <v>269</v>
      </c>
      <c r="N36" t="s">
        <v>98</v>
      </c>
      <c r="O36" s="27">
        <v>2097000</v>
      </c>
      <c r="P36">
        <v>3</v>
      </c>
      <c r="Q36" t="s">
        <v>164</v>
      </c>
      <c r="R36">
        <v>46</v>
      </c>
      <c r="S36" t="s">
        <v>194</v>
      </c>
      <c r="T36" t="str">
        <f>IF(COUNTIF($A$2:A36,A36)&gt;1,"Duplicate","Unique")</f>
        <v>Unique</v>
      </c>
    </row>
    <row r="37" spans="1:20" x14ac:dyDescent="0.45">
      <c r="A37" t="s">
        <v>1865</v>
      </c>
      <c r="B37" t="s">
        <v>1842</v>
      </c>
      <c r="C37" t="s">
        <v>61</v>
      </c>
      <c r="D37" t="s">
        <v>60</v>
      </c>
      <c r="E37" t="s">
        <v>317</v>
      </c>
      <c r="F37" t="s">
        <v>84</v>
      </c>
      <c r="G37" t="s">
        <v>318</v>
      </c>
      <c r="H37" t="s">
        <v>108</v>
      </c>
      <c r="I37" t="s">
        <v>107</v>
      </c>
      <c r="J37" t="s">
        <v>2489</v>
      </c>
      <c r="K37" t="s">
        <v>162</v>
      </c>
      <c r="M37" t="s">
        <v>163</v>
      </c>
      <c r="N37" t="s">
        <v>99</v>
      </c>
      <c r="O37" s="27">
        <v>2670000</v>
      </c>
      <c r="P37">
        <v>3</v>
      </c>
      <c r="Q37" t="s">
        <v>164</v>
      </c>
      <c r="R37">
        <v>28</v>
      </c>
      <c r="S37" t="s">
        <v>319</v>
      </c>
      <c r="T37" t="str">
        <f>IF(COUNTIF($A$2:A37,A37)&gt;1,"Duplicate","Unique")</f>
        <v>Unique</v>
      </c>
    </row>
    <row r="38" spans="1:20" x14ac:dyDescent="0.45">
      <c r="A38" t="s">
        <v>1347</v>
      </c>
      <c r="B38" t="s">
        <v>1348</v>
      </c>
      <c r="C38" t="s">
        <v>59</v>
      </c>
      <c r="D38" t="s">
        <v>58</v>
      </c>
      <c r="E38" t="s">
        <v>287</v>
      </c>
      <c r="F38" t="s">
        <v>83</v>
      </c>
      <c r="G38" t="s">
        <v>288</v>
      </c>
      <c r="H38" t="s">
        <v>111</v>
      </c>
      <c r="I38" t="s">
        <v>110</v>
      </c>
      <c r="J38" t="s">
        <v>2490</v>
      </c>
      <c r="K38" t="s">
        <v>170</v>
      </c>
      <c r="L38" t="s">
        <v>2491</v>
      </c>
      <c r="M38" t="s">
        <v>171</v>
      </c>
      <c r="N38" t="s">
        <v>99</v>
      </c>
      <c r="O38" s="27">
        <v>2049000</v>
      </c>
      <c r="P38">
        <v>2</v>
      </c>
      <c r="Q38" t="s">
        <v>164</v>
      </c>
      <c r="R38">
        <v>16</v>
      </c>
      <c r="S38" t="s">
        <v>208</v>
      </c>
      <c r="T38" t="str">
        <f>IF(COUNTIF($A$2:A38,A38)&gt;1,"Duplicate","Unique")</f>
        <v>Unique</v>
      </c>
    </row>
    <row r="39" spans="1:20" x14ac:dyDescent="0.45">
      <c r="A39" t="s">
        <v>350</v>
      </c>
      <c r="B39" t="s">
        <v>351</v>
      </c>
      <c r="C39" t="s">
        <v>55</v>
      </c>
      <c r="D39" t="s">
        <v>54</v>
      </c>
      <c r="E39" t="s">
        <v>277</v>
      </c>
      <c r="F39" t="s">
        <v>81</v>
      </c>
      <c r="G39" t="s">
        <v>278</v>
      </c>
      <c r="H39" t="s">
        <v>108</v>
      </c>
      <c r="I39" t="s">
        <v>107</v>
      </c>
      <c r="J39" t="s">
        <v>2492</v>
      </c>
      <c r="K39" t="s">
        <v>162</v>
      </c>
      <c r="M39" t="s">
        <v>163</v>
      </c>
      <c r="N39" t="s">
        <v>97</v>
      </c>
      <c r="O39" s="27">
        <v>731000</v>
      </c>
      <c r="P39">
        <v>4</v>
      </c>
      <c r="Q39" t="s">
        <v>172</v>
      </c>
      <c r="R39">
        <v>36</v>
      </c>
      <c r="S39" t="s">
        <v>274</v>
      </c>
      <c r="T39" t="str">
        <f>IF(COUNTIF($A$2:A39,A39)&gt;1,"Duplicate","Unique")</f>
        <v>Unique</v>
      </c>
    </row>
    <row r="40" spans="1:20" x14ac:dyDescent="0.45">
      <c r="A40" t="s">
        <v>805</v>
      </c>
      <c r="B40" t="s">
        <v>806</v>
      </c>
      <c r="C40" t="s">
        <v>53</v>
      </c>
      <c r="D40" t="s">
        <v>52</v>
      </c>
      <c r="E40" t="s">
        <v>322</v>
      </c>
      <c r="F40" t="s">
        <v>81</v>
      </c>
      <c r="G40" t="s">
        <v>323</v>
      </c>
      <c r="H40" t="s">
        <v>108</v>
      </c>
      <c r="I40" t="s">
        <v>107</v>
      </c>
      <c r="J40" t="s">
        <v>2493</v>
      </c>
      <c r="K40" t="s">
        <v>187</v>
      </c>
      <c r="L40" t="s">
        <v>2494</v>
      </c>
      <c r="M40" t="s">
        <v>269</v>
      </c>
      <c r="N40" t="s">
        <v>98</v>
      </c>
      <c r="O40" s="27">
        <v>804000</v>
      </c>
      <c r="P40">
        <v>3</v>
      </c>
      <c r="Q40" t="s">
        <v>164</v>
      </c>
      <c r="R40">
        <v>64</v>
      </c>
      <c r="S40" t="s">
        <v>237</v>
      </c>
      <c r="T40" t="str">
        <f>IF(COUNTIF($A$2:A40,A40)&gt;1,"Duplicate","Unique")</f>
        <v>Unique</v>
      </c>
    </row>
    <row r="41" spans="1:20" x14ac:dyDescent="0.45">
      <c r="A41" t="s">
        <v>1844</v>
      </c>
      <c r="B41" t="s">
        <v>855</v>
      </c>
      <c r="C41" t="s">
        <v>59</v>
      </c>
      <c r="D41" t="s">
        <v>58</v>
      </c>
      <c r="E41" t="s">
        <v>1258</v>
      </c>
      <c r="F41" t="s">
        <v>85</v>
      </c>
      <c r="G41" t="s">
        <v>1259</v>
      </c>
      <c r="H41" t="s">
        <v>108</v>
      </c>
      <c r="I41" t="s">
        <v>107</v>
      </c>
      <c r="J41" t="s">
        <v>2495</v>
      </c>
      <c r="K41" t="s">
        <v>162</v>
      </c>
      <c r="M41" t="s">
        <v>163</v>
      </c>
      <c r="N41" t="s">
        <v>99</v>
      </c>
      <c r="O41" s="27">
        <v>3691000</v>
      </c>
      <c r="P41">
        <v>3</v>
      </c>
      <c r="Q41" t="s">
        <v>164</v>
      </c>
      <c r="R41">
        <v>58</v>
      </c>
      <c r="S41" t="s">
        <v>214</v>
      </c>
      <c r="T41" t="str">
        <f>IF(COUNTIF($A$2:A41,A41)&gt;1,"Duplicate","Unique")</f>
        <v>Unique</v>
      </c>
    </row>
    <row r="42" spans="1:20" x14ac:dyDescent="0.45">
      <c r="A42" t="s">
        <v>1797</v>
      </c>
      <c r="B42" t="s">
        <v>897</v>
      </c>
      <c r="C42" t="s">
        <v>53</v>
      </c>
      <c r="D42" t="s">
        <v>52</v>
      </c>
      <c r="E42" t="s">
        <v>322</v>
      </c>
      <c r="F42" t="s">
        <v>81</v>
      </c>
      <c r="G42" t="s">
        <v>323</v>
      </c>
      <c r="H42" t="s">
        <v>106</v>
      </c>
      <c r="I42" t="s">
        <v>107</v>
      </c>
      <c r="J42" t="s">
        <v>2496</v>
      </c>
      <c r="K42" t="s">
        <v>170</v>
      </c>
      <c r="L42" t="s">
        <v>2497</v>
      </c>
      <c r="M42" t="s">
        <v>171</v>
      </c>
      <c r="N42" t="s">
        <v>96</v>
      </c>
      <c r="O42" s="27">
        <v>757000</v>
      </c>
      <c r="P42">
        <v>4</v>
      </c>
      <c r="Q42" t="s">
        <v>164</v>
      </c>
      <c r="R42">
        <v>21</v>
      </c>
      <c r="S42" t="s">
        <v>194</v>
      </c>
      <c r="T42" t="str">
        <f>IF(COUNTIF($A$2:A42,A42)&gt;1,"Duplicate","Unique")</f>
        <v>Unique</v>
      </c>
    </row>
    <row r="43" spans="1:20" x14ac:dyDescent="0.45">
      <c r="A43" t="s">
        <v>768</v>
      </c>
      <c r="B43" t="s">
        <v>769</v>
      </c>
      <c r="C43" t="s">
        <v>51</v>
      </c>
      <c r="D43" t="s">
        <v>2464</v>
      </c>
      <c r="E43" t="s">
        <v>176</v>
      </c>
      <c r="F43" t="s">
        <v>82</v>
      </c>
      <c r="G43" t="s">
        <v>177</v>
      </c>
      <c r="H43" t="s">
        <v>109</v>
      </c>
      <c r="I43" t="s">
        <v>110</v>
      </c>
      <c r="J43" t="s">
        <v>2498</v>
      </c>
      <c r="K43" t="s">
        <v>162</v>
      </c>
      <c r="M43" t="s">
        <v>163</v>
      </c>
      <c r="N43" t="s">
        <v>95</v>
      </c>
      <c r="O43" s="27">
        <v>1032000</v>
      </c>
      <c r="P43">
        <v>5</v>
      </c>
      <c r="Q43" t="s">
        <v>172</v>
      </c>
      <c r="R43">
        <v>31</v>
      </c>
      <c r="S43" t="s">
        <v>219</v>
      </c>
      <c r="T43" t="str">
        <f>IF(COUNTIF($A$2:A43,A43)&gt;1,"Duplicate","Unique")</f>
        <v>Unique</v>
      </c>
    </row>
    <row r="44" spans="1:20" x14ac:dyDescent="0.45">
      <c r="A44" t="s">
        <v>900</v>
      </c>
      <c r="B44" t="s">
        <v>901</v>
      </c>
      <c r="C44" t="s">
        <v>59</v>
      </c>
      <c r="D44" t="s">
        <v>58</v>
      </c>
      <c r="E44" t="s">
        <v>211</v>
      </c>
      <c r="F44" t="s">
        <v>82</v>
      </c>
      <c r="G44" t="s">
        <v>212</v>
      </c>
      <c r="H44" t="s">
        <v>108</v>
      </c>
      <c r="I44" t="s">
        <v>107</v>
      </c>
      <c r="J44" t="s">
        <v>2499</v>
      </c>
      <c r="K44" t="s">
        <v>162</v>
      </c>
      <c r="M44" t="s">
        <v>163</v>
      </c>
      <c r="N44" t="s">
        <v>99</v>
      </c>
      <c r="O44" s="27">
        <v>1027000</v>
      </c>
      <c r="P44">
        <v>3</v>
      </c>
      <c r="Q44" t="s">
        <v>164</v>
      </c>
      <c r="R44">
        <v>33</v>
      </c>
      <c r="S44" t="s">
        <v>208</v>
      </c>
      <c r="T44" t="str">
        <f>IF(COUNTIF($A$2:A44,A44)&gt;1,"Duplicate","Unique")</f>
        <v>Unique</v>
      </c>
    </row>
    <row r="45" spans="1:20" x14ac:dyDescent="0.45">
      <c r="A45" t="s">
        <v>1095</v>
      </c>
      <c r="B45" t="s">
        <v>1096</v>
      </c>
      <c r="C45" t="s">
        <v>51</v>
      </c>
      <c r="D45" t="s">
        <v>50</v>
      </c>
      <c r="E45" t="s">
        <v>176</v>
      </c>
      <c r="F45" t="s">
        <v>82</v>
      </c>
      <c r="G45" t="s">
        <v>177</v>
      </c>
      <c r="H45" t="s">
        <v>108</v>
      </c>
      <c r="I45" t="s">
        <v>107</v>
      </c>
      <c r="J45" t="s">
        <v>2500</v>
      </c>
      <c r="K45" t="s">
        <v>187</v>
      </c>
      <c r="L45" t="s">
        <v>2501</v>
      </c>
      <c r="M45" t="s">
        <v>269</v>
      </c>
      <c r="N45" t="s">
        <v>97</v>
      </c>
      <c r="O45" s="27">
        <v>1250000</v>
      </c>
      <c r="P45">
        <v>3</v>
      </c>
      <c r="Q45" t="s">
        <v>172</v>
      </c>
      <c r="R45">
        <v>58</v>
      </c>
      <c r="S45" t="s">
        <v>219</v>
      </c>
      <c r="T45" t="str">
        <f>IF(COUNTIF($A$2:A45,A45)&gt;1,"Duplicate","Unique")</f>
        <v>Unique</v>
      </c>
    </row>
    <row r="46" spans="1:20" x14ac:dyDescent="0.45">
      <c r="A46" t="s">
        <v>1756</v>
      </c>
      <c r="B46" t="s">
        <v>2502</v>
      </c>
      <c r="C46" t="s">
        <v>55</v>
      </c>
      <c r="D46" t="s">
        <v>54</v>
      </c>
      <c r="E46" t="s">
        <v>277</v>
      </c>
      <c r="F46" t="s">
        <v>81</v>
      </c>
      <c r="G46" t="s">
        <v>278</v>
      </c>
      <c r="H46" t="s">
        <v>106</v>
      </c>
      <c r="I46" t="s">
        <v>107</v>
      </c>
      <c r="J46" t="s">
        <v>2503</v>
      </c>
      <c r="K46" t="s">
        <v>162</v>
      </c>
      <c r="M46" t="s">
        <v>163</v>
      </c>
      <c r="N46" t="s">
        <v>95</v>
      </c>
      <c r="O46" s="27">
        <v>598000</v>
      </c>
      <c r="P46">
        <v>4</v>
      </c>
      <c r="Q46" t="s">
        <v>172</v>
      </c>
      <c r="R46">
        <v>24</v>
      </c>
      <c r="S46" t="s">
        <v>274</v>
      </c>
      <c r="T46" t="str">
        <f>IF(COUNTIF($A$2:A46,A46)&gt;1,"Duplicate","Unique")</f>
        <v>Unique</v>
      </c>
    </row>
    <row r="47" spans="1:20" x14ac:dyDescent="0.45">
      <c r="A47" t="s">
        <v>2163</v>
      </c>
      <c r="B47" t="s">
        <v>2164</v>
      </c>
      <c r="C47" t="s">
        <v>51</v>
      </c>
      <c r="D47" t="s">
        <v>50</v>
      </c>
      <c r="E47" t="s">
        <v>176</v>
      </c>
      <c r="F47" t="s">
        <v>82</v>
      </c>
      <c r="G47" t="s">
        <v>177</v>
      </c>
      <c r="H47" t="s">
        <v>106</v>
      </c>
      <c r="I47" t="s">
        <v>107</v>
      </c>
      <c r="J47" t="s">
        <v>2504</v>
      </c>
      <c r="K47" t="s">
        <v>162</v>
      </c>
      <c r="M47" t="s">
        <v>163</v>
      </c>
      <c r="N47" t="s">
        <v>95</v>
      </c>
      <c r="O47" s="27">
        <v>1080000</v>
      </c>
      <c r="P47">
        <v>3</v>
      </c>
      <c r="Q47" t="s">
        <v>164</v>
      </c>
      <c r="R47">
        <v>41</v>
      </c>
      <c r="S47" t="s">
        <v>244</v>
      </c>
      <c r="T47" t="str">
        <f>IF(COUNTIF($A$2:A47,A47)&gt;1,"Duplicate","Unique")</f>
        <v>Unique</v>
      </c>
    </row>
    <row r="48" spans="1:20" x14ac:dyDescent="0.45">
      <c r="A48" t="s">
        <v>2305</v>
      </c>
      <c r="B48" t="s">
        <v>294</v>
      </c>
      <c r="C48" t="s">
        <v>53</v>
      </c>
      <c r="D48" t="s">
        <v>52</v>
      </c>
      <c r="E48" t="s">
        <v>185</v>
      </c>
      <c r="F48" t="s">
        <v>82</v>
      </c>
      <c r="G48" t="s">
        <v>186</v>
      </c>
      <c r="H48" t="s">
        <v>108</v>
      </c>
      <c r="I48" t="s">
        <v>107</v>
      </c>
      <c r="J48" t="s">
        <v>2505</v>
      </c>
      <c r="K48" t="s">
        <v>170</v>
      </c>
      <c r="L48" t="s">
        <v>2506</v>
      </c>
      <c r="M48" t="s">
        <v>171</v>
      </c>
      <c r="N48" t="s">
        <v>95</v>
      </c>
      <c r="O48" s="27">
        <v>989000</v>
      </c>
      <c r="P48">
        <v>3</v>
      </c>
      <c r="Q48" t="s">
        <v>172</v>
      </c>
      <c r="R48">
        <v>39</v>
      </c>
      <c r="S48" t="s">
        <v>194</v>
      </c>
      <c r="T48" t="str">
        <f>IF(COUNTIF($A$2:A48,A48)&gt;1,"Duplicate","Unique")</f>
        <v>Unique</v>
      </c>
    </row>
    <row r="49" spans="1:20" x14ac:dyDescent="0.45">
      <c r="A49" t="s">
        <v>620</v>
      </c>
      <c r="B49" t="s">
        <v>621</v>
      </c>
      <c r="C49" t="s">
        <v>51</v>
      </c>
      <c r="D49" t="s">
        <v>50</v>
      </c>
      <c r="E49" t="s">
        <v>217</v>
      </c>
      <c r="F49" t="s">
        <v>83</v>
      </c>
      <c r="G49" t="s">
        <v>218</v>
      </c>
      <c r="H49" t="s">
        <v>106</v>
      </c>
      <c r="I49" t="s">
        <v>107</v>
      </c>
      <c r="J49" t="s">
        <v>2507</v>
      </c>
      <c r="K49" t="s">
        <v>162</v>
      </c>
      <c r="M49" t="s">
        <v>163</v>
      </c>
      <c r="N49" t="s">
        <v>98</v>
      </c>
      <c r="O49" s="27">
        <v>1546000</v>
      </c>
      <c r="P49">
        <v>2</v>
      </c>
      <c r="Q49" t="s">
        <v>164</v>
      </c>
      <c r="R49">
        <v>14</v>
      </c>
      <c r="S49" t="s">
        <v>197</v>
      </c>
      <c r="T49" t="str">
        <f>IF(COUNTIF($A$2:A49,A49)&gt;1,"Duplicate","Unique")</f>
        <v>Unique</v>
      </c>
    </row>
    <row r="50" spans="1:20" x14ac:dyDescent="0.45">
      <c r="A50" t="s">
        <v>2030</v>
      </c>
      <c r="B50" t="s">
        <v>2031</v>
      </c>
      <c r="C50" t="s">
        <v>55</v>
      </c>
      <c r="D50" t="s">
        <v>54</v>
      </c>
      <c r="E50" t="s">
        <v>229</v>
      </c>
      <c r="F50" t="s">
        <v>82</v>
      </c>
      <c r="G50" t="s">
        <v>230</v>
      </c>
      <c r="H50" t="s">
        <v>111</v>
      </c>
      <c r="I50" t="s">
        <v>110</v>
      </c>
      <c r="J50" t="s">
        <v>2463</v>
      </c>
      <c r="K50" t="s">
        <v>162</v>
      </c>
      <c r="M50" t="s">
        <v>163</v>
      </c>
      <c r="N50" t="s">
        <v>98</v>
      </c>
      <c r="O50" s="27">
        <v>1243000</v>
      </c>
      <c r="P50">
        <v>3</v>
      </c>
      <c r="Q50" t="s">
        <v>172</v>
      </c>
      <c r="R50">
        <v>42</v>
      </c>
      <c r="S50" t="s">
        <v>262</v>
      </c>
      <c r="T50" t="str">
        <f>IF(COUNTIF($A$2:A50,A50)&gt;1,"Duplicate","Unique")</f>
        <v>Unique</v>
      </c>
    </row>
    <row r="51" spans="1:20" x14ac:dyDescent="0.45">
      <c r="A51" t="s">
        <v>2021</v>
      </c>
      <c r="B51" t="s">
        <v>1253</v>
      </c>
      <c r="C51" t="s">
        <v>61</v>
      </c>
      <c r="D51" t="s">
        <v>60</v>
      </c>
      <c r="E51" t="s">
        <v>923</v>
      </c>
      <c r="F51" t="s">
        <v>85</v>
      </c>
      <c r="G51" t="s">
        <v>924</v>
      </c>
      <c r="H51" t="s">
        <v>108</v>
      </c>
      <c r="I51" t="s">
        <v>107</v>
      </c>
      <c r="J51" t="s">
        <v>2508</v>
      </c>
      <c r="K51" t="s">
        <v>187</v>
      </c>
      <c r="L51" t="s">
        <v>2509</v>
      </c>
      <c r="M51" t="s">
        <v>188</v>
      </c>
      <c r="N51" t="s">
        <v>99</v>
      </c>
      <c r="O51" s="27">
        <v>4676000</v>
      </c>
      <c r="P51">
        <v>3</v>
      </c>
      <c r="Q51" t="s">
        <v>172</v>
      </c>
      <c r="S51" t="s">
        <v>253</v>
      </c>
      <c r="T51" t="str">
        <f>IF(COUNTIF($A$2:A51,A51)&gt;1,"Duplicate","Unique")</f>
        <v>Unique</v>
      </c>
    </row>
    <row r="52" spans="1:20" x14ac:dyDescent="0.45">
      <c r="A52" t="s">
        <v>436</v>
      </c>
      <c r="B52" t="s">
        <v>343</v>
      </c>
      <c r="C52" t="s">
        <v>61</v>
      </c>
      <c r="D52" t="s">
        <v>2510</v>
      </c>
      <c r="E52" t="s">
        <v>251</v>
      </c>
      <c r="F52" t="s">
        <v>82</v>
      </c>
      <c r="G52" t="s">
        <v>252</v>
      </c>
      <c r="H52" t="s">
        <v>109</v>
      </c>
      <c r="I52" t="s">
        <v>110</v>
      </c>
      <c r="J52" t="s">
        <v>2511</v>
      </c>
      <c r="K52" t="s">
        <v>162</v>
      </c>
      <c r="M52" t="s">
        <v>163</v>
      </c>
      <c r="N52" t="s">
        <v>98</v>
      </c>
      <c r="O52" s="27">
        <v>1162000</v>
      </c>
      <c r="P52">
        <v>4</v>
      </c>
      <c r="Q52" t="s">
        <v>164</v>
      </c>
      <c r="R52">
        <v>51</v>
      </c>
      <c r="S52" t="s">
        <v>253</v>
      </c>
      <c r="T52" t="str">
        <f>IF(COUNTIF($A$2:A52,A52)&gt;1,"Duplicate","Unique")</f>
        <v>Unique</v>
      </c>
    </row>
    <row r="53" spans="1:20" x14ac:dyDescent="0.45">
      <c r="A53" t="s">
        <v>2195</v>
      </c>
      <c r="B53" t="s">
        <v>2512</v>
      </c>
      <c r="C53" t="s">
        <v>53</v>
      </c>
      <c r="D53" t="s">
        <v>52</v>
      </c>
      <c r="E53" t="s">
        <v>192</v>
      </c>
      <c r="F53" t="s">
        <v>83</v>
      </c>
      <c r="G53" t="s">
        <v>193</v>
      </c>
      <c r="H53" t="s">
        <v>106</v>
      </c>
      <c r="I53" t="s">
        <v>107</v>
      </c>
      <c r="J53" t="s">
        <v>2513</v>
      </c>
      <c r="K53" t="s">
        <v>162</v>
      </c>
      <c r="M53" t="s">
        <v>163</v>
      </c>
      <c r="N53" t="s">
        <v>97</v>
      </c>
      <c r="O53" s="27">
        <v>1652000</v>
      </c>
      <c r="P53">
        <v>2</v>
      </c>
      <c r="Q53" t="s">
        <v>172</v>
      </c>
      <c r="S53" t="s">
        <v>237</v>
      </c>
      <c r="T53" t="str">
        <f>IF(COUNTIF($A$2:A53,A53)&gt;1,"Duplicate","Unique")</f>
        <v>Unique</v>
      </c>
    </row>
    <row r="54" spans="1:20" x14ac:dyDescent="0.45">
      <c r="A54" t="s">
        <v>1709</v>
      </c>
      <c r="B54" t="s">
        <v>2514</v>
      </c>
      <c r="C54" t="s">
        <v>51</v>
      </c>
      <c r="D54" t="s">
        <v>50</v>
      </c>
      <c r="E54" t="s">
        <v>397</v>
      </c>
      <c r="F54" t="s">
        <v>84</v>
      </c>
      <c r="G54" t="s">
        <v>398</v>
      </c>
      <c r="H54" t="s">
        <v>112</v>
      </c>
      <c r="I54" t="s">
        <v>113</v>
      </c>
      <c r="J54" t="s">
        <v>2515</v>
      </c>
      <c r="K54" t="s">
        <v>162</v>
      </c>
      <c r="M54" t="s">
        <v>163</v>
      </c>
      <c r="N54" t="s">
        <v>95</v>
      </c>
      <c r="O54" s="27">
        <v>3274000</v>
      </c>
      <c r="P54">
        <v>3</v>
      </c>
      <c r="Q54" t="s">
        <v>2516</v>
      </c>
      <c r="R54">
        <v>23</v>
      </c>
      <c r="S54" t="s">
        <v>244</v>
      </c>
      <c r="T54" t="str">
        <f>IF(COUNTIF($A$2:A54,A54)&gt;1,"Duplicate","Unique")</f>
        <v>Unique</v>
      </c>
    </row>
    <row r="55" spans="1:20" x14ac:dyDescent="0.45">
      <c r="A55" t="s">
        <v>406</v>
      </c>
      <c r="B55" t="s">
        <v>407</v>
      </c>
      <c r="C55" t="s">
        <v>55</v>
      </c>
      <c r="D55" t="s">
        <v>54</v>
      </c>
      <c r="E55" t="s">
        <v>240</v>
      </c>
      <c r="F55" t="s">
        <v>83</v>
      </c>
      <c r="G55" t="s">
        <v>241</v>
      </c>
      <c r="H55" t="s">
        <v>109</v>
      </c>
      <c r="I55" t="s">
        <v>110</v>
      </c>
      <c r="J55" t="s">
        <v>2517</v>
      </c>
      <c r="K55" t="s">
        <v>187</v>
      </c>
      <c r="L55" t="s">
        <v>2518</v>
      </c>
      <c r="M55" t="s">
        <v>213</v>
      </c>
      <c r="N55" t="s">
        <v>98</v>
      </c>
      <c r="O55" s="27">
        <v>1672000</v>
      </c>
      <c r="P55">
        <v>3</v>
      </c>
      <c r="Q55" t="s">
        <v>172</v>
      </c>
      <c r="R55">
        <v>21</v>
      </c>
      <c r="S55" t="s">
        <v>274</v>
      </c>
      <c r="T55" t="str">
        <f>IF(COUNTIF($A$2:A55,A55)&gt;1,"Duplicate","Unique")</f>
        <v>Unique</v>
      </c>
    </row>
    <row r="56" spans="1:20" x14ac:dyDescent="0.45">
      <c r="A56" t="s">
        <v>473</v>
      </c>
      <c r="B56" t="s">
        <v>474</v>
      </c>
      <c r="C56" t="s">
        <v>55</v>
      </c>
      <c r="D56" t="s">
        <v>54</v>
      </c>
      <c r="E56" t="s">
        <v>229</v>
      </c>
      <c r="F56" t="s">
        <v>82</v>
      </c>
      <c r="G56" t="s">
        <v>230</v>
      </c>
      <c r="H56" t="s">
        <v>111</v>
      </c>
      <c r="I56" t="s">
        <v>110</v>
      </c>
      <c r="J56" t="s">
        <v>2519</v>
      </c>
      <c r="K56" t="s">
        <v>162</v>
      </c>
      <c r="M56" t="s">
        <v>163</v>
      </c>
      <c r="N56" t="s">
        <v>99</v>
      </c>
      <c r="O56" s="27">
        <v>1301000</v>
      </c>
      <c r="P56">
        <v>2</v>
      </c>
      <c r="Q56" t="s">
        <v>172</v>
      </c>
      <c r="R56">
        <v>29</v>
      </c>
      <c r="S56" t="s">
        <v>274</v>
      </c>
      <c r="T56" t="str">
        <f>IF(COUNTIF($A$2:A56,A56)&gt;1,"Duplicate","Unique")</f>
        <v>Unique</v>
      </c>
    </row>
    <row r="57" spans="1:20" x14ac:dyDescent="0.45">
      <c r="A57" t="s">
        <v>2002</v>
      </c>
      <c r="B57" t="s">
        <v>1222</v>
      </c>
      <c r="C57" t="s">
        <v>51</v>
      </c>
      <c r="D57" t="s">
        <v>50</v>
      </c>
      <c r="E57" t="s">
        <v>181</v>
      </c>
      <c r="F57" t="s">
        <v>81</v>
      </c>
      <c r="G57" t="s">
        <v>182</v>
      </c>
      <c r="H57" t="s">
        <v>109</v>
      </c>
      <c r="I57" t="s">
        <v>110</v>
      </c>
      <c r="J57" t="s">
        <v>2520</v>
      </c>
      <c r="K57" t="s">
        <v>162</v>
      </c>
      <c r="M57" t="s">
        <v>163</v>
      </c>
      <c r="N57" t="s">
        <v>97</v>
      </c>
      <c r="O57" s="27">
        <v>651000</v>
      </c>
      <c r="P57">
        <v>4</v>
      </c>
      <c r="Q57" t="s">
        <v>164</v>
      </c>
      <c r="R57">
        <v>52</v>
      </c>
      <c r="S57" t="s">
        <v>197</v>
      </c>
      <c r="T57" t="str">
        <f>IF(COUNTIF($A$2:A57,A57)&gt;1,"Duplicate","Unique")</f>
        <v>Unique</v>
      </c>
    </row>
    <row r="58" spans="1:20" x14ac:dyDescent="0.45">
      <c r="A58" t="s">
        <v>1076</v>
      </c>
      <c r="B58" t="s">
        <v>337</v>
      </c>
      <c r="C58" t="s">
        <v>51</v>
      </c>
      <c r="D58" t="s">
        <v>50</v>
      </c>
      <c r="E58" t="s">
        <v>181</v>
      </c>
      <c r="F58" t="s">
        <v>81</v>
      </c>
      <c r="G58" t="s">
        <v>182</v>
      </c>
      <c r="H58" t="s">
        <v>112</v>
      </c>
      <c r="I58" t="s">
        <v>113</v>
      </c>
      <c r="J58" t="s">
        <v>2521</v>
      </c>
      <c r="K58" t="s">
        <v>162</v>
      </c>
      <c r="M58" t="s">
        <v>163</v>
      </c>
      <c r="N58" t="s">
        <v>99</v>
      </c>
      <c r="O58" s="27">
        <v>623000</v>
      </c>
      <c r="P58">
        <v>4</v>
      </c>
      <c r="Q58" t="s">
        <v>172</v>
      </c>
      <c r="R58">
        <v>28</v>
      </c>
      <c r="S58" t="s">
        <v>219</v>
      </c>
      <c r="T58" t="str">
        <f>IF(COUNTIF($A$2:A58,A58)&gt;1,"Duplicate","Unique")</f>
        <v>Unique</v>
      </c>
    </row>
    <row r="59" spans="1:20" x14ac:dyDescent="0.45">
      <c r="A59" t="s">
        <v>2323</v>
      </c>
      <c r="B59" t="s">
        <v>877</v>
      </c>
      <c r="C59" t="s">
        <v>51</v>
      </c>
      <c r="D59" t="s">
        <v>50</v>
      </c>
      <c r="E59" t="s">
        <v>217</v>
      </c>
      <c r="F59" t="s">
        <v>83</v>
      </c>
      <c r="G59" t="s">
        <v>218</v>
      </c>
      <c r="H59" t="s">
        <v>108</v>
      </c>
      <c r="I59" t="s">
        <v>107</v>
      </c>
      <c r="J59" t="s">
        <v>2522</v>
      </c>
      <c r="K59" t="s">
        <v>162</v>
      </c>
      <c r="M59" t="s">
        <v>163</v>
      </c>
      <c r="N59" t="s">
        <v>99</v>
      </c>
      <c r="O59" s="27">
        <v>1872000</v>
      </c>
      <c r="P59">
        <v>2</v>
      </c>
      <c r="Q59" t="s">
        <v>172</v>
      </c>
      <c r="R59">
        <v>38</v>
      </c>
      <c r="S59" t="s">
        <v>244</v>
      </c>
      <c r="T59" t="str">
        <f>IF(COUNTIF($A$2:A59,A59)&gt;1,"Duplicate","Unique")</f>
        <v>Unique</v>
      </c>
    </row>
    <row r="60" spans="1:20" x14ac:dyDescent="0.45">
      <c r="A60" t="s">
        <v>588</v>
      </c>
      <c r="B60" t="s">
        <v>589</v>
      </c>
      <c r="C60" t="s">
        <v>53</v>
      </c>
      <c r="D60" t="s">
        <v>52</v>
      </c>
      <c r="E60" t="s">
        <v>322</v>
      </c>
      <c r="F60" t="s">
        <v>81</v>
      </c>
      <c r="G60" t="s">
        <v>323</v>
      </c>
      <c r="H60" t="s">
        <v>108</v>
      </c>
      <c r="I60" t="s">
        <v>107</v>
      </c>
      <c r="J60" t="s">
        <v>2523</v>
      </c>
      <c r="K60" t="s">
        <v>162</v>
      </c>
      <c r="M60" t="s">
        <v>163</v>
      </c>
      <c r="N60" t="s">
        <v>97</v>
      </c>
      <c r="O60" s="27">
        <v>808000</v>
      </c>
      <c r="P60">
        <v>2</v>
      </c>
      <c r="Q60" t="s">
        <v>164</v>
      </c>
      <c r="R60">
        <v>37</v>
      </c>
      <c r="S60" t="s">
        <v>237</v>
      </c>
      <c r="T60" t="str">
        <f>IF(COUNTIF($A$2:A60,A60)&gt;1,"Duplicate","Unique")</f>
        <v>Unique</v>
      </c>
    </row>
    <row r="61" spans="1:20" x14ac:dyDescent="0.45">
      <c r="A61" t="s">
        <v>2307</v>
      </c>
      <c r="B61" t="s">
        <v>325</v>
      </c>
      <c r="C61" t="s">
        <v>55</v>
      </c>
      <c r="D61" t="s">
        <v>2524</v>
      </c>
      <c r="E61" t="s">
        <v>168</v>
      </c>
      <c r="F61" t="s">
        <v>84</v>
      </c>
      <c r="G61" t="s">
        <v>169</v>
      </c>
      <c r="H61" t="s">
        <v>106</v>
      </c>
      <c r="I61" t="s">
        <v>107</v>
      </c>
      <c r="J61" t="s">
        <v>2452</v>
      </c>
      <c r="K61" t="s">
        <v>162</v>
      </c>
      <c r="M61" t="s">
        <v>163</v>
      </c>
      <c r="N61" t="s">
        <v>99</v>
      </c>
      <c r="O61" s="27">
        <v>2424000</v>
      </c>
      <c r="P61">
        <v>3</v>
      </c>
      <c r="Q61" t="s">
        <v>2525</v>
      </c>
      <c r="R61">
        <v>45</v>
      </c>
      <c r="S61" t="s">
        <v>262</v>
      </c>
      <c r="T61" t="str">
        <f>IF(COUNTIF($A$2:A61,A61)&gt;1,"Duplicate","Unique")</f>
        <v>Unique</v>
      </c>
    </row>
    <row r="62" spans="1:20" x14ac:dyDescent="0.45">
      <c r="A62" t="s">
        <v>2320</v>
      </c>
      <c r="B62" t="s">
        <v>499</v>
      </c>
      <c r="C62" t="s">
        <v>57</v>
      </c>
      <c r="D62" t="s">
        <v>56</v>
      </c>
      <c r="E62" t="s">
        <v>160</v>
      </c>
      <c r="F62" t="s">
        <v>81</v>
      </c>
      <c r="G62" t="s">
        <v>161</v>
      </c>
      <c r="H62" t="s">
        <v>112</v>
      </c>
      <c r="I62" t="s">
        <v>113</v>
      </c>
      <c r="J62" t="s">
        <v>2526</v>
      </c>
      <c r="K62" t="s">
        <v>162</v>
      </c>
      <c r="M62" t="s">
        <v>163</v>
      </c>
      <c r="N62" t="s">
        <v>97</v>
      </c>
      <c r="O62" s="27">
        <v>729000</v>
      </c>
      <c r="P62">
        <v>3</v>
      </c>
      <c r="Q62" t="s">
        <v>164</v>
      </c>
      <c r="R62">
        <v>41</v>
      </c>
      <c r="S62" t="s">
        <v>165</v>
      </c>
      <c r="T62" t="str">
        <f>IF(COUNTIF($A$2:A62,A62)&gt;1,"Duplicate","Unique")</f>
        <v>Unique</v>
      </c>
    </row>
    <row r="63" spans="1:20" x14ac:dyDescent="0.45">
      <c r="A63" t="s">
        <v>1675</v>
      </c>
      <c r="B63" t="s">
        <v>2527</v>
      </c>
      <c r="C63" t="s">
        <v>55</v>
      </c>
      <c r="D63" t="s">
        <v>54</v>
      </c>
      <c r="E63" t="s">
        <v>229</v>
      </c>
      <c r="F63" t="s">
        <v>82</v>
      </c>
      <c r="G63" t="s">
        <v>230</v>
      </c>
      <c r="H63" t="s">
        <v>109</v>
      </c>
      <c r="I63" t="s">
        <v>110</v>
      </c>
      <c r="J63" t="s">
        <v>2528</v>
      </c>
      <c r="K63" t="s">
        <v>162</v>
      </c>
      <c r="M63" t="s">
        <v>163</v>
      </c>
      <c r="N63" t="s">
        <v>99</v>
      </c>
      <c r="O63" s="27">
        <v>1124000</v>
      </c>
      <c r="P63">
        <v>3</v>
      </c>
      <c r="Q63" t="s">
        <v>164</v>
      </c>
      <c r="R63">
        <v>36</v>
      </c>
      <c r="S63" t="s">
        <v>274</v>
      </c>
      <c r="T63" t="str">
        <f>IF(COUNTIF($A$2:A63,A63)&gt;1,"Duplicate","Unique")</f>
        <v>Unique</v>
      </c>
    </row>
    <row r="64" spans="1:20" x14ac:dyDescent="0.45">
      <c r="A64" t="s">
        <v>2176</v>
      </c>
      <c r="B64" t="s">
        <v>1429</v>
      </c>
      <c r="C64" t="s">
        <v>57</v>
      </c>
      <c r="D64" t="s">
        <v>56</v>
      </c>
      <c r="E64" t="s">
        <v>160</v>
      </c>
      <c r="F64" t="s">
        <v>81</v>
      </c>
      <c r="G64" t="s">
        <v>161</v>
      </c>
      <c r="H64" t="s">
        <v>106</v>
      </c>
      <c r="I64" t="s">
        <v>107</v>
      </c>
      <c r="J64" t="s">
        <v>2529</v>
      </c>
      <c r="K64" t="s">
        <v>162</v>
      </c>
      <c r="M64" t="s">
        <v>163</v>
      </c>
      <c r="N64" t="s">
        <v>96</v>
      </c>
      <c r="O64" s="27">
        <v>780000</v>
      </c>
      <c r="P64">
        <v>3</v>
      </c>
      <c r="Q64" t="s">
        <v>164</v>
      </c>
      <c r="R64">
        <v>18</v>
      </c>
      <c r="S64" t="s">
        <v>165</v>
      </c>
      <c r="T64" t="str">
        <f>IF(COUNTIF($A$2:A64,A64)&gt;1,"Duplicate","Unique")</f>
        <v>Unique</v>
      </c>
    </row>
    <row r="65" spans="1:20" x14ac:dyDescent="0.45">
      <c r="A65" t="s">
        <v>437</v>
      </c>
      <c r="B65" t="s">
        <v>2530</v>
      </c>
      <c r="C65" t="s">
        <v>51</v>
      </c>
      <c r="D65" t="s">
        <v>50</v>
      </c>
      <c r="E65" t="s">
        <v>176</v>
      </c>
      <c r="F65" t="s">
        <v>82</v>
      </c>
      <c r="G65" t="s">
        <v>177</v>
      </c>
      <c r="H65" t="s">
        <v>106</v>
      </c>
      <c r="I65" t="s">
        <v>107</v>
      </c>
      <c r="J65" t="s">
        <v>2531</v>
      </c>
      <c r="K65" t="s">
        <v>170</v>
      </c>
      <c r="L65" t="s">
        <v>2532</v>
      </c>
      <c r="M65" t="s">
        <v>171</v>
      </c>
      <c r="N65" t="s">
        <v>95</v>
      </c>
      <c r="O65" s="27">
        <v>986000</v>
      </c>
      <c r="P65">
        <v>5</v>
      </c>
      <c r="Q65" t="s">
        <v>172</v>
      </c>
      <c r="R65">
        <v>45</v>
      </c>
      <c r="S65" t="s">
        <v>244</v>
      </c>
      <c r="T65" t="str">
        <f>IF(COUNTIF($A$2:A65,A65)&gt;1,"Duplicate","Unique")</f>
        <v>Unique</v>
      </c>
    </row>
    <row r="66" spans="1:20" x14ac:dyDescent="0.45">
      <c r="A66" t="s">
        <v>2074</v>
      </c>
      <c r="B66" t="s">
        <v>882</v>
      </c>
      <c r="C66" t="s">
        <v>55</v>
      </c>
      <c r="D66" t="s">
        <v>54</v>
      </c>
      <c r="E66" t="s">
        <v>229</v>
      </c>
      <c r="F66" t="s">
        <v>82</v>
      </c>
      <c r="G66" t="s">
        <v>230</v>
      </c>
      <c r="H66" t="s">
        <v>106</v>
      </c>
      <c r="I66" t="s">
        <v>107</v>
      </c>
      <c r="J66" t="s">
        <v>2533</v>
      </c>
      <c r="K66" t="s">
        <v>162</v>
      </c>
      <c r="M66" t="s">
        <v>163</v>
      </c>
      <c r="N66" t="s">
        <v>98</v>
      </c>
      <c r="O66" s="27">
        <v>882000</v>
      </c>
      <c r="P66">
        <v>2</v>
      </c>
      <c r="Q66" t="s">
        <v>164</v>
      </c>
      <c r="R66">
        <v>6</v>
      </c>
      <c r="S66" t="s">
        <v>173</v>
      </c>
      <c r="T66" t="str">
        <f>IF(COUNTIF($A$2:A66,A66)&gt;1,"Duplicate","Unique")</f>
        <v>Unique</v>
      </c>
    </row>
    <row r="67" spans="1:20" x14ac:dyDescent="0.45">
      <c r="A67" t="s">
        <v>963</v>
      </c>
      <c r="B67" t="s">
        <v>734</v>
      </c>
      <c r="C67" t="s">
        <v>57</v>
      </c>
      <c r="D67" t="s">
        <v>2484</v>
      </c>
      <c r="E67" t="s">
        <v>391</v>
      </c>
      <c r="F67" t="s">
        <v>83</v>
      </c>
      <c r="G67" t="s">
        <v>392</v>
      </c>
      <c r="H67" t="s">
        <v>106</v>
      </c>
      <c r="I67" t="s">
        <v>107</v>
      </c>
      <c r="J67" t="s">
        <v>2534</v>
      </c>
      <c r="K67" t="s">
        <v>162</v>
      </c>
      <c r="M67" t="s">
        <v>163</v>
      </c>
      <c r="N67" t="s">
        <v>97</v>
      </c>
      <c r="O67" s="27">
        <v>1642000</v>
      </c>
      <c r="P67">
        <v>4</v>
      </c>
      <c r="Q67" t="s">
        <v>164</v>
      </c>
      <c r="S67" t="s">
        <v>165</v>
      </c>
      <c r="T67" t="str">
        <f>IF(COUNTIF($A$2:A67,A67)&gt;1,"Duplicate","Unique")</f>
        <v>Unique</v>
      </c>
    </row>
    <row r="68" spans="1:20" x14ac:dyDescent="0.45">
      <c r="A68" t="s">
        <v>2242</v>
      </c>
      <c r="B68" t="s">
        <v>899</v>
      </c>
      <c r="C68" t="s">
        <v>57</v>
      </c>
      <c r="D68" t="s">
        <v>56</v>
      </c>
      <c r="E68" t="s">
        <v>160</v>
      </c>
      <c r="F68" t="s">
        <v>81</v>
      </c>
      <c r="G68" t="s">
        <v>161</v>
      </c>
      <c r="H68" t="s">
        <v>2535</v>
      </c>
      <c r="I68" t="s">
        <v>107</v>
      </c>
      <c r="J68" t="s">
        <v>2456</v>
      </c>
      <c r="K68" t="s">
        <v>162</v>
      </c>
      <c r="M68" t="s">
        <v>163</v>
      </c>
      <c r="N68" t="s">
        <v>99</v>
      </c>
      <c r="O68" s="27">
        <v>640000</v>
      </c>
      <c r="Q68" t="s">
        <v>164</v>
      </c>
      <c r="R68">
        <v>34</v>
      </c>
      <c r="S68" t="s">
        <v>165</v>
      </c>
      <c r="T68" t="str">
        <f>IF(COUNTIF($A$2:A68,A68)&gt;1,"Duplicate","Unique")</f>
        <v>Unique</v>
      </c>
    </row>
    <row r="69" spans="1:20" x14ac:dyDescent="0.45">
      <c r="A69" t="s">
        <v>2083</v>
      </c>
      <c r="B69" t="s">
        <v>503</v>
      </c>
      <c r="C69" t="s">
        <v>53</v>
      </c>
      <c r="D69" t="s">
        <v>52</v>
      </c>
      <c r="E69" t="s">
        <v>322</v>
      </c>
      <c r="F69" t="s">
        <v>81</v>
      </c>
      <c r="G69" t="s">
        <v>323</v>
      </c>
      <c r="H69" t="s">
        <v>106</v>
      </c>
      <c r="I69" t="s">
        <v>107</v>
      </c>
      <c r="J69" t="s">
        <v>2536</v>
      </c>
      <c r="K69" t="s">
        <v>162</v>
      </c>
      <c r="M69" t="s">
        <v>163</v>
      </c>
      <c r="N69" t="s">
        <v>96</v>
      </c>
      <c r="O69" s="27">
        <v>819000</v>
      </c>
      <c r="P69">
        <v>5</v>
      </c>
      <c r="Q69" t="s">
        <v>164</v>
      </c>
      <c r="S69" t="s">
        <v>237</v>
      </c>
      <c r="T69" t="str">
        <f>IF(COUNTIF($A$2:A69,A69)&gt;1,"Duplicate","Unique")</f>
        <v>Unique</v>
      </c>
    </row>
    <row r="70" spans="1:20" x14ac:dyDescent="0.45">
      <c r="A70" t="s">
        <v>1786</v>
      </c>
      <c r="B70" t="s">
        <v>1387</v>
      </c>
      <c r="C70" t="s">
        <v>57</v>
      </c>
      <c r="D70" t="s">
        <v>56</v>
      </c>
      <c r="E70" t="s">
        <v>222</v>
      </c>
      <c r="F70" t="s">
        <v>82</v>
      </c>
      <c r="G70" t="s">
        <v>223</v>
      </c>
      <c r="H70" t="s">
        <v>109</v>
      </c>
      <c r="I70" t="s">
        <v>110</v>
      </c>
      <c r="J70" t="s">
        <v>2537</v>
      </c>
      <c r="K70" t="s">
        <v>162</v>
      </c>
      <c r="M70" t="s">
        <v>163</v>
      </c>
      <c r="N70" t="s">
        <v>96</v>
      </c>
      <c r="O70" s="27">
        <v>1190000</v>
      </c>
      <c r="P70">
        <v>3</v>
      </c>
      <c r="Q70" t="s">
        <v>172</v>
      </c>
      <c r="R70">
        <v>23</v>
      </c>
      <c r="S70" t="s">
        <v>165</v>
      </c>
      <c r="T70" t="str">
        <f>IF(COUNTIF($A$2:A70,A70)&gt;1,"Duplicate","Unique")</f>
        <v>Unique</v>
      </c>
    </row>
    <row r="71" spans="1:20" x14ac:dyDescent="0.45">
      <c r="A71" t="s">
        <v>1697</v>
      </c>
      <c r="B71" t="s">
        <v>184</v>
      </c>
      <c r="C71" t="s">
        <v>57</v>
      </c>
      <c r="D71" t="s">
        <v>2476</v>
      </c>
      <c r="E71" t="s">
        <v>222</v>
      </c>
      <c r="F71" t="s">
        <v>82</v>
      </c>
      <c r="G71" t="s">
        <v>223</v>
      </c>
      <c r="H71" t="s">
        <v>106</v>
      </c>
      <c r="I71" t="s">
        <v>107</v>
      </c>
      <c r="J71" t="s">
        <v>2538</v>
      </c>
      <c r="K71" t="s">
        <v>162</v>
      </c>
      <c r="M71" t="s">
        <v>163</v>
      </c>
      <c r="N71" t="s">
        <v>95</v>
      </c>
      <c r="O71" s="27">
        <v>1047000</v>
      </c>
      <c r="P71">
        <v>3</v>
      </c>
      <c r="Q71" t="s">
        <v>172</v>
      </c>
      <c r="R71">
        <v>34</v>
      </c>
      <c r="S71" t="s">
        <v>224</v>
      </c>
      <c r="T71" t="str">
        <f>IF(COUNTIF($A$2:A71,A71)&gt;1,"Duplicate","Unique")</f>
        <v>Unique</v>
      </c>
    </row>
    <row r="72" spans="1:20" x14ac:dyDescent="0.45">
      <c r="A72" t="s">
        <v>1498</v>
      </c>
      <c r="B72" t="s">
        <v>535</v>
      </c>
      <c r="C72" t="s">
        <v>51</v>
      </c>
      <c r="D72" t="s">
        <v>50</v>
      </c>
      <c r="E72" t="s">
        <v>176</v>
      </c>
      <c r="F72" t="s">
        <v>82</v>
      </c>
      <c r="G72" t="s">
        <v>177</v>
      </c>
      <c r="H72" t="s">
        <v>108</v>
      </c>
      <c r="I72" t="s">
        <v>107</v>
      </c>
      <c r="J72" t="s">
        <v>2539</v>
      </c>
      <c r="K72" t="s">
        <v>162</v>
      </c>
      <c r="M72" t="s">
        <v>163</v>
      </c>
      <c r="N72" t="s">
        <v>98</v>
      </c>
      <c r="O72" s="27">
        <v>875000</v>
      </c>
      <c r="P72">
        <v>4</v>
      </c>
      <c r="Q72" t="s">
        <v>164</v>
      </c>
      <c r="R72">
        <v>60</v>
      </c>
      <c r="S72" t="s">
        <v>244</v>
      </c>
      <c r="T72" t="str">
        <f>IF(COUNTIF($A$2:A72,A72)&gt;1,"Duplicate","Unique")</f>
        <v>Unique</v>
      </c>
    </row>
    <row r="73" spans="1:20" x14ac:dyDescent="0.45">
      <c r="A73" t="s">
        <v>1916</v>
      </c>
      <c r="B73" t="s">
        <v>1162</v>
      </c>
      <c r="C73" t="s">
        <v>61</v>
      </c>
      <c r="D73" t="s">
        <v>60</v>
      </c>
      <c r="E73" t="s">
        <v>251</v>
      </c>
      <c r="F73" t="s">
        <v>82</v>
      </c>
      <c r="G73" t="s">
        <v>252</v>
      </c>
      <c r="H73" t="s">
        <v>106</v>
      </c>
      <c r="I73" t="s">
        <v>107</v>
      </c>
      <c r="J73" t="s">
        <v>2540</v>
      </c>
      <c r="K73" t="s">
        <v>162</v>
      </c>
      <c r="M73" t="s">
        <v>163</v>
      </c>
      <c r="N73" t="s">
        <v>97</v>
      </c>
      <c r="O73" s="27">
        <v>989000</v>
      </c>
      <c r="P73">
        <v>3</v>
      </c>
      <c r="Q73" t="s">
        <v>164</v>
      </c>
      <c r="R73">
        <v>57</v>
      </c>
      <c r="S73" t="s">
        <v>253</v>
      </c>
      <c r="T73" t="str">
        <f>IF(COUNTIF($A$2:A73,A73)&gt;1,"Duplicate","Unique")</f>
        <v>Unique</v>
      </c>
    </row>
    <row r="74" spans="1:20" x14ac:dyDescent="0.45">
      <c r="A74" t="s">
        <v>1220</v>
      </c>
      <c r="B74" t="s">
        <v>1099</v>
      </c>
      <c r="C74" t="s">
        <v>59</v>
      </c>
      <c r="D74" t="s">
        <v>58</v>
      </c>
      <c r="E74" t="s">
        <v>206</v>
      </c>
      <c r="F74" t="s">
        <v>81</v>
      </c>
      <c r="G74" t="s">
        <v>207</v>
      </c>
      <c r="H74" t="s">
        <v>106</v>
      </c>
      <c r="I74" t="s">
        <v>107</v>
      </c>
      <c r="J74" t="s">
        <v>2541</v>
      </c>
      <c r="K74" t="s">
        <v>162</v>
      </c>
      <c r="M74" t="s">
        <v>163</v>
      </c>
      <c r="N74" t="s">
        <v>97</v>
      </c>
      <c r="O74" s="27">
        <v>566000</v>
      </c>
      <c r="P74">
        <v>3</v>
      </c>
      <c r="Q74" t="s">
        <v>164</v>
      </c>
      <c r="R74">
        <v>21</v>
      </c>
      <c r="S74" t="s">
        <v>208</v>
      </c>
      <c r="T74" t="str">
        <f>IF(COUNTIF($A$2:A74,A74)&gt;1,"Duplicate","Unique")</f>
        <v>Unique</v>
      </c>
    </row>
    <row r="75" spans="1:20" x14ac:dyDescent="0.45">
      <c r="A75" t="s">
        <v>968</v>
      </c>
      <c r="B75" t="s">
        <v>969</v>
      </c>
      <c r="C75" t="s">
        <v>57</v>
      </c>
      <c r="D75" t="s">
        <v>56</v>
      </c>
      <c r="E75" t="s">
        <v>160</v>
      </c>
      <c r="F75" t="s">
        <v>81</v>
      </c>
      <c r="G75" t="s">
        <v>161</v>
      </c>
      <c r="H75" t="s">
        <v>108</v>
      </c>
      <c r="I75" t="s">
        <v>107</v>
      </c>
      <c r="J75" t="s">
        <v>2542</v>
      </c>
      <c r="K75" t="s">
        <v>187</v>
      </c>
      <c r="L75" t="s">
        <v>2543</v>
      </c>
      <c r="M75" t="s">
        <v>308</v>
      </c>
      <c r="N75" t="s">
        <v>98</v>
      </c>
      <c r="O75" s="27">
        <v>556000</v>
      </c>
      <c r="P75">
        <v>3</v>
      </c>
      <c r="Q75" t="s">
        <v>172</v>
      </c>
      <c r="R75">
        <v>11</v>
      </c>
      <c r="S75" t="s">
        <v>224</v>
      </c>
      <c r="T75" t="str">
        <f>IF(COUNTIF($A$2:A75,A75)&gt;1,"Duplicate","Unique")</f>
        <v>Unique</v>
      </c>
    </row>
    <row r="76" spans="1:20" x14ac:dyDescent="0.45">
      <c r="A76" t="s">
        <v>931</v>
      </c>
      <c r="B76" t="s">
        <v>932</v>
      </c>
      <c r="C76" t="s">
        <v>57</v>
      </c>
      <c r="D76" t="s">
        <v>56</v>
      </c>
      <c r="E76" t="s">
        <v>160</v>
      </c>
      <c r="F76" t="s">
        <v>81</v>
      </c>
      <c r="G76" t="s">
        <v>161</v>
      </c>
      <c r="H76" t="s">
        <v>111</v>
      </c>
      <c r="I76" t="s">
        <v>110</v>
      </c>
      <c r="J76" t="s">
        <v>2544</v>
      </c>
      <c r="K76" t="s">
        <v>162</v>
      </c>
      <c r="M76" t="s">
        <v>163</v>
      </c>
      <c r="N76" t="s">
        <v>99</v>
      </c>
      <c r="O76" s="27">
        <v>600000</v>
      </c>
      <c r="P76">
        <v>3</v>
      </c>
      <c r="Q76" t="s">
        <v>164</v>
      </c>
      <c r="R76">
        <v>35</v>
      </c>
      <c r="S76" t="s">
        <v>165</v>
      </c>
      <c r="T76" t="str">
        <f>IF(COUNTIF($A$2:A76,A76)&gt;1,"Duplicate","Unique")</f>
        <v>Unique</v>
      </c>
    </row>
    <row r="77" spans="1:20" x14ac:dyDescent="0.45">
      <c r="A77" t="s">
        <v>434</v>
      </c>
      <c r="B77" t="s">
        <v>435</v>
      </c>
      <c r="C77" t="s">
        <v>53</v>
      </c>
      <c r="D77" t="s">
        <v>52</v>
      </c>
      <c r="E77" t="s">
        <v>185</v>
      </c>
      <c r="F77" t="s">
        <v>82</v>
      </c>
      <c r="G77" t="s">
        <v>186</v>
      </c>
      <c r="H77" t="s">
        <v>106</v>
      </c>
      <c r="I77" t="s">
        <v>107</v>
      </c>
      <c r="J77" t="s">
        <v>2545</v>
      </c>
      <c r="K77" t="s">
        <v>162</v>
      </c>
      <c r="M77" t="s">
        <v>163</v>
      </c>
      <c r="N77" t="s">
        <v>97</v>
      </c>
      <c r="O77" s="27">
        <v>1006000</v>
      </c>
      <c r="P77">
        <v>2</v>
      </c>
      <c r="Q77" t="s">
        <v>172</v>
      </c>
      <c r="R77">
        <v>26</v>
      </c>
      <c r="S77" t="s">
        <v>189</v>
      </c>
      <c r="T77" t="str">
        <f>IF(COUNTIF($A$2:A77,A77)&gt;1,"Duplicate","Unique")</f>
        <v>Unique</v>
      </c>
    </row>
    <row r="78" spans="1:20" x14ac:dyDescent="0.45">
      <c r="A78" t="s">
        <v>1016</v>
      </c>
      <c r="B78" t="s">
        <v>1017</v>
      </c>
      <c r="C78" t="s">
        <v>51</v>
      </c>
      <c r="D78" t="s">
        <v>50</v>
      </c>
      <c r="E78" t="s">
        <v>181</v>
      </c>
      <c r="F78" t="s">
        <v>81</v>
      </c>
      <c r="G78" t="s">
        <v>182</v>
      </c>
      <c r="H78" t="s">
        <v>108</v>
      </c>
      <c r="I78" t="s">
        <v>107</v>
      </c>
      <c r="J78" t="s">
        <v>2546</v>
      </c>
      <c r="K78" t="s">
        <v>187</v>
      </c>
      <c r="L78" t="s">
        <v>2547</v>
      </c>
      <c r="M78" t="s">
        <v>213</v>
      </c>
      <c r="N78" t="s">
        <v>97</v>
      </c>
      <c r="O78" s="27">
        <v>738000</v>
      </c>
      <c r="P78">
        <v>4</v>
      </c>
      <c r="Q78" t="s">
        <v>164</v>
      </c>
      <c r="R78">
        <v>60</v>
      </c>
      <c r="S78" t="s">
        <v>219</v>
      </c>
      <c r="T78" t="str">
        <f>IF(COUNTIF($A$2:A78,A78)&gt;1,"Duplicate","Unique")</f>
        <v>Unique</v>
      </c>
    </row>
    <row r="79" spans="1:20" x14ac:dyDescent="0.45">
      <c r="A79" t="s">
        <v>756</v>
      </c>
      <c r="B79" t="s">
        <v>460</v>
      </c>
      <c r="C79" t="s">
        <v>51</v>
      </c>
      <c r="D79" t="s">
        <v>50</v>
      </c>
      <c r="E79" t="s">
        <v>181</v>
      </c>
      <c r="F79" t="s">
        <v>81</v>
      </c>
      <c r="G79" t="s">
        <v>182</v>
      </c>
      <c r="H79" t="s">
        <v>106</v>
      </c>
      <c r="I79" t="s">
        <v>107</v>
      </c>
      <c r="J79" t="s">
        <v>2548</v>
      </c>
      <c r="K79" t="s">
        <v>162</v>
      </c>
      <c r="M79" t="s">
        <v>163</v>
      </c>
      <c r="N79" t="s">
        <v>99</v>
      </c>
      <c r="O79" s="27">
        <v>661000</v>
      </c>
      <c r="P79">
        <v>2</v>
      </c>
      <c r="Q79" t="s">
        <v>164</v>
      </c>
      <c r="R79">
        <v>18</v>
      </c>
      <c r="S79" t="s">
        <v>178</v>
      </c>
      <c r="T79" t="str">
        <f>IF(COUNTIF($A$2:A79,A79)&gt;1,"Duplicate","Unique")</f>
        <v>Unique</v>
      </c>
    </row>
    <row r="80" spans="1:20" x14ac:dyDescent="0.45">
      <c r="A80" t="s">
        <v>1623</v>
      </c>
      <c r="B80" t="s">
        <v>1624</v>
      </c>
      <c r="C80" t="s">
        <v>51</v>
      </c>
      <c r="D80" t="s">
        <v>50</v>
      </c>
      <c r="E80" t="s">
        <v>176</v>
      </c>
      <c r="F80" t="s">
        <v>82</v>
      </c>
      <c r="G80" t="s">
        <v>177</v>
      </c>
      <c r="H80" t="s">
        <v>106</v>
      </c>
      <c r="I80" t="s">
        <v>107</v>
      </c>
      <c r="J80" t="s">
        <v>2549</v>
      </c>
      <c r="K80" t="s">
        <v>162</v>
      </c>
      <c r="M80" t="s">
        <v>163</v>
      </c>
      <c r="N80" t="s">
        <v>99</v>
      </c>
      <c r="O80" s="27">
        <v>1031000</v>
      </c>
      <c r="P80">
        <v>4</v>
      </c>
      <c r="Q80" t="s">
        <v>164</v>
      </c>
      <c r="R80">
        <v>27</v>
      </c>
      <c r="S80" t="s">
        <v>244</v>
      </c>
      <c r="T80" t="str">
        <f>IF(COUNTIF($A$2:A80,A80)&gt;1,"Duplicate","Unique")</f>
        <v>Unique</v>
      </c>
    </row>
    <row r="81" spans="1:20" x14ac:dyDescent="0.45">
      <c r="A81" t="s">
        <v>1848</v>
      </c>
      <c r="B81" t="s">
        <v>499</v>
      </c>
      <c r="C81" t="s">
        <v>61</v>
      </c>
      <c r="D81" t="s">
        <v>60</v>
      </c>
      <c r="E81" t="s">
        <v>317</v>
      </c>
      <c r="F81" t="s">
        <v>84</v>
      </c>
      <c r="G81" t="s">
        <v>318</v>
      </c>
      <c r="H81" t="s">
        <v>2550</v>
      </c>
      <c r="I81" t="s">
        <v>107</v>
      </c>
      <c r="J81" t="s">
        <v>2551</v>
      </c>
      <c r="K81" t="s">
        <v>162</v>
      </c>
      <c r="M81" t="s">
        <v>163</v>
      </c>
      <c r="N81" t="s">
        <v>99</v>
      </c>
      <c r="O81" s="27">
        <v>2946000</v>
      </c>
      <c r="P81">
        <v>4</v>
      </c>
      <c r="Q81" t="s">
        <v>164</v>
      </c>
      <c r="R81">
        <v>38</v>
      </c>
      <c r="S81" t="s">
        <v>253</v>
      </c>
      <c r="T81" t="str">
        <f>IF(COUNTIF($A$2:A81,A81)&gt;1,"Duplicate","Unique")</f>
        <v>Unique</v>
      </c>
    </row>
    <row r="82" spans="1:20" x14ac:dyDescent="0.45">
      <c r="A82" t="s">
        <v>1618</v>
      </c>
      <c r="B82" t="s">
        <v>495</v>
      </c>
      <c r="C82" t="s">
        <v>51</v>
      </c>
      <c r="D82" t="s">
        <v>50</v>
      </c>
      <c r="E82" t="s">
        <v>181</v>
      </c>
      <c r="F82" t="s">
        <v>81</v>
      </c>
      <c r="G82" t="s">
        <v>182</v>
      </c>
      <c r="H82" t="s">
        <v>106</v>
      </c>
      <c r="I82" t="s">
        <v>107</v>
      </c>
      <c r="J82" t="s">
        <v>2552</v>
      </c>
      <c r="K82" t="s">
        <v>162</v>
      </c>
      <c r="M82" t="s">
        <v>163</v>
      </c>
      <c r="N82" t="s">
        <v>99</v>
      </c>
      <c r="O82" s="27">
        <v>631000</v>
      </c>
      <c r="P82">
        <v>3</v>
      </c>
      <c r="Q82" t="s">
        <v>164</v>
      </c>
      <c r="R82">
        <v>55</v>
      </c>
      <c r="S82" t="s">
        <v>244</v>
      </c>
      <c r="T82" t="str">
        <f>IF(COUNTIF($A$2:A82,A82)&gt;1,"Duplicate","Unique")</f>
        <v>Unique</v>
      </c>
    </row>
    <row r="83" spans="1:20" x14ac:dyDescent="0.45">
      <c r="A83" t="s">
        <v>1519</v>
      </c>
      <c r="B83" t="s">
        <v>1520</v>
      </c>
      <c r="C83" t="s">
        <v>51</v>
      </c>
      <c r="D83" t="s">
        <v>50</v>
      </c>
      <c r="E83" t="s">
        <v>181</v>
      </c>
      <c r="F83" t="s">
        <v>81</v>
      </c>
      <c r="G83" t="s">
        <v>182</v>
      </c>
      <c r="H83" t="s">
        <v>109</v>
      </c>
      <c r="I83" t="s">
        <v>110</v>
      </c>
      <c r="J83" t="s">
        <v>2553</v>
      </c>
      <c r="K83" t="s">
        <v>162</v>
      </c>
      <c r="M83" t="s">
        <v>163</v>
      </c>
      <c r="N83" t="s">
        <v>96</v>
      </c>
      <c r="O83" s="27">
        <v>733000</v>
      </c>
      <c r="P83">
        <v>3</v>
      </c>
      <c r="Q83" t="s">
        <v>164</v>
      </c>
      <c r="R83">
        <v>33</v>
      </c>
      <c r="S83" t="s">
        <v>244</v>
      </c>
      <c r="T83" t="str">
        <f>IF(COUNTIF($A$2:A83,A83)&gt;1,"Duplicate","Unique")</f>
        <v>Unique</v>
      </c>
    </row>
    <row r="84" spans="1:20" x14ac:dyDescent="0.45">
      <c r="A84" t="s">
        <v>684</v>
      </c>
      <c r="B84" t="s">
        <v>685</v>
      </c>
      <c r="C84" t="s">
        <v>51</v>
      </c>
      <c r="D84" t="s">
        <v>50</v>
      </c>
      <c r="E84" t="s">
        <v>176</v>
      </c>
      <c r="F84" t="s">
        <v>82</v>
      </c>
      <c r="G84" t="s">
        <v>177</v>
      </c>
      <c r="H84" t="s">
        <v>108</v>
      </c>
      <c r="I84" t="s">
        <v>107</v>
      </c>
      <c r="J84" t="s">
        <v>2554</v>
      </c>
      <c r="K84" t="s">
        <v>187</v>
      </c>
      <c r="L84" t="s">
        <v>2555</v>
      </c>
      <c r="M84" t="s">
        <v>213</v>
      </c>
      <c r="N84" t="s">
        <v>99</v>
      </c>
      <c r="O84" s="27">
        <v>1249000</v>
      </c>
      <c r="P84">
        <v>3</v>
      </c>
      <c r="Q84" t="s">
        <v>172</v>
      </c>
      <c r="R84">
        <v>28</v>
      </c>
      <c r="S84" t="s">
        <v>197</v>
      </c>
      <c r="T84" t="str">
        <f>IF(COUNTIF($A$2:A84,A84)&gt;1,"Duplicate","Unique")</f>
        <v>Unique</v>
      </c>
    </row>
    <row r="85" spans="1:20" x14ac:dyDescent="0.45">
      <c r="A85" t="s">
        <v>1670</v>
      </c>
      <c r="B85" t="s">
        <v>1434</v>
      </c>
      <c r="C85" t="s">
        <v>57</v>
      </c>
      <c r="D85" t="s">
        <v>56</v>
      </c>
      <c r="E85" t="s">
        <v>222</v>
      </c>
      <c r="F85" t="s">
        <v>82</v>
      </c>
      <c r="G85" t="s">
        <v>223</v>
      </c>
      <c r="H85" t="s">
        <v>109</v>
      </c>
      <c r="I85" t="s">
        <v>110</v>
      </c>
      <c r="J85" t="s">
        <v>2556</v>
      </c>
      <c r="K85" t="s">
        <v>162</v>
      </c>
      <c r="M85" t="s">
        <v>163</v>
      </c>
      <c r="N85" t="s">
        <v>98</v>
      </c>
      <c r="O85" s="27">
        <v>1210000</v>
      </c>
      <c r="P85">
        <v>2</v>
      </c>
      <c r="Q85" t="s">
        <v>172</v>
      </c>
      <c r="R85">
        <v>9</v>
      </c>
      <c r="S85" t="s">
        <v>224</v>
      </c>
      <c r="T85" t="str">
        <f>IF(COUNTIF($A$2:A85,A85)&gt;1,"Duplicate","Unique")</f>
        <v>Unique</v>
      </c>
    </row>
    <row r="86" spans="1:20" x14ac:dyDescent="0.45">
      <c r="A86" t="s">
        <v>600</v>
      </c>
      <c r="B86" t="s">
        <v>601</v>
      </c>
      <c r="C86" t="s">
        <v>55</v>
      </c>
      <c r="D86" t="s">
        <v>54</v>
      </c>
      <c r="E86" t="s">
        <v>229</v>
      </c>
      <c r="F86" t="s">
        <v>82</v>
      </c>
      <c r="G86" t="s">
        <v>230</v>
      </c>
      <c r="H86" t="s">
        <v>109</v>
      </c>
      <c r="I86" t="s">
        <v>110</v>
      </c>
      <c r="J86" t="s">
        <v>2557</v>
      </c>
      <c r="K86" t="s">
        <v>187</v>
      </c>
      <c r="L86" t="s">
        <v>2558</v>
      </c>
      <c r="M86" t="s">
        <v>282</v>
      </c>
      <c r="N86" t="s">
        <v>99</v>
      </c>
      <c r="O86" s="27">
        <v>859000</v>
      </c>
      <c r="P86">
        <v>3</v>
      </c>
      <c r="Q86" t="s">
        <v>172</v>
      </c>
      <c r="R86">
        <v>52</v>
      </c>
      <c r="S86" t="s">
        <v>274</v>
      </c>
      <c r="T86" t="str">
        <f>IF(COUNTIF($A$2:A86,A86)&gt;1,"Duplicate","Unique")</f>
        <v>Unique</v>
      </c>
    </row>
    <row r="87" spans="1:20" x14ac:dyDescent="0.45">
      <c r="A87" t="s">
        <v>527</v>
      </c>
      <c r="B87" t="s">
        <v>528</v>
      </c>
      <c r="C87" t="s">
        <v>53</v>
      </c>
      <c r="D87" t="s">
        <v>52</v>
      </c>
      <c r="E87" t="s">
        <v>280</v>
      </c>
      <c r="F87" t="s">
        <v>85</v>
      </c>
      <c r="G87" t="s">
        <v>281</v>
      </c>
      <c r="H87" t="s">
        <v>108</v>
      </c>
      <c r="I87" t="s">
        <v>107</v>
      </c>
      <c r="J87" t="s">
        <v>2559</v>
      </c>
      <c r="K87" t="s">
        <v>162</v>
      </c>
      <c r="M87" t="s">
        <v>163</v>
      </c>
      <c r="N87" t="s">
        <v>99</v>
      </c>
      <c r="O87" s="27">
        <v>4166000</v>
      </c>
      <c r="P87">
        <v>2</v>
      </c>
      <c r="Q87" t="s">
        <v>164</v>
      </c>
      <c r="R87">
        <v>6</v>
      </c>
      <c r="S87" t="s">
        <v>189</v>
      </c>
      <c r="T87" t="str">
        <f>IF(COUNTIF($A$2:A87,A87)&gt;1,"Duplicate","Unique")</f>
        <v>Unique</v>
      </c>
    </row>
    <row r="88" spans="1:20" x14ac:dyDescent="0.45">
      <c r="A88" t="s">
        <v>727</v>
      </c>
      <c r="B88" t="s">
        <v>728</v>
      </c>
      <c r="C88" t="s">
        <v>51</v>
      </c>
      <c r="D88" t="s">
        <v>50</v>
      </c>
      <c r="E88" t="s">
        <v>181</v>
      </c>
      <c r="F88" t="s">
        <v>81</v>
      </c>
      <c r="G88" t="s">
        <v>182</v>
      </c>
      <c r="H88" t="s">
        <v>106</v>
      </c>
      <c r="I88" t="s">
        <v>107</v>
      </c>
      <c r="J88" t="s">
        <v>2560</v>
      </c>
      <c r="K88" t="s">
        <v>187</v>
      </c>
      <c r="L88" t="s">
        <v>2561</v>
      </c>
      <c r="M88" t="s">
        <v>282</v>
      </c>
      <c r="N88" t="s">
        <v>99</v>
      </c>
      <c r="O88" s="27">
        <v>586000</v>
      </c>
      <c r="P88">
        <v>4</v>
      </c>
      <c r="Q88" t="s">
        <v>172</v>
      </c>
      <c r="R88">
        <v>36</v>
      </c>
      <c r="S88" t="s">
        <v>244</v>
      </c>
      <c r="T88" t="str">
        <f>IF(COUNTIF($A$2:A88,A88)&gt;1,"Duplicate","Unique")</f>
        <v>Unique</v>
      </c>
    </row>
    <row r="89" spans="1:20" x14ac:dyDescent="0.45">
      <c r="A89" t="s">
        <v>2338</v>
      </c>
      <c r="B89" t="s">
        <v>1956</v>
      </c>
      <c r="C89" t="s">
        <v>57</v>
      </c>
      <c r="D89" t="s">
        <v>56</v>
      </c>
      <c r="E89" t="s">
        <v>160</v>
      </c>
      <c r="F89" t="s">
        <v>81</v>
      </c>
      <c r="G89" t="s">
        <v>161</v>
      </c>
      <c r="H89" t="s">
        <v>106</v>
      </c>
      <c r="I89" t="s">
        <v>107</v>
      </c>
      <c r="J89" t="s">
        <v>2562</v>
      </c>
      <c r="K89" t="s">
        <v>162</v>
      </c>
      <c r="M89" t="s">
        <v>163</v>
      </c>
      <c r="N89" t="s">
        <v>96</v>
      </c>
      <c r="O89" s="27">
        <v>843000</v>
      </c>
      <c r="Q89" t="s">
        <v>164</v>
      </c>
      <c r="R89">
        <v>26</v>
      </c>
      <c r="S89" t="s">
        <v>224</v>
      </c>
      <c r="T89" t="str">
        <f>IF(COUNTIF($A$2:A89,A89)&gt;1,"Duplicate","Unique")</f>
        <v>Unique</v>
      </c>
    </row>
    <row r="90" spans="1:20" x14ac:dyDescent="0.45">
      <c r="A90" t="s">
        <v>1532</v>
      </c>
      <c r="B90" t="s">
        <v>1533</v>
      </c>
      <c r="C90" t="s">
        <v>51</v>
      </c>
      <c r="D90" t="s">
        <v>50</v>
      </c>
      <c r="E90" t="s">
        <v>181</v>
      </c>
      <c r="F90" t="s">
        <v>81</v>
      </c>
      <c r="G90" t="s">
        <v>182</v>
      </c>
      <c r="H90" t="s">
        <v>109</v>
      </c>
      <c r="I90" t="s">
        <v>110</v>
      </c>
      <c r="J90" t="s">
        <v>2563</v>
      </c>
      <c r="K90" t="s">
        <v>162</v>
      </c>
      <c r="M90" t="s">
        <v>163</v>
      </c>
      <c r="N90" t="s">
        <v>96</v>
      </c>
      <c r="O90" s="27">
        <v>641000</v>
      </c>
      <c r="P90">
        <v>3</v>
      </c>
      <c r="Q90" t="s">
        <v>164</v>
      </c>
      <c r="R90">
        <v>47</v>
      </c>
      <c r="S90" t="s">
        <v>219</v>
      </c>
      <c r="T90" t="str">
        <f>IF(COUNTIF($A$2:A90,A90)&gt;1,"Duplicate","Unique")</f>
        <v>Unique</v>
      </c>
    </row>
    <row r="91" spans="1:20" x14ac:dyDescent="0.45">
      <c r="A91" t="s">
        <v>635</v>
      </c>
      <c r="B91" t="s">
        <v>636</v>
      </c>
      <c r="C91" t="s">
        <v>51</v>
      </c>
      <c r="D91" t="s">
        <v>50</v>
      </c>
      <c r="E91" t="s">
        <v>181</v>
      </c>
      <c r="F91" t="s">
        <v>81</v>
      </c>
      <c r="G91" t="s">
        <v>182</v>
      </c>
      <c r="H91" t="s">
        <v>108</v>
      </c>
      <c r="I91" t="s">
        <v>107</v>
      </c>
      <c r="J91" t="s">
        <v>2564</v>
      </c>
      <c r="K91" t="s">
        <v>162</v>
      </c>
      <c r="M91" t="s">
        <v>163</v>
      </c>
      <c r="N91" t="s">
        <v>99</v>
      </c>
      <c r="O91" s="27">
        <v>833000</v>
      </c>
      <c r="P91">
        <v>2</v>
      </c>
      <c r="Q91" t="s">
        <v>172</v>
      </c>
      <c r="R91">
        <v>12</v>
      </c>
      <c r="S91" t="s">
        <v>178</v>
      </c>
      <c r="T91" t="str">
        <f>IF(COUNTIF($A$2:A91,A91)&gt;1,"Duplicate","Unique")</f>
        <v>Unique</v>
      </c>
    </row>
    <row r="92" spans="1:20" x14ac:dyDescent="0.45">
      <c r="A92" t="s">
        <v>1303</v>
      </c>
      <c r="B92" t="s">
        <v>2565</v>
      </c>
      <c r="C92" t="s">
        <v>55</v>
      </c>
      <c r="D92" t="s">
        <v>54</v>
      </c>
      <c r="E92" t="s">
        <v>277</v>
      </c>
      <c r="F92" t="s">
        <v>81</v>
      </c>
      <c r="G92" t="s">
        <v>278</v>
      </c>
      <c r="H92" t="s">
        <v>108</v>
      </c>
      <c r="I92" t="s">
        <v>107</v>
      </c>
      <c r="J92" t="s">
        <v>2566</v>
      </c>
      <c r="K92" t="s">
        <v>187</v>
      </c>
      <c r="L92" t="s">
        <v>2567</v>
      </c>
      <c r="M92" t="s">
        <v>213</v>
      </c>
      <c r="N92" t="s">
        <v>97</v>
      </c>
      <c r="O92" s="27">
        <v>682000</v>
      </c>
      <c r="P92">
        <v>3</v>
      </c>
      <c r="Q92" t="s">
        <v>2525</v>
      </c>
      <c r="R92">
        <v>34</v>
      </c>
      <c r="S92" t="s">
        <v>262</v>
      </c>
      <c r="T92" t="str">
        <f>IF(COUNTIF($A$2:A92,A92)&gt;1,"Duplicate","Unique")</f>
        <v>Unique</v>
      </c>
    </row>
    <row r="93" spans="1:20" x14ac:dyDescent="0.45">
      <c r="A93" t="s">
        <v>798</v>
      </c>
      <c r="B93" t="s">
        <v>799</v>
      </c>
      <c r="C93" t="s">
        <v>51</v>
      </c>
      <c r="D93" t="s">
        <v>50</v>
      </c>
      <c r="E93" t="s">
        <v>328</v>
      </c>
      <c r="F93" t="s">
        <v>85</v>
      </c>
      <c r="G93" t="s">
        <v>329</v>
      </c>
      <c r="H93" t="s">
        <v>106</v>
      </c>
      <c r="I93" t="s">
        <v>107</v>
      </c>
      <c r="J93" t="s">
        <v>2568</v>
      </c>
      <c r="K93" t="s">
        <v>170</v>
      </c>
      <c r="L93" t="s">
        <v>2569</v>
      </c>
      <c r="M93" t="s">
        <v>171</v>
      </c>
      <c r="N93" t="s">
        <v>98</v>
      </c>
      <c r="O93" s="27">
        <v>4636000</v>
      </c>
      <c r="P93">
        <v>4</v>
      </c>
      <c r="Q93" t="s">
        <v>164</v>
      </c>
      <c r="R93">
        <v>31</v>
      </c>
      <c r="S93" t="s">
        <v>244</v>
      </c>
      <c r="T93" t="str">
        <f>IF(COUNTIF($A$2:A93,A93)&gt;1,"Duplicate","Unique")</f>
        <v>Unique</v>
      </c>
    </row>
    <row r="94" spans="1:20" x14ac:dyDescent="0.45">
      <c r="A94" t="s">
        <v>2279</v>
      </c>
      <c r="B94" t="s">
        <v>918</v>
      </c>
      <c r="C94" t="s">
        <v>55</v>
      </c>
      <c r="D94" t="s">
        <v>54</v>
      </c>
      <c r="E94" t="s">
        <v>229</v>
      </c>
      <c r="F94" t="s">
        <v>82</v>
      </c>
      <c r="G94" t="s">
        <v>230</v>
      </c>
      <c r="H94" t="s">
        <v>108</v>
      </c>
      <c r="I94" t="s">
        <v>107</v>
      </c>
      <c r="J94" t="s">
        <v>2570</v>
      </c>
      <c r="K94" t="s">
        <v>162</v>
      </c>
      <c r="M94" t="s">
        <v>163</v>
      </c>
      <c r="N94" t="s">
        <v>99</v>
      </c>
      <c r="O94" s="27">
        <v>1148000</v>
      </c>
      <c r="P94">
        <v>4</v>
      </c>
      <c r="Q94" t="s">
        <v>172</v>
      </c>
      <c r="R94">
        <v>38</v>
      </c>
      <c r="S94" t="s">
        <v>262</v>
      </c>
      <c r="T94" t="str">
        <f>IF(COUNTIF($A$2:A94,A94)&gt;1,"Duplicate","Unique")</f>
        <v>Unique</v>
      </c>
    </row>
    <row r="95" spans="1:20" x14ac:dyDescent="0.45">
      <c r="A95" t="s">
        <v>1975</v>
      </c>
      <c r="B95" t="s">
        <v>2571</v>
      </c>
      <c r="C95" t="s">
        <v>51</v>
      </c>
      <c r="D95" t="s">
        <v>50</v>
      </c>
      <c r="E95" t="s">
        <v>181</v>
      </c>
      <c r="F95" t="s">
        <v>81</v>
      </c>
      <c r="G95" t="s">
        <v>182</v>
      </c>
      <c r="H95" t="s">
        <v>109</v>
      </c>
      <c r="I95" t="s">
        <v>110</v>
      </c>
      <c r="J95" t="s">
        <v>2572</v>
      </c>
      <c r="K95" t="s">
        <v>162</v>
      </c>
      <c r="M95" t="s">
        <v>163</v>
      </c>
      <c r="N95" t="s">
        <v>95</v>
      </c>
      <c r="O95" s="27">
        <v>847000</v>
      </c>
      <c r="P95">
        <v>2</v>
      </c>
      <c r="Q95" t="s">
        <v>164</v>
      </c>
      <c r="R95">
        <v>23</v>
      </c>
      <c r="S95" t="s">
        <v>244</v>
      </c>
      <c r="T95" t="str">
        <f>IF(COUNTIF($A$2:A95,A95)&gt;1,"Duplicate","Unique")</f>
        <v>Unique</v>
      </c>
    </row>
    <row r="96" spans="1:20" x14ac:dyDescent="0.45">
      <c r="A96" t="s">
        <v>1867</v>
      </c>
      <c r="B96" t="s">
        <v>1868</v>
      </c>
      <c r="C96" t="s">
        <v>59</v>
      </c>
      <c r="D96" t="s">
        <v>58</v>
      </c>
      <c r="E96" t="s">
        <v>206</v>
      </c>
      <c r="F96" t="s">
        <v>81</v>
      </c>
      <c r="G96" t="s">
        <v>207</v>
      </c>
      <c r="H96" t="s">
        <v>106</v>
      </c>
      <c r="I96" t="s">
        <v>107</v>
      </c>
      <c r="J96" t="s">
        <v>2573</v>
      </c>
      <c r="K96" t="s">
        <v>187</v>
      </c>
      <c r="L96" t="s">
        <v>2574</v>
      </c>
      <c r="M96" t="s">
        <v>308</v>
      </c>
      <c r="N96" t="s">
        <v>97</v>
      </c>
      <c r="O96" s="27">
        <v>748000</v>
      </c>
      <c r="P96">
        <v>4</v>
      </c>
      <c r="Q96" t="s">
        <v>172</v>
      </c>
      <c r="R96">
        <v>9</v>
      </c>
      <c r="S96" t="s">
        <v>208</v>
      </c>
      <c r="T96" t="str">
        <f>IF(COUNTIF($A$2:A96,A96)&gt;1,"Duplicate","Unique")</f>
        <v>Unique</v>
      </c>
    </row>
    <row r="97" spans="1:20" x14ac:dyDescent="0.45">
      <c r="A97" t="s">
        <v>1248</v>
      </c>
      <c r="B97" t="s">
        <v>2575</v>
      </c>
      <c r="C97" t="s">
        <v>53</v>
      </c>
      <c r="D97" t="s">
        <v>52</v>
      </c>
      <c r="E97" t="s">
        <v>192</v>
      </c>
      <c r="F97" t="s">
        <v>83</v>
      </c>
      <c r="G97" t="s">
        <v>193</v>
      </c>
      <c r="H97" t="s">
        <v>108</v>
      </c>
      <c r="I97" t="s">
        <v>107</v>
      </c>
      <c r="J97" t="s">
        <v>2576</v>
      </c>
      <c r="K97" t="s">
        <v>187</v>
      </c>
      <c r="L97" t="s">
        <v>2466</v>
      </c>
      <c r="M97" t="s">
        <v>269</v>
      </c>
      <c r="N97" t="s">
        <v>99</v>
      </c>
      <c r="O97" s="27">
        <v>1568000</v>
      </c>
      <c r="P97">
        <v>3</v>
      </c>
      <c r="Q97" t="s">
        <v>164</v>
      </c>
      <c r="R97">
        <v>40</v>
      </c>
      <c r="S97" t="s">
        <v>189</v>
      </c>
      <c r="T97" t="str">
        <f>IF(COUNTIF($A$2:A97,A97)&gt;1,"Duplicate","Unique")</f>
        <v>Unique</v>
      </c>
    </row>
    <row r="98" spans="1:20" x14ac:dyDescent="0.45">
      <c r="A98" t="s">
        <v>1717</v>
      </c>
      <c r="B98" t="s">
        <v>1289</v>
      </c>
      <c r="C98" t="s">
        <v>53</v>
      </c>
      <c r="D98" t="s">
        <v>52</v>
      </c>
      <c r="E98" t="s">
        <v>322</v>
      </c>
      <c r="F98" t="s">
        <v>81</v>
      </c>
      <c r="G98" t="s">
        <v>323</v>
      </c>
      <c r="H98" t="s">
        <v>111</v>
      </c>
      <c r="I98" t="s">
        <v>110</v>
      </c>
      <c r="J98" t="s">
        <v>2577</v>
      </c>
      <c r="K98" t="s">
        <v>162</v>
      </c>
      <c r="M98" t="s">
        <v>163</v>
      </c>
      <c r="N98" t="s">
        <v>99</v>
      </c>
      <c r="O98" s="27">
        <v>830000</v>
      </c>
      <c r="P98">
        <v>4</v>
      </c>
      <c r="Q98" t="s">
        <v>164</v>
      </c>
      <c r="R98">
        <v>25</v>
      </c>
      <c r="S98" t="s">
        <v>189</v>
      </c>
      <c r="T98" t="str">
        <f>IF(COUNTIF($A$2:A98,A98)&gt;1,"Duplicate","Unique")</f>
        <v>Unique</v>
      </c>
    </row>
    <row r="99" spans="1:20" x14ac:dyDescent="0.45">
      <c r="A99" t="s">
        <v>1891</v>
      </c>
      <c r="B99" t="s">
        <v>671</v>
      </c>
      <c r="C99" t="s">
        <v>57</v>
      </c>
      <c r="D99" t="s">
        <v>56</v>
      </c>
      <c r="E99" t="s">
        <v>222</v>
      </c>
      <c r="F99" t="s">
        <v>82</v>
      </c>
      <c r="G99" t="s">
        <v>223</v>
      </c>
      <c r="H99" t="s">
        <v>106</v>
      </c>
      <c r="I99" t="s">
        <v>107</v>
      </c>
      <c r="J99" t="s">
        <v>2578</v>
      </c>
      <c r="K99" t="s">
        <v>162</v>
      </c>
      <c r="M99" t="s">
        <v>163</v>
      </c>
      <c r="N99" t="s">
        <v>97</v>
      </c>
      <c r="O99" s="27">
        <v>880000</v>
      </c>
      <c r="P99">
        <v>3</v>
      </c>
      <c r="Q99" t="s">
        <v>172</v>
      </c>
      <c r="R99">
        <v>39</v>
      </c>
      <c r="S99" t="s">
        <v>224</v>
      </c>
      <c r="T99" t="str">
        <f>IF(COUNTIF($A$2:A99,A99)&gt;1,"Duplicate","Unique")</f>
        <v>Unique</v>
      </c>
    </row>
    <row r="100" spans="1:20" x14ac:dyDescent="0.45">
      <c r="A100" t="s">
        <v>1228</v>
      </c>
      <c r="B100" t="s">
        <v>1229</v>
      </c>
      <c r="C100" t="s">
        <v>55</v>
      </c>
      <c r="D100" t="s">
        <v>54</v>
      </c>
      <c r="E100" t="s">
        <v>240</v>
      </c>
      <c r="F100" t="s">
        <v>83</v>
      </c>
      <c r="G100" t="s">
        <v>241</v>
      </c>
      <c r="H100" t="s">
        <v>109</v>
      </c>
      <c r="I100" t="s">
        <v>110</v>
      </c>
      <c r="J100" t="s">
        <v>2579</v>
      </c>
      <c r="K100" t="s">
        <v>162</v>
      </c>
      <c r="M100" t="s">
        <v>163</v>
      </c>
      <c r="N100" t="s">
        <v>97</v>
      </c>
      <c r="O100" s="27">
        <v>1578000</v>
      </c>
      <c r="P100">
        <v>3</v>
      </c>
      <c r="Q100" t="s">
        <v>164</v>
      </c>
      <c r="R100">
        <v>54</v>
      </c>
      <c r="S100" t="s">
        <v>173</v>
      </c>
      <c r="T100" t="str">
        <f>IF(COUNTIF($A$2:A100,A100)&gt;1,"Duplicate","Unique")</f>
        <v>Unique</v>
      </c>
    </row>
    <row r="101" spans="1:20" x14ac:dyDescent="0.45">
      <c r="A101" t="s">
        <v>1963</v>
      </c>
      <c r="B101" t="s">
        <v>1964</v>
      </c>
      <c r="C101" t="s">
        <v>61</v>
      </c>
      <c r="D101" t="s">
        <v>60</v>
      </c>
      <c r="E101" t="s">
        <v>356</v>
      </c>
      <c r="F101" t="s">
        <v>81</v>
      </c>
      <c r="G101" t="s">
        <v>357</v>
      </c>
      <c r="H101" t="s">
        <v>2580</v>
      </c>
      <c r="I101" t="s">
        <v>110</v>
      </c>
      <c r="J101" t="s">
        <v>2581</v>
      </c>
      <c r="K101" t="s">
        <v>162</v>
      </c>
      <c r="M101" t="s">
        <v>163</v>
      </c>
      <c r="N101" t="s">
        <v>97</v>
      </c>
      <c r="O101" s="27">
        <v>817000</v>
      </c>
      <c r="P101">
        <v>2</v>
      </c>
      <c r="Q101" t="s">
        <v>164</v>
      </c>
      <c r="R101">
        <v>26</v>
      </c>
      <c r="S101" t="s">
        <v>253</v>
      </c>
      <c r="T101" t="str">
        <f>IF(COUNTIF($A$2:A101,A101)&gt;1,"Duplicate","Unique")</f>
        <v>Unique</v>
      </c>
    </row>
    <row r="102" spans="1:20" x14ac:dyDescent="0.45">
      <c r="A102" t="s">
        <v>1802</v>
      </c>
      <c r="B102" t="s">
        <v>1370</v>
      </c>
      <c r="C102" t="s">
        <v>53</v>
      </c>
      <c r="D102" t="s">
        <v>52</v>
      </c>
      <c r="E102" t="s">
        <v>192</v>
      </c>
      <c r="F102" t="s">
        <v>83</v>
      </c>
      <c r="G102" t="s">
        <v>193</v>
      </c>
      <c r="H102" t="s">
        <v>106</v>
      </c>
      <c r="I102" t="s">
        <v>107</v>
      </c>
      <c r="J102" t="s">
        <v>2582</v>
      </c>
      <c r="K102" t="s">
        <v>162</v>
      </c>
      <c r="M102" t="s">
        <v>163</v>
      </c>
      <c r="N102" t="s">
        <v>99</v>
      </c>
      <c r="O102" s="27">
        <v>1977000</v>
      </c>
      <c r="P102">
        <v>4</v>
      </c>
      <c r="Q102" t="s">
        <v>164</v>
      </c>
      <c r="R102">
        <v>52</v>
      </c>
      <c r="S102" t="s">
        <v>194</v>
      </c>
      <c r="T102" t="str">
        <f>IF(COUNTIF($A$2:A102,A102)&gt;1,"Duplicate","Unique")</f>
        <v>Unique</v>
      </c>
    </row>
    <row r="103" spans="1:20" x14ac:dyDescent="0.45">
      <c r="A103" t="s">
        <v>2115</v>
      </c>
      <c r="B103" t="s">
        <v>1337</v>
      </c>
      <c r="C103" t="s">
        <v>55</v>
      </c>
      <c r="D103" t="s">
        <v>54</v>
      </c>
      <c r="E103" t="s">
        <v>277</v>
      </c>
      <c r="F103" t="s">
        <v>81</v>
      </c>
      <c r="G103" t="s">
        <v>278</v>
      </c>
      <c r="H103" t="s">
        <v>106</v>
      </c>
      <c r="I103" t="s">
        <v>107</v>
      </c>
      <c r="J103" t="s">
        <v>2583</v>
      </c>
      <c r="K103" t="s">
        <v>162</v>
      </c>
      <c r="M103" t="s">
        <v>163</v>
      </c>
      <c r="N103" t="s">
        <v>97</v>
      </c>
      <c r="O103" s="27">
        <v>691000</v>
      </c>
      <c r="P103">
        <v>3</v>
      </c>
      <c r="Q103" t="s">
        <v>2584</v>
      </c>
      <c r="R103">
        <v>48</v>
      </c>
      <c r="S103" t="s">
        <v>274</v>
      </c>
      <c r="T103" t="str">
        <f>IF(COUNTIF($A$2:A103,A103)&gt;1,"Duplicate","Unique")</f>
        <v>Unique</v>
      </c>
    </row>
    <row r="104" spans="1:20" x14ac:dyDescent="0.45">
      <c r="A104" t="s">
        <v>1605</v>
      </c>
      <c r="B104" t="s">
        <v>2585</v>
      </c>
      <c r="C104" t="s">
        <v>53</v>
      </c>
      <c r="D104" t="s">
        <v>52</v>
      </c>
      <c r="E104" t="s">
        <v>185</v>
      </c>
      <c r="F104" t="s">
        <v>82</v>
      </c>
      <c r="G104" t="s">
        <v>186</v>
      </c>
      <c r="H104" t="s">
        <v>111</v>
      </c>
      <c r="I104" t="s">
        <v>110</v>
      </c>
      <c r="J104" t="s">
        <v>2586</v>
      </c>
      <c r="K104" t="s">
        <v>162</v>
      </c>
      <c r="M104" t="s">
        <v>163</v>
      </c>
      <c r="N104" t="s">
        <v>97</v>
      </c>
      <c r="O104" s="27">
        <v>1335000</v>
      </c>
      <c r="P104">
        <v>3</v>
      </c>
      <c r="Q104" t="s">
        <v>164</v>
      </c>
      <c r="R104">
        <v>33</v>
      </c>
      <c r="S104" t="s">
        <v>237</v>
      </c>
      <c r="T104" t="str">
        <f>IF(COUNTIF($A$2:A104,A104)&gt;1,"Duplicate","Unique")</f>
        <v>Unique</v>
      </c>
    </row>
    <row r="105" spans="1:20" x14ac:dyDescent="0.45">
      <c r="A105" t="s">
        <v>2301</v>
      </c>
      <c r="B105" t="s">
        <v>1460</v>
      </c>
      <c r="C105" t="s">
        <v>61</v>
      </c>
      <c r="D105" t="s">
        <v>60</v>
      </c>
      <c r="E105" t="s">
        <v>317</v>
      </c>
      <c r="F105" t="s">
        <v>84</v>
      </c>
      <c r="G105" t="s">
        <v>318</v>
      </c>
      <c r="H105" t="s">
        <v>108</v>
      </c>
      <c r="I105" t="s">
        <v>107</v>
      </c>
      <c r="J105" t="s">
        <v>2587</v>
      </c>
      <c r="K105" t="s">
        <v>162</v>
      </c>
      <c r="M105" t="s">
        <v>163</v>
      </c>
      <c r="N105" t="s">
        <v>98</v>
      </c>
      <c r="O105" s="27">
        <v>2529000</v>
      </c>
      <c r="Q105" t="s">
        <v>164</v>
      </c>
      <c r="R105">
        <v>36</v>
      </c>
      <c r="S105" t="s">
        <v>253</v>
      </c>
      <c r="T105" t="str">
        <f>IF(COUNTIF($A$2:A105,A105)&gt;1,"Duplicate","Unique")</f>
        <v>Unique</v>
      </c>
    </row>
    <row r="106" spans="1:20" x14ac:dyDescent="0.45">
      <c r="A106" t="s">
        <v>1962</v>
      </c>
      <c r="B106" t="s">
        <v>1805</v>
      </c>
      <c r="C106" t="s">
        <v>51</v>
      </c>
      <c r="D106" t="s">
        <v>50</v>
      </c>
      <c r="E106" t="s">
        <v>176</v>
      </c>
      <c r="F106" t="s">
        <v>82</v>
      </c>
      <c r="G106" t="s">
        <v>177</v>
      </c>
      <c r="H106" t="s">
        <v>108</v>
      </c>
      <c r="I106" t="s">
        <v>107</v>
      </c>
      <c r="J106" t="s">
        <v>2581</v>
      </c>
      <c r="K106" t="s">
        <v>162</v>
      </c>
      <c r="M106" t="s">
        <v>163</v>
      </c>
      <c r="N106" t="s">
        <v>99</v>
      </c>
      <c r="O106" s="27">
        <v>1012000</v>
      </c>
      <c r="P106">
        <v>5</v>
      </c>
      <c r="Q106" t="s">
        <v>172</v>
      </c>
      <c r="R106">
        <v>34</v>
      </c>
      <c r="S106" t="s">
        <v>178</v>
      </c>
      <c r="T106" t="str">
        <f>IF(COUNTIF($A$2:A106,A106)&gt;1,"Duplicate","Unique")</f>
        <v>Unique</v>
      </c>
    </row>
    <row r="107" spans="1:20" x14ac:dyDescent="0.45">
      <c r="A107" t="s">
        <v>2344</v>
      </c>
      <c r="B107" t="s">
        <v>2345</v>
      </c>
      <c r="C107" t="s">
        <v>51</v>
      </c>
      <c r="D107" t="s">
        <v>50</v>
      </c>
      <c r="E107" t="s">
        <v>328</v>
      </c>
      <c r="F107" t="s">
        <v>85</v>
      </c>
      <c r="G107" t="s">
        <v>329</v>
      </c>
      <c r="H107" t="s">
        <v>109</v>
      </c>
      <c r="I107" t="s">
        <v>110</v>
      </c>
      <c r="J107" t="s">
        <v>2588</v>
      </c>
      <c r="K107" t="s">
        <v>162</v>
      </c>
      <c r="M107" t="s">
        <v>163</v>
      </c>
      <c r="N107" t="s">
        <v>97</v>
      </c>
      <c r="O107" s="27">
        <v>4144000</v>
      </c>
      <c r="P107">
        <v>4</v>
      </c>
      <c r="Q107" t="s">
        <v>164</v>
      </c>
      <c r="R107">
        <v>45</v>
      </c>
      <c r="S107" t="s">
        <v>178</v>
      </c>
      <c r="T107" t="str">
        <f>IF(COUNTIF($A$2:A107,A107)&gt;1,"Duplicate","Unique")</f>
        <v>Unique</v>
      </c>
    </row>
    <row r="108" spans="1:20" x14ac:dyDescent="0.45">
      <c r="A108" t="s">
        <v>1329</v>
      </c>
      <c r="B108" t="s">
        <v>625</v>
      </c>
      <c r="C108" t="s">
        <v>53</v>
      </c>
      <c r="D108" t="s">
        <v>52</v>
      </c>
      <c r="E108" t="s">
        <v>185</v>
      </c>
      <c r="F108" t="s">
        <v>82</v>
      </c>
      <c r="G108" t="s">
        <v>186</v>
      </c>
      <c r="H108" t="s">
        <v>106</v>
      </c>
      <c r="I108" t="s">
        <v>107</v>
      </c>
      <c r="J108" t="s">
        <v>2589</v>
      </c>
      <c r="K108" t="s">
        <v>162</v>
      </c>
      <c r="M108" t="s">
        <v>163</v>
      </c>
      <c r="N108" t="s">
        <v>97</v>
      </c>
      <c r="O108" s="27">
        <v>952000</v>
      </c>
      <c r="P108">
        <v>4</v>
      </c>
      <c r="Q108" t="s">
        <v>164</v>
      </c>
      <c r="R108">
        <v>46</v>
      </c>
      <c r="S108" t="s">
        <v>189</v>
      </c>
      <c r="T108" t="str">
        <f>IF(COUNTIF($A$2:A108,A108)&gt;1,"Duplicate","Unique")</f>
        <v>Unique</v>
      </c>
    </row>
    <row r="109" spans="1:20" x14ac:dyDescent="0.45">
      <c r="A109" t="s">
        <v>990</v>
      </c>
      <c r="B109" t="s">
        <v>991</v>
      </c>
      <c r="C109" t="s">
        <v>57</v>
      </c>
      <c r="D109" t="s">
        <v>56</v>
      </c>
      <c r="E109" t="s">
        <v>160</v>
      </c>
      <c r="F109" t="s">
        <v>81</v>
      </c>
      <c r="G109" t="s">
        <v>161</v>
      </c>
      <c r="H109" t="s">
        <v>106</v>
      </c>
      <c r="I109" t="s">
        <v>107</v>
      </c>
      <c r="J109" t="s">
        <v>2590</v>
      </c>
      <c r="K109" t="s">
        <v>187</v>
      </c>
      <c r="L109" t="s">
        <v>2437</v>
      </c>
      <c r="M109" t="s">
        <v>282</v>
      </c>
      <c r="N109" t="s">
        <v>98</v>
      </c>
      <c r="O109" s="27">
        <v>733000</v>
      </c>
      <c r="P109">
        <v>3</v>
      </c>
      <c r="Q109" t="s">
        <v>164</v>
      </c>
      <c r="R109">
        <v>8</v>
      </c>
      <c r="S109" t="s">
        <v>165</v>
      </c>
      <c r="T109" t="str">
        <f>IF(COUNTIF($A$2:A109,A109)&gt;1,"Duplicate","Unique")</f>
        <v>Unique</v>
      </c>
    </row>
    <row r="110" spans="1:20" x14ac:dyDescent="0.45">
      <c r="A110" t="s">
        <v>2127</v>
      </c>
      <c r="B110" t="s">
        <v>2128</v>
      </c>
      <c r="C110" t="s">
        <v>51</v>
      </c>
      <c r="D110" t="s">
        <v>50</v>
      </c>
      <c r="E110" t="s">
        <v>181</v>
      </c>
      <c r="F110" t="s">
        <v>81</v>
      </c>
      <c r="G110" t="s">
        <v>182</v>
      </c>
      <c r="H110" t="s">
        <v>108</v>
      </c>
      <c r="I110" t="s">
        <v>107</v>
      </c>
      <c r="J110" t="s">
        <v>2591</v>
      </c>
      <c r="K110" t="s">
        <v>162</v>
      </c>
      <c r="M110" t="s">
        <v>163</v>
      </c>
      <c r="N110" t="s">
        <v>99</v>
      </c>
      <c r="O110" s="27">
        <v>824000</v>
      </c>
      <c r="P110">
        <v>3</v>
      </c>
      <c r="Q110" t="s">
        <v>164</v>
      </c>
      <c r="R110">
        <v>58</v>
      </c>
      <c r="S110" t="s">
        <v>244</v>
      </c>
      <c r="T110" t="str">
        <f>IF(COUNTIF($A$2:A110,A110)&gt;1,"Duplicate","Unique")</f>
        <v>Unique</v>
      </c>
    </row>
    <row r="111" spans="1:20" x14ac:dyDescent="0.45">
      <c r="A111" t="s">
        <v>594</v>
      </c>
      <c r="B111" t="s">
        <v>595</v>
      </c>
      <c r="C111" t="s">
        <v>51</v>
      </c>
      <c r="D111" t="s">
        <v>50</v>
      </c>
      <c r="E111" t="s">
        <v>176</v>
      </c>
      <c r="F111" t="s">
        <v>82</v>
      </c>
      <c r="G111" t="s">
        <v>177</v>
      </c>
      <c r="H111" t="s">
        <v>106</v>
      </c>
      <c r="I111" t="s">
        <v>107</v>
      </c>
      <c r="J111" t="s">
        <v>2592</v>
      </c>
      <c r="K111" t="s">
        <v>162</v>
      </c>
      <c r="M111" t="s">
        <v>163</v>
      </c>
      <c r="N111" t="s">
        <v>96</v>
      </c>
      <c r="O111" s="27">
        <v>987000</v>
      </c>
      <c r="P111">
        <v>3</v>
      </c>
      <c r="Q111" t="s">
        <v>164</v>
      </c>
      <c r="R111">
        <v>49</v>
      </c>
      <c r="S111" t="s">
        <v>244</v>
      </c>
      <c r="T111" t="str">
        <f>IF(COUNTIF($A$2:A111,A111)&gt;1,"Duplicate","Unique")</f>
        <v>Unique</v>
      </c>
    </row>
    <row r="112" spans="1:20" x14ac:dyDescent="0.45">
      <c r="A112" t="s">
        <v>352</v>
      </c>
      <c r="B112" t="s">
        <v>353</v>
      </c>
      <c r="C112" t="s">
        <v>51</v>
      </c>
      <c r="D112" t="s">
        <v>50</v>
      </c>
      <c r="E112" t="s">
        <v>328</v>
      </c>
      <c r="F112" t="s">
        <v>85</v>
      </c>
      <c r="G112" t="s">
        <v>329</v>
      </c>
      <c r="H112" t="s">
        <v>108</v>
      </c>
      <c r="I112" t="s">
        <v>107</v>
      </c>
      <c r="J112" t="s">
        <v>2492</v>
      </c>
      <c r="K112" t="s">
        <v>162</v>
      </c>
      <c r="M112" t="s">
        <v>163</v>
      </c>
      <c r="N112" t="s">
        <v>95</v>
      </c>
      <c r="O112" s="27">
        <v>5059000</v>
      </c>
      <c r="P112">
        <v>4</v>
      </c>
      <c r="Q112" t="s">
        <v>164</v>
      </c>
      <c r="R112">
        <v>38</v>
      </c>
      <c r="S112" t="s">
        <v>244</v>
      </c>
      <c r="T112" t="str">
        <f>IF(COUNTIF($A$2:A112,A112)&gt;1,"Duplicate","Unique")</f>
        <v>Unique</v>
      </c>
    </row>
    <row r="113" spans="1:20" x14ac:dyDescent="0.45">
      <c r="A113" t="s">
        <v>1587</v>
      </c>
      <c r="B113" t="s">
        <v>1345</v>
      </c>
      <c r="C113" t="s">
        <v>51</v>
      </c>
      <c r="D113" t="s">
        <v>50</v>
      </c>
      <c r="E113" t="s">
        <v>181</v>
      </c>
      <c r="F113" t="s">
        <v>81</v>
      </c>
      <c r="G113" t="s">
        <v>182</v>
      </c>
      <c r="H113" t="s">
        <v>106</v>
      </c>
      <c r="I113" t="s">
        <v>107</v>
      </c>
      <c r="J113" t="s">
        <v>2593</v>
      </c>
      <c r="K113" t="s">
        <v>162</v>
      </c>
      <c r="M113" t="s">
        <v>163</v>
      </c>
      <c r="N113" t="s">
        <v>99</v>
      </c>
      <c r="O113" s="27">
        <v>702000</v>
      </c>
      <c r="P113">
        <v>2</v>
      </c>
      <c r="Q113" t="s">
        <v>164</v>
      </c>
      <c r="R113">
        <v>20</v>
      </c>
      <c r="S113" t="s">
        <v>197</v>
      </c>
      <c r="T113" t="str">
        <f>IF(COUNTIF($A$2:A113,A113)&gt;1,"Duplicate","Unique")</f>
        <v>Unique</v>
      </c>
    </row>
    <row r="114" spans="1:20" x14ac:dyDescent="0.45">
      <c r="A114" t="s">
        <v>1053</v>
      </c>
      <c r="B114" t="s">
        <v>1054</v>
      </c>
      <c r="C114" t="s">
        <v>59</v>
      </c>
      <c r="D114" t="s">
        <v>58</v>
      </c>
      <c r="E114" t="s">
        <v>211</v>
      </c>
      <c r="F114" t="s">
        <v>82</v>
      </c>
      <c r="G114" t="s">
        <v>212</v>
      </c>
      <c r="H114" t="s">
        <v>108</v>
      </c>
      <c r="I114" t="s">
        <v>107</v>
      </c>
      <c r="J114" t="s">
        <v>2561</v>
      </c>
      <c r="K114" t="s">
        <v>162</v>
      </c>
      <c r="M114" t="s">
        <v>163</v>
      </c>
      <c r="N114" t="s">
        <v>99</v>
      </c>
      <c r="O114" s="27">
        <v>1023000</v>
      </c>
      <c r="P114">
        <v>3</v>
      </c>
      <c r="Q114" t="s">
        <v>164</v>
      </c>
      <c r="R114">
        <v>31</v>
      </c>
      <c r="S114" t="s">
        <v>214</v>
      </c>
      <c r="T114" t="str">
        <f>IF(COUNTIF($A$2:A114,A114)&gt;1,"Duplicate","Unique")</f>
        <v>Unique</v>
      </c>
    </row>
    <row r="115" spans="1:20" x14ac:dyDescent="0.45">
      <c r="A115" t="s">
        <v>1580</v>
      </c>
      <c r="B115" t="s">
        <v>345</v>
      </c>
      <c r="C115" t="s">
        <v>61</v>
      </c>
      <c r="D115" t="s">
        <v>60</v>
      </c>
      <c r="E115" t="s">
        <v>317</v>
      </c>
      <c r="F115" t="s">
        <v>84</v>
      </c>
      <c r="G115" t="s">
        <v>318</v>
      </c>
      <c r="H115" t="s">
        <v>106</v>
      </c>
      <c r="I115" t="s">
        <v>107</v>
      </c>
      <c r="J115" t="s">
        <v>2594</v>
      </c>
      <c r="K115" t="s">
        <v>162</v>
      </c>
      <c r="M115" t="s">
        <v>163</v>
      </c>
      <c r="N115" t="s">
        <v>99</v>
      </c>
      <c r="O115" s="27">
        <v>3007000</v>
      </c>
      <c r="P115">
        <v>3</v>
      </c>
      <c r="Q115" t="s">
        <v>172</v>
      </c>
      <c r="R115">
        <v>31</v>
      </c>
      <c r="S115" t="s">
        <v>253</v>
      </c>
      <c r="T115" t="str">
        <f>IF(COUNTIF($A$2:A115,A115)&gt;1,"Duplicate","Unique")</f>
        <v>Unique</v>
      </c>
    </row>
    <row r="116" spans="1:20" x14ac:dyDescent="0.45">
      <c r="A116" t="s">
        <v>299</v>
      </c>
      <c r="B116" t="s">
        <v>2595</v>
      </c>
      <c r="C116" t="s">
        <v>51</v>
      </c>
      <c r="D116" t="s">
        <v>50</v>
      </c>
      <c r="E116" t="s">
        <v>181</v>
      </c>
      <c r="F116" t="s">
        <v>81</v>
      </c>
      <c r="G116" t="s">
        <v>182</v>
      </c>
      <c r="H116" t="s">
        <v>109</v>
      </c>
      <c r="I116" t="s">
        <v>110</v>
      </c>
      <c r="J116" t="s">
        <v>2596</v>
      </c>
      <c r="K116" t="s">
        <v>162</v>
      </c>
      <c r="M116" t="s">
        <v>163</v>
      </c>
      <c r="N116" t="s">
        <v>95</v>
      </c>
      <c r="O116" s="27">
        <v>824000</v>
      </c>
      <c r="P116">
        <v>3</v>
      </c>
      <c r="Q116" t="s">
        <v>164</v>
      </c>
      <c r="R116">
        <v>44</v>
      </c>
      <c r="S116" t="s">
        <v>178</v>
      </c>
      <c r="T116" t="str">
        <f>IF(COUNTIF($A$2:A116,A116)&gt;1,"Duplicate","Unique")</f>
        <v>Unique</v>
      </c>
    </row>
    <row r="117" spans="1:20" x14ac:dyDescent="0.45">
      <c r="A117" t="s">
        <v>1482</v>
      </c>
      <c r="B117" t="s">
        <v>307</v>
      </c>
      <c r="C117" t="s">
        <v>51</v>
      </c>
      <c r="D117" t="s">
        <v>50</v>
      </c>
      <c r="E117" t="s">
        <v>181</v>
      </c>
      <c r="F117" t="s">
        <v>81</v>
      </c>
      <c r="G117" t="s">
        <v>182</v>
      </c>
      <c r="H117" t="s">
        <v>109</v>
      </c>
      <c r="I117" t="s">
        <v>110</v>
      </c>
      <c r="J117" t="s">
        <v>2597</v>
      </c>
      <c r="K117" t="s">
        <v>170</v>
      </c>
      <c r="L117" t="s">
        <v>2598</v>
      </c>
      <c r="M117" t="s">
        <v>171</v>
      </c>
      <c r="N117" t="s">
        <v>97</v>
      </c>
      <c r="O117" s="27">
        <v>650000</v>
      </c>
      <c r="P117">
        <v>3</v>
      </c>
      <c r="Q117" t="s">
        <v>164</v>
      </c>
      <c r="S117" t="s">
        <v>178</v>
      </c>
      <c r="T117" t="str">
        <f>IF(COUNTIF($A$2:A117,A117)&gt;1,"Duplicate","Unique")</f>
        <v>Unique</v>
      </c>
    </row>
    <row r="118" spans="1:20" x14ac:dyDescent="0.45">
      <c r="A118" t="s">
        <v>1354</v>
      </c>
      <c r="B118" t="s">
        <v>1355</v>
      </c>
      <c r="C118" t="s">
        <v>51</v>
      </c>
      <c r="D118" t="s">
        <v>2464</v>
      </c>
      <c r="E118" t="s">
        <v>176</v>
      </c>
      <c r="F118" t="s">
        <v>82</v>
      </c>
      <c r="G118" t="s">
        <v>177</v>
      </c>
      <c r="H118" t="s">
        <v>111</v>
      </c>
      <c r="I118" t="s">
        <v>110</v>
      </c>
      <c r="J118" t="s">
        <v>2599</v>
      </c>
      <c r="K118" t="s">
        <v>187</v>
      </c>
      <c r="L118" t="s">
        <v>2443</v>
      </c>
      <c r="M118" t="s">
        <v>308</v>
      </c>
      <c r="N118" t="s">
        <v>96</v>
      </c>
      <c r="O118" s="27">
        <v>1177000</v>
      </c>
      <c r="P118">
        <v>4</v>
      </c>
      <c r="Q118" t="s">
        <v>164</v>
      </c>
      <c r="R118">
        <v>28</v>
      </c>
      <c r="S118" t="s">
        <v>178</v>
      </c>
      <c r="T118" t="str">
        <f>IF(COUNTIF($A$2:A118,A118)&gt;1,"Duplicate","Unique")</f>
        <v>Unique</v>
      </c>
    </row>
    <row r="119" spans="1:20" x14ac:dyDescent="0.45">
      <c r="A119" t="s">
        <v>892</v>
      </c>
      <c r="B119" t="s">
        <v>893</v>
      </c>
      <c r="C119" t="s">
        <v>51</v>
      </c>
      <c r="D119" t="s">
        <v>50</v>
      </c>
      <c r="E119" t="s">
        <v>181</v>
      </c>
      <c r="F119" t="s">
        <v>81</v>
      </c>
      <c r="G119" t="s">
        <v>182</v>
      </c>
      <c r="H119" t="s">
        <v>106</v>
      </c>
      <c r="I119" t="s">
        <v>107</v>
      </c>
      <c r="J119" t="s">
        <v>2600</v>
      </c>
      <c r="K119" t="s">
        <v>162</v>
      </c>
      <c r="M119" t="s">
        <v>163</v>
      </c>
      <c r="N119" t="s">
        <v>97</v>
      </c>
      <c r="O119" s="27">
        <v>806000</v>
      </c>
      <c r="P119">
        <v>3</v>
      </c>
      <c r="Q119" t="s">
        <v>164</v>
      </c>
      <c r="R119">
        <v>24</v>
      </c>
      <c r="S119" t="s">
        <v>244</v>
      </c>
      <c r="T119" t="str">
        <f>IF(COUNTIF($A$2:A119,A119)&gt;1,"Duplicate","Unique")</f>
        <v>Unique</v>
      </c>
    </row>
    <row r="120" spans="1:20" x14ac:dyDescent="0.45">
      <c r="A120" t="s">
        <v>946</v>
      </c>
      <c r="B120" t="s">
        <v>947</v>
      </c>
      <c r="C120" t="s">
        <v>53</v>
      </c>
      <c r="D120" t="s">
        <v>52</v>
      </c>
      <c r="E120" t="s">
        <v>192</v>
      </c>
      <c r="F120" t="s">
        <v>83</v>
      </c>
      <c r="G120" t="s">
        <v>193</v>
      </c>
      <c r="H120" t="s">
        <v>109</v>
      </c>
      <c r="I120" t="s">
        <v>110</v>
      </c>
      <c r="J120" t="s">
        <v>2601</v>
      </c>
      <c r="K120" t="s">
        <v>162</v>
      </c>
      <c r="M120" t="s">
        <v>163</v>
      </c>
      <c r="N120" t="s">
        <v>99</v>
      </c>
      <c r="O120" s="27">
        <v>1756000</v>
      </c>
      <c r="P120">
        <v>3</v>
      </c>
      <c r="Q120" t="s">
        <v>164</v>
      </c>
      <c r="R120">
        <v>17</v>
      </c>
      <c r="S120" t="s">
        <v>237</v>
      </c>
      <c r="T120" t="str">
        <f>IF(COUNTIF($A$2:A120,A120)&gt;1,"Duplicate","Unique")</f>
        <v>Unique</v>
      </c>
    </row>
    <row r="121" spans="1:20" x14ac:dyDescent="0.45">
      <c r="A121" t="s">
        <v>1351</v>
      </c>
      <c r="B121" t="s">
        <v>337</v>
      </c>
      <c r="C121" t="s">
        <v>55</v>
      </c>
      <c r="D121" t="s">
        <v>2602</v>
      </c>
      <c r="E121" t="s">
        <v>229</v>
      </c>
      <c r="F121" t="s">
        <v>82</v>
      </c>
      <c r="G121" t="s">
        <v>230</v>
      </c>
      <c r="H121" t="s">
        <v>108</v>
      </c>
      <c r="I121" t="s">
        <v>107</v>
      </c>
      <c r="J121" t="s">
        <v>2603</v>
      </c>
      <c r="K121" t="s">
        <v>162</v>
      </c>
      <c r="M121" t="s">
        <v>163</v>
      </c>
      <c r="N121" t="s">
        <v>99</v>
      </c>
      <c r="O121" s="27">
        <v>899000</v>
      </c>
      <c r="P121">
        <v>5</v>
      </c>
      <c r="Q121" t="s">
        <v>172</v>
      </c>
      <c r="R121">
        <v>43</v>
      </c>
      <c r="S121" t="s">
        <v>262</v>
      </c>
      <c r="T121" t="str">
        <f>IF(COUNTIF($A$2:A121,A121)&gt;1,"Duplicate","Unique")</f>
        <v>Unique</v>
      </c>
    </row>
    <row r="122" spans="1:20" x14ac:dyDescent="0.45">
      <c r="A122" t="s">
        <v>2356</v>
      </c>
      <c r="B122" t="s">
        <v>464</v>
      </c>
      <c r="C122" t="s">
        <v>59</v>
      </c>
      <c r="D122" t="s">
        <v>58</v>
      </c>
      <c r="E122" t="s">
        <v>206</v>
      </c>
      <c r="F122" t="s">
        <v>81</v>
      </c>
      <c r="G122" t="s">
        <v>207</v>
      </c>
      <c r="H122" t="s">
        <v>111</v>
      </c>
      <c r="I122" t="s">
        <v>110</v>
      </c>
      <c r="J122" t="s">
        <v>2604</v>
      </c>
      <c r="K122" t="s">
        <v>162</v>
      </c>
      <c r="M122" t="s">
        <v>163</v>
      </c>
      <c r="N122" t="s">
        <v>99</v>
      </c>
      <c r="O122" s="27">
        <v>564000</v>
      </c>
      <c r="Q122" t="s">
        <v>164</v>
      </c>
      <c r="R122">
        <v>31</v>
      </c>
      <c r="S122" t="s">
        <v>208</v>
      </c>
      <c r="T122" t="str">
        <f>IF(COUNTIF($A$2:A122,A122)&gt;1,"Duplicate","Unique")</f>
        <v>Unique</v>
      </c>
    </row>
    <row r="123" spans="1:20" x14ac:dyDescent="0.45">
      <c r="A123" t="s">
        <v>510</v>
      </c>
      <c r="B123" t="s">
        <v>511</v>
      </c>
      <c r="C123" t="s">
        <v>51</v>
      </c>
      <c r="D123" t="s">
        <v>50</v>
      </c>
      <c r="E123" t="s">
        <v>176</v>
      </c>
      <c r="F123" t="s">
        <v>82</v>
      </c>
      <c r="G123" t="s">
        <v>177</v>
      </c>
      <c r="H123" t="s">
        <v>108</v>
      </c>
      <c r="I123" t="s">
        <v>107</v>
      </c>
      <c r="J123" t="s">
        <v>2605</v>
      </c>
      <c r="K123" t="s">
        <v>162</v>
      </c>
      <c r="M123" t="s">
        <v>163</v>
      </c>
      <c r="N123" t="s">
        <v>99</v>
      </c>
      <c r="O123" s="27">
        <v>1056000</v>
      </c>
      <c r="P123">
        <v>4</v>
      </c>
      <c r="Q123" t="s">
        <v>172</v>
      </c>
      <c r="R123">
        <v>35</v>
      </c>
      <c r="S123" t="s">
        <v>197</v>
      </c>
      <c r="T123" t="str">
        <f>IF(COUNTIF($A$2:A123,A123)&gt;1,"Duplicate","Unique")</f>
        <v>Unique</v>
      </c>
    </row>
    <row r="124" spans="1:20" x14ac:dyDescent="0.45">
      <c r="A124" t="s">
        <v>220</v>
      </c>
      <c r="B124" t="s">
        <v>221</v>
      </c>
      <c r="C124" t="s">
        <v>57</v>
      </c>
      <c r="D124" t="s">
        <v>56</v>
      </c>
      <c r="E124" t="s">
        <v>222</v>
      </c>
      <c r="F124" t="s">
        <v>82</v>
      </c>
      <c r="G124" t="s">
        <v>223</v>
      </c>
      <c r="H124" t="s">
        <v>106</v>
      </c>
      <c r="I124" t="s">
        <v>107</v>
      </c>
      <c r="J124" t="s">
        <v>2606</v>
      </c>
      <c r="K124" t="s">
        <v>187</v>
      </c>
      <c r="L124" t="s">
        <v>2607</v>
      </c>
      <c r="M124" t="s">
        <v>213</v>
      </c>
      <c r="N124" t="s">
        <v>99</v>
      </c>
      <c r="O124" s="27">
        <v>1160000</v>
      </c>
      <c r="P124">
        <v>5</v>
      </c>
      <c r="Q124" t="s">
        <v>164</v>
      </c>
      <c r="R124">
        <v>38</v>
      </c>
      <c r="S124" t="s">
        <v>224</v>
      </c>
      <c r="T124" t="str">
        <f>IF(COUNTIF($A$2:A124,A124)&gt;1,"Duplicate","Unique")</f>
        <v>Unique</v>
      </c>
    </row>
    <row r="125" spans="1:20" x14ac:dyDescent="0.45">
      <c r="A125" t="s">
        <v>283</v>
      </c>
      <c r="B125" t="s">
        <v>284</v>
      </c>
      <c r="C125" t="s">
        <v>55</v>
      </c>
      <c r="D125" t="s">
        <v>54</v>
      </c>
      <c r="E125" t="s">
        <v>229</v>
      </c>
      <c r="F125" t="s">
        <v>82</v>
      </c>
      <c r="G125" t="s">
        <v>230</v>
      </c>
      <c r="H125" t="s">
        <v>109</v>
      </c>
      <c r="I125" t="s">
        <v>110</v>
      </c>
      <c r="J125" t="s">
        <v>2608</v>
      </c>
      <c r="K125" t="s">
        <v>162</v>
      </c>
      <c r="M125" t="s">
        <v>163</v>
      </c>
      <c r="N125" t="s">
        <v>97</v>
      </c>
      <c r="O125" s="27">
        <v>855000</v>
      </c>
      <c r="P125">
        <v>2</v>
      </c>
      <c r="Q125" t="s">
        <v>172</v>
      </c>
      <c r="R125">
        <v>10</v>
      </c>
      <c r="S125" t="s">
        <v>274</v>
      </c>
      <c r="T125" t="str">
        <f>IF(COUNTIF($A$2:A125,A125)&gt;1,"Duplicate","Unique")</f>
        <v>Unique</v>
      </c>
    </row>
    <row r="126" spans="1:20" x14ac:dyDescent="0.45">
      <c r="A126" t="s">
        <v>1448</v>
      </c>
      <c r="B126" t="s">
        <v>1449</v>
      </c>
      <c r="C126" t="s">
        <v>57</v>
      </c>
      <c r="D126" t="s">
        <v>56</v>
      </c>
      <c r="E126" t="s">
        <v>391</v>
      </c>
      <c r="F126" t="s">
        <v>83</v>
      </c>
      <c r="G126" t="s">
        <v>392</v>
      </c>
      <c r="H126" t="s">
        <v>108</v>
      </c>
      <c r="I126" t="s">
        <v>107</v>
      </c>
      <c r="J126" t="s">
        <v>2609</v>
      </c>
      <c r="K126" t="s">
        <v>170</v>
      </c>
      <c r="L126" t="s">
        <v>2610</v>
      </c>
      <c r="M126" t="s">
        <v>171</v>
      </c>
      <c r="N126" t="s">
        <v>95</v>
      </c>
      <c r="O126" s="27">
        <v>2091000</v>
      </c>
      <c r="P126">
        <v>2</v>
      </c>
      <c r="Q126" t="s">
        <v>164</v>
      </c>
      <c r="R126">
        <v>20</v>
      </c>
      <c r="S126" t="s">
        <v>224</v>
      </c>
      <c r="T126" t="str">
        <f>IF(COUNTIF($A$2:A126,A126)&gt;1,"Duplicate","Unique")</f>
        <v>Unique</v>
      </c>
    </row>
    <row r="127" spans="1:20" x14ac:dyDescent="0.45">
      <c r="A127" t="s">
        <v>471</v>
      </c>
      <c r="B127" t="s">
        <v>472</v>
      </c>
      <c r="C127" t="s">
        <v>53</v>
      </c>
      <c r="D127" t="s">
        <v>52</v>
      </c>
      <c r="E127" t="s">
        <v>322</v>
      </c>
      <c r="F127" t="s">
        <v>81</v>
      </c>
      <c r="G127" t="s">
        <v>323</v>
      </c>
      <c r="H127" t="s">
        <v>2611</v>
      </c>
      <c r="I127" t="s">
        <v>107</v>
      </c>
      <c r="J127" t="s">
        <v>2612</v>
      </c>
      <c r="K127" t="s">
        <v>170</v>
      </c>
      <c r="L127" t="s">
        <v>2613</v>
      </c>
      <c r="M127" t="s">
        <v>171</v>
      </c>
      <c r="N127" t="s">
        <v>98</v>
      </c>
      <c r="O127" s="27">
        <v>582000</v>
      </c>
      <c r="P127">
        <v>3</v>
      </c>
      <c r="Q127" t="s">
        <v>164</v>
      </c>
      <c r="R127">
        <v>45</v>
      </c>
      <c r="S127" t="s">
        <v>189</v>
      </c>
      <c r="T127" t="str">
        <f>IF(COUNTIF($A$2:A127,A127)&gt;1,"Duplicate","Unique")</f>
        <v>Unique</v>
      </c>
    </row>
    <row r="128" spans="1:20" x14ac:dyDescent="0.45">
      <c r="A128" t="s">
        <v>1189</v>
      </c>
      <c r="B128" t="s">
        <v>949</v>
      </c>
      <c r="C128" t="s">
        <v>53</v>
      </c>
      <c r="D128" t="s">
        <v>52</v>
      </c>
      <c r="E128" t="s">
        <v>322</v>
      </c>
      <c r="F128" t="s">
        <v>81</v>
      </c>
      <c r="G128" t="s">
        <v>323</v>
      </c>
      <c r="H128" t="s">
        <v>106</v>
      </c>
      <c r="I128" t="s">
        <v>107</v>
      </c>
      <c r="J128" t="s">
        <v>2614</v>
      </c>
      <c r="K128" t="s">
        <v>162</v>
      </c>
      <c r="M128" t="s">
        <v>163</v>
      </c>
      <c r="N128" t="s">
        <v>98</v>
      </c>
      <c r="O128" s="27">
        <v>810000</v>
      </c>
      <c r="P128">
        <v>3</v>
      </c>
      <c r="Q128" t="s">
        <v>172</v>
      </c>
      <c r="R128">
        <v>60</v>
      </c>
      <c r="S128" t="s">
        <v>237</v>
      </c>
      <c r="T128" t="str">
        <f>IF(COUNTIF($A$2:A128,A128)&gt;1,"Duplicate","Unique")</f>
        <v>Unique</v>
      </c>
    </row>
    <row r="129" spans="1:20" x14ac:dyDescent="0.45">
      <c r="A129" t="s">
        <v>735</v>
      </c>
      <c r="B129" t="s">
        <v>736</v>
      </c>
      <c r="C129" t="s">
        <v>57</v>
      </c>
      <c r="D129" t="s">
        <v>56</v>
      </c>
      <c r="E129" t="s">
        <v>222</v>
      </c>
      <c r="F129" t="s">
        <v>82</v>
      </c>
      <c r="G129" t="s">
        <v>223</v>
      </c>
      <c r="H129" t="s">
        <v>106</v>
      </c>
      <c r="I129" t="s">
        <v>107</v>
      </c>
      <c r="J129" t="s">
        <v>2615</v>
      </c>
      <c r="K129" t="s">
        <v>162</v>
      </c>
      <c r="M129" t="s">
        <v>163</v>
      </c>
      <c r="N129" t="s">
        <v>97</v>
      </c>
      <c r="O129" s="27">
        <v>1154000</v>
      </c>
      <c r="P129">
        <v>3</v>
      </c>
      <c r="Q129" t="s">
        <v>164</v>
      </c>
      <c r="R129">
        <v>32</v>
      </c>
      <c r="S129" t="s">
        <v>165</v>
      </c>
      <c r="T129" t="str">
        <f>IF(COUNTIF($A$2:A129,A129)&gt;1,"Duplicate","Unique")</f>
        <v>Unique</v>
      </c>
    </row>
    <row r="130" spans="1:20" x14ac:dyDescent="0.45">
      <c r="A130" t="s">
        <v>2063</v>
      </c>
      <c r="B130" t="s">
        <v>652</v>
      </c>
      <c r="C130" t="s">
        <v>51</v>
      </c>
      <c r="D130" t="s">
        <v>50</v>
      </c>
      <c r="E130" t="s">
        <v>176</v>
      </c>
      <c r="F130" t="s">
        <v>82</v>
      </c>
      <c r="G130" t="s">
        <v>177</v>
      </c>
      <c r="H130" t="s">
        <v>108</v>
      </c>
      <c r="I130" t="s">
        <v>107</v>
      </c>
      <c r="J130" t="s">
        <v>2616</v>
      </c>
      <c r="K130" t="s">
        <v>162</v>
      </c>
      <c r="M130" t="s">
        <v>163</v>
      </c>
      <c r="N130" t="s">
        <v>99</v>
      </c>
      <c r="O130" s="27">
        <v>1180000</v>
      </c>
      <c r="P130">
        <v>2</v>
      </c>
      <c r="Q130" t="s">
        <v>164</v>
      </c>
      <c r="R130">
        <v>24</v>
      </c>
      <c r="S130" t="s">
        <v>197</v>
      </c>
      <c r="T130" t="str">
        <f>IF(COUNTIF($A$2:A130,A130)&gt;1,"Duplicate","Unique")</f>
        <v>Unique</v>
      </c>
    </row>
    <row r="131" spans="1:20" x14ac:dyDescent="0.45">
      <c r="A131" t="s">
        <v>1961</v>
      </c>
      <c r="B131" t="s">
        <v>531</v>
      </c>
      <c r="C131" t="s">
        <v>53</v>
      </c>
      <c r="D131" t="s">
        <v>2617</v>
      </c>
      <c r="E131" t="s">
        <v>185</v>
      </c>
      <c r="F131" t="s">
        <v>82</v>
      </c>
      <c r="G131" t="s">
        <v>186</v>
      </c>
      <c r="H131" t="s">
        <v>108</v>
      </c>
      <c r="I131" t="s">
        <v>107</v>
      </c>
      <c r="J131" t="s">
        <v>2618</v>
      </c>
      <c r="K131" t="s">
        <v>170</v>
      </c>
      <c r="L131" t="s">
        <v>2619</v>
      </c>
      <c r="M131" t="s">
        <v>171</v>
      </c>
      <c r="N131" t="s">
        <v>99</v>
      </c>
      <c r="O131" s="27">
        <v>1216000</v>
      </c>
      <c r="P131">
        <v>4</v>
      </c>
      <c r="Q131" t="s">
        <v>164</v>
      </c>
      <c r="R131">
        <v>31</v>
      </c>
      <c r="S131" t="s">
        <v>189</v>
      </c>
      <c r="T131" t="str">
        <f>IF(COUNTIF($A$2:A131,A131)&gt;1,"Duplicate","Unique")</f>
        <v>Unique</v>
      </c>
    </row>
    <row r="132" spans="1:20" x14ac:dyDescent="0.45">
      <c r="A132" t="s">
        <v>2271</v>
      </c>
      <c r="B132" t="s">
        <v>1956</v>
      </c>
      <c r="C132" t="s">
        <v>51</v>
      </c>
      <c r="D132" t="s">
        <v>2620</v>
      </c>
      <c r="E132" t="s">
        <v>176</v>
      </c>
      <c r="F132" t="s">
        <v>82</v>
      </c>
      <c r="G132" t="s">
        <v>177</v>
      </c>
      <c r="H132" t="s">
        <v>106</v>
      </c>
      <c r="I132" t="s">
        <v>107</v>
      </c>
      <c r="J132" t="s">
        <v>2621</v>
      </c>
      <c r="K132" t="s">
        <v>162</v>
      </c>
      <c r="M132" t="s">
        <v>163</v>
      </c>
      <c r="N132" t="s">
        <v>97</v>
      </c>
      <c r="O132" s="27">
        <v>1307000</v>
      </c>
      <c r="P132">
        <v>2</v>
      </c>
      <c r="Q132" t="s">
        <v>164</v>
      </c>
      <c r="R132">
        <v>21</v>
      </c>
      <c r="S132" t="s">
        <v>219</v>
      </c>
      <c r="T132" t="str">
        <f>IF(COUNTIF($A$2:A132,A132)&gt;1,"Duplicate","Unique")</f>
        <v>Unique</v>
      </c>
    </row>
    <row r="133" spans="1:20" x14ac:dyDescent="0.45">
      <c r="A133" t="s">
        <v>2095</v>
      </c>
      <c r="B133" t="s">
        <v>1526</v>
      </c>
      <c r="C133" t="s">
        <v>51</v>
      </c>
      <c r="D133" t="s">
        <v>50</v>
      </c>
      <c r="E133" t="s">
        <v>176</v>
      </c>
      <c r="F133" t="s">
        <v>82</v>
      </c>
      <c r="G133" t="s">
        <v>177</v>
      </c>
      <c r="H133" t="s">
        <v>111</v>
      </c>
      <c r="I133" t="s">
        <v>110</v>
      </c>
      <c r="J133" t="s">
        <v>2622</v>
      </c>
      <c r="K133" t="s">
        <v>162</v>
      </c>
      <c r="M133" t="s">
        <v>163</v>
      </c>
      <c r="N133" t="s">
        <v>98</v>
      </c>
      <c r="O133" s="27">
        <v>908000</v>
      </c>
      <c r="P133">
        <v>3</v>
      </c>
      <c r="Q133" t="s">
        <v>172</v>
      </c>
      <c r="R133">
        <v>43</v>
      </c>
      <c r="S133" t="s">
        <v>197</v>
      </c>
      <c r="T133" t="str">
        <f>IF(COUNTIF($A$2:A133,A133)&gt;1,"Duplicate","Unique")</f>
        <v>Unique</v>
      </c>
    </row>
    <row r="134" spans="1:20" x14ac:dyDescent="0.45">
      <c r="A134" t="s">
        <v>943</v>
      </c>
      <c r="B134" t="s">
        <v>882</v>
      </c>
      <c r="C134" t="s">
        <v>55</v>
      </c>
      <c r="D134" t="s">
        <v>54</v>
      </c>
      <c r="E134" t="s">
        <v>240</v>
      </c>
      <c r="F134" t="s">
        <v>83</v>
      </c>
      <c r="G134" t="s">
        <v>241</v>
      </c>
      <c r="H134" t="s">
        <v>106</v>
      </c>
      <c r="I134" t="s">
        <v>107</v>
      </c>
      <c r="J134" t="s">
        <v>2623</v>
      </c>
      <c r="K134" t="s">
        <v>162</v>
      </c>
      <c r="M134" t="s">
        <v>163</v>
      </c>
      <c r="N134" t="s">
        <v>99</v>
      </c>
      <c r="O134" s="27">
        <v>2075000</v>
      </c>
      <c r="P134">
        <v>5</v>
      </c>
      <c r="Q134" t="s">
        <v>2624</v>
      </c>
      <c r="R134">
        <v>41</v>
      </c>
      <c r="S134" t="s">
        <v>274</v>
      </c>
      <c r="T134" t="str">
        <f>IF(COUNTIF($A$2:A134,A134)&gt;1,"Duplicate","Unique")</f>
        <v>Unique</v>
      </c>
    </row>
    <row r="135" spans="1:20" x14ac:dyDescent="0.45">
      <c r="A135" t="s">
        <v>1778</v>
      </c>
      <c r="B135" t="s">
        <v>606</v>
      </c>
      <c r="C135" t="s">
        <v>51</v>
      </c>
      <c r="D135" t="s">
        <v>50</v>
      </c>
      <c r="E135" t="s">
        <v>176</v>
      </c>
      <c r="F135" t="s">
        <v>82</v>
      </c>
      <c r="G135" t="s">
        <v>177</v>
      </c>
      <c r="H135" t="s">
        <v>111</v>
      </c>
      <c r="I135" t="s">
        <v>110</v>
      </c>
      <c r="J135" t="s">
        <v>2625</v>
      </c>
      <c r="K135" t="s">
        <v>162</v>
      </c>
      <c r="M135" t="s">
        <v>163</v>
      </c>
      <c r="N135" t="s">
        <v>97</v>
      </c>
      <c r="O135" s="27">
        <v>1077000</v>
      </c>
      <c r="P135">
        <v>3</v>
      </c>
      <c r="Q135" t="s">
        <v>164</v>
      </c>
      <c r="R135">
        <v>38</v>
      </c>
      <c r="S135" t="s">
        <v>244</v>
      </c>
      <c r="T135" t="str">
        <f>IF(COUNTIF($A$2:A135,A135)&gt;1,"Duplicate","Unique")</f>
        <v>Unique</v>
      </c>
    </row>
    <row r="136" spans="1:20" x14ac:dyDescent="0.45">
      <c r="A136" t="s">
        <v>2312</v>
      </c>
      <c r="B136" t="s">
        <v>2313</v>
      </c>
      <c r="C136" t="s">
        <v>57</v>
      </c>
      <c r="D136" t="s">
        <v>56</v>
      </c>
      <c r="E136" t="s">
        <v>1909</v>
      </c>
      <c r="F136" t="s">
        <v>85</v>
      </c>
      <c r="G136" t="s">
        <v>1910</v>
      </c>
      <c r="H136" t="s">
        <v>111</v>
      </c>
      <c r="I136" t="s">
        <v>110</v>
      </c>
      <c r="J136" t="s">
        <v>2626</v>
      </c>
      <c r="K136" t="s">
        <v>187</v>
      </c>
      <c r="L136" t="s">
        <v>2627</v>
      </c>
      <c r="M136" t="s">
        <v>213</v>
      </c>
      <c r="N136" t="s">
        <v>99</v>
      </c>
      <c r="O136" s="27">
        <v>3821000</v>
      </c>
      <c r="P136">
        <v>4</v>
      </c>
      <c r="Q136" t="s">
        <v>172</v>
      </c>
      <c r="R136">
        <v>47</v>
      </c>
      <c r="S136" t="s">
        <v>165</v>
      </c>
      <c r="T136" t="str">
        <f>IF(COUNTIF($A$2:A136,A136)&gt;1,"Duplicate","Unique")</f>
        <v>Unique</v>
      </c>
    </row>
    <row r="137" spans="1:20" x14ac:dyDescent="0.45">
      <c r="A137" t="s">
        <v>2048</v>
      </c>
      <c r="B137" t="s">
        <v>2049</v>
      </c>
      <c r="C137" t="s">
        <v>55</v>
      </c>
      <c r="D137" t="s">
        <v>2602</v>
      </c>
      <c r="E137" t="s">
        <v>277</v>
      </c>
      <c r="F137" t="s">
        <v>81</v>
      </c>
      <c r="G137" t="s">
        <v>278</v>
      </c>
      <c r="H137" t="s">
        <v>106</v>
      </c>
      <c r="I137" t="s">
        <v>107</v>
      </c>
      <c r="J137" t="s">
        <v>2628</v>
      </c>
      <c r="K137" t="s">
        <v>162</v>
      </c>
      <c r="M137" t="s">
        <v>163</v>
      </c>
      <c r="N137" t="s">
        <v>97</v>
      </c>
      <c r="O137" s="27">
        <v>689000</v>
      </c>
      <c r="P137">
        <v>3</v>
      </c>
      <c r="Q137" t="s">
        <v>164</v>
      </c>
      <c r="R137">
        <v>29</v>
      </c>
      <c r="S137" t="s">
        <v>262</v>
      </c>
      <c r="T137" t="str">
        <f>IF(COUNTIF($A$2:A137,A137)&gt;1,"Duplicate","Unique")</f>
        <v>Unique</v>
      </c>
    </row>
    <row r="138" spans="1:20" x14ac:dyDescent="0.45">
      <c r="A138" t="s">
        <v>1767</v>
      </c>
      <c r="B138" t="s">
        <v>1768</v>
      </c>
      <c r="C138" t="s">
        <v>59</v>
      </c>
      <c r="D138" t="s">
        <v>58</v>
      </c>
      <c r="E138" t="s">
        <v>206</v>
      </c>
      <c r="F138" t="s">
        <v>81</v>
      </c>
      <c r="G138" t="s">
        <v>207</v>
      </c>
      <c r="H138" t="s">
        <v>106</v>
      </c>
      <c r="I138" t="s">
        <v>107</v>
      </c>
      <c r="J138" t="s">
        <v>2629</v>
      </c>
      <c r="K138" t="s">
        <v>187</v>
      </c>
      <c r="L138" t="s">
        <v>2630</v>
      </c>
      <c r="M138" t="s">
        <v>269</v>
      </c>
      <c r="N138" t="s">
        <v>95</v>
      </c>
      <c r="O138" s="27">
        <v>698000</v>
      </c>
      <c r="P138">
        <v>3</v>
      </c>
      <c r="Q138" t="s">
        <v>2631</v>
      </c>
      <c r="R138">
        <v>46</v>
      </c>
      <c r="S138" t="s">
        <v>208</v>
      </c>
      <c r="T138" t="str">
        <f>IF(COUNTIF($A$2:A138,A138)&gt;1,"Duplicate","Unique")</f>
        <v>Unique</v>
      </c>
    </row>
    <row r="139" spans="1:20" x14ac:dyDescent="0.45">
      <c r="A139" t="s">
        <v>2340</v>
      </c>
      <c r="B139" t="s">
        <v>402</v>
      </c>
      <c r="C139" t="s">
        <v>51</v>
      </c>
      <c r="D139" t="s">
        <v>50</v>
      </c>
      <c r="E139" t="s">
        <v>181</v>
      </c>
      <c r="F139" t="s">
        <v>81</v>
      </c>
      <c r="G139" t="s">
        <v>182</v>
      </c>
      <c r="H139" t="s">
        <v>111</v>
      </c>
      <c r="I139" t="s">
        <v>110</v>
      </c>
      <c r="J139" t="s">
        <v>2632</v>
      </c>
      <c r="K139" t="s">
        <v>162</v>
      </c>
      <c r="M139" t="s">
        <v>163</v>
      </c>
      <c r="N139" t="s">
        <v>97</v>
      </c>
      <c r="O139" s="27">
        <v>712000</v>
      </c>
      <c r="Q139" t="s">
        <v>2516</v>
      </c>
      <c r="R139">
        <v>39</v>
      </c>
      <c r="S139" t="s">
        <v>197</v>
      </c>
      <c r="T139" t="str">
        <f>IF(COUNTIF($A$2:A139,A139)&gt;1,"Duplicate","Unique")</f>
        <v>Unique</v>
      </c>
    </row>
    <row r="140" spans="1:20" x14ac:dyDescent="0.45">
      <c r="A140" t="s">
        <v>1985</v>
      </c>
      <c r="B140" t="s">
        <v>1198</v>
      </c>
      <c r="C140" t="s">
        <v>57</v>
      </c>
      <c r="D140" t="s">
        <v>56</v>
      </c>
      <c r="E140" t="s">
        <v>391</v>
      </c>
      <c r="F140" t="s">
        <v>83</v>
      </c>
      <c r="G140" t="s">
        <v>392</v>
      </c>
      <c r="H140" t="s">
        <v>112</v>
      </c>
      <c r="I140" t="s">
        <v>113</v>
      </c>
      <c r="J140" t="s">
        <v>2487</v>
      </c>
      <c r="K140" t="s">
        <v>187</v>
      </c>
      <c r="L140" t="s">
        <v>2633</v>
      </c>
      <c r="M140" t="s">
        <v>308</v>
      </c>
      <c r="N140" t="s">
        <v>99</v>
      </c>
      <c r="O140" s="27">
        <v>2064000</v>
      </c>
      <c r="P140">
        <v>3</v>
      </c>
      <c r="Q140" t="s">
        <v>164</v>
      </c>
      <c r="R140">
        <v>63</v>
      </c>
      <c r="S140" t="s">
        <v>224</v>
      </c>
      <c r="T140" t="str">
        <f>IF(COUNTIF($A$2:A140,A140)&gt;1,"Duplicate","Unique")</f>
        <v>Unique</v>
      </c>
    </row>
    <row r="141" spans="1:20" x14ac:dyDescent="0.45">
      <c r="A141" t="s">
        <v>1809</v>
      </c>
      <c r="B141" t="s">
        <v>2634</v>
      </c>
      <c r="C141" t="s">
        <v>57</v>
      </c>
      <c r="D141" t="s">
        <v>56</v>
      </c>
      <c r="E141" t="s">
        <v>391</v>
      </c>
      <c r="F141" t="s">
        <v>83</v>
      </c>
      <c r="G141" t="s">
        <v>392</v>
      </c>
      <c r="H141" t="s">
        <v>108</v>
      </c>
      <c r="I141" t="s">
        <v>107</v>
      </c>
      <c r="J141" t="s">
        <v>2635</v>
      </c>
      <c r="K141" t="s">
        <v>162</v>
      </c>
      <c r="M141" t="s">
        <v>163</v>
      </c>
      <c r="N141" t="s">
        <v>99</v>
      </c>
      <c r="O141" s="27">
        <v>2026000</v>
      </c>
      <c r="P141">
        <v>3</v>
      </c>
      <c r="Q141" t="s">
        <v>164</v>
      </c>
      <c r="R141">
        <v>31</v>
      </c>
      <c r="S141" t="s">
        <v>165</v>
      </c>
      <c r="T141" t="str">
        <f>IF(COUNTIF($A$2:A141,A141)&gt;1,"Duplicate","Unique")</f>
        <v>Unique</v>
      </c>
    </row>
    <row r="142" spans="1:20" x14ac:dyDescent="0.45">
      <c r="A142" t="s">
        <v>697</v>
      </c>
      <c r="B142" t="s">
        <v>698</v>
      </c>
      <c r="C142" t="s">
        <v>51</v>
      </c>
      <c r="D142" t="s">
        <v>50</v>
      </c>
      <c r="E142" t="s">
        <v>181</v>
      </c>
      <c r="F142" t="s">
        <v>81</v>
      </c>
      <c r="G142" t="s">
        <v>182</v>
      </c>
      <c r="H142" t="s">
        <v>106</v>
      </c>
      <c r="I142" t="s">
        <v>107</v>
      </c>
      <c r="J142" t="s">
        <v>2636</v>
      </c>
      <c r="K142" t="s">
        <v>170</v>
      </c>
      <c r="L142" t="s">
        <v>2637</v>
      </c>
      <c r="M142" t="s">
        <v>171</v>
      </c>
      <c r="N142" t="s">
        <v>99</v>
      </c>
      <c r="O142" s="27">
        <v>797000</v>
      </c>
      <c r="P142">
        <v>2</v>
      </c>
      <c r="Q142" t="s">
        <v>164</v>
      </c>
      <c r="R142">
        <v>4</v>
      </c>
      <c r="S142" t="s">
        <v>197</v>
      </c>
      <c r="T142" t="str">
        <f>IF(COUNTIF($A$2:A142,A142)&gt;1,"Duplicate","Unique")</f>
        <v>Unique</v>
      </c>
    </row>
    <row r="143" spans="1:20" x14ac:dyDescent="0.45">
      <c r="A143" t="s">
        <v>1077</v>
      </c>
      <c r="B143" t="s">
        <v>844</v>
      </c>
      <c r="C143" t="s">
        <v>51</v>
      </c>
      <c r="D143" t="s">
        <v>50</v>
      </c>
      <c r="E143" t="s">
        <v>397</v>
      </c>
      <c r="F143" t="s">
        <v>84</v>
      </c>
      <c r="G143" t="s">
        <v>398</v>
      </c>
      <c r="H143" t="s">
        <v>109</v>
      </c>
      <c r="I143" t="s">
        <v>110</v>
      </c>
      <c r="J143" t="s">
        <v>2521</v>
      </c>
      <c r="K143" t="s">
        <v>162</v>
      </c>
      <c r="M143" t="s">
        <v>163</v>
      </c>
      <c r="N143" t="s">
        <v>97</v>
      </c>
      <c r="O143" s="27">
        <v>2367000</v>
      </c>
      <c r="P143">
        <v>4</v>
      </c>
      <c r="Q143" t="s">
        <v>2516</v>
      </c>
      <c r="S143" t="s">
        <v>197</v>
      </c>
      <c r="T143" t="str">
        <f>IF(COUNTIF($A$2:A143,A143)&gt;1,"Duplicate","Unique")</f>
        <v>Unique</v>
      </c>
    </row>
    <row r="144" spans="1:20" x14ac:dyDescent="0.45">
      <c r="A144" t="s">
        <v>2168</v>
      </c>
      <c r="B144" t="s">
        <v>1407</v>
      </c>
      <c r="C144" t="s">
        <v>57</v>
      </c>
      <c r="D144" t="s">
        <v>56</v>
      </c>
      <c r="E144" t="s">
        <v>222</v>
      </c>
      <c r="F144" t="s">
        <v>82</v>
      </c>
      <c r="G144" t="s">
        <v>223</v>
      </c>
      <c r="H144" t="s">
        <v>108</v>
      </c>
      <c r="I144" t="s">
        <v>107</v>
      </c>
      <c r="J144" t="s">
        <v>2638</v>
      </c>
      <c r="K144" t="s">
        <v>162</v>
      </c>
      <c r="M144" t="s">
        <v>163</v>
      </c>
      <c r="N144" t="s">
        <v>97</v>
      </c>
      <c r="O144" s="27">
        <v>1244000</v>
      </c>
      <c r="P144">
        <v>3</v>
      </c>
      <c r="Q144" t="s">
        <v>164</v>
      </c>
      <c r="R144">
        <v>37</v>
      </c>
      <c r="S144" t="s">
        <v>224</v>
      </c>
      <c r="T144" t="str">
        <f>IF(COUNTIF($A$2:A144,A144)&gt;1,"Duplicate","Unique")</f>
        <v>Unique</v>
      </c>
    </row>
    <row r="145" spans="1:20" x14ac:dyDescent="0.45">
      <c r="A145" t="s">
        <v>841</v>
      </c>
      <c r="B145" t="s">
        <v>429</v>
      </c>
      <c r="C145" t="s">
        <v>55</v>
      </c>
      <c r="D145" t="s">
        <v>54</v>
      </c>
      <c r="E145" t="s">
        <v>229</v>
      </c>
      <c r="F145" t="s">
        <v>82</v>
      </c>
      <c r="G145" t="s">
        <v>230</v>
      </c>
      <c r="H145" t="s">
        <v>106</v>
      </c>
      <c r="I145" t="s">
        <v>107</v>
      </c>
      <c r="J145" t="s">
        <v>2639</v>
      </c>
      <c r="K145" t="s">
        <v>162</v>
      </c>
      <c r="M145" t="s">
        <v>163</v>
      </c>
      <c r="N145" t="s">
        <v>97</v>
      </c>
      <c r="O145" s="27">
        <v>905000</v>
      </c>
      <c r="P145">
        <v>3</v>
      </c>
      <c r="Q145" t="s">
        <v>164</v>
      </c>
      <c r="R145">
        <v>41</v>
      </c>
      <c r="S145" t="s">
        <v>262</v>
      </c>
      <c r="T145" t="str">
        <f>IF(COUNTIF($A$2:A145,A145)&gt;1,"Duplicate","Unique")</f>
        <v>Unique</v>
      </c>
    </row>
    <row r="146" spans="1:20" x14ac:dyDescent="0.45">
      <c r="A146" t="s">
        <v>2171</v>
      </c>
      <c r="B146" t="s">
        <v>2640</v>
      </c>
      <c r="C146" t="s">
        <v>59</v>
      </c>
      <c r="D146" t="s">
        <v>58</v>
      </c>
      <c r="E146" t="s">
        <v>206</v>
      </c>
      <c r="F146" t="s">
        <v>81</v>
      </c>
      <c r="G146" t="s">
        <v>207</v>
      </c>
      <c r="H146" t="s">
        <v>106</v>
      </c>
      <c r="I146" t="s">
        <v>107</v>
      </c>
      <c r="J146" t="s">
        <v>2641</v>
      </c>
      <c r="K146" t="s">
        <v>187</v>
      </c>
      <c r="L146" t="s">
        <v>2642</v>
      </c>
      <c r="M146" t="s">
        <v>269</v>
      </c>
      <c r="N146" t="s">
        <v>96</v>
      </c>
      <c r="O146" s="27">
        <v>602000</v>
      </c>
      <c r="P146">
        <v>5</v>
      </c>
      <c r="Q146" t="s">
        <v>172</v>
      </c>
      <c r="R146">
        <v>53</v>
      </c>
      <c r="S146" t="s">
        <v>214</v>
      </c>
      <c r="T146" t="str">
        <f>IF(COUNTIF($A$2:A146,A146)&gt;1,"Duplicate","Unique")</f>
        <v>Unique</v>
      </c>
    </row>
    <row r="147" spans="1:20" x14ac:dyDescent="0.45">
      <c r="A147" t="s">
        <v>1655</v>
      </c>
      <c r="B147" t="s">
        <v>799</v>
      </c>
      <c r="C147" t="s">
        <v>51</v>
      </c>
      <c r="D147" t="s">
        <v>2643</v>
      </c>
      <c r="E147" t="s">
        <v>217</v>
      </c>
      <c r="F147" t="s">
        <v>83</v>
      </c>
      <c r="G147" t="s">
        <v>218</v>
      </c>
      <c r="H147" t="s">
        <v>106</v>
      </c>
      <c r="I147" t="s">
        <v>107</v>
      </c>
      <c r="J147" t="s">
        <v>2644</v>
      </c>
      <c r="K147" t="s">
        <v>162</v>
      </c>
      <c r="M147" t="s">
        <v>163</v>
      </c>
      <c r="N147" t="s">
        <v>99</v>
      </c>
      <c r="O147" s="27">
        <v>1795000</v>
      </c>
      <c r="P147">
        <v>3</v>
      </c>
      <c r="Q147" t="s">
        <v>164</v>
      </c>
      <c r="R147">
        <v>29</v>
      </c>
      <c r="S147" t="s">
        <v>244</v>
      </c>
      <c r="T147" t="str">
        <f>IF(COUNTIF($A$2:A147,A147)&gt;1,"Duplicate","Unique")</f>
        <v>Unique</v>
      </c>
    </row>
    <row r="148" spans="1:20" x14ac:dyDescent="0.45">
      <c r="A148" t="s">
        <v>609</v>
      </c>
      <c r="B148" t="s">
        <v>610</v>
      </c>
      <c r="C148" t="s">
        <v>55</v>
      </c>
      <c r="D148" t="s">
        <v>54</v>
      </c>
      <c r="E148" t="s">
        <v>277</v>
      </c>
      <c r="F148" t="s">
        <v>81</v>
      </c>
      <c r="G148" t="s">
        <v>278</v>
      </c>
      <c r="H148" t="s">
        <v>111</v>
      </c>
      <c r="I148" t="s">
        <v>110</v>
      </c>
      <c r="J148" t="s">
        <v>2645</v>
      </c>
      <c r="K148" t="s">
        <v>187</v>
      </c>
      <c r="L148" t="s">
        <v>2646</v>
      </c>
      <c r="M148" t="s">
        <v>282</v>
      </c>
      <c r="N148" t="s">
        <v>99</v>
      </c>
      <c r="O148" s="27">
        <v>748000</v>
      </c>
      <c r="P148">
        <v>4</v>
      </c>
      <c r="Q148" t="s">
        <v>164</v>
      </c>
      <c r="R148">
        <v>42</v>
      </c>
      <c r="S148" t="s">
        <v>262</v>
      </c>
      <c r="T148" t="str">
        <f>IF(COUNTIF($A$2:A148,A148)&gt;1,"Duplicate","Unique")</f>
        <v>Unique</v>
      </c>
    </row>
    <row r="149" spans="1:20" x14ac:dyDescent="0.45">
      <c r="A149" t="s">
        <v>1948</v>
      </c>
      <c r="B149" t="s">
        <v>405</v>
      </c>
      <c r="C149" t="s">
        <v>51</v>
      </c>
      <c r="D149" t="s">
        <v>50</v>
      </c>
      <c r="E149" t="s">
        <v>176</v>
      </c>
      <c r="F149" t="s">
        <v>82</v>
      </c>
      <c r="G149" t="s">
        <v>177</v>
      </c>
      <c r="H149" t="s">
        <v>106</v>
      </c>
      <c r="I149" t="s">
        <v>107</v>
      </c>
      <c r="J149" t="s">
        <v>2647</v>
      </c>
      <c r="K149" t="s">
        <v>162</v>
      </c>
      <c r="M149" t="s">
        <v>163</v>
      </c>
      <c r="N149" t="s">
        <v>99</v>
      </c>
      <c r="O149" s="27">
        <v>1206000</v>
      </c>
      <c r="P149">
        <v>3</v>
      </c>
      <c r="Q149" t="s">
        <v>172</v>
      </c>
      <c r="R149">
        <v>49</v>
      </c>
      <c r="S149" t="s">
        <v>244</v>
      </c>
      <c r="T149" t="str">
        <f>IF(COUNTIF($A$2:A149,A149)&gt;1,"Duplicate","Unique")</f>
        <v>Unique</v>
      </c>
    </row>
    <row r="150" spans="1:20" x14ac:dyDescent="0.45">
      <c r="A150" t="s">
        <v>2123</v>
      </c>
      <c r="B150" t="s">
        <v>1729</v>
      </c>
      <c r="C150" t="s">
        <v>51</v>
      </c>
      <c r="D150" t="s">
        <v>50</v>
      </c>
      <c r="E150" t="s">
        <v>181</v>
      </c>
      <c r="F150" t="s">
        <v>81</v>
      </c>
      <c r="G150" t="s">
        <v>182</v>
      </c>
      <c r="H150" t="s">
        <v>109</v>
      </c>
      <c r="I150" t="s">
        <v>110</v>
      </c>
      <c r="J150" t="s">
        <v>2648</v>
      </c>
      <c r="K150" t="s">
        <v>162</v>
      </c>
      <c r="M150" t="s">
        <v>163</v>
      </c>
      <c r="N150" t="s">
        <v>97</v>
      </c>
      <c r="O150" s="27">
        <v>740000</v>
      </c>
      <c r="P150">
        <v>3</v>
      </c>
      <c r="Q150" t="s">
        <v>172</v>
      </c>
      <c r="R150">
        <v>66</v>
      </c>
      <c r="S150" t="s">
        <v>219</v>
      </c>
      <c r="T150" t="str">
        <f>IF(COUNTIF($A$2:A150,A150)&gt;1,"Duplicate","Unique")</f>
        <v>Unique</v>
      </c>
    </row>
    <row r="151" spans="1:20" x14ac:dyDescent="0.45">
      <c r="A151" t="s">
        <v>817</v>
      </c>
      <c r="B151" t="s">
        <v>818</v>
      </c>
      <c r="C151" t="s">
        <v>61</v>
      </c>
      <c r="D151" t="s">
        <v>60</v>
      </c>
      <c r="E151" t="s">
        <v>356</v>
      </c>
      <c r="F151" t="s">
        <v>81</v>
      </c>
      <c r="G151" t="s">
        <v>357</v>
      </c>
      <c r="H151" t="s">
        <v>109</v>
      </c>
      <c r="I151" t="s">
        <v>110</v>
      </c>
      <c r="J151" t="s">
        <v>2649</v>
      </c>
      <c r="K151" t="s">
        <v>162</v>
      </c>
      <c r="M151" t="s">
        <v>163</v>
      </c>
      <c r="N151" t="s">
        <v>95</v>
      </c>
      <c r="O151" s="27">
        <v>580000</v>
      </c>
      <c r="P151">
        <v>4</v>
      </c>
      <c r="Q151" t="s">
        <v>164</v>
      </c>
      <c r="R151">
        <v>29</v>
      </c>
      <c r="S151" t="s">
        <v>253</v>
      </c>
      <c r="T151" t="str">
        <f>IF(COUNTIF($A$2:A151,A151)&gt;1,"Duplicate","Unique")</f>
        <v>Unique</v>
      </c>
    </row>
    <row r="152" spans="1:20" x14ac:dyDescent="0.45">
      <c r="A152" t="s">
        <v>1971</v>
      </c>
      <c r="B152" t="s">
        <v>1407</v>
      </c>
      <c r="C152" t="s">
        <v>59</v>
      </c>
      <c r="D152" t="s">
        <v>58</v>
      </c>
      <c r="E152" t="s">
        <v>211</v>
      </c>
      <c r="F152" t="s">
        <v>82</v>
      </c>
      <c r="G152" t="s">
        <v>212</v>
      </c>
      <c r="H152" t="s">
        <v>111</v>
      </c>
      <c r="I152" t="s">
        <v>110</v>
      </c>
      <c r="J152" t="s">
        <v>2650</v>
      </c>
      <c r="K152" t="s">
        <v>162</v>
      </c>
      <c r="M152" t="s">
        <v>163</v>
      </c>
      <c r="N152" t="s">
        <v>96</v>
      </c>
      <c r="O152" s="27">
        <v>1264000</v>
      </c>
      <c r="P152">
        <v>4</v>
      </c>
      <c r="Q152" t="s">
        <v>164</v>
      </c>
      <c r="R152">
        <v>48</v>
      </c>
      <c r="S152" t="s">
        <v>214</v>
      </c>
      <c r="T152" t="str">
        <f>IF(COUNTIF($A$2:A152,A152)&gt;1,"Duplicate","Unique")</f>
        <v>Unique</v>
      </c>
    </row>
    <row r="153" spans="1:20" x14ac:dyDescent="0.45">
      <c r="A153" t="s">
        <v>2216</v>
      </c>
      <c r="B153" t="s">
        <v>570</v>
      </c>
      <c r="C153" t="s">
        <v>55</v>
      </c>
      <c r="D153" t="s">
        <v>2524</v>
      </c>
      <c r="E153" t="s">
        <v>240</v>
      </c>
      <c r="F153" t="s">
        <v>83</v>
      </c>
      <c r="G153" t="s">
        <v>241</v>
      </c>
      <c r="H153" t="s">
        <v>106</v>
      </c>
      <c r="I153" t="s">
        <v>107</v>
      </c>
      <c r="J153" t="s">
        <v>2651</v>
      </c>
      <c r="K153" t="s">
        <v>162</v>
      </c>
      <c r="M153" t="s">
        <v>163</v>
      </c>
      <c r="N153" t="s">
        <v>96</v>
      </c>
      <c r="O153" s="27">
        <v>2065000</v>
      </c>
      <c r="P153">
        <v>1</v>
      </c>
      <c r="Q153" t="s">
        <v>172</v>
      </c>
      <c r="R153">
        <v>36</v>
      </c>
      <c r="S153" t="s">
        <v>173</v>
      </c>
      <c r="T153" t="str">
        <f>IF(COUNTIF($A$2:A153,A153)&gt;1,"Duplicate","Unique")</f>
        <v>Unique</v>
      </c>
    </row>
    <row r="154" spans="1:20" x14ac:dyDescent="0.45">
      <c r="A154" t="s">
        <v>654</v>
      </c>
      <c r="B154" t="s">
        <v>554</v>
      </c>
      <c r="C154" t="s">
        <v>61</v>
      </c>
      <c r="D154" t="s">
        <v>60</v>
      </c>
      <c r="E154" t="s">
        <v>356</v>
      </c>
      <c r="F154" t="s">
        <v>81</v>
      </c>
      <c r="G154" t="s">
        <v>357</v>
      </c>
      <c r="H154" t="s">
        <v>106</v>
      </c>
      <c r="I154" t="s">
        <v>107</v>
      </c>
      <c r="J154" t="s">
        <v>2652</v>
      </c>
      <c r="K154" t="s">
        <v>187</v>
      </c>
      <c r="L154" t="s">
        <v>2653</v>
      </c>
      <c r="M154" t="s">
        <v>213</v>
      </c>
      <c r="N154" t="s">
        <v>98</v>
      </c>
      <c r="O154" s="27">
        <v>773000</v>
      </c>
      <c r="P154">
        <v>4</v>
      </c>
      <c r="Q154" t="s">
        <v>164</v>
      </c>
      <c r="R154">
        <v>36</v>
      </c>
      <c r="S154" t="s">
        <v>319</v>
      </c>
      <c r="T154" t="str">
        <f>IF(COUNTIF($A$2:A154,A154)&gt;1,"Duplicate","Unique")</f>
        <v>Unique</v>
      </c>
    </row>
    <row r="155" spans="1:20" x14ac:dyDescent="0.45">
      <c r="A155" t="s">
        <v>894</v>
      </c>
      <c r="B155" t="s">
        <v>769</v>
      </c>
      <c r="C155" t="s">
        <v>51</v>
      </c>
      <c r="D155" t="s">
        <v>50</v>
      </c>
      <c r="E155" t="s">
        <v>176</v>
      </c>
      <c r="F155" t="s">
        <v>82</v>
      </c>
      <c r="G155" t="s">
        <v>177</v>
      </c>
      <c r="H155" t="s">
        <v>112</v>
      </c>
      <c r="I155" t="s">
        <v>113</v>
      </c>
      <c r="J155" t="s">
        <v>2654</v>
      </c>
      <c r="K155" t="s">
        <v>162</v>
      </c>
      <c r="M155" t="s">
        <v>163</v>
      </c>
      <c r="N155" t="s">
        <v>95</v>
      </c>
      <c r="O155" s="27">
        <v>1287000</v>
      </c>
      <c r="P155">
        <v>3</v>
      </c>
      <c r="Q155" t="s">
        <v>164</v>
      </c>
      <c r="R155">
        <v>51</v>
      </c>
      <c r="S155" t="s">
        <v>197</v>
      </c>
      <c r="T155" t="str">
        <f>IF(COUNTIF($A$2:A155,A155)&gt;1,"Duplicate","Unique")</f>
        <v>Unique</v>
      </c>
    </row>
    <row r="156" spans="1:20" x14ac:dyDescent="0.45">
      <c r="A156" t="s">
        <v>1693</v>
      </c>
      <c r="B156" t="s">
        <v>1079</v>
      </c>
      <c r="C156" t="s">
        <v>55</v>
      </c>
      <c r="D156" t="s">
        <v>54</v>
      </c>
      <c r="E156" t="s">
        <v>240</v>
      </c>
      <c r="F156" t="s">
        <v>83</v>
      </c>
      <c r="G156" t="s">
        <v>241</v>
      </c>
      <c r="H156" t="s">
        <v>106</v>
      </c>
      <c r="I156" t="s">
        <v>107</v>
      </c>
      <c r="J156" t="s">
        <v>2655</v>
      </c>
      <c r="K156" t="s">
        <v>187</v>
      </c>
      <c r="L156" t="s">
        <v>2656</v>
      </c>
      <c r="M156" t="s">
        <v>188</v>
      </c>
      <c r="N156" t="s">
        <v>98</v>
      </c>
      <c r="O156" s="27">
        <v>1783000</v>
      </c>
      <c r="P156">
        <v>5</v>
      </c>
      <c r="Q156" t="s">
        <v>172</v>
      </c>
      <c r="R156">
        <v>50</v>
      </c>
      <c r="S156" t="s">
        <v>173</v>
      </c>
      <c r="T156" t="str">
        <f>IF(COUNTIF($A$2:A156,A156)&gt;1,"Duplicate","Unique")</f>
        <v>Unique</v>
      </c>
    </row>
    <row r="157" spans="1:20" x14ac:dyDescent="0.45">
      <c r="A157" t="s">
        <v>1026</v>
      </c>
      <c r="B157" t="s">
        <v>1027</v>
      </c>
      <c r="C157" t="s">
        <v>51</v>
      </c>
      <c r="D157" t="s">
        <v>50</v>
      </c>
      <c r="E157" t="s">
        <v>397</v>
      </c>
      <c r="F157" t="s">
        <v>84</v>
      </c>
      <c r="G157" t="s">
        <v>398</v>
      </c>
      <c r="H157" t="s">
        <v>109</v>
      </c>
      <c r="I157" t="s">
        <v>110</v>
      </c>
      <c r="J157" t="s">
        <v>2657</v>
      </c>
      <c r="K157" t="s">
        <v>162</v>
      </c>
      <c r="M157" t="s">
        <v>163</v>
      </c>
      <c r="N157" t="s">
        <v>97</v>
      </c>
      <c r="O157" s="27">
        <v>2394000</v>
      </c>
      <c r="P157">
        <v>4</v>
      </c>
      <c r="Q157" t="s">
        <v>172</v>
      </c>
      <c r="R157">
        <v>18</v>
      </c>
      <c r="S157" t="s">
        <v>197</v>
      </c>
      <c r="T157" t="str">
        <f>IF(COUNTIF($A$2:A157,A157)&gt;1,"Duplicate","Unique")</f>
        <v>Unique</v>
      </c>
    </row>
    <row r="158" spans="1:20" x14ac:dyDescent="0.45">
      <c r="A158" t="s">
        <v>373</v>
      </c>
      <c r="B158" t="s">
        <v>374</v>
      </c>
      <c r="C158" t="s">
        <v>51</v>
      </c>
      <c r="D158" t="s">
        <v>50</v>
      </c>
      <c r="E158" t="s">
        <v>176</v>
      </c>
      <c r="F158" t="s">
        <v>82</v>
      </c>
      <c r="G158" t="s">
        <v>177</v>
      </c>
      <c r="H158" t="s">
        <v>106</v>
      </c>
      <c r="I158" t="s">
        <v>107</v>
      </c>
      <c r="J158" t="s">
        <v>2658</v>
      </c>
      <c r="K158" t="s">
        <v>187</v>
      </c>
      <c r="L158" t="s">
        <v>2659</v>
      </c>
      <c r="M158" t="s">
        <v>269</v>
      </c>
      <c r="N158" t="s">
        <v>95</v>
      </c>
      <c r="O158" s="27">
        <v>984000</v>
      </c>
      <c r="P158">
        <v>4</v>
      </c>
      <c r="Q158" t="s">
        <v>164</v>
      </c>
      <c r="R158">
        <v>29</v>
      </c>
      <c r="S158" t="s">
        <v>178</v>
      </c>
      <c r="T158" t="str">
        <f>IF(COUNTIF($A$2:A158,A158)&gt;1,"Duplicate","Unique")</f>
        <v>Unique</v>
      </c>
    </row>
    <row r="159" spans="1:20" x14ac:dyDescent="0.45">
      <c r="A159" t="s">
        <v>1852</v>
      </c>
      <c r="B159" t="s">
        <v>728</v>
      </c>
      <c r="C159" t="s">
        <v>51</v>
      </c>
      <c r="D159" t="s">
        <v>50</v>
      </c>
      <c r="E159" t="s">
        <v>181</v>
      </c>
      <c r="F159" t="s">
        <v>81</v>
      </c>
      <c r="G159" t="s">
        <v>182</v>
      </c>
      <c r="H159" t="s">
        <v>106</v>
      </c>
      <c r="I159" t="s">
        <v>107</v>
      </c>
      <c r="J159" t="s">
        <v>2660</v>
      </c>
      <c r="K159" t="s">
        <v>187</v>
      </c>
      <c r="L159" t="s">
        <v>2661</v>
      </c>
      <c r="M159" t="s">
        <v>282</v>
      </c>
      <c r="N159" t="s">
        <v>99</v>
      </c>
      <c r="O159" s="27">
        <v>747000</v>
      </c>
      <c r="P159">
        <v>4</v>
      </c>
      <c r="Q159" t="s">
        <v>172</v>
      </c>
      <c r="R159">
        <v>40</v>
      </c>
      <c r="S159" t="s">
        <v>178</v>
      </c>
      <c r="T159" t="str">
        <f>IF(COUNTIF($A$2:A159,A159)&gt;1,"Duplicate","Unique")</f>
        <v>Unique</v>
      </c>
    </row>
    <row r="160" spans="1:20" x14ac:dyDescent="0.45">
      <c r="A160" t="s">
        <v>783</v>
      </c>
      <c r="B160" t="s">
        <v>784</v>
      </c>
      <c r="C160" t="s">
        <v>51</v>
      </c>
      <c r="D160" t="s">
        <v>50</v>
      </c>
      <c r="E160" t="s">
        <v>328</v>
      </c>
      <c r="F160" t="s">
        <v>85</v>
      </c>
      <c r="G160" t="s">
        <v>329</v>
      </c>
      <c r="H160" t="s">
        <v>108</v>
      </c>
      <c r="I160" t="s">
        <v>107</v>
      </c>
      <c r="J160" t="s">
        <v>2662</v>
      </c>
      <c r="K160" t="s">
        <v>162</v>
      </c>
      <c r="M160" t="s">
        <v>163</v>
      </c>
      <c r="N160" t="s">
        <v>99</v>
      </c>
      <c r="O160" s="27">
        <v>3683000</v>
      </c>
      <c r="P160">
        <v>4</v>
      </c>
      <c r="Q160" t="s">
        <v>164</v>
      </c>
      <c r="R160">
        <v>23</v>
      </c>
      <c r="S160" t="s">
        <v>219</v>
      </c>
      <c r="T160" t="str">
        <f>IF(COUNTIF($A$2:A160,A160)&gt;1,"Duplicate","Unique")</f>
        <v>Unique</v>
      </c>
    </row>
    <row r="161" spans="1:20" x14ac:dyDescent="0.45">
      <c r="A161" t="s">
        <v>2097</v>
      </c>
      <c r="B161" t="s">
        <v>2098</v>
      </c>
      <c r="C161" t="s">
        <v>51</v>
      </c>
      <c r="D161" t="s">
        <v>50</v>
      </c>
      <c r="E161" t="s">
        <v>176</v>
      </c>
      <c r="F161" t="s">
        <v>82</v>
      </c>
      <c r="G161" t="s">
        <v>177</v>
      </c>
      <c r="H161" t="s">
        <v>109</v>
      </c>
      <c r="I161" t="s">
        <v>110</v>
      </c>
      <c r="J161" t="s">
        <v>2663</v>
      </c>
      <c r="K161" t="s">
        <v>162</v>
      </c>
      <c r="M161" t="s">
        <v>163</v>
      </c>
      <c r="N161" t="s">
        <v>99</v>
      </c>
      <c r="O161" s="27">
        <v>1159000</v>
      </c>
      <c r="P161">
        <v>2</v>
      </c>
      <c r="Q161" t="s">
        <v>172</v>
      </c>
      <c r="R161">
        <v>30</v>
      </c>
      <c r="S161" t="s">
        <v>178</v>
      </c>
      <c r="T161" t="str">
        <f>IF(COUNTIF($A$2:A161,A161)&gt;1,"Duplicate","Unique")</f>
        <v>Unique</v>
      </c>
    </row>
    <row r="162" spans="1:20" x14ac:dyDescent="0.45">
      <c r="A162" t="s">
        <v>1203</v>
      </c>
      <c r="B162" t="s">
        <v>668</v>
      </c>
      <c r="C162" t="s">
        <v>53</v>
      </c>
      <c r="D162" t="s">
        <v>52</v>
      </c>
      <c r="E162" t="s">
        <v>200</v>
      </c>
      <c r="F162" t="s">
        <v>84</v>
      </c>
      <c r="G162" t="s">
        <v>201</v>
      </c>
      <c r="H162" t="s">
        <v>108</v>
      </c>
      <c r="I162" t="s">
        <v>107</v>
      </c>
      <c r="J162" t="s">
        <v>2664</v>
      </c>
      <c r="K162" t="s">
        <v>187</v>
      </c>
      <c r="L162" t="s">
        <v>2665</v>
      </c>
      <c r="M162" t="s">
        <v>308</v>
      </c>
      <c r="N162" t="s">
        <v>95</v>
      </c>
      <c r="O162" s="27">
        <v>2638000</v>
      </c>
      <c r="P162">
        <v>3</v>
      </c>
      <c r="Q162" t="s">
        <v>164</v>
      </c>
      <c r="R162">
        <v>35</v>
      </c>
      <c r="S162" t="s">
        <v>237</v>
      </c>
      <c r="T162" t="str">
        <f>IF(COUNTIF($A$2:A162,A162)&gt;1,"Duplicate","Unique")</f>
        <v>Unique</v>
      </c>
    </row>
    <row r="163" spans="1:20" x14ac:dyDescent="0.45">
      <c r="A163" t="s">
        <v>1341</v>
      </c>
      <c r="B163" t="s">
        <v>619</v>
      </c>
      <c r="C163" t="s">
        <v>51</v>
      </c>
      <c r="D163" t="s">
        <v>50</v>
      </c>
      <c r="E163" t="s">
        <v>181</v>
      </c>
      <c r="F163" t="s">
        <v>81</v>
      </c>
      <c r="G163" t="s">
        <v>182</v>
      </c>
      <c r="H163" t="s">
        <v>106</v>
      </c>
      <c r="I163" t="s">
        <v>107</v>
      </c>
      <c r="J163" t="s">
        <v>2666</v>
      </c>
      <c r="K163" t="s">
        <v>162</v>
      </c>
      <c r="M163" t="s">
        <v>163</v>
      </c>
      <c r="N163" t="s">
        <v>95</v>
      </c>
      <c r="O163" s="27">
        <v>708000</v>
      </c>
      <c r="P163">
        <v>4</v>
      </c>
      <c r="Q163" t="s">
        <v>164</v>
      </c>
      <c r="R163">
        <v>38</v>
      </c>
      <c r="S163" t="s">
        <v>197</v>
      </c>
      <c r="T163" t="str">
        <f>IF(COUNTIF($A$2:A163,A163)&gt;1,"Duplicate","Unique")</f>
        <v>Unique</v>
      </c>
    </row>
    <row r="164" spans="1:20" x14ac:dyDescent="0.45">
      <c r="A164" t="s">
        <v>1766</v>
      </c>
      <c r="B164" t="s">
        <v>572</v>
      </c>
      <c r="C164" t="s">
        <v>53</v>
      </c>
      <c r="D164" t="s">
        <v>52</v>
      </c>
      <c r="E164" t="s">
        <v>200</v>
      </c>
      <c r="F164" t="s">
        <v>84</v>
      </c>
      <c r="G164" t="s">
        <v>201</v>
      </c>
      <c r="H164" t="s">
        <v>106</v>
      </c>
      <c r="I164" t="s">
        <v>107</v>
      </c>
      <c r="J164" t="s">
        <v>2667</v>
      </c>
      <c r="K164" t="s">
        <v>162</v>
      </c>
      <c r="M164" t="s">
        <v>163</v>
      </c>
      <c r="N164" t="s">
        <v>96</v>
      </c>
      <c r="O164" s="27">
        <v>3329000</v>
      </c>
      <c r="P164">
        <v>4</v>
      </c>
      <c r="Q164" t="s">
        <v>172</v>
      </c>
      <c r="R164">
        <v>41</v>
      </c>
      <c r="S164" t="s">
        <v>237</v>
      </c>
      <c r="T164" t="str">
        <f>IF(COUNTIF($A$2:A164,A164)&gt;1,"Duplicate","Unique")</f>
        <v>Unique</v>
      </c>
    </row>
    <row r="165" spans="1:20" x14ac:dyDescent="0.45">
      <c r="A165" t="s">
        <v>1425</v>
      </c>
      <c r="B165" t="s">
        <v>709</v>
      </c>
      <c r="C165" t="s">
        <v>55</v>
      </c>
      <c r="D165" t="s">
        <v>54</v>
      </c>
      <c r="E165" t="s">
        <v>277</v>
      </c>
      <c r="F165" t="s">
        <v>81</v>
      </c>
      <c r="G165" t="s">
        <v>278</v>
      </c>
      <c r="H165" t="s">
        <v>106</v>
      </c>
      <c r="I165" t="s">
        <v>107</v>
      </c>
      <c r="J165" t="s">
        <v>2668</v>
      </c>
      <c r="K165" t="s">
        <v>187</v>
      </c>
      <c r="L165" t="s">
        <v>2669</v>
      </c>
      <c r="M165" t="s">
        <v>282</v>
      </c>
      <c r="N165" t="s">
        <v>96</v>
      </c>
      <c r="O165" s="27">
        <v>679000</v>
      </c>
      <c r="P165">
        <v>4</v>
      </c>
      <c r="Q165" t="s">
        <v>172</v>
      </c>
      <c r="R165">
        <v>43</v>
      </c>
      <c r="S165" t="s">
        <v>173</v>
      </c>
      <c r="T165" t="str">
        <f>IF(COUNTIF($A$2:A165,A165)&gt;1,"Duplicate","Unique")</f>
        <v>Unique</v>
      </c>
    </row>
    <row r="166" spans="1:20" x14ac:dyDescent="0.45">
      <c r="A166" t="s">
        <v>661</v>
      </c>
      <c r="B166" t="s">
        <v>662</v>
      </c>
      <c r="C166" t="s">
        <v>51</v>
      </c>
      <c r="D166" t="s">
        <v>50</v>
      </c>
      <c r="E166" t="s">
        <v>181</v>
      </c>
      <c r="F166" t="s">
        <v>81</v>
      </c>
      <c r="G166" t="s">
        <v>182</v>
      </c>
      <c r="H166" t="s">
        <v>109</v>
      </c>
      <c r="I166" t="s">
        <v>110</v>
      </c>
      <c r="J166" t="s">
        <v>2670</v>
      </c>
      <c r="K166" t="s">
        <v>187</v>
      </c>
      <c r="L166" t="s">
        <v>2671</v>
      </c>
      <c r="M166" t="s">
        <v>213</v>
      </c>
      <c r="N166" t="s">
        <v>99</v>
      </c>
      <c r="O166" s="27">
        <v>563000</v>
      </c>
      <c r="P166">
        <v>3</v>
      </c>
      <c r="Q166" t="s">
        <v>164</v>
      </c>
      <c r="R166">
        <v>37</v>
      </c>
      <c r="S166" t="s">
        <v>197</v>
      </c>
      <c r="T166" t="str">
        <f>IF(COUNTIF($A$2:A166,A166)&gt;1,"Duplicate","Unique")</f>
        <v>Unique</v>
      </c>
    </row>
    <row r="167" spans="1:20" x14ac:dyDescent="0.45">
      <c r="A167" t="s">
        <v>604</v>
      </c>
      <c r="B167" t="s">
        <v>355</v>
      </c>
      <c r="C167" t="s">
        <v>59</v>
      </c>
      <c r="D167" t="s">
        <v>58</v>
      </c>
      <c r="E167" t="s">
        <v>206</v>
      </c>
      <c r="F167" t="s">
        <v>81</v>
      </c>
      <c r="G167" t="s">
        <v>207</v>
      </c>
      <c r="H167" t="s">
        <v>108</v>
      </c>
      <c r="I167" t="s">
        <v>107</v>
      </c>
      <c r="J167" t="s">
        <v>2672</v>
      </c>
      <c r="K167" t="s">
        <v>187</v>
      </c>
      <c r="L167" t="s">
        <v>2673</v>
      </c>
      <c r="M167" t="s">
        <v>282</v>
      </c>
      <c r="N167" t="s">
        <v>97</v>
      </c>
      <c r="O167" s="27">
        <v>585000</v>
      </c>
      <c r="P167">
        <v>3</v>
      </c>
      <c r="Q167" t="s">
        <v>164</v>
      </c>
      <c r="R167">
        <v>27</v>
      </c>
      <c r="S167" t="s">
        <v>214</v>
      </c>
      <c r="T167" t="str">
        <f>IF(COUNTIF($A$2:A167,A167)&gt;1,"Duplicate","Unique")</f>
        <v>Unique</v>
      </c>
    </row>
    <row r="168" spans="1:20" x14ac:dyDescent="0.45">
      <c r="A168" t="s">
        <v>1957</v>
      </c>
      <c r="B168" t="s">
        <v>1958</v>
      </c>
      <c r="C168" t="s">
        <v>55</v>
      </c>
      <c r="D168" t="s">
        <v>54</v>
      </c>
      <c r="E168" t="s">
        <v>277</v>
      </c>
      <c r="F168" t="s">
        <v>81</v>
      </c>
      <c r="G168" t="s">
        <v>278</v>
      </c>
      <c r="H168" t="s">
        <v>109</v>
      </c>
      <c r="I168" t="s">
        <v>110</v>
      </c>
      <c r="J168" t="s">
        <v>2674</v>
      </c>
      <c r="K168" t="s">
        <v>162</v>
      </c>
      <c r="M168" t="s">
        <v>163</v>
      </c>
      <c r="N168" t="s">
        <v>96</v>
      </c>
      <c r="O168" s="27">
        <v>681000</v>
      </c>
      <c r="P168">
        <v>1</v>
      </c>
      <c r="Q168" t="s">
        <v>172</v>
      </c>
      <c r="R168">
        <v>10</v>
      </c>
      <c r="S168" t="s">
        <v>262</v>
      </c>
      <c r="T168" t="str">
        <f>IF(COUNTIF($A$2:A168,A168)&gt;1,"Duplicate","Unique")</f>
        <v>Unique</v>
      </c>
    </row>
    <row r="169" spans="1:20" x14ac:dyDescent="0.45">
      <c r="A169" t="s">
        <v>1738</v>
      </c>
      <c r="B169" t="s">
        <v>1617</v>
      </c>
      <c r="C169" t="s">
        <v>51</v>
      </c>
      <c r="D169" t="s">
        <v>50</v>
      </c>
      <c r="E169" t="s">
        <v>328</v>
      </c>
      <c r="F169" t="s">
        <v>85</v>
      </c>
      <c r="G169" t="s">
        <v>329</v>
      </c>
      <c r="H169" t="s">
        <v>2550</v>
      </c>
      <c r="I169" t="s">
        <v>107</v>
      </c>
      <c r="J169" t="s">
        <v>2470</v>
      </c>
      <c r="K169" t="s">
        <v>170</v>
      </c>
      <c r="L169" t="s">
        <v>2675</v>
      </c>
      <c r="M169" t="s">
        <v>171</v>
      </c>
      <c r="N169" t="s">
        <v>99</v>
      </c>
      <c r="O169" s="27">
        <v>4802000</v>
      </c>
      <c r="P169">
        <v>4</v>
      </c>
      <c r="Q169" t="s">
        <v>172</v>
      </c>
      <c r="R169">
        <v>35</v>
      </c>
      <c r="S169" t="s">
        <v>197</v>
      </c>
      <c r="T169" t="str">
        <f>IF(COUNTIF($A$2:A169,A169)&gt;1,"Duplicate","Unique")</f>
        <v>Unique</v>
      </c>
    </row>
    <row r="170" spans="1:20" x14ac:dyDescent="0.45">
      <c r="A170" t="s">
        <v>1167</v>
      </c>
      <c r="B170" t="s">
        <v>1168</v>
      </c>
      <c r="C170" t="s">
        <v>51</v>
      </c>
      <c r="D170" t="s">
        <v>50</v>
      </c>
      <c r="E170" t="s">
        <v>181</v>
      </c>
      <c r="F170" t="s">
        <v>81</v>
      </c>
      <c r="G170" t="s">
        <v>182</v>
      </c>
      <c r="H170" t="s">
        <v>108</v>
      </c>
      <c r="I170" t="s">
        <v>107</v>
      </c>
      <c r="J170" t="s">
        <v>2676</v>
      </c>
      <c r="K170" t="s">
        <v>170</v>
      </c>
      <c r="L170" t="s">
        <v>2677</v>
      </c>
      <c r="M170" t="s">
        <v>171</v>
      </c>
      <c r="N170" t="s">
        <v>97</v>
      </c>
      <c r="O170" s="27">
        <v>744000</v>
      </c>
      <c r="P170">
        <v>1</v>
      </c>
      <c r="Q170" t="s">
        <v>164</v>
      </c>
      <c r="S170" t="s">
        <v>197</v>
      </c>
      <c r="T170" t="str">
        <f>IF(COUNTIF($A$2:A170,A170)&gt;1,"Duplicate","Unique")</f>
        <v>Unique</v>
      </c>
    </row>
    <row r="171" spans="1:20" x14ac:dyDescent="0.45">
      <c r="A171" t="s">
        <v>657</v>
      </c>
      <c r="B171" t="s">
        <v>2678</v>
      </c>
      <c r="C171" t="s">
        <v>55</v>
      </c>
      <c r="D171" t="s">
        <v>54</v>
      </c>
      <c r="E171" t="s">
        <v>229</v>
      </c>
      <c r="F171" t="s">
        <v>82</v>
      </c>
      <c r="G171" t="s">
        <v>230</v>
      </c>
      <c r="H171" t="s">
        <v>109</v>
      </c>
      <c r="I171" t="s">
        <v>110</v>
      </c>
      <c r="J171" t="s">
        <v>2679</v>
      </c>
      <c r="K171" t="s">
        <v>162</v>
      </c>
      <c r="M171" t="s">
        <v>163</v>
      </c>
      <c r="N171" t="s">
        <v>97</v>
      </c>
      <c r="O171" s="27">
        <v>1164000</v>
      </c>
      <c r="P171">
        <v>2</v>
      </c>
      <c r="Q171" t="s">
        <v>164</v>
      </c>
      <c r="R171">
        <v>13</v>
      </c>
      <c r="S171" t="s">
        <v>274</v>
      </c>
      <c r="T171" t="str">
        <f>IF(COUNTIF($A$2:A171,A171)&gt;1,"Duplicate","Unique")</f>
        <v>Unique</v>
      </c>
    </row>
    <row r="172" spans="1:20" x14ac:dyDescent="0.45">
      <c r="A172" t="s">
        <v>381</v>
      </c>
      <c r="B172" t="s">
        <v>382</v>
      </c>
      <c r="C172" t="s">
        <v>55</v>
      </c>
      <c r="D172" t="s">
        <v>54</v>
      </c>
      <c r="E172" t="s">
        <v>229</v>
      </c>
      <c r="F172" t="s">
        <v>82</v>
      </c>
      <c r="G172" t="s">
        <v>230</v>
      </c>
      <c r="H172" t="s">
        <v>106</v>
      </c>
      <c r="I172" t="s">
        <v>107</v>
      </c>
      <c r="J172" t="s">
        <v>2680</v>
      </c>
      <c r="K172" t="s">
        <v>187</v>
      </c>
      <c r="L172" t="s">
        <v>2681</v>
      </c>
      <c r="M172" t="s">
        <v>269</v>
      </c>
      <c r="N172" t="s">
        <v>96</v>
      </c>
      <c r="O172" s="27">
        <v>1343000</v>
      </c>
      <c r="P172">
        <v>3</v>
      </c>
      <c r="Q172" t="s">
        <v>164</v>
      </c>
      <c r="R172">
        <v>44</v>
      </c>
      <c r="S172" t="s">
        <v>173</v>
      </c>
      <c r="T172" t="str">
        <f>IF(COUNTIF($A$2:A172,A172)&gt;1,"Duplicate","Unique")</f>
        <v>Unique</v>
      </c>
    </row>
    <row r="173" spans="1:20" x14ac:dyDescent="0.45">
      <c r="A173" t="s">
        <v>2255</v>
      </c>
      <c r="B173" t="s">
        <v>1001</v>
      </c>
      <c r="C173" t="s">
        <v>61</v>
      </c>
      <c r="D173" t="s">
        <v>2682</v>
      </c>
      <c r="E173" t="s">
        <v>356</v>
      </c>
      <c r="F173" t="s">
        <v>81</v>
      </c>
      <c r="G173" t="s">
        <v>357</v>
      </c>
      <c r="H173" t="s">
        <v>2580</v>
      </c>
      <c r="I173" t="s">
        <v>110</v>
      </c>
      <c r="J173" t="s">
        <v>2683</v>
      </c>
      <c r="K173" t="s">
        <v>162</v>
      </c>
      <c r="M173" t="s">
        <v>163</v>
      </c>
      <c r="N173" t="s">
        <v>97</v>
      </c>
      <c r="O173" s="27">
        <v>789000</v>
      </c>
      <c r="P173">
        <v>3</v>
      </c>
      <c r="Q173" t="s">
        <v>164</v>
      </c>
      <c r="R173">
        <v>40</v>
      </c>
      <c r="S173" t="s">
        <v>319</v>
      </c>
      <c r="T173" t="str">
        <f>IF(COUNTIF($A$2:A173,A173)&gt;1,"Duplicate","Unique")</f>
        <v>Unique</v>
      </c>
    </row>
    <row r="174" spans="1:20" x14ac:dyDescent="0.45">
      <c r="A174" t="s">
        <v>1879</v>
      </c>
      <c r="B174" t="s">
        <v>1851</v>
      </c>
      <c r="C174" t="s">
        <v>61</v>
      </c>
      <c r="D174" t="s">
        <v>60</v>
      </c>
      <c r="E174" t="s">
        <v>251</v>
      </c>
      <c r="F174" t="s">
        <v>82</v>
      </c>
      <c r="G174" t="s">
        <v>252</v>
      </c>
      <c r="H174" t="s">
        <v>108</v>
      </c>
      <c r="I174" t="s">
        <v>107</v>
      </c>
      <c r="J174" t="s">
        <v>2684</v>
      </c>
      <c r="K174" t="s">
        <v>162</v>
      </c>
      <c r="M174" t="s">
        <v>163</v>
      </c>
      <c r="N174" t="s">
        <v>95</v>
      </c>
      <c r="O174" s="27">
        <v>878000</v>
      </c>
      <c r="P174">
        <v>2</v>
      </c>
      <c r="Q174" t="s">
        <v>164</v>
      </c>
      <c r="R174">
        <v>9</v>
      </c>
      <c r="S174" t="s">
        <v>319</v>
      </c>
      <c r="T174" t="str">
        <f>IF(COUNTIF($A$2:A174,A174)&gt;1,"Duplicate","Unique")</f>
        <v>Unique</v>
      </c>
    </row>
    <row r="175" spans="1:20" x14ac:dyDescent="0.45">
      <c r="A175" t="s">
        <v>1982</v>
      </c>
      <c r="B175" t="s">
        <v>1560</v>
      </c>
      <c r="C175" t="s">
        <v>59</v>
      </c>
      <c r="D175" t="s">
        <v>58</v>
      </c>
      <c r="E175" t="s">
        <v>211</v>
      </c>
      <c r="F175" t="s">
        <v>82</v>
      </c>
      <c r="G175" t="s">
        <v>212</v>
      </c>
      <c r="H175" t="s">
        <v>2535</v>
      </c>
      <c r="I175" t="s">
        <v>107</v>
      </c>
      <c r="J175" t="s">
        <v>2685</v>
      </c>
      <c r="K175" t="s">
        <v>162</v>
      </c>
      <c r="M175" t="s">
        <v>163</v>
      </c>
      <c r="N175" t="s">
        <v>95</v>
      </c>
      <c r="O175" s="27">
        <v>1246000</v>
      </c>
      <c r="P175">
        <v>3</v>
      </c>
      <c r="Q175" t="s">
        <v>164</v>
      </c>
      <c r="R175">
        <v>29</v>
      </c>
      <c r="S175" t="s">
        <v>214</v>
      </c>
      <c r="T175" t="str">
        <f>IF(COUNTIF($A$2:A175,A175)&gt;1,"Duplicate","Unique")</f>
        <v>Unique</v>
      </c>
    </row>
    <row r="176" spans="1:20" x14ac:dyDescent="0.45">
      <c r="A176" t="s">
        <v>1908</v>
      </c>
      <c r="B176" t="s">
        <v>2686</v>
      </c>
      <c r="C176" t="s">
        <v>57</v>
      </c>
      <c r="D176" t="s">
        <v>56</v>
      </c>
      <c r="E176" t="s">
        <v>1909</v>
      </c>
      <c r="F176" t="s">
        <v>85</v>
      </c>
      <c r="G176" t="s">
        <v>1910</v>
      </c>
      <c r="H176" t="s">
        <v>109</v>
      </c>
      <c r="I176" t="s">
        <v>110</v>
      </c>
      <c r="J176" t="s">
        <v>2687</v>
      </c>
      <c r="K176" t="s">
        <v>170</v>
      </c>
      <c r="L176" t="s">
        <v>2688</v>
      </c>
      <c r="M176" t="s">
        <v>171</v>
      </c>
      <c r="N176" t="s">
        <v>97</v>
      </c>
      <c r="O176" s="27">
        <v>3672000</v>
      </c>
      <c r="P176">
        <v>2</v>
      </c>
      <c r="Q176" t="s">
        <v>164</v>
      </c>
      <c r="R176">
        <v>35</v>
      </c>
      <c r="S176" t="s">
        <v>224</v>
      </c>
      <c r="T176" t="str">
        <f>IF(COUNTIF($A$2:A176,A176)&gt;1,"Duplicate","Unique")</f>
        <v>Unique</v>
      </c>
    </row>
    <row r="177" spans="1:20" x14ac:dyDescent="0.45">
      <c r="A177" t="s">
        <v>2100</v>
      </c>
      <c r="B177" t="s">
        <v>784</v>
      </c>
      <c r="C177" t="s">
        <v>59</v>
      </c>
      <c r="D177" t="s">
        <v>58</v>
      </c>
      <c r="E177" t="s">
        <v>211</v>
      </c>
      <c r="F177" t="s">
        <v>82</v>
      </c>
      <c r="G177" t="s">
        <v>212</v>
      </c>
      <c r="H177" t="s">
        <v>106</v>
      </c>
      <c r="I177" t="s">
        <v>107</v>
      </c>
      <c r="J177" t="s">
        <v>2689</v>
      </c>
      <c r="K177" t="s">
        <v>162</v>
      </c>
      <c r="M177" t="s">
        <v>163</v>
      </c>
      <c r="N177" t="s">
        <v>99</v>
      </c>
      <c r="O177" s="27">
        <v>1345000</v>
      </c>
      <c r="P177">
        <v>2</v>
      </c>
      <c r="Q177" t="s">
        <v>164</v>
      </c>
      <c r="R177">
        <v>20</v>
      </c>
      <c r="S177" t="s">
        <v>208</v>
      </c>
      <c r="T177" t="str">
        <f>IF(COUNTIF($A$2:A177,A177)&gt;1,"Duplicate","Unique")</f>
        <v>Unique</v>
      </c>
    </row>
    <row r="178" spans="1:20" x14ac:dyDescent="0.45">
      <c r="A178" t="s">
        <v>1149</v>
      </c>
      <c r="B178" t="s">
        <v>664</v>
      </c>
      <c r="C178" t="s">
        <v>61</v>
      </c>
      <c r="D178" t="s">
        <v>60</v>
      </c>
      <c r="E178" t="s">
        <v>251</v>
      </c>
      <c r="F178" t="s">
        <v>82</v>
      </c>
      <c r="G178" t="s">
        <v>252</v>
      </c>
      <c r="H178" t="s">
        <v>108</v>
      </c>
      <c r="I178" t="s">
        <v>107</v>
      </c>
      <c r="J178" t="s">
        <v>2690</v>
      </c>
      <c r="K178" t="s">
        <v>162</v>
      </c>
      <c r="M178" t="s">
        <v>163</v>
      </c>
      <c r="N178" t="s">
        <v>98</v>
      </c>
      <c r="O178" s="27">
        <v>1237000</v>
      </c>
      <c r="P178">
        <v>4</v>
      </c>
      <c r="Q178" t="s">
        <v>164</v>
      </c>
      <c r="R178">
        <v>33</v>
      </c>
      <c r="S178" t="s">
        <v>253</v>
      </c>
      <c r="T178" t="str">
        <f>IF(COUNTIF($A$2:A178,A178)&gt;1,"Duplicate","Unique")</f>
        <v>Unique</v>
      </c>
    </row>
    <row r="179" spans="1:20" x14ac:dyDescent="0.45">
      <c r="A179" t="s">
        <v>1554</v>
      </c>
      <c r="B179" t="s">
        <v>1555</v>
      </c>
      <c r="C179" t="s">
        <v>51</v>
      </c>
      <c r="D179" t="s">
        <v>50</v>
      </c>
      <c r="E179" t="s">
        <v>176</v>
      </c>
      <c r="F179" t="s">
        <v>82</v>
      </c>
      <c r="G179" t="s">
        <v>177</v>
      </c>
      <c r="H179" t="s">
        <v>111</v>
      </c>
      <c r="I179" t="s">
        <v>110</v>
      </c>
      <c r="J179" t="s">
        <v>2691</v>
      </c>
      <c r="K179" t="s">
        <v>162</v>
      </c>
      <c r="M179" t="s">
        <v>163</v>
      </c>
      <c r="N179" t="s">
        <v>97</v>
      </c>
      <c r="O179" s="27">
        <v>1043000</v>
      </c>
      <c r="P179">
        <v>3</v>
      </c>
      <c r="Q179" t="s">
        <v>164</v>
      </c>
      <c r="R179">
        <v>46</v>
      </c>
      <c r="S179" t="s">
        <v>178</v>
      </c>
      <c r="T179" t="str">
        <f>IF(COUNTIF($A$2:A179,A179)&gt;1,"Duplicate","Unique")</f>
        <v>Unique</v>
      </c>
    </row>
    <row r="180" spans="1:20" x14ac:dyDescent="0.45">
      <c r="A180" t="s">
        <v>669</v>
      </c>
      <c r="B180" t="s">
        <v>658</v>
      </c>
      <c r="C180" t="s">
        <v>59</v>
      </c>
      <c r="D180" t="s">
        <v>58</v>
      </c>
      <c r="E180" t="s">
        <v>206</v>
      </c>
      <c r="F180" t="s">
        <v>81</v>
      </c>
      <c r="G180" t="s">
        <v>207</v>
      </c>
      <c r="H180" t="s">
        <v>109</v>
      </c>
      <c r="I180" t="s">
        <v>110</v>
      </c>
      <c r="J180" t="s">
        <v>2692</v>
      </c>
      <c r="K180" t="s">
        <v>162</v>
      </c>
      <c r="M180" t="s">
        <v>163</v>
      </c>
      <c r="N180" t="s">
        <v>96</v>
      </c>
      <c r="O180" s="27">
        <v>825000</v>
      </c>
      <c r="P180">
        <v>3</v>
      </c>
      <c r="Q180" t="s">
        <v>164</v>
      </c>
      <c r="R180">
        <v>35</v>
      </c>
      <c r="S180" t="s">
        <v>214</v>
      </c>
      <c r="T180" t="str">
        <f>IF(COUNTIF($A$2:A180,A180)&gt;1,"Duplicate","Unique")</f>
        <v>Unique</v>
      </c>
    </row>
    <row r="181" spans="1:20" x14ac:dyDescent="0.45">
      <c r="A181" t="s">
        <v>1117</v>
      </c>
      <c r="B181" t="s">
        <v>264</v>
      </c>
      <c r="C181" t="s">
        <v>51</v>
      </c>
      <c r="D181" t="s">
        <v>50</v>
      </c>
      <c r="E181" t="s">
        <v>217</v>
      </c>
      <c r="F181" t="s">
        <v>83</v>
      </c>
      <c r="G181" t="s">
        <v>218</v>
      </c>
      <c r="H181" t="s">
        <v>108</v>
      </c>
      <c r="I181" t="s">
        <v>107</v>
      </c>
      <c r="J181" t="s">
        <v>2693</v>
      </c>
      <c r="K181" t="s">
        <v>162</v>
      </c>
      <c r="M181" t="s">
        <v>163</v>
      </c>
      <c r="N181" t="s">
        <v>99</v>
      </c>
      <c r="O181" s="27">
        <v>1944000</v>
      </c>
      <c r="P181">
        <v>3</v>
      </c>
      <c r="Q181" t="s">
        <v>164</v>
      </c>
      <c r="R181">
        <v>50</v>
      </c>
      <c r="S181" t="s">
        <v>178</v>
      </c>
      <c r="T181" t="str">
        <f>IF(COUNTIF($A$2:A181,A181)&gt;1,"Duplicate","Unique")</f>
        <v>Unique</v>
      </c>
    </row>
    <row r="182" spans="1:20" x14ac:dyDescent="0.45">
      <c r="A182" t="s">
        <v>1673</v>
      </c>
      <c r="B182" t="s">
        <v>2694</v>
      </c>
      <c r="C182" t="s">
        <v>51</v>
      </c>
      <c r="D182" t="s">
        <v>50</v>
      </c>
      <c r="E182" t="s">
        <v>181</v>
      </c>
      <c r="F182" t="s">
        <v>81</v>
      </c>
      <c r="G182" t="s">
        <v>182</v>
      </c>
      <c r="H182" t="s">
        <v>112</v>
      </c>
      <c r="I182" t="s">
        <v>113</v>
      </c>
      <c r="J182" t="s">
        <v>2695</v>
      </c>
      <c r="K182" t="s">
        <v>162</v>
      </c>
      <c r="M182" t="s">
        <v>163</v>
      </c>
      <c r="N182" t="s">
        <v>99</v>
      </c>
      <c r="O182" s="27">
        <v>643000</v>
      </c>
      <c r="P182">
        <v>3</v>
      </c>
      <c r="Q182" t="s">
        <v>172</v>
      </c>
      <c r="R182">
        <v>30</v>
      </c>
      <c r="S182" t="s">
        <v>244</v>
      </c>
      <c r="T182" t="str">
        <f>IF(COUNTIF($A$2:A182,A182)&gt;1,"Duplicate","Unique")</f>
        <v>Unique</v>
      </c>
    </row>
    <row r="183" spans="1:20" x14ac:dyDescent="0.45">
      <c r="A183" t="s">
        <v>699</v>
      </c>
      <c r="B183" t="s">
        <v>700</v>
      </c>
      <c r="C183" t="s">
        <v>57</v>
      </c>
      <c r="D183" t="s">
        <v>56</v>
      </c>
      <c r="E183" t="s">
        <v>222</v>
      </c>
      <c r="F183" t="s">
        <v>82</v>
      </c>
      <c r="G183" t="s">
        <v>223</v>
      </c>
      <c r="H183" t="s">
        <v>106</v>
      </c>
      <c r="I183" t="s">
        <v>107</v>
      </c>
      <c r="J183" t="s">
        <v>2696</v>
      </c>
      <c r="K183" t="s">
        <v>162</v>
      </c>
      <c r="M183" t="s">
        <v>163</v>
      </c>
      <c r="N183" t="s">
        <v>97</v>
      </c>
      <c r="O183" s="27">
        <v>998000</v>
      </c>
      <c r="P183">
        <v>3</v>
      </c>
      <c r="Q183" t="s">
        <v>172</v>
      </c>
      <c r="R183">
        <v>40</v>
      </c>
      <c r="S183" t="s">
        <v>224</v>
      </c>
      <c r="T183" t="str">
        <f>IF(COUNTIF($A$2:A183,A183)&gt;1,"Duplicate","Unique")</f>
        <v>Unique</v>
      </c>
    </row>
    <row r="184" spans="1:20" x14ac:dyDescent="0.45">
      <c r="A184" t="s">
        <v>1662</v>
      </c>
      <c r="B184" t="s">
        <v>662</v>
      </c>
      <c r="C184" t="s">
        <v>53</v>
      </c>
      <c r="D184" t="s">
        <v>52</v>
      </c>
      <c r="E184" t="s">
        <v>192</v>
      </c>
      <c r="F184" t="s">
        <v>83</v>
      </c>
      <c r="G184" t="s">
        <v>193</v>
      </c>
      <c r="H184" t="s">
        <v>108</v>
      </c>
      <c r="I184" t="s">
        <v>107</v>
      </c>
      <c r="J184" t="s">
        <v>2697</v>
      </c>
      <c r="K184" t="s">
        <v>162</v>
      </c>
      <c r="M184" t="s">
        <v>163</v>
      </c>
      <c r="N184" t="s">
        <v>99</v>
      </c>
      <c r="O184" s="27">
        <v>2007000</v>
      </c>
      <c r="P184">
        <v>4</v>
      </c>
      <c r="Q184" t="s">
        <v>164</v>
      </c>
      <c r="R184">
        <v>31</v>
      </c>
      <c r="S184" t="s">
        <v>237</v>
      </c>
      <c r="T184" t="str">
        <f>IF(COUNTIF($A$2:A184,A184)&gt;1,"Duplicate","Unique")</f>
        <v>Unique</v>
      </c>
    </row>
    <row r="185" spans="1:20" x14ac:dyDescent="0.45">
      <c r="A185" t="s">
        <v>1830</v>
      </c>
      <c r="B185" t="s">
        <v>828</v>
      </c>
      <c r="C185" t="s">
        <v>51</v>
      </c>
      <c r="D185" t="s">
        <v>50</v>
      </c>
      <c r="E185" t="s">
        <v>176</v>
      </c>
      <c r="F185" t="s">
        <v>82</v>
      </c>
      <c r="G185" t="s">
        <v>177</v>
      </c>
      <c r="H185" t="s">
        <v>109</v>
      </c>
      <c r="I185" t="s">
        <v>110</v>
      </c>
      <c r="J185" t="s">
        <v>2698</v>
      </c>
      <c r="K185" t="s">
        <v>162</v>
      </c>
      <c r="M185" t="s">
        <v>163</v>
      </c>
      <c r="N185" t="s">
        <v>99</v>
      </c>
      <c r="O185" s="27">
        <v>1236000</v>
      </c>
      <c r="P185">
        <v>4</v>
      </c>
      <c r="Q185" t="s">
        <v>164</v>
      </c>
      <c r="R185">
        <v>31</v>
      </c>
      <c r="S185" t="s">
        <v>219</v>
      </c>
      <c r="T185" t="str">
        <f>IF(COUNTIF($A$2:A185,A185)&gt;1,"Duplicate","Unique")</f>
        <v>Unique</v>
      </c>
    </row>
    <row r="186" spans="1:20" x14ac:dyDescent="0.45">
      <c r="A186" t="s">
        <v>776</v>
      </c>
      <c r="B186" t="s">
        <v>2699</v>
      </c>
      <c r="C186" t="s">
        <v>55</v>
      </c>
      <c r="D186" t="s">
        <v>54</v>
      </c>
      <c r="E186" t="s">
        <v>240</v>
      </c>
      <c r="F186" t="s">
        <v>83</v>
      </c>
      <c r="G186" t="s">
        <v>241</v>
      </c>
      <c r="H186" t="s">
        <v>106</v>
      </c>
      <c r="I186" t="s">
        <v>107</v>
      </c>
      <c r="J186" t="s">
        <v>2700</v>
      </c>
      <c r="K186" t="s">
        <v>162</v>
      </c>
      <c r="M186" t="s">
        <v>163</v>
      </c>
      <c r="N186" t="s">
        <v>97</v>
      </c>
      <c r="O186" s="27">
        <v>1528000</v>
      </c>
      <c r="P186">
        <v>2</v>
      </c>
      <c r="Q186" t="s">
        <v>164</v>
      </c>
      <c r="R186">
        <v>30</v>
      </c>
      <c r="S186" t="s">
        <v>262</v>
      </c>
      <c r="T186" t="str">
        <f>IF(COUNTIF($A$2:A186,A186)&gt;1,"Duplicate","Unique")</f>
        <v>Unique</v>
      </c>
    </row>
    <row r="187" spans="1:20" x14ac:dyDescent="0.45">
      <c r="A187" t="s">
        <v>1265</v>
      </c>
      <c r="B187" t="s">
        <v>991</v>
      </c>
      <c r="C187" t="s">
        <v>51</v>
      </c>
      <c r="D187" t="s">
        <v>50</v>
      </c>
      <c r="E187" t="s">
        <v>181</v>
      </c>
      <c r="F187" t="s">
        <v>81</v>
      </c>
      <c r="G187" t="s">
        <v>182</v>
      </c>
      <c r="H187" t="s">
        <v>108</v>
      </c>
      <c r="I187" t="s">
        <v>107</v>
      </c>
      <c r="J187" t="s">
        <v>2701</v>
      </c>
      <c r="K187" t="s">
        <v>162</v>
      </c>
      <c r="M187" t="s">
        <v>163</v>
      </c>
      <c r="N187" t="s">
        <v>96</v>
      </c>
      <c r="O187" s="27">
        <v>793000</v>
      </c>
      <c r="P187">
        <v>3</v>
      </c>
      <c r="Q187" t="s">
        <v>172</v>
      </c>
      <c r="R187">
        <v>36</v>
      </c>
      <c r="S187" t="s">
        <v>219</v>
      </c>
      <c r="T187" t="str">
        <f>IF(COUNTIF($A$2:A187,A187)&gt;1,"Duplicate","Unique")</f>
        <v>Unique</v>
      </c>
    </row>
    <row r="188" spans="1:20" x14ac:dyDescent="0.45">
      <c r="A188" t="s">
        <v>342</v>
      </c>
      <c r="B188" t="s">
        <v>343</v>
      </c>
      <c r="C188" t="s">
        <v>51</v>
      </c>
      <c r="D188" t="s">
        <v>50</v>
      </c>
      <c r="E188" t="s">
        <v>181</v>
      </c>
      <c r="F188" t="s">
        <v>81</v>
      </c>
      <c r="G188" t="s">
        <v>182</v>
      </c>
      <c r="H188" t="s">
        <v>112</v>
      </c>
      <c r="I188" t="s">
        <v>113</v>
      </c>
      <c r="J188" t="s">
        <v>2702</v>
      </c>
      <c r="K188" t="s">
        <v>162</v>
      </c>
      <c r="M188" t="s">
        <v>163</v>
      </c>
      <c r="N188" t="s">
        <v>96</v>
      </c>
      <c r="O188" s="27">
        <v>665000</v>
      </c>
      <c r="P188">
        <v>5</v>
      </c>
      <c r="Q188" t="s">
        <v>172</v>
      </c>
      <c r="R188">
        <v>46</v>
      </c>
      <c r="S188" t="s">
        <v>244</v>
      </c>
      <c r="T188" t="str">
        <f>IF(COUNTIF($A$2:A188,A188)&gt;1,"Duplicate","Unique")</f>
        <v>Unique</v>
      </c>
    </row>
    <row r="189" spans="1:20" x14ac:dyDescent="0.45">
      <c r="A189" t="s">
        <v>457</v>
      </c>
      <c r="B189" t="s">
        <v>458</v>
      </c>
      <c r="C189" t="s">
        <v>53</v>
      </c>
      <c r="D189" t="s">
        <v>52</v>
      </c>
      <c r="E189" t="s">
        <v>185</v>
      </c>
      <c r="F189" t="s">
        <v>82</v>
      </c>
      <c r="G189" t="s">
        <v>186</v>
      </c>
      <c r="H189" t="s">
        <v>108</v>
      </c>
      <c r="I189" t="s">
        <v>107</v>
      </c>
      <c r="J189" t="s">
        <v>2703</v>
      </c>
      <c r="K189" t="s">
        <v>162</v>
      </c>
      <c r="M189" t="s">
        <v>163</v>
      </c>
      <c r="N189" t="s">
        <v>95</v>
      </c>
      <c r="O189" s="27">
        <v>1171000</v>
      </c>
      <c r="P189">
        <v>1</v>
      </c>
      <c r="Q189" t="s">
        <v>172</v>
      </c>
      <c r="R189">
        <v>26</v>
      </c>
      <c r="S189" t="s">
        <v>237</v>
      </c>
      <c r="T189" t="str">
        <f>IF(COUNTIF($A$2:A189,A189)&gt;1,"Duplicate","Unique")</f>
        <v>Unique</v>
      </c>
    </row>
    <row r="190" spans="1:20" x14ac:dyDescent="0.45">
      <c r="A190" t="s">
        <v>2179</v>
      </c>
      <c r="B190" t="s">
        <v>2704</v>
      </c>
      <c r="C190" t="s">
        <v>51</v>
      </c>
      <c r="D190" t="s">
        <v>50</v>
      </c>
      <c r="E190" t="s">
        <v>176</v>
      </c>
      <c r="F190" t="s">
        <v>82</v>
      </c>
      <c r="G190" t="s">
        <v>177</v>
      </c>
      <c r="H190" t="s">
        <v>106</v>
      </c>
      <c r="I190" t="s">
        <v>107</v>
      </c>
      <c r="J190" t="s">
        <v>2705</v>
      </c>
      <c r="K190" t="s">
        <v>162</v>
      </c>
      <c r="M190" t="s">
        <v>163</v>
      </c>
      <c r="N190" t="s">
        <v>95</v>
      </c>
      <c r="O190" s="27">
        <v>986000</v>
      </c>
      <c r="P190">
        <v>2</v>
      </c>
      <c r="Q190" t="s">
        <v>164</v>
      </c>
      <c r="R190">
        <v>14</v>
      </c>
      <c r="S190" t="s">
        <v>178</v>
      </c>
      <c r="T190" t="str">
        <f>IF(COUNTIF($A$2:A190,A190)&gt;1,"Duplicate","Unique")</f>
        <v>Unique</v>
      </c>
    </row>
    <row r="191" spans="1:20" x14ac:dyDescent="0.45">
      <c r="A191" t="s">
        <v>2177</v>
      </c>
      <c r="B191" t="s">
        <v>1198</v>
      </c>
      <c r="C191" t="s">
        <v>61</v>
      </c>
      <c r="D191" t="s">
        <v>2682</v>
      </c>
      <c r="E191" t="s">
        <v>356</v>
      </c>
      <c r="F191" t="s">
        <v>81</v>
      </c>
      <c r="G191" t="s">
        <v>357</v>
      </c>
      <c r="H191" t="s">
        <v>109</v>
      </c>
      <c r="I191" t="s">
        <v>110</v>
      </c>
      <c r="J191" t="s">
        <v>2529</v>
      </c>
      <c r="K191" t="s">
        <v>187</v>
      </c>
      <c r="L191" t="s">
        <v>2706</v>
      </c>
      <c r="M191" t="s">
        <v>282</v>
      </c>
      <c r="N191" t="s">
        <v>96</v>
      </c>
      <c r="O191" s="27">
        <v>655000</v>
      </c>
      <c r="P191">
        <v>4</v>
      </c>
      <c r="Q191" t="s">
        <v>164</v>
      </c>
      <c r="R191">
        <v>58</v>
      </c>
      <c r="S191" t="s">
        <v>319</v>
      </c>
      <c r="T191" t="str">
        <f>IF(COUNTIF($A$2:A191,A191)&gt;1,"Duplicate","Unique")</f>
        <v>Unique</v>
      </c>
    </row>
    <row r="192" spans="1:20" x14ac:dyDescent="0.45">
      <c r="A192" t="s">
        <v>2130</v>
      </c>
      <c r="B192" t="s">
        <v>1824</v>
      </c>
      <c r="C192" t="s">
        <v>55</v>
      </c>
      <c r="D192" t="s">
        <v>54</v>
      </c>
      <c r="E192" t="s">
        <v>240</v>
      </c>
      <c r="F192" t="s">
        <v>83</v>
      </c>
      <c r="G192" t="s">
        <v>241</v>
      </c>
      <c r="H192" t="s">
        <v>108</v>
      </c>
      <c r="I192" t="s">
        <v>107</v>
      </c>
      <c r="J192" t="s">
        <v>2707</v>
      </c>
      <c r="K192" t="s">
        <v>170</v>
      </c>
      <c r="L192" t="s">
        <v>2708</v>
      </c>
      <c r="M192" t="s">
        <v>171</v>
      </c>
      <c r="N192" t="s">
        <v>97</v>
      </c>
      <c r="O192" s="27">
        <v>1589000</v>
      </c>
      <c r="P192">
        <v>4</v>
      </c>
      <c r="Q192" t="s">
        <v>172</v>
      </c>
      <c r="R192">
        <v>23</v>
      </c>
      <c r="S192" t="s">
        <v>173</v>
      </c>
      <c r="T192" t="str">
        <f>IF(COUNTIF($A$2:A192,A192)&gt;1,"Duplicate","Unique")</f>
        <v>Unique</v>
      </c>
    </row>
    <row r="193" spans="1:20" x14ac:dyDescent="0.45">
      <c r="A193" t="s">
        <v>2203</v>
      </c>
      <c r="B193" t="s">
        <v>2137</v>
      </c>
      <c r="C193" t="s">
        <v>53</v>
      </c>
      <c r="D193" t="s">
        <v>52</v>
      </c>
      <c r="E193" t="s">
        <v>185</v>
      </c>
      <c r="F193" t="s">
        <v>82</v>
      </c>
      <c r="G193" t="s">
        <v>186</v>
      </c>
      <c r="H193" t="s">
        <v>106</v>
      </c>
      <c r="I193" t="s">
        <v>107</v>
      </c>
      <c r="J193" t="s">
        <v>2709</v>
      </c>
      <c r="K193" t="s">
        <v>162</v>
      </c>
      <c r="M193" t="s">
        <v>163</v>
      </c>
      <c r="N193" t="s">
        <v>95</v>
      </c>
      <c r="O193" s="27">
        <v>1266000</v>
      </c>
      <c r="P193">
        <v>2</v>
      </c>
      <c r="Q193" t="s">
        <v>172</v>
      </c>
      <c r="R193">
        <v>30</v>
      </c>
      <c r="S193" t="s">
        <v>194</v>
      </c>
      <c r="T193" t="str">
        <f>IF(COUNTIF($A$2:A193,A193)&gt;1,"Duplicate","Unique")</f>
        <v>Unique</v>
      </c>
    </row>
    <row r="194" spans="1:20" x14ac:dyDescent="0.45">
      <c r="A194" t="s">
        <v>1428</v>
      </c>
      <c r="B194" t="s">
        <v>2710</v>
      </c>
      <c r="C194" t="s">
        <v>57</v>
      </c>
      <c r="D194" t="s">
        <v>56</v>
      </c>
      <c r="E194" t="s">
        <v>222</v>
      </c>
      <c r="F194" t="s">
        <v>82</v>
      </c>
      <c r="G194" t="s">
        <v>223</v>
      </c>
      <c r="H194" t="s">
        <v>111</v>
      </c>
      <c r="I194" t="s">
        <v>110</v>
      </c>
      <c r="J194" t="s">
        <v>2668</v>
      </c>
      <c r="K194" t="s">
        <v>162</v>
      </c>
      <c r="M194" t="s">
        <v>163</v>
      </c>
      <c r="N194" t="s">
        <v>98</v>
      </c>
      <c r="O194" s="27">
        <v>1267000</v>
      </c>
      <c r="P194">
        <v>4</v>
      </c>
      <c r="Q194" t="s">
        <v>172</v>
      </c>
      <c r="R194">
        <v>33</v>
      </c>
      <c r="S194" t="s">
        <v>224</v>
      </c>
      <c r="T194" t="str">
        <f>IF(COUNTIF($A$2:A194,A194)&gt;1,"Duplicate","Unique")</f>
        <v>Unique</v>
      </c>
    </row>
    <row r="195" spans="1:20" x14ac:dyDescent="0.45">
      <c r="A195" t="s">
        <v>1810</v>
      </c>
      <c r="B195" t="s">
        <v>1811</v>
      </c>
      <c r="C195" t="s">
        <v>53</v>
      </c>
      <c r="D195" t="s">
        <v>52</v>
      </c>
      <c r="E195" t="s">
        <v>185</v>
      </c>
      <c r="F195" t="s">
        <v>82</v>
      </c>
      <c r="G195" t="s">
        <v>186</v>
      </c>
      <c r="H195" t="s">
        <v>109</v>
      </c>
      <c r="I195" t="s">
        <v>110</v>
      </c>
      <c r="J195" t="s">
        <v>2711</v>
      </c>
      <c r="K195" t="s">
        <v>187</v>
      </c>
      <c r="L195" t="s">
        <v>2707</v>
      </c>
      <c r="M195" t="s">
        <v>269</v>
      </c>
      <c r="N195" t="s">
        <v>98</v>
      </c>
      <c r="O195" s="27">
        <v>1001000</v>
      </c>
      <c r="P195">
        <v>3</v>
      </c>
      <c r="Q195" t="s">
        <v>172</v>
      </c>
      <c r="R195">
        <v>47</v>
      </c>
      <c r="S195" t="s">
        <v>189</v>
      </c>
      <c r="T195" t="str">
        <f>IF(COUNTIF($A$2:A195,A195)&gt;1,"Duplicate","Unique")</f>
        <v>Unique</v>
      </c>
    </row>
    <row r="196" spans="1:20" x14ac:dyDescent="0.45">
      <c r="A196" t="s">
        <v>1242</v>
      </c>
      <c r="B196" t="s">
        <v>2712</v>
      </c>
      <c r="C196" t="s">
        <v>51</v>
      </c>
      <c r="D196" t="s">
        <v>50</v>
      </c>
      <c r="E196" t="s">
        <v>176</v>
      </c>
      <c r="F196" t="s">
        <v>82</v>
      </c>
      <c r="G196" t="s">
        <v>177</v>
      </c>
      <c r="H196" t="s">
        <v>106</v>
      </c>
      <c r="I196" t="s">
        <v>107</v>
      </c>
      <c r="J196" t="s">
        <v>2713</v>
      </c>
      <c r="K196" t="s">
        <v>162</v>
      </c>
      <c r="M196" t="s">
        <v>163</v>
      </c>
      <c r="N196" t="s">
        <v>99</v>
      </c>
      <c r="O196" s="27">
        <v>1166000</v>
      </c>
      <c r="P196">
        <v>3</v>
      </c>
      <c r="Q196" t="s">
        <v>164</v>
      </c>
      <c r="R196">
        <v>25</v>
      </c>
      <c r="S196" t="s">
        <v>178</v>
      </c>
      <c r="T196" t="str">
        <f>IF(COUNTIF($A$2:A196,A196)&gt;1,"Duplicate","Unique")</f>
        <v>Unique</v>
      </c>
    </row>
    <row r="197" spans="1:20" x14ac:dyDescent="0.45">
      <c r="A197" t="s">
        <v>418</v>
      </c>
      <c r="B197" t="s">
        <v>419</v>
      </c>
      <c r="C197" t="s">
        <v>53</v>
      </c>
      <c r="D197" t="s">
        <v>52</v>
      </c>
      <c r="E197" t="s">
        <v>322</v>
      </c>
      <c r="F197" t="s">
        <v>81</v>
      </c>
      <c r="G197" t="s">
        <v>323</v>
      </c>
      <c r="H197" t="s">
        <v>106</v>
      </c>
      <c r="I197" t="s">
        <v>107</v>
      </c>
      <c r="J197" t="s">
        <v>2714</v>
      </c>
      <c r="K197" t="s">
        <v>170</v>
      </c>
      <c r="L197" t="s">
        <v>2715</v>
      </c>
      <c r="M197" t="s">
        <v>171</v>
      </c>
      <c r="N197" t="s">
        <v>99</v>
      </c>
      <c r="O197" s="27">
        <v>721000</v>
      </c>
      <c r="P197">
        <v>3</v>
      </c>
      <c r="Q197" t="s">
        <v>172</v>
      </c>
      <c r="R197">
        <v>54</v>
      </c>
      <c r="S197" t="s">
        <v>189</v>
      </c>
      <c r="T197" t="str">
        <f>IF(COUNTIF($A$2:A197,A197)&gt;1,"Duplicate","Unique")</f>
        <v>Unique</v>
      </c>
    </row>
    <row r="198" spans="1:20" x14ac:dyDescent="0.45">
      <c r="A198" t="s">
        <v>1684</v>
      </c>
      <c r="B198" t="s">
        <v>1685</v>
      </c>
      <c r="C198" t="s">
        <v>55</v>
      </c>
      <c r="D198" t="s">
        <v>54</v>
      </c>
      <c r="E198" t="s">
        <v>229</v>
      </c>
      <c r="F198" t="s">
        <v>82</v>
      </c>
      <c r="G198" t="s">
        <v>230</v>
      </c>
      <c r="H198" t="s">
        <v>106</v>
      </c>
      <c r="I198" t="s">
        <v>107</v>
      </c>
      <c r="J198" t="s">
        <v>2716</v>
      </c>
      <c r="K198" t="s">
        <v>162</v>
      </c>
      <c r="M198" t="s">
        <v>163</v>
      </c>
      <c r="N198" t="s">
        <v>96</v>
      </c>
      <c r="O198" s="27">
        <v>1127000</v>
      </c>
      <c r="P198">
        <v>3</v>
      </c>
      <c r="Q198" t="s">
        <v>164</v>
      </c>
      <c r="R198">
        <v>19</v>
      </c>
      <c r="S198" t="s">
        <v>274</v>
      </c>
      <c r="T198" t="str">
        <f>IF(COUNTIF($A$2:A198,A198)&gt;1,"Duplicate","Unique")</f>
        <v>Unique</v>
      </c>
    </row>
    <row r="199" spans="1:20" x14ac:dyDescent="0.45">
      <c r="A199" t="s">
        <v>1937</v>
      </c>
      <c r="B199" t="s">
        <v>1938</v>
      </c>
      <c r="C199" t="s">
        <v>55</v>
      </c>
      <c r="D199" t="s">
        <v>54</v>
      </c>
      <c r="E199" t="s">
        <v>229</v>
      </c>
      <c r="F199" t="s">
        <v>82</v>
      </c>
      <c r="G199" t="s">
        <v>230</v>
      </c>
      <c r="H199" t="s">
        <v>108</v>
      </c>
      <c r="I199" t="s">
        <v>107</v>
      </c>
      <c r="J199" t="s">
        <v>2717</v>
      </c>
      <c r="K199" t="s">
        <v>162</v>
      </c>
      <c r="M199" t="s">
        <v>163</v>
      </c>
      <c r="N199" t="s">
        <v>98</v>
      </c>
      <c r="O199" s="27">
        <v>858000</v>
      </c>
      <c r="P199">
        <v>4</v>
      </c>
      <c r="Q199" t="s">
        <v>172</v>
      </c>
      <c r="R199">
        <v>16</v>
      </c>
      <c r="S199" t="s">
        <v>274</v>
      </c>
      <c r="T199" t="str">
        <f>IF(COUNTIF($A$2:A199,A199)&gt;1,"Duplicate","Unique")</f>
        <v>Unique</v>
      </c>
    </row>
    <row r="200" spans="1:20" x14ac:dyDescent="0.45">
      <c r="A200" t="s">
        <v>1704</v>
      </c>
      <c r="B200" t="s">
        <v>261</v>
      </c>
      <c r="C200" t="s">
        <v>57</v>
      </c>
      <c r="D200" t="s">
        <v>56</v>
      </c>
      <c r="E200" t="s">
        <v>160</v>
      </c>
      <c r="F200" t="s">
        <v>81</v>
      </c>
      <c r="G200" t="s">
        <v>161</v>
      </c>
      <c r="H200" t="s">
        <v>106</v>
      </c>
      <c r="I200" t="s">
        <v>107</v>
      </c>
      <c r="J200" t="s">
        <v>2718</v>
      </c>
      <c r="K200" t="s">
        <v>162</v>
      </c>
      <c r="M200" t="s">
        <v>163</v>
      </c>
      <c r="N200" t="s">
        <v>97</v>
      </c>
      <c r="O200" s="27">
        <v>590000</v>
      </c>
      <c r="P200">
        <v>4</v>
      </c>
      <c r="Q200" t="s">
        <v>164</v>
      </c>
      <c r="R200">
        <v>37</v>
      </c>
      <c r="S200" t="s">
        <v>224</v>
      </c>
      <c r="T200" t="str">
        <f>IF(COUNTIF($A$2:A200,A200)&gt;1,"Duplicate","Unique")</f>
        <v>Unique</v>
      </c>
    </row>
    <row r="201" spans="1:20" x14ac:dyDescent="0.45">
      <c r="A201" t="s">
        <v>1372</v>
      </c>
      <c r="B201" t="s">
        <v>1373</v>
      </c>
      <c r="C201" t="s">
        <v>51</v>
      </c>
      <c r="D201" t="s">
        <v>50</v>
      </c>
      <c r="E201" t="s">
        <v>397</v>
      </c>
      <c r="F201" t="s">
        <v>84</v>
      </c>
      <c r="G201" t="s">
        <v>398</v>
      </c>
      <c r="H201" t="s">
        <v>106</v>
      </c>
      <c r="I201" t="s">
        <v>107</v>
      </c>
      <c r="J201" t="s">
        <v>2719</v>
      </c>
      <c r="K201" t="s">
        <v>162</v>
      </c>
      <c r="M201" t="s">
        <v>163</v>
      </c>
      <c r="N201" t="s">
        <v>97</v>
      </c>
      <c r="O201" s="27">
        <v>3155000</v>
      </c>
      <c r="P201">
        <v>3</v>
      </c>
      <c r="Q201" t="s">
        <v>164</v>
      </c>
      <c r="R201">
        <v>35</v>
      </c>
      <c r="S201" t="s">
        <v>244</v>
      </c>
      <c r="T201" t="str">
        <f>IF(COUNTIF($A$2:A201,A201)&gt;1,"Duplicate","Unique")</f>
        <v>Unique</v>
      </c>
    </row>
    <row r="202" spans="1:20" x14ac:dyDescent="0.45">
      <c r="A202" t="s">
        <v>1075</v>
      </c>
      <c r="B202" t="s">
        <v>2720</v>
      </c>
      <c r="C202" t="s">
        <v>51</v>
      </c>
      <c r="D202" t="s">
        <v>50</v>
      </c>
      <c r="E202" t="s">
        <v>181</v>
      </c>
      <c r="F202" t="s">
        <v>81</v>
      </c>
      <c r="G202" t="s">
        <v>182</v>
      </c>
      <c r="H202" t="s">
        <v>109</v>
      </c>
      <c r="I202" t="s">
        <v>110</v>
      </c>
      <c r="J202" t="s">
        <v>2721</v>
      </c>
      <c r="K202" t="s">
        <v>162</v>
      </c>
      <c r="M202" t="s">
        <v>163</v>
      </c>
      <c r="N202" t="s">
        <v>95</v>
      </c>
      <c r="O202" s="27">
        <v>816000</v>
      </c>
      <c r="P202">
        <v>3</v>
      </c>
      <c r="Q202" t="s">
        <v>164</v>
      </c>
      <c r="R202">
        <v>24</v>
      </c>
      <c r="S202" t="s">
        <v>197</v>
      </c>
      <c r="T202" t="str">
        <f>IF(COUNTIF($A$2:A202,A202)&gt;1,"Duplicate","Unique")</f>
        <v>Unique</v>
      </c>
    </row>
    <row r="203" spans="1:20" x14ac:dyDescent="0.45">
      <c r="A203" t="s">
        <v>848</v>
      </c>
      <c r="B203" t="s">
        <v>849</v>
      </c>
      <c r="C203" t="s">
        <v>53</v>
      </c>
      <c r="D203" t="s">
        <v>52</v>
      </c>
      <c r="E203" t="s">
        <v>322</v>
      </c>
      <c r="F203" t="s">
        <v>81</v>
      </c>
      <c r="G203" t="s">
        <v>323</v>
      </c>
      <c r="H203" t="s">
        <v>106</v>
      </c>
      <c r="I203" t="s">
        <v>107</v>
      </c>
      <c r="J203" t="s">
        <v>2722</v>
      </c>
      <c r="K203" t="s">
        <v>187</v>
      </c>
      <c r="L203" t="s">
        <v>2723</v>
      </c>
      <c r="M203" t="s">
        <v>269</v>
      </c>
      <c r="N203" t="s">
        <v>98</v>
      </c>
      <c r="O203" s="27">
        <v>776000</v>
      </c>
      <c r="P203">
        <v>3</v>
      </c>
      <c r="Q203" t="s">
        <v>172</v>
      </c>
      <c r="R203">
        <v>47</v>
      </c>
      <c r="S203" t="s">
        <v>189</v>
      </c>
      <c r="T203" t="str">
        <f>IF(COUNTIF($A$2:A203,A203)&gt;1,"Duplicate","Unique")</f>
        <v>Unique</v>
      </c>
    </row>
    <row r="204" spans="1:20" x14ac:dyDescent="0.45">
      <c r="A204" t="s">
        <v>1150</v>
      </c>
      <c r="B204" t="s">
        <v>1151</v>
      </c>
      <c r="C204" t="s">
        <v>51</v>
      </c>
      <c r="D204" t="s">
        <v>50</v>
      </c>
      <c r="E204" t="s">
        <v>176</v>
      </c>
      <c r="F204" t="s">
        <v>82</v>
      </c>
      <c r="G204" t="s">
        <v>177</v>
      </c>
      <c r="H204" t="s">
        <v>106</v>
      </c>
      <c r="I204" t="s">
        <v>107</v>
      </c>
      <c r="J204" t="s">
        <v>2724</v>
      </c>
      <c r="K204" t="s">
        <v>162</v>
      </c>
      <c r="M204" t="s">
        <v>163</v>
      </c>
      <c r="N204" t="s">
        <v>96</v>
      </c>
      <c r="O204" s="27">
        <v>1222000</v>
      </c>
      <c r="P204">
        <v>4</v>
      </c>
      <c r="Q204" t="s">
        <v>164</v>
      </c>
      <c r="R204">
        <v>29</v>
      </c>
      <c r="S204" t="s">
        <v>178</v>
      </c>
      <c r="T204" t="str">
        <f>IF(COUNTIF($A$2:A204,A204)&gt;1,"Duplicate","Unique")</f>
        <v>Unique</v>
      </c>
    </row>
    <row r="205" spans="1:20" x14ac:dyDescent="0.45">
      <c r="A205" t="s">
        <v>2258</v>
      </c>
      <c r="B205" t="s">
        <v>2725</v>
      </c>
      <c r="C205" t="s">
        <v>55</v>
      </c>
      <c r="D205" t="s">
        <v>54</v>
      </c>
      <c r="E205" t="s">
        <v>168</v>
      </c>
      <c r="F205" t="s">
        <v>84</v>
      </c>
      <c r="G205" t="s">
        <v>169</v>
      </c>
      <c r="H205" t="s">
        <v>108</v>
      </c>
      <c r="I205" t="s">
        <v>107</v>
      </c>
      <c r="J205" t="s">
        <v>2726</v>
      </c>
      <c r="K205" t="s">
        <v>162</v>
      </c>
      <c r="M205" t="s">
        <v>163</v>
      </c>
      <c r="N205" t="s">
        <v>98</v>
      </c>
      <c r="O205" s="27">
        <v>3302000</v>
      </c>
      <c r="P205">
        <v>3</v>
      </c>
      <c r="Q205" t="s">
        <v>164</v>
      </c>
      <c r="R205">
        <v>36</v>
      </c>
      <c r="S205" t="s">
        <v>262</v>
      </c>
      <c r="T205" t="str">
        <f>IF(COUNTIF($A$2:A205,A205)&gt;1,"Duplicate","Unique")</f>
        <v>Unique</v>
      </c>
    </row>
    <row r="206" spans="1:20" x14ac:dyDescent="0.45">
      <c r="A206" t="s">
        <v>2231</v>
      </c>
      <c r="B206" t="s">
        <v>2008</v>
      </c>
      <c r="C206" t="s">
        <v>51</v>
      </c>
      <c r="D206" t="s">
        <v>50</v>
      </c>
      <c r="E206" t="s">
        <v>176</v>
      </c>
      <c r="F206" t="s">
        <v>82</v>
      </c>
      <c r="G206" t="s">
        <v>177</v>
      </c>
      <c r="H206" t="s">
        <v>2535</v>
      </c>
      <c r="I206" t="s">
        <v>107</v>
      </c>
      <c r="J206" t="s">
        <v>2727</v>
      </c>
      <c r="K206" t="s">
        <v>162</v>
      </c>
      <c r="M206" t="s">
        <v>163</v>
      </c>
      <c r="N206" t="s">
        <v>96</v>
      </c>
      <c r="O206" s="27">
        <v>940000</v>
      </c>
      <c r="P206">
        <v>3</v>
      </c>
      <c r="Q206" t="s">
        <v>164</v>
      </c>
      <c r="R206">
        <v>44</v>
      </c>
      <c r="S206" t="s">
        <v>178</v>
      </c>
      <c r="T206" t="str">
        <f>IF(COUNTIF($A$2:A206,A206)&gt;1,"Duplicate","Unique")</f>
        <v>Unique</v>
      </c>
    </row>
    <row r="207" spans="1:20" x14ac:dyDescent="0.45">
      <c r="A207" t="s">
        <v>583</v>
      </c>
      <c r="B207" t="s">
        <v>584</v>
      </c>
      <c r="C207" t="s">
        <v>51</v>
      </c>
      <c r="D207" t="s">
        <v>50</v>
      </c>
      <c r="E207" t="s">
        <v>217</v>
      </c>
      <c r="F207" t="s">
        <v>83</v>
      </c>
      <c r="G207" t="s">
        <v>218</v>
      </c>
      <c r="H207" t="s">
        <v>108</v>
      </c>
      <c r="I207" t="s">
        <v>107</v>
      </c>
      <c r="J207" t="s">
        <v>2728</v>
      </c>
      <c r="K207" t="s">
        <v>162</v>
      </c>
      <c r="M207" t="s">
        <v>163</v>
      </c>
      <c r="N207" t="s">
        <v>95</v>
      </c>
      <c r="O207" s="27">
        <v>1802000</v>
      </c>
      <c r="P207">
        <v>3</v>
      </c>
      <c r="Q207" t="s">
        <v>164</v>
      </c>
      <c r="R207">
        <v>27</v>
      </c>
      <c r="S207" t="s">
        <v>197</v>
      </c>
      <c r="T207" t="str">
        <f>IF(COUNTIF($A$2:A207,A207)&gt;1,"Duplicate","Unique")</f>
        <v>Unique</v>
      </c>
    </row>
    <row r="208" spans="1:20" x14ac:dyDescent="0.45">
      <c r="A208" t="s">
        <v>2114</v>
      </c>
      <c r="B208" t="s">
        <v>656</v>
      </c>
      <c r="C208" t="s">
        <v>53</v>
      </c>
      <c r="D208" t="s">
        <v>52</v>
      </c>
      <c r="E208" t="s">
        <v>185</v>
      </c>
      <c r="F208" t="s">
        <v>82</v>
      </c>
      <c r="G208" t="s">
        <v>186</v>
      </c>
      <c r="H208" t="s">
        <v>106</v>
      </c>
      <c r="I208" t="s">
        <v>107</v>
      </c>
      <c r="J208" t="s">
        <v>2729</v>
      </c>
      <c r="K208" t="s">
        <v>162</v>
      </c>
      <c r="M208" t="s">
        <v>163</v>
      </c>
      <c r="N208" t="s">
        <v>98</v>
      </c>
      <c r="O208" s="27">
        <v>1026000</v>
      </c>
      <c r="P208">
        <v>3</v>
      </c>
      <c r="Q208" t="s">
        <v>164</v>
      </c>
      <c r="R208">
        <v>50</v>
      </c>
      <c r="S208" t="s">
        <v>189</v>
      </c>
      <c r="T208" t="str">
        <f>IF(COUNTIF($A$2:A208,A208)&gt;1,"Duplicate","Unique")</f>
        <v>Unique</v>
      </c>
    </row>
    <row r="209" spans="1:20" x14ac:dyDescent="0.45">
      <c r="A209" t="s">
        <v>1718</v>
      </c>
      <c r="B209" t="s">
        <v>1037</v>
      </c>
      <c r="C209" t="s">
        <v>55</v>
      </c>
      <c r="D209" t="s">
        <v>54</v>
      </c>
      <c r="E209" t="s">
        <v>277</v>
      </c>
      <c r="F209" t="s">
        <v>81</v>
      </c>
      <c r="G209" t="s">
        <v>278</v>
      </c>
      <c r="H209" t="s">
        <v>106</v>
      </c>
      <c r="I209" t="s">
        <v>107</v>
      </c>
      <c r="J209" t="s">
        <v>2730</v>
      </c>
      <c r="K209" t="s">
        <v>162</v>
      </c>
      <c r="M209" t="s">
        <v>163</v>
      </c>
      <c r="N209" t="s">
        <v>95</v>
      </c>
      <c r="O209" s="27">
        <v>704000</v>
      </c>
      <c r="P209">
        <v>5</v>
      </c>
      <c r="Q209" t="s">
        <v>2631</v>
      </c>
      <c r="R209">
        <v>55</v>
      </c>
      <c r="S209" t="s">
        <v>262</v>
      </c>
      <c r="T209" t="str">
        <f>IF(COUNTIF($A$2:A209,A209)&gt;1,"Duplicate","Unique")</f>
        <v>Unique</v>
      </c>
    </row>
    <row r="210" spans="1:20" x14ac:dyDescent="0.45">
      <c r="A210" t="s">
        <v>2038</v>
      </c>
      <c r="B210" t="s">
        <v>1249</v>
      </c>
      <c r="C210" t="s">
        <v>51</v>
      </c>
      <c r="D210" t="s">
        <v>50</v>
      </c>
      <c r="E210" t="s">
        <v>176</v>
      </c>
      <c r="F210" t="s">
        <v>82</v>
      </c>
      <c r="G210" t="s">
        <v>177</v>
      </c>
      <c r="H210" t="s">
        <v>108</v>
      </c>
      <c r="I210" t="s">
        <v>107</v>
      </c>
      <c r="J210" t="s">
        <v>2731</v>
      </c>
      <c r="K210" t="s">
        <v>187</v>
      </c>
      <c r="L210" t="s">
        <v>2732</v>
      </c>
      <c r="M210" t="s">
        <v>282</v>
      </c>
      <c r="N210" t="s">
        <v>99</v>
      </c>
      <c r="O210" s="27">
        <v>867000</v>
      </c>
      <c r="P210">
        <v>4</v>
      </c>
      <c r="Q210" t="s">
        <v>164</v>
      </c>
      <c r="R210">
        <v>39</v>
      </c>
      <c r="S210" t="s">
        <v>219</v>
      </c>
      <c r="T210" t="str">
        <f>IF(COUNTIF($A$2:A210,A210)&gt;1,"Duplicate","Unique")</f>
        <v>Unique</v>
      </c>
    </row>
    <row r="211" spans="1:20" x14ac:dyDescent="0.45">
      <c r="A211" t="s">
        <v>864</v>
      </c>
      <c r="B211" t="s">
        <v>865</v>
      </c>
      <c r="C211" t="s">
        <v>51</v>
      </c>
      <c r="D211" t="s">
        <v>50</v>
      </c>
      <c r="E211" t="s">
        <v>181</v>
      </c>
      <c r="F211" t="s">
        <v>81</v>
      </c>
      <c r="G211" t="s">
        <v>182</v>
      </c>
      <c r="H211" t="s">
        <v>106</v>
      </c>
      <c r="I211" t="s">
        <v>107</v>
      </c>
      <c r="J211" t="s">
        <v>2733</v>
      </c>
      <c r="K211" t="s">
        <v>162</v>
      </c>
      <c r="M211" t="s">
        <v>163</v>
      </c>
      <c r="N211" t="s">
        <v>96</v>
      </c>
      <c r="O211" s="27">
        <v>835000</v>
      </c>
      <c r="P211">
        <v>3</v>
      </c>
      <c r="Q211" t="s">
        <v>164</v>
      </c>
      <c r="R211">
        <v>29</v>
      </c>
      <c r="S211" t="s">
        <v>178</v>
      </c>
      <c r="T211" t="str">
        <f>IF(COUNTIF($A$2:A211,A211)&gt;1,"Duplicate","Unique")</f>
        <v>Unique</v>
      </c>
    </row>
    <row r="212" spans="1:20" x14ac:dyDescent="0.45">
      <c r="A212" t="s">
        <v>364</v>
      </c>
      <c r="B212" t="s">
        <v>359</v>
      </c>
      <c r="C212" t="s">
        <v>51</v>
      </c>
      <c r="D212" t="s">
        <v>50</v>
      </c>
      <c r="E212" t="s">
        <v>181</v>
      </c>
      <c r="F212" t="s">
        <v>81</v>
      </c>
      <c r="G212" t="s">
        <v>182</v>
      </c>
      <c r="H212" t="s">
        <v>106</v>
      </c>
      <c r="I212" t="s">
        <v>107</v>
      </c>
      <c r="J212" t="s">
        <v>2734</v>
      </c>
      <c r="K212" t="s">
        <v>187</v>
      </c>
      <c r="L212" t="s">
        <v>2714</v>
      </c>
      <c r="M212" t="s">
        <v>308</v>
      </c>
      <c r="N212" t="s">
        <v>99</v>
      </c>
      <c r="O212" s="27">
        <v>745000</v>
      </c>
      <c r="P212">
        <v>4</v>
      </c>
      <c r="Q212" t="s">
        <v>164</v>
      </c>
      <c r="R212">
        <v>38</v>
      </c>
      <c r="S212" t="s">
        <v>219</v>
      </c>
      <c r="T212" t="str">
        <f>IF(COUNTIF($A$2:A212,A212)&gt;1,"Duplicate","Unique")</f>
        <v>Unique</v>
      </c>
    </row>
    <row r="213" spans="1:20" x14ac:dyDescent="0.45">
      <c r="A213" t="s">
        <v>1665</v>
      </c>
      <c r="B213" t="s">
        <v>2735</v>
      </c>
      <c r="C213" t="s">
        <v>55</v>
      </c>
      <c r="D213" t="s">
        <v>54</v>
      </c>
      <c r="E213" t="s">
        <v>229</v>
      </c>
      <c r="F213" t="s">
        <v>82</v>
      </c>
      <c r="G213" t="s">
        <v>230</v>
      </c>
      <c r="H213" t="s">
        <v>106</v>
      </c>
      <c r="I213" t="s">
        <v>107</v>
      </c>
      <c r="J213" t="s">
        <v>2736</v>
      </c>
      <c r="K213" t="s">
        <v>162</v>
      </c>
      <c r="M213" t="s">
        <v>163</v>
      </c>
      <c r="N213" t="s">
        <v>99</v>
      </c>
      <c r="O213" s="27">
        <v>980000</v>
      </c>
      <c r="P213">
        <v>5</v>
      </c>
      <c r="Q213" t="s">
        <v>172</v>
      </c>
      <c r="R213">
        <v>17</v>
      </c>
      <c r="S213" t="s">
        <v>173</v>
      </c>
      <c r="T213" t="str">
        <f>IF(COUNTIF($A$2:A213,A213)&gt;1,"Duplicate","Unique")</f>
        <v>Unique</v>
      </c>
    </row>
    <row r="214" spans="1:20" x14ac:dyDescent="0.45">
      <c r="A214" t="s">
        <v>334</v>
      </c>
      <c r="B214" t="s">
        <v>335</v>
      </c>
      <c r="C214" t="s">
        <v>55</v>
      </c>
      <c r="D214" t="s">
        <v>54</v>
      </c>
      <c r="E214" t="s">
        <v>229</v>
      </c>
      <c r="F214" t="s">
        <v>82</v>
      </c>
      <c r="G214" t="s">
        <v>230</v>
      </c>
      <c r="H214" t="s">
        <v>109</v>
      </c>
      <c r="I214" t="s">
        <v>110</v>
      </c>
      <c r="J214" t="s">
        <v>2737</v>
      </c>
      <c r="K214" t="s">
        <v>187</v>
      </c>
      <c r="L214" t="s">
        <v>2738</v>
      </c>
      <c r="M214" t="s">
        <v>282</v>
      </c>
      <c r="N214" t="s">
        <v>99</v>
      </c>
      <c r="O214" s="27">
        <v>1276000</v>
      </c>
      <c r="P214">
        <v>3</v>
      </c>
      <c r="Q214" t="s">
        <v>172</v>
      </c>
      <c r="R214">
        <v>24</v>
      </c>
      <c r="S214" t="s">
        <v>274</v>
      </c>
      <c r="T214" t="str">
        <f>IF(COUNTIF($A$2:A214,A214)&gt;1,"Duplicate","Unique")</f>
        <v>Unique</v>
      </c>
    </row>
    <row r="215" spans="1:20" x14ac:dyDescent="0.45">
      <c r="A215" t="s">
        <v>1728</v>
      </c>
      <c r="B215" t="s">
        <v>1729</v>
      </c>
      <c r="C215" t="s">
        <v>51</v>
      </c>
      <c r="D215" t="s">
        <v>50</v>
      </c>
      <c r="E215" t="s">
        <v>176</v>
      </c>
      <c r="F215" t="s">
        <v>82</v>
      </c>
      <c r="G215" t="s">
        <v>177</v>
      </c>
      <c r="H215" t="s">
        <v>109</v>
      </c>
      <c r="I215" t="s">
        <v>110</v>
      </c>
      <c r="J215" t="s">
        <v>2739</v>
      </c>
      <c r="K215" t="s">
        <v>162</v>
      </c>
      <c r="M215" t="s">
        <v>163</v>
      </c>
      <c r="N215" t="s">
        <v>99</v>
      </c>
      <c r="O215" s="27">
        <v>995000</v>
      </c>
      <c r="P215">
        <v>4</v>
      </c>
      <c r="Q215" t="s">
        <v>164</v>
      </c>
      <c r="R215">
        <v>43</v>
      </c>
      <c r="S215" t="s">
        <v>197</v>
      </c>
      <c r="T215" t="str">
        <f>IF(COUNTIF($A$2:A215,A215)&gt;1,"Duplicate","Unique")</f>
        <v>Unique</v>
      </c>
    </row>
    <row r="216" spans="1:20" x14ac:dyDescent="0.45">
      <c r="A216" t="s">
        <v>2269</v>
      </c>
      <c r="B216" t="s">
        <v>2740</v>
      </c>
      <c r="C216" t="s">
        <v>57</v>
      </c>
      <c r="D216" t="s">
        <v>56</v>
      </c>
      <c r="E216" t="s">
        <v>160</v>
      </c>
      <c r="F216" t="s">
        <v>81</v>
      </c>
      <c r="G216" t="s">
        <v>161</v>
      </c>
      <c r="H216" t="s">
        <v>106</v>
      </c>
      <c r="I216" t="s">
        <v>107</v>
      </c>
      <c r="J216" t="s">
        <v>2741</v>
      </c>
      <c r="K216" t="s">
        <v>162</v>
      </c>
      <c r="M216" t="s">
        <v>163</v>
      </c>
      <c r="N216" t="s">
        <v>97</v>
      </c>
      <c r="O216" s="27">
        <v>610000</v>
      </c>
      <c r="P216">
        <v>5</v>
      </c>
      <c r="Q216" t="s">
        <v>172</v>
      </c>
      <c r="R216">
        <v>50</v>
      </c>
      <c r="S216" t="s">
        <v>165</v>
      </c>
      <c r="T216" t="str">
        <f>IF(COUNTIF($A$2:A216,A216)&gt;1,"Duplicate","Unique")</f>
        <v>Unique</v>
      </c>
    </row>
    <row r="217" spans="1:20" x14ac:dyDescent="0.45">
      <c r="A217" t="s">
        <v>545</v>
      </c>
      <c r="B217" t="s">
        <v>546</v>
      </c>
      <c r="C217" t="s">
        <v>55</v>
      </c>
      <c r="D217" t="s">
        <v>54</v>
      </c>
      <c r="E217" t="s">
        <v>229</v>
      </c>
      <c r="F217" t="s">
        <v>82</v>
      </c>
      <c r="G217" t="s">
        <v>230</v>
      </c>
      <c r="H217" t="s">
        <v>106</v>
      </c>
      <c r="I217" t="s">
        <v>107</v>
      </c>
      <c r="J217" t="s">
        <v>2742</v>
      </c>
      <c r="K217" t="s">
        <v>187</v>
      </c>
      <c r="L217" t="s">
        <v>2743</v>
      </c>
      <c r="M217" t="s">
        <v>269</v>
      </c>
      <c r="N217" t="s">
        <v>98</v>
      </c>
      <c r="O217" s="27">
        <v>1252000</v>
      </c>
      <c r="P217">
        <v>4</v>
      </c>
      <c r="Q217" t="s">
        <v>172</v>
      </c>
      <c r="R217">
        <v>37</v>
      </c>
      <c r="S217" t="s">
        <v>173</v>
      </c>
      <c r="T217" t="str">
        <f>IF(COUNTIF($A$2:A217,A217)&gt;1,"Duplicate","Unique")</f>
        <v>Unique</v>
      </c>
    </row>
    <row r="218" spans="1:20" x14ac:dyDescent="0.45">
      <c r="A218" t="s">
        <v>1383</v>
      </c>
      <c r="B218" t="s">
        <v>1384</v>
      </c>
      <c r="C218" t="s">
        <v>59</v>
      </c>
      <c r="D218" t="s">
        <v>58</v>
      </c>
      <c r="E218" t="s">
        <v>206</v>
      </c>
      <c r="F218" t="s">
        <v>81</v>
      </c>
      <c r="G218" t="s">
        <v>207</v>
      </c>
      <c r="H218" t="s">
        <v>106</v>
      </c>
      <c r="I218" t="s">
        <v>107</v>
      </c>
      <c r="J218" t="s">
        <v>2744</v>
      </c>
      <c r="K218" t="s">
        <v>162</v>
      </c>
      <c r="M218" t="s">
        <v>163</v>
      </c>
      <c r="N218" t="s">
        <v>99</v>
      </c>
      <c r="O218" s="27">
        <v>673000</v>
      </c>
      <c r="P218">
        <v>2</v>
      </c>
      <c r="Q218" t="s">
        <v>164</v>
      </c>
      <c r="R218">
        <v>23</v>
      </c>
      <c r="S218" t="s">
        <v>214</v>
      </c>
      <c r="T218" t="str">
        <f>IF(COUNTIF($A$2:A218,A218)&gt;1,"Duplicate","Unique")</f>
        <v>Unique</v>
      </c>
    </row>
    <row r="219" spans="1:20" x14ac:dyDescent="0.45">
      <c r="A219" t="s">
        <v>1573</v>
      </c>
      <c r="B219" t="s">
        <v>1574</v>
      </c>
      <c r="C219" t="s">
        <v>51</v>
      </c>
      <c r="D219" t="s">
        <v>50</v>
      </c>
      <c r="E219" t="s">
        <v>181</v>
      </c>
      <c r="F219" t="s">
        <v>81</v>
      </c>
      <c r="G219" t="s">
        <v>182</v>
      </c>
      <c r="H219" t="s">
        <v>108</v>
      </c>
      <c r="I219" t="s">
        <v>107</v>
      </c>
      <c r="J219" t="s">
        <v>2745</v>
      </c>
      <c r="K219" t="s">
        <v>162</v>
      </c>
      <c r="M219" t="s">
        <v>163</v>
      </c>
      <c r="N219" t="s">
        <v>95</v>
      </c>
      <c r="O219" s="27">
        <v>690000</v>
      </c>
      <c r="P219">
        <v>5</v>
      </c>
      <c r="Q219" t="s">
        <v>172</v>
      </c>
      <c r="R219">
        <v>44</v>
      </c>
      <c r="S219" t="s">
        <v>219</v>
      </c>
      <c r="T219" t="str">
        <f>IF(COUNTIF($A$2:A219,A219)&gt;1,"Duplicate","Unique")</f>
        <v>Unique</v>
      </c>
    </row>
    <row r="220" spans="1:20" x14ac:dyDescent="0.45">
      <c r="A220" t="s">
        <v>2282</v>
      </c>
      <c r="B220" t="s">
        <v>1039</v>
      </c>
      <c r="C220" t="s">
        <v>53</v>
      </c>
      <c r="D220" t="s">
        <v>52</v>
      </c>
      <c r="E220" t="s">
        <v>280</v>
      </c>
      <c r="F220" t="s">
        <v>85</v>
      </c>
      <c r="G220" t="s">
        <v>281</v>
      </c>
      <c r="H220" t="s">
        <v>111</v>
      </c>
      <c r="I220" t="s">
        <v>110</v>
      </c>
      <c r="J220" t="s">
        <v>2746</v>
      </c>
      <c r="K220" t="s">
        <v>162</v>
      </c>
      <c r="M220" t="s">
        <v>163</v>
      </c>
      <c r="N220" t="s">
        <v>97</v>
      </c>
      <c r="O220" s="27">
        <v>3632000</v>
      </c>
      <c r="P220">
        <v>2</v>
      </c>
      <c r="Q220" t="s">
        <v>164</v>
      </c>
      <c r="R220">
        <v>16</v>
      </c>
      <c r="S220" t="s">
        <v>237</v>
      </c>
      <c r="T220" t="str">
        <f>IF(COUNTIF($A$2:A220,A220)&gt;1,"Duplicate","Unique")</f>
        <v>Unique</v>
      </c>
    </row>
    <row r="221" spans="1:20" x14ac:dyDescent="0.45">
      <c r="A221" t="s">
        <v>1104</v>
      </c>
      <c r="B221" t="s">
        <v>1094</v>
      </c>
      <c r="C221" t="s">
        <v>61</v>
      </c>
      <c r="D221" t="s">
        <v>60</v>
      </c>
      <c r="E221" t="s">
        <v>484</v>
      </c>
      <c r="F221" t="s">
        <v>83</v>
      </c>
      <c r="G221" t="s">
        <v>485</v>
      </c>
      <c r="H221" t="s">
        <v>109</v>
      </c>
      <c r="I221" t="s">
        <v>110</v>
      </c>
      <c r="J221" t="s">
        <v>2747</v>
      </c>
      <c r="K221" t="s">
        <v>170</v>
      </c>
      <c r="L221" t="s">
        <v>2748</v>
      </c>
      <c r="M221" t="s">
        <v>171</v>
      </c>
      <c r="N221" t="s">
        <v>98</v>
      </c>
      <c r="O221" s="27">
        <v>2051000</v>
      </c>
      <c r="P221">
        <v>2</v>
      </c>
      <c r="Q221" t="s">
        <v>172</v>
      </c>
      <c r="R221">
        <v>35</v>
      </c>
      <c r="S221" t="s">
        <v>319</v>
      </c>
      <c r="T221" t="str">
        <f>IF(COUNTIF($A$2:A221,A221)&gt;1,"Duplicate","Unique")</f>
        <v>Unique</v>
      </c>
    </row>
    <row r="222" spans="1:20" x14ac:dyDescent="0.45">
      <c r="A222" t="s">
        <v>1517</v>
      </c>
      <c r="B222" t="s">
        <v>1281</v>
      </c>
      <c r="C222" t="s">
        <v>51</v>
      </c>
      <c r="D222" t="s">
        <v>50</v>
      </c>
      <c r="E222" t="s">
        <v>176</v>
      </c>
      <c r="F222" t="s">
        <v>82</v>
      </c>
      <c r="G222" t="s">
        <v>177</v>
      </c>
      <c r="H222" t="s">
        <v>106</v>
      </c>
      <c r="I222" t="s">
        <v>107</v>
      </c>
      <c r="J222" t="s">
        <v>2749</v>
      </c>
      <c r="K222" t="s">
        <v>162</v>
      </c>
      <c r="M222" t="s">
        <v>163</v>
      </c>
      <c r="N222" t="s">
        <v>96</v>
      </c>
      <c r="O222" s="27">
        <v>987000</v>
      </c>
      <c r="P222">
        <v>4</v>
      </c>
      <c r="Q222" t="s">
        <v>164</v>
      </c>
      <c r="R222">
        <v>35</v>
      </c>
      <c r="S222" t="s">
        <v>197</v>
      </c>
      <c r="T222" t="str">
        <f>IF(COUNTIF($A$2:A222,A222)&gt;1,"Duplicate","Unique")</f>
        <v>Unique</v>
      </c>
    </row>
    <row r="223" spans="1:20" x14ac:dyDescent="0.45">
      <c r="A223" t="s">
        <v>1282</v>
      </c>
      <c r="B223" t="s">
        <v>988</v>
      </c>
      <c r="C223" t="s">
        <v>55</v>
      </c>
      <c r="D223" t="s">
        <v>2524</v>
      </c>
      <c r="E223" t="s">
        <v>240</v>
      </c>
      <c r="F223" t="s">
        <v>83</v>
      </c>
      <c r="G223" t="s">
        <v>241</v>
      </c>
      <c r="H223" t="s">
        <v>106</v>
      </c>
      <c r="I223" t="s">
        <v>107</v>
      </c>
      <c r="J223" t="s">
        <v>2750</v>
      </c>
      <c r="K223" t="s">
        <v>170</v>
      </c>
      <c r="L223" t="s">
        <v>2751</v>
      </c>
      <c r="M223" t="s">
        <v>171</v>
      </c>
      <c r="N223" t="s">
        <v>99</v>
      </c>
      <c r="O223" s="27">
        <v>2056000</v>
      </c>
      <c r="P223">
        <v>2</v>
      </c>
      <c r="Q223" t="s">
        <v>2467</v>
      </c>
      <c r="R223">
        <v>31</v>
      </c>
      <c r="S223" t="s">
        <v>262</v>
      </c>
      <c r="T223" t="str">
        <f>IF(COUNTIF($A$2:A223,A223)&gt;1,"Duplicate","Unique")</f>
        <v>Unique</v>
      </c>
    </row>
    <row r="224" spans="1:20" x14ac:dyDescent="0.45">
      <c r="A224" t="s">
        <v>1431</v>
      </c>
      <c r="B224" t="s">
        <v>1432</v>
      </c>
      <c r="C224" t="s">
        <v>51</v>
      </c>
      <c r="D224" t="s">
        <v>50</v>
      </c>
      <c r="E224" t="s">
        <v>181</v>
      </c>
      <c r="F224" t="s">
        <v>81</v>
      </c>
      <c r="G224" t="s">
        <v>182</v>
      </c>
      <c r="H224" t="s">
        <v>106</v>
      </c>
      <c r="I224" t="s">
        <v>107</v>
      </c>
      <c r="J224" t="s">
        <v>2752</v>
      </c>
      <c r="K224" t="s">
        <v>162</v>
      </c>
      <c r="M224" t="s">
        <v>163</v>
      </c>
      <c r="N224" t="s">
        <v>96</v>
      </c>
      <c r="O224" s="27">
        <v>781000</v>
      </c>
      <c r="P224">
        <v>5</v>
      </c>
      <c r="Q224" t="s">
        <v>2624</v>
      </c>
      <c r="R224">
        <v>14</v>
      </c>
      <c r="S224" t="s">
        <v>178</v>
      </c>
      <c r="T224" t="str">
        <f>IF(COUNTIF($A$2:A224,A224)&gt;1,"Duplicate","Unique")</f>
        <v>Unique</v>
      </c>
    </row>
    <row r="225" spans="1:20" x14ac:dyDescent="0.45">
      <c r="A225" t="s">
        <v>874</v>
      </c>
      <c r="B225" t="s">
        <v>875</v>
      </c>
      <c r="C225" t="s">
        <v>53</v>
      </c>
      <c r="D225" t="s">
        <v>52</v>
      </c>
      <c r="E225" t="s">
        <v>185</v>
      </c>
      <c r="F225" t="s">
        <v>82</v>
      </c>
      <c r="G225" t="s">
        <v>186</v>
      </c>
      <c r="H225" t="s">
        <v>106</v>
      </c>
      <c r="I225" t="s">
        <v>107</v>
      </c>
      <c r="J225" t="s">
        <v>2532</v>
      </c>
      <c r="K225" t="s">
        <v>162</v>
      </c>
      <c r="M225" t="s">
        <v>163</v>
      </c>
      <c r="N225" t="s">
        <v>95</v>
      </c>
      <c r="O225" s="27">
        <v>1294000</v>
      </c>
      <c r="P225">
        <v>3</v>
      </c>
      <c r="Q225" t="s">
        <v>172</v>
      </c>
      <c r="R225">
        <v>28</v>
      </c>
      <c r="S225" t="s">
        <v>189</v>
      </c>
      <c r="T225" t="str">
        <f>IF(COUNTIF($A$2:A225,A225)&gt;1,"Duplicate","Unique")</f>
        <v>Unique</v>
      </c>
    </row>
    <row r="226" spans="1:20" x14ac:dyDescent="0.45">
      <c r="A226" t="s">
        <v>1327</v>
      </c>
      <c r="B226" t="s">
        <v>1033</v>
      </c>
      <c r="C226" t="s">
        <v>55</v>
      </c>
      <c r="D226" t="s">
        <v>54</v>
      </c>
      <c r="E226" t="s">
        <v>277</v>
      </c>
      <c r="F226" t="s">
        <v>81</v>
      </c>
      <c r="G226" t="s">
        <v>278</v>
      </c>
      <c r="H226" t="s">
        <v>106</v>
      </c>
      <c r="I226" t="s">
        <v>107</v>
      </c>
      <c r="J226" t="s">
        <v>2753</v>
      </c>
      <c r="K226" t="s">
        <v>170</v>
      </c>
      <c r="L226" t="s">
        <v>2754</v>
      </c>
      <c r="M226" t="s">
        <v>171</v>
      </c>
      <c r="N226" t="s">
        <v>98</v>
      </c>
      <c r="O226" s="27">
        <v>572000</v>
      </c>
      <c r="P226">
        <v>2</v>
      </c>
      <c r="Q226" t="s">
        <v>172</v>
      </c>
      <c r="R226">
        <v>15</v>
      </c>
      <c r="S226" t="s">
        <v>262</v>
      </c>
      <c r="T226" t="str">
        <f>IF(COUNTIF($A$2:A226,A226)&gt;1,"Duplicate","Unique")</f>
        <v>Unique</v>
      </c>
    </row>
    <row r="227" spans="1:20" x14ac:dyDescent="0.45">
      <c r="A227" t="s">
        <v>1689</v>
      </c>
      <c r="B227" t="s">
        <v>1141</v>
      </c>
      <c r="C227" t="s">
        <v>51</v>
      </c>
      <c r="D227" t="s">
        <v>50</v>
      </c>
      <c r="E227" t="s">
        <v>181</v>
      </c>
      <c r="F227" t="s">
        <v>81</v>
      </c>
      <c r="G227" t="s">
        <v>182</v>
      </c>
      <c r="H227" t="s">
        <v>109</v>
      </c>
      <c r="I227" t="s">
        <v>110</v>
      </c>
      <c r="J227" t="s">
        <v>2755</v>
      </c>
      <c r="K227" t="s">
        <v>162</v>
      </c>
      <c r="M227" t="s">
        <v>163</v>
      </c>
      <c r="N227" t="s">
        <v>97</v>
      </c>
      <c r="O227" s="27">
        <v>766000</v>
      </c>
      <c r="P227">
        <v>5</v>
      </c>
      <c r="Q227" t="s">
        <v>172</v>
      </c>
      <c r="R227">
        <v>31</v>
      </c>
      <c r="S227" t="s">
        <v>197</v>
      </c>
      <c r="T227" t="str">
        <f>IF(COUNTIF($A$2:A227,A227)&gt;1,"Duplicate","Unique")</f>
        <v>Unique</v>
      </c>
    </row>
    <row r="228" spans="1:20" x14ac:dyDescent="0.45">
      <c r="A228" t="s">
        <v>1570</v>
      </c>
      <c r="B228" t="s">
        <v>1571</v>
      </c>
      <c r="C228" t="s">
        <v>61</v>
      </c>
      <c r="D228" t="s">
        <v>60</v>
      </c>
      <c r="E228" t="s">
        <v>251</v>
      </c>
      <c r="F228" t="s">
        <v>82</v>
      </c>
      <c r="G228" t="s">
        <v>252</v>
      </c>
      <c r="H228" t="s">
        <v>106</v>
      </c>
      <c r="I228" t="s">
        <v>107</v>
      </c>
      <c r="J228" t="s">
        <v>2756</v>
      </c>
      <c r="K228" t="s">
        <v>162</v>
      </c>
      <c r="M228" t="s">
        <v>163</v>
      </c>
      <c r="N228" t="s">
        <v>95</v>
      </c>
      <c r="O228" s="27">
        <v>1010000</v>
      </c>
      <c r="P228">
        <v>3</v>
      </c>
      <c r="Q228" t="s">
        <v>164</v>
      </c>
      <c r="R228">
        <v>19</v>
      </c>
      <c r="S228" t="s">
        <v>319</v>
      </c>
      <c r="T228" t="str">
        <f>IF(COUNTIF($A$2:A228,A228)&gt;1,"Duplicate","Unique")</f>
        <v>Unique</v>
      </c>
    </row>
    <row r="229" spans="1:20" x14ac:dyDescent="0.45">
      <c r="A229" t="s">
        <v>1828</v>
      </c>
      <c r="B229" t="s">
        <v>668</v>
      </c>
      <c r="C229" t="s">
        <v>53</v>
      </c>
      <c r="D229" t="s">
        <v>52</v>
      </c>
      <c r="E229" t="s">
        <v>185</v>
      </c>
      <c r="F229" t="s">
        <v>82</v>
      </c>
      <c r="G229" t="s">
        <v>186</v>
      </c>
      <c r="H229" t="s">
        <v>109</v>
      </c>
      <c r="I229" t="s">
        <v>110</v>
      </c>
      <c r="J229" t="s">
        <v>2757</v>
      </c>
      <c r="K229" t="s">
        <v>162</v>
      </c>
      <c r="M229" t="s">
        <v>163</v>
      </c>
      <c r="N229" t="s">
        <v>98</v>
      </c>
      <c r="O229" s="27">
        <v>1323000</v>
      </c>
      <c r="P229">
        <v>1</v>
      </c>
      <c r="Q229" t="s">
        <v>172</v>
      </c>
      <c r="R229">
        <v>19</v>
      </c>
      <c r="S229" t="s">
        <v>194</v>
      </c>
      <c r="T229" t="str">
        <f>IF(COUNTIF($A$2:A229,A229)&gt;1,"Duplicate","Unique")</f>
        <v>Unique</v>
      </c>
    </row>
    <row r="230" spans="1:20" x14ac:dyDescent="0.45">
      <c r="A230" t="s">
        <v>1904</v>
      </c>
      <c r="B230" t="s">
        <v>1311</v>
      </c>
      <c r="C230" t="s">
        <v>53</v>
      </c>
      <c r="D230" t="s">
        <v>52</v>
      </c>
      <c r="E230" t="s">
        <v>185</v>
      </c>
      <c r="F230" t="s">
        <v>82</v>
      </c>
      <c r="G230" t="s">
        <v>186</v>
      </c>
      <c r="H230" t="s">
        <v>106</v>
      </c>
      <c r="I230" t="s">
        <v>107</v>
      </c>
      <c r="J230" t="s">
        <v>2758</v>
      </c>
      <c r="K230" t="s">
        <v>170</v>
      </c>
      <c r="L230" t="s">
        <v>2522</v>
      </c>
      <c r="M230" t="s">
        <v>171</v>
      </c>
      <c r="N230" t="s">
        <v>99</v>
      </c>
      <c r="O230" s="27">
        <v>945000</v>
      </c>
      <c r="P230">
        <v>2</v>
      </c>
      <c r="Q230" t="s">
        <v>164</v>
      </c>
      <c r="R230">
        <v>4</v>
      </c>
      <c r="S230" t="s">
        <v>194</v>
      </c>
      <c r="T230" t="str">
        <f>IF(COUNTIF($A$2:A230,A230)&gt;1,"Duplicate","Unique")</f>
        <v>Unique</v>
      </c>
    </row>
    <row r="231" spans="1:20" x14ac:dyDescent="0.45">
      <c r="A231" t="s">
        <v>952</v>
      </c>
      <c r="B231" t="s">
        <v>953</v>
      </c>
      <c r="C231" t="s">
        <v>51</v>
      </c>
      <c r="D231" t="s">
        <v>50</v>
      </c>
      <c r="E231" t="s">
        <v>328</v>
      </c>
      <c r="F231" t="s">
        <v>85</v>
      </c>
      <c r="G231" t="s">
        <v>329</v>
      </c>
      <c r="H231" t="s">
        <v>109</v>
      </c>
      <c r="I231" t="s">
        <v>110</v>
      </c>
      <c r="J231" t="s">
        <v>2759</v>
      </c>
      <c r="K231" t="s">
        <v>162</v>
      </c>
      <c r="M231" t="s">
        <v>163</v>
      </c>
      <c r="N231" t="s">
        <v>96</v>
      </c>
      <c r="O231" s="27">
        <v>4310000</v>
      </c>
      <c r="P231">
        <v>2</v>
      </c>
      <c r="Q231" t="s">
        <v>164</v>
      </c>
      <c r="R231">
        <v>24</v>
      </c>
      <c r="S231" t="s">
        <v>244</v>
      </c>
      <c r="T231" t="str">
        <f>IF(COUNTIF($A$2:A231,A231)&gt;1,"Duplicate","Unique")</f>
        <v>Unique</v>
      </c>
    </row>
    <row r="232" spans="1:20" x14ac:dyDescent="0.45">
      <c r="A232" t="s">
        <v>950</v>
      </c>
      <c r="B232" t="s">
        <v>875</v>
      </c>
      <c r="C232" t="s">
        <v>55</v>
      </c>
      <c r="D232" t="s">
        <v>54</v>
      </c>
      <c r="E232" t="s">
        <v>229</v>
      </c>
      <c r="F232" t="s">
        <v>82</v>
      </c>
      <c r="G232" t="s">
        <v>230</v>
      </c>
      <c r="H232" t="s">
        <v>109</v>
      </c>
      <c r="I232" t="s">
        <v>110</v>
      </c>
      <c r="J232" t="s">
        <v>2760</v>
      </c>
      <c r="K232" t="s">
        <v>162</v>
      </c>
      <c r="M232" t="s">
        <v>163</v>
      </c>
      <c r="N232" t="s">
        <v>97</v>
      </c>
      <c r="O232" s="27">
        <v>1149000</v>
      </c>
      <c r="P232">
        <v>2</v>
      </c>
      <c r="Q232" t="s">
        <v>172</v>
      </c>
      <c r="R232">
        <v>36</v>
      </c>
      <c r="S232" t="s">
        <v>173</v>
      </c>
      <c r="T232" t="str">
        <f>IF(COUNTIF($A$2:A232,A232)&gt;1,"Duplicate","Unique")</f>
        <v>Unique</v>
      </c>
    </row>
    <row r="233" spans="1:20" x14ac:dyDescent="0.45">
      <c r="A233" t="s">
        <v>1793</v>
      </c>
      <c r="B233" t="s">
        <v>1794</v>
      </c>
      <c r="C233" t="s">
        <v>53</v>
      </c>
      <c r="D233" t="s">
        <v>52</v>
      </c>
      <c r="E233" t="s">
        <v>322</v>
      </c>
      <c r="F233" t="s">
        <v>81</v>
      </c>
      <c r="G233" t="s">
        <v>323</v>
      </c>
      <c r="H233" t="s">
        <v>106</v>
      </c>
      <c r="I233" t="s">
        <v>107</v>
      </c>
      <c r="J233" t="s">
        <v>2761</v>
      </c>
      <c r="K233" t="s">
        <v>187</v>
      </c>
      <c r="L233" t="s">
        <v>2459</v>
      </c>
      <c r="M233" t="s">
        <v>188</v>
      </c>
      <c r="N233" t="s">
        <v>99</v>
      </c>
      <c r="O233" s="27">
        <v>590000</v>
      </c>
      <c r="P233">
        <v>4</v>
      </c>
      <c r="Q233" t="s">
        <v>172</v>
      </c>
      <c r="R233">
        <v>25</v>
      </c>
      <c r="S233" t="s">
        <v>237</v>
      </c>
      <c r="T233" t="str">
        <f>IF(COUNTIF($A$2:A233,A233)&gt;1,"Duplicate","Unique")</f>
        <v>Unique</v>
      </c>
    </row>
    <row r="234" spans="1:20" x14ac:dyDescent="0.45">
      <c r="A234" t="s">
        <v>639</v>
      </c>
      <c r="B234" t="s">
        <v>640</v>
      </c>
      <c r="C234" t="s">
        <v>59</v>
      </c>
      <c r="D234" t="s">
        <v>58</v>
      </c>
      <c r="E234" t="s">
        <v>206</v>
      </c>
      <c r="F234" t="s">
        <v>81</v>
      </c>
      <c r="G234" t="s">
        <v>207</v>
      </c>
      <c r="H234" t="s">
        <v>109</v>
      </c>
      <c r="I234" t="s">
        <v>110</v>
      </c>
      <c r="J234" t="s">
        <v>2762</v>
      </c>
      <c r="K234" t="s">
        <v>162</v>
      </c>
      <c r="M234" t="s">
        <v>163</v>
      </c>
      <c r="N234" t="s">
        <v>99</v>
      </c>
      <c r="O234" s="27">
        <v>659000</v>
      </c>
      <c r="P234">
        <v>4</v>
      </c>
      <c r="Q234" t="s">
        <v>164</v>
      </c>
      <c r="R234">
        <v>61</v>
      </c>
      <c r="S234" t="s">
        <v>214</v>
      </c>
      <c r="T234" t="str">
        <f>IF(COUNTIF($A$2:A234,A234)&gt;1,"Duplicate","Unique")</f>
        <v>Unique</v>
      </c>
    </row>
    <row r="235" spans="1:20" x14ac:dyDescent="0.45">
      <c r="A235" t="s">
        <v>360</v>
      </c>
      <c r="B235" t="s">
        <v>361</v>
      </c>
      <c r="C235" t="s">
        <v>55</v>
      </c>
      <c r="D235" t="s">
        <v>54</v>
      </c>
      <c r="E235" t="s">
        <v>240</v>
      </c>
      <c r="F235" t="s">
        <v>83</v>
      </c>
      <c r="G235" t="s">
        <v>241</v>
      </c>
      <c r="H235" t="s">
        <v>108</v>
      </c>
      <c r="I235" t="s">
        <v>107</v>
      </c>
      <c r="J235" t="s">
        <v>2763</v>
      </c>
      <c r="K235" t="s">
        <v>162</v>
      </c>
      <c r="M235" t="s">
        <v>163</v>
      </c>
      <c r="N235" t="s">
        <v>95</v>
      </c>
      <c r="O235" s="27">
        <v>1817000</v>
      </c>
      <c r="P235">
        <v>3</v>
      </c>
      <c r="Q235" t="s">
        <v>164</v>
      </c>
      <c r="R235">
        <v>28</v>
      </c>
      <c r="S235" t="s">
        <v>173</v>
      </c>
      <c r="T235" t="str">
        <f>IF(COUNTIF($A$2:A235,A235)&gt;1,"Duplicate","Unique")</f>
        <v>Unique</v>
      </c>
    </row>
    <row r="236" spans="1:20" x14ac:dyDescent="0.45">
      <c r="A236" t="s">
        <v>301</v>
      </c>
      <c r="B236" t="s">
        <v>276</v>
      </c>
      <c r="C236" t="s">
        <v>51</v>
      </c>
      <c r="D236" t="s">
        <v>50</v>
      </c>
      <c r="E236" t="s">
        <v>176</v>
      </c>
      <c r="F236" t="s">
        <v>82</v>
      </c>
      <c r="G236" t="s">
        <v>177</v>
      </c>
      <c r="H236" t="s">
        <v>108</v>
      </c>
      <c r="I236" t="s">
        <v>107</v>
      </c>
      <c r="J236" t="s">
        <v>2764</v>
      </c>
      <c r="K236" t="s">
        <v>170</v>
      </c>
      <c r="L236" t="s">
        <v>2765</v>
      </c>
      <c r="M236" t="s">
        <v>171</v>
      </c>
      <c r="N236" t="s">
        <v>98</v>
      </c>
      <c r="O236" s="27">
        <v>1129000</v>
      </c>
      <c r="P236">
        <v>2</v>
      </c>
      <c r="Q236" t="s">
        <v>164</v>
      </c>
      <c r="R236">
        <v>17</v>
      </c>
      <c r="S236" t="s">
        <v>244</v>
      </c>
      <c r="T236" t="str">
        <f>IF(COUNTIF($A$2:A236,A236)&gt;1,"Duplicate","Unique")</f>
        <v>Unique</v>
      </c>
    </row>
    <row r="237" spans="1:20" x14ac:dyDescent="0.45">
      <c r="A237" t="s">
        <v>951</v>
      </c>
      <c r="B237" t="s">
        <v>621</v>
      </c>
      <c r="C237" t="s">
        <v>51</v>
      </c>
      <c r="D237" t="s">
        <v>50</v>
      </c>
      <c r="E237" t="s">
        <v>397</v>
      </c>
      <c r="F237" t="s">
        <v>84</v>
      </c>
      <c r="G237" t="s">
        <v>398</v>
      </c>
      <c r="H237" t="s">
        <v>109</v>
      </c>
      <c r="I237" t="s">
        <v>110</v>
      </c>
      <c r="J237" t="s">
        <v>2760</v>
      </c>
      <c r="K237" t="s">
        <v>162</v>
      </c>
      <c r="M237" t="s">
        <v>163</v>
      </c>
      <c r="N237" t="s">
        <v>99</v>
      </c>
      <c r="O237" s="27">
        <v>2533000</v>
      </c>
      <c r="P237">
        <v>3</v>
      </c>
      <c r="Q237" t="s">
        <v>172</v>
      </c>
      <c r="R237">
        <v>38</v>
      </c>
      <c r="S237" t="s">
        <v>178</v>
      </c>
      <c r="T237" t="str">
        <f>IF(COUNTIF($A$2:A237,A237)&gt;1,"Duplicate","Unique")</f>
        <v>Unique</v>
      </c>
    </row>
    <row r="238" spans="1:20" x14ac:dyDescent="0.45">
      <c r="A238" t="s">
        <v>498</v>
      </c>
      <c r="B238" t="s">
        <v>499</v>
      </c>
      <c r="C238" t="s">
        <v>59</v>
      </c>
      <c r="D238" t="s">
        <v>58</v>
      </c>
      <c r="E238" t="s">
        <v>211</v>
      </c>
      <c r="F238" t="s">
        <v>82</v>
      </c>
      <c r="G238" t="s">
        <v>212</v>
      </c>
      <c r="H238" t="s">
        <v>106</v>
      </c>
      <c r="I238" t="s">
        <v>107</v>
      </c>
      <c r="J238" t="s">
        <v>2766</v>
      </c>
      <c r="K238" t="s">
        <v>162</v>
      </c>
      <c r="M238" t="s">
        <v>163</v>
      </c>
      <c r="N238" t="s">
        <v>97</v>
      </c>
      <c r="O238" s="27">
        <v>1046000</v>
      </c>
      <c r="P238">
        <v>4</v>
      </c>
      <c r="Q238" t="s">
        <v>172</v>
      </c>
      <c r="R238">
        <v>26</v>
      </c>
      <c r="S238" t="s">
        <v>208</v>
      </c>
      <c r="T238" t="str">
        <f>IF(COUNTIF($A$2:A238,A238)&gt;1,"Duplicate","Unique")</f>
        <v>Unique</v>
      </c>
    </row>
    <row r="239" spans="1:20" x14ac:dyDescent="0.45">
      <c r="A239" t="s">
        <v>2010</v>
      </c>
      <c r="B239" t="s">
        <v>528</v>
      </c>
      <c r="C239" t="s">
        <v>51</v>
      </c>
      <c r="D239" t="s">
        <v>50</v>
      </c>
      <c r="E239" t="s">
        <v>181</v>
      </c>
      <c r="F239" t="s">
        <v>81</v>
      </c>
      <c r="G239" t="s">
        <v>182</v>
      </c>
      <c r="H239" t="s">
        <v>112</v>
      </c>
      <c r="I239" t="s">
        <v>113</v>
      </c>
      <c r="J239" t="s">
        <v>2767</v>
      </c>
      <c r="K239" t="s">
        <v>162</v>
      </c>
      <c r="M239" t="s">
        <v>163</v>
      </c>
      <c r="N239" t="s">
        <v>99</v>
      </c>
      <c r="O239" s="27">
        <v>697000</v>
      </c>
      <c r="P239">
        <v>3</v>
      </c>
      <c r="Q239" t="s">
        <v>164</v>
      </c>
      <c r="R239">
        <v>46</v>
      </c>
      <c r="S239" t="s">
        <v>197</v>
      </c>
      <c r="T239" t="str">
        <f>IF(COUNTIF($A$2:A239,A239)&gt;1,"Duplicate","Unique")</f>
        <v>Unique</v>
      </c>
    </row>
    <row r="240" spans="1:20" x14ac:dyDescent="0.45">
      <c r="A240" t="s">
        <v>1911</v>
      </c>
      <c r="B240" t="s">
        <v>1912</v>
      </c>
      <c r="C240" t="s">
        <v>53</v>
      </c>
      <c r="D240" t="s">
        <v>52</v>
      </c>
      <c r="E240" t="s">
        <v>322</v>
      </c>
      <c r="F240" t="s">
        <v>81</v>
      </c>
      <c r="G240" t="s">
        <v>323</v>
      </c>
      <c r="H240" t="s">
        <v>106</v>
      </c>
      <c r="I240" t="s">
        <v>107</v>
      </c>
      <c r="J240" t="s">
        <v>2768</v>
      </c>
      <c r="K240" t="s">
        <v>162</v>
      </c>
      <c r="M240" t="s">
        <v>163</v>
      </c>
      <c r="N240" t="s">
        <v>95</v>
      </c>
      <c r="O240" s="27">
        <v>675000</v>
      </c>
      <c r="P240">
        <v>3</v>
      </c>
      <c r="Q240" t="s">
        <v>172</v>
      </c>
      <c r="R240">
        <v>28</v>
      </c>
      <c r="S240" t="s">
        <v>189</v>
      </c>
      <c r="T240" t="str">
        <f>IF(COUNTIF($A$2:A240,A240)&gt;1,"Duplicate","Unique")</f>
        <v>Unique</v>
      </c>
    </row>
    <row r="241" spans="1:20" x14ac:dyDescent="0.45">
      <c r="A241" t="s">
        <v>1546</v>
      </c>
      <c r="B241" t="s">
        <v>1445</v>
      </c>
      <c r="C241" t="s">
        <v>57</v>
      </c>
      <c r="D241" t="s">
        <v>56</v>
      </c>
      <c r="E241" t="s">
        <v>391</v>
      </c>
      <c r="F241" t="s">
        <v>83</v>
      </c>
      <c r="G241" t="s">
        <v>392</v>
      </c>
      <c r="H241" t="s">
        <v>106</v>
      </c>
      <c r="I241" t="s">
        <v>107</v>
      </c>
      <c r="J241" t="s">
        <v>2769</v>
      </c>
      <c r="K241" t="s">
        <v>162</v>
      </c>
      <c r="M241" t="s">
        <v>163</v>
      </c>
      <c r="N241" t="s">
        <v>96</v>
      </c>
      <c r="O241" s="27">
        <v>1932000</v>
      </c>
      <c r="P241">
        <v>3</v>
      </c>
      <c r="Q241" t="s">
        <v>164</v>
      </c>
      <c r="S241" t="s">
        <v>165</v>
      </c>
      <c r="T241" t="str">
        <f>IF(COUNTIF($A$2:A241,A241)&gt;1,"Duplicate","Unique")</f>
        <v>Unique</v>
      </c>
    </row>
    <row r="242" spans="1:20" x14ac:dyDescent="0.45">
      <c r="A242" t="s">
        <v>1056</v>
      </c>
      <c r="B242" t="s">
        <v>2770</v>
      </c>
      <c r="C242" t="s">
        <v>59</v>
      </c>
      <c r="D242" t="s">
        <v>58</v>
      </c>
      <c r="E242" t="s">
        <v>287</v>
      </c>
      <c r="F242" t="s">
        <v>83</v>
      </c>
      <c r="G242" t="s">
        <v>288</v>
      </c>
      <c r="H242" t="s">
        <v>109</v>
      </c>
      <c r="I242" t="s">
        <v>110</v>
      </c>
      <c r="J242" t="s">
        <v>2771</v>
      </c>
      <c r="K242" t="s">
        <v>162</v>
      </c>
      <c r="M242" t="s">
        <v>163</v>
      </c>
      <c r="N242" t="s">
        <v>97</v>
      </c>
      <c r="O242" s="27">
        <v>1815000</v>
      </c>
      <c r="P242">
        <v>5</v>
      </c>
      <c r="Q242" t="s">
        <v>164</v>
      </c>
      <c r="S242" t="s">
        <v>214</v>
      </c>
      <c r="T242" t="str">
        <f>IF(COUNTIF($A$2:A242,A242)&gt;1,"Duplicate","Unique")</f>
        <v>Unique</v>
      </c>
    </row>
    <row r="243" spans="1:20" x14ac:dyDescent="0.45">
      <c r="A243" t="s">
        <v>881</v>
      </c>
      <c r="B243" t="s">
        <v>882</v>
      </c>
      <c r="C243" t="s">
        <v>53</v>
      </c>
      <c r="D243" t="s">
        <v>52</v>
      </c>
      <c r="E243" t="s">
        <v>185</v>
      </c>
      <c r="F243" t="s">
        <v>82</v>
      </c>
      <c r="G243" t="s">
        <v>186</v>
      </c>
      <c r="H243" t="s">
        <v>108</v>
      </c>
      <c r="I243" t="s">
        <v>107</v>
      </c>
      <c r="J243" t="s">
        <v>2772</v>
      </c>
      <c r="K243" t="s">
        <v>170</v>
      </c>
      <c r="L243" t="s">
        <v>2773</v>
      </c>
      <c r="M243" t="s">
        <v>171</v>
      </c>
      <c r="N243" t="s">
        <v>96</v>
      </c>
      <c r="O243" s="27">
        <v>859000</v>
      </c>
      <c r="P243">
        <v>2</v>
      </c>
      <c r="Q243" t="s">
        <v>172</v>
      </c>
      <c r="R243">
        <v>6</v>
      </c>
      <c r="S243" t="s">
        <v>194</v>
      </c>
      <c r="T243" t="str">
        <f>IF(COUNTIF($A$2:A243,A243)&gt;1,"Duplicate","Unique")</f>
        <v>Unique</v>
      </c>
    </row>
    <row r="244" spans="1:20" x14ac:dyDescent="0.45">
      <c r="A244" t="s">
        <v>2350</v>
      </c>
      <c r="B244" t="s">
        <v>490</v>
      </c>
      <c r="C244" t="s">
        <v>57</v>
      </c>
      <c r="D244" t="s">
        <v>2484</v>
      </c>
      <c r="E244" t="s">
        <v>222</v>
      </c>
      <c r="F244" t="s">
        <v>82</v>
      </c>
      <c r="G244" t="s">
        <v>223</v>
      </c>
      <c r="H244" t="s">
        <v>106</v>
      </c>
      <c r="I244" t="s">
        <v>107</v>
      </c>
      <c r="J244" t="s">
        <v>2774</v>
      </c>
      <c r="K244" t="s">
        <v>162</v>
      </c>
      <c r="M244" t="s">
        <v>163</v>
      </c>
      <c r="N244" t="s">
        <v>98</v>
      </c>
      <c r="O244" s="27">
        <v>1109000</v>
      </c>
      <c r="Q244" t="s">
        <v>164</v>
      </c>
      <c r="R244">
        <v>33</v>
      </c>
      <c r="S244" t="s">
        <v>165</v>
      </c>
      <c r="T244" t="str">
        <f>IF(COUNTIF($A$2:A244,A244)&gt;1,"Duplicate","Unique")</f>
        <v>Unique</v>
      </c>
    </row>
    <row r="245" spans="1:20" x14ac:dyDescent="0.45">
      <c r="A245" t="s">
        <v>1896</v>
      </c>
      <c r="B245" t="s">
        <v>1897</v>
      </c>
      <c r="C245" t="s">
        <v>59</v>
      </c>
      <c r="D245" t="s">
        <v>58</v>
      </c>
      <c r="E245" t="s">
        <v>211</v>
      </c>
      <c r="F245" t="s">
        <v>82</v>
      </c>
      <c r="G245" t="s">
        <v>212</v>
      </c>
      <c r="H245" t="s">
        <v>109</v>
      </c>
      <c r="I245" t="s">
        <v>110</v>
      </c>
      <c r="J245" t="s">
        <v>2775</v>
      </c>
      <c r="K245" t="s">
        <v>162</v>
      </c>
      <c r="M245" t="s">
        <v>163</v>
      </c>
      <c r="N245" t="s">
        <v>98</v>
      </c>
      <c r="O245" s="27">
        <v>1117000</v>
      </c>
      <c r="P245">
        <v>3</v>
      </c>
      <c r="Q245" t="s">
        <v>164</v>
      </c>
      <c r="R245">
        <v>39</v>
      </c>
      <c r="S245" t="s">
        <v>214</v>
      </c>
      <c r="T245" t="str">
        <f>IF(COUNTIF($A$2:A245,A245)&gt;1,"Duplicate","Unique")</f>
        <v>Unique</v>
      </c>
    </row>
    <row r="246" spans="1:20" x14ac:dyDescent="0.45">
      <c r="A246" t="s">
        <v>256</v>
      </c>
      <c r="B246" t="s">
        <v>257</v>
      </c>
      <c r="C246" t="s">
        <v>51</v>
      </c>
      <c r="D246" t="s">
        <v>50</v>
      </c>
      <c r="E246" t="s">
        <v>176</v>
      </c>
      <c r="F246" t="s">
        <v>82</v>
      </c>
      <c r="G246" t="s">
        <v>177</v>
      </c>
      <c r="H246" t="s">
        <v>112</v>
      </c>
      <c r="I246" t="s">
        <v>113</v>
      </c>
      <c r="J246" t="s">
        <v>2776</v>
      </c>
      <c r="K246" t="s">
        <v>162</v>
      </c>
      <c r="M246" t="s">
        <v>163</v>
      </c>
      <c r="N246" t="s">
        <v>96</v>
      </c>
      <c r="O246" s="27">
        <v>999000</v>
      </c>
      <c r="P246">
        <v>2</v>
      </c>
      <c r="Q246" t="s">
        <v>172</v>
      </c>
      <c r="R246">
        <v>26</v>
      </c>
      <c r="S246" t="s">
        <v>244</v>
      </c>
      <c r="T246" t="str">
        <f>IF(COUNTIF($A$2:A246,A246)&gt;1,"Duplicate","Unique")</f>
        <v>Unique</v>
      </c>
    </row>
    <row r="247" spans="1:20" x14ac:dyDescent="0.45">
      <c r="A247" t="s">
        <v>2088</v>
      </c>
      <c r="B247" t="s">
        <v>453</v>
      </c>
      <c r="C247" t="s">
        <v>61</v>
      </c>
      <c r="D247" t="s">
        <v>60</v>
      </c>
      <c r="E247" t="s">
        <v>356</v>
      </c>
      <c r="F247" t="s">
        <v>81</v>
      </c>
      <c r="G247" t="s">
        <v>357</v>
      </c>
      <c r="H247" t="s">
        <v>108</v>
      </c>
      <c r="I247" t="s">
        <v>107</v>
      </c>
      <c r="J247" t="s">
        <v>2777</v>
      </c>
      <c r="K247" t="s">
        <v>162</v>
      </c>
      <c r="M247" t="s">
        <v>163</v>
      </c>
      <c r="N247" t="s">
        <v>96</v>
      </c>
      <c r="O247" s="27">
        <v>694000</v>
      </c>
      <c r="P247">
        <v>3</v>
      </c>
      <c r="Q247" t="s">
        <v>164</v>
      </c>
      <c r="R247">
        <v>28</v>
      </c>
      <c r="S247" t="s">
        <v>319</v>
      </c>
      <c r="T247" t="str">
        <f>IF(COUNTIF($A$2:A247,A247)&gt;1,"Duplicate","Unique")</f>
        <v>Unique</v>
      </c>
    </row>
    <row r="248" spans="1:20" x14ac:dyDescent="0.45">
      <c r="A248" t="s">
        <v>2037</v>
      </c>
      <c r="B248" t="s">
        <v>2778</v>
      </c>
      <c r="C248" t="s">
        <v>55</v>
      </c>
      <c r="D248" t="s">
        <v>54</v>
      </c>
      <c r="E248" t="s">
        <v>229</v>
      </c>
      <c r="F248" t="s">
        <v>82</v>
      </c>
      <c r="G248" t="s">
        <v>230</v>
      </c>
      <c r="H248" t="s">
        <v>106</v>
      </c>
      <c r="I248" t="s">
        <v>107</v>
      </c>
      <c r="J248" t="s">
        <v>2731</v>
      </c>
      <c r="K248" t="s">
        <v>162</v>
      </c>
      <c r="M248" t="s">
        <v>163</v>
      </c>
      <c r="N248" t="s">
        <v>95</v>
      </c>
      <c r="O248" s="27">
        <v>1298000</v>
      </c>
      <c r="P248">
        <v>4</v>
      </c>
      <c r="Q248" t="s">
        <v>164</v>
      </c>
      <c r="R248">
        <v>51</v>
      </c>
      <c r="S248" t="s">
        <v>262</v>
      </c>
      <c r="T248" t="str">
        <f>IF(COUNTIF($A$2:A248,A248)&gt;1,"Duplicate","Unique")</f>
        <v>Unique</v>
      </c>
    </row>
    <row r="249" spans="1:20" x14ac:dyDescent="0.45">
      <c r="A249" t="s">
        <v>1779</v>
      </c>
      <c r="B249" t="s">
        <v>599</v>
      </c>
      <c r="C249" t="s">
        <v>51</v>
      </c>
      <c r="D249" t="s">
        <v>50</v>
      </c>
      <c r="E249" t="s">
        <v>176</v>
      </c>
      <c r="F249" t="s">
        <v>82</v>
      </c>
      <c r="G249" t="s">
        <v>177</v>
      </c>
      <c r="H249" t="s">
        <v>106</v>
      </c>
      <c r="I249" t="s">
        <v>107</v>
      </c>
      <c r="J249" t="s">
        <v>2779</v>
      </c>
      <c r="K249" t="s">
        <v>162</v>
      </c>
      <c r="M249" t="s">
        <v>163</v>
      </c>
      <c r="N249" t="s">
        <v>99</v>
      </c>
      <c r="O249" s="27">
        <v>890000</v>
      </c>
      <c r="P249">
        <v>5</v>
      </c>
      <c r="Q249" t="s">
        <v>164</v>
      </c>
      <c r="S249" t="s">
        <v>197</v>
      </c>
      <c r="T249" t="str">
        <f>IF(COUNTIF($A$2:A249,A249)&gt;1,"Duplicate","Unique")</f>
        <v>Unique</v>
      </c>
    </row>
    <row r="250" spans="1:20" x14ac:dyDescent="0.45">
      <c r="A250" t="s">
        <v>1525</v>
      </c>
      <c r="B250" t="s">
        <v>2780</v>
      </c>
      <c r="C250" t="s">
        <v>51</v>
      </c>
      <c r="D250" t="s">
        <v>2643</v>
      </c>
      <c r="E250" t="s">
        <v>176</v>
      </c>
      <c r="F250" t="s">
        <v>82</v>
      </c>
      <c r="G250" t="s">
        <v>177</v>
      </c>
      <c r="H250" t="s">
        <v>109</v>
      </c>
      <c r="I250" t="s">
        <v>110</v>
      </c>
      <c r="J250" t="s">
        <v>2781</v>
      </c>
      <c r="K250" t="s">
        <v>162</v>
      </c>
      <c r="M250" t="s">
        <v>163</v>
      </c>
      <c r="N250" t="s">
        <v>97</v>
      </c>
      <c r="O250" s="27">
        <v>1317000</v>
      </c>
      <c r="P250">
        <v>4</v>
      </c>
      <c r="Q250" t="s">
        <v>164</v>
      </c>
      <c r="R250">
        <v>21</v>
      </c>
      <c r="S250" t="s">
        <v>219</v>
      </c>
      <c r="T250" t="str">
        <f>IF(COUNTIF($A$2:A250,A250)&gt;1,"Duplicate","Unique")</f>
        <v>Unique</v>
      </c>
    </row>
    <row r="251" spans="1:20" x14ac:dyDescent="0.45">
      <c r="A251" t="s">
        <v>2085</v>
      </c>
      <c r="B251" t="s">
        <v>276</v>
      </c>
      <c r="C251" t="s">
        <v>53</v>
      </c>
      <c r="D251" t="s">
        <v>52</v>
      </c>
      <c r="E251" t="s">
        <v>192</v>
      </c>
      <c r="F251" t="s">
        <v>83</v>
      </c>
      <c r="G251" t="s">
        <v>193</v>
      </c>
      <c r="H251" t="s">
        <v>108</v>
      </c>
      <c r="I251" t="s">
        <v>107</v>
      </c>
      <c r="J251" t="s">
        <v>2447</v>
      </c>
      <c r="K251" t="s">
        <v>162</v>
      </c>
      <c r="M251" t="s">
        <v>163</v>
      </c>
      <c r="N251" t="s">
        <v>97</v>
      </c>
      <c r="O251" s="27">
        <v>1388000</v>
      </c>
      <c r="P251">
        <v>1</v>
      </c>
      <c r="Q251" t="s">
        <v>172</v>
      </c>
      <c r="R251">
        <v>27</v>
      </c>
      <c r="S251" t="s">
        <v>237</v>
      </c>
      <c r="T251" t="str">
        <f>IF(COUNTIF($A$2:A251,A251)&gt;1,"Duplicate","Unique")</f>
        <v>Unique</v>
      </c>
    </row>
    <row r="252" spans="1:20" x14ac:dyDescent="0.45">
      <c r="A252" t="s">
        <v>1010</v>
      </c>
      <c r="B252" t="s">
        <v>294</v>
      </c>
      <c r="C252" t="s">
        <v>59</v>
      </c>
      <c r="D252" t="s">
        <v>58</v>
      </c>
      <c r="E252" t="s">
        <v>206</v>
      </c>
      <c r="F252" t="s">
        <v>81</v>
      </c>
      <c r="G252" t="s">
        <v>207</v>
      </c>
      <c r="H252" t="s">
        <v>112</v>
      </c>
      <c r="I252" t="s">
        <v>113</v>
      </c>
      <c r="J252" t="s">
        <v>2782</v>
      </c>
      <c r="K252" t="s">
        <v>162</v>
      </c>
      <c r="M252" t="s">
        <v>163</v>
      </c>
      <c r="N252" t="s">
        <v>99</v>
      </c>
      <c r="O252" s="27">
        <v>692000</v>
      </c>
      <c r="P252">
        <v>2</v>
      </c>
      <c r="Q252" t="s">
        <v>172</v>
      </c>
      <c r="R252">
        <v>30</v>
      </c>
      <c r="S252" t="s">
        <v>208</v>
      </c>
      <c r="T252" t="str">
        <f>IF(COUNTIF($A$2:A252,A252)&gt;1,"Duplicate","Unique")</f>
        <v>Unique</v>
      </c>
    </row>
    <row r="253" spans="1:20" x14ac:dyDescent="0.45">
      <c r="A253" t="s">
        <v>2235</v>
      </c>
      <c r="B253" t="s">
        <v>2783</v>
      </c>
      <c r="C253" t="s">
        <v>57</v>
      </c>
      <c r="D253" t="s">
        <v>56</v>
      </c>
      <c r="E253" t="s">
        <v>160</v>
      </c>
      <c r="F253" t="s">
        <v>81</v>
      </c>
      <c r="G253" t="s">
        <v>161</v>
      </c>
      <c r="H253" t="s">
        <v>108</v>
      </c>
      <c r="I253" t="s">
        <v>107</v>
      </c>
      <c r="J253" t="s">
        <v>2784</v>
      </c>
      <c r="K253" t="s">
        <v>162</v>
      </c>
      <c r="M253" t="s">
        <v>163</v>
      </c>
      <c r="N253" t="s">
        <v>98</v>
      </c>
      <c r="O253" s="27">
        <v>814000</v>
      </c>
      <c r="Q253" t="s">
        <v>2584</v>
      </c>
      <c r="R253">
        <v>31</v>
      </c>
      <c r="S253" t="s">
        <v>224</v>
      </c>
      <c r="T253" t="str">
        <f>IF(COUNTIF($A$2:A253,A253)&gt;1,"Duplicate","Unique")</f>
        <v>Unique</v>
      </c>
    </row>
    <row r="254" spans="1:20" x14ac:dyDescent="0.45">
      <c r="A254" t="s">
        <v>1545</v>
      </c>
      <c r="B254" t="s">
        <v>1420</v>
      </c>
      <c r="C254" t="s">
        <v>53</v>
      </c>
      <c r="D254" t="s">
        <v>52</v>
      </c>
      <c r="E254" t="s">
        <v>185</v>
      </c>
      <c r="F254" t="s">
        <v>82</v>
      </c>
      <c r="G254" t="s">
        <v>186</v>
      </c>
      <c r="H254" t="s">
        <v>109</v>
      </c>
      <c r="I254" t="s">
        <v>110</v>
      </c>
      <c r="J254" t="s">
        <v>2769</v>
      </c>
      <c r="K254" t="s">
        <v>162</v>
      </c>
      <c r="M254" t="s">
        <v>163</v>
      </c>
      <c r="N254" t="s">
        <v>97</v>
      </c>
      <c r="O254" s="27">
        <v>1234000</v>
      </c>
      <c r="P254">
        <v>3</v>
      </c>
      <c r="Q254" t="s">
        <v>172</v>
      </c>
      <c r="R254">
        <v>29</v>
      </c>
      <c r="S254" t="s">
        <v>189</v>
      </c>
      <c r="T254" t="str">
        <f>IF(COUNTIF($A$2:A254,A254)&gt;1,"Duplicate","Unique")</f>
        <v>Unique</v>
      </c>
    </row>
    <row r="255" spans="1:20" x14ac:dyDescent="0.45">
      <c r="A255" t="s">
        <v>1762</v>
      </c>
      <c r="B255" t="s">
        <v>1763</v>
      </c>
      <c r="C255" t="s">
        <v>55</v>
      </c>
      <c r="D255" t="s">
        <v>54</v>
      </c>
      <c r="E255" t="s">
        <v>277</v>
      </c>
      <c r="F255" t="s">
        <v>81</v>
      </c>
      <c r="G255" t="s">
        <v>278</v>
      </c>
      <c r="H255" t="s">
        <v>108</v>
      </c>
      <c r="I255" t="s">
        <v>107</v>
      </c>
      <c r="J255" t="s">
        <v>2785</v>
      </c>
      <c r="K255" t="s">
        <v>187</v>
      </c>
      <c r="L255" t="s">
        <v>2786</v>
      </c>
      <c r="M255" t="s">
        <v>269</v>
      </c>
      <c r="N255" t="s">
        <v>95</v>
      </c>
      <c r="O255" s="27">
        <v>824000</v>
      </c>
      <c r="P255">
        <v>3</v>
      </c>
      <c r="Q255" t="s">
        <v>164</v>
      </c>
      <c r="R255">
        <v>66</v>
      </c>
      <c r="S255" t="s">
        <v>274</v>
      </c>
      <c r="T255" t="str">
        <f>IF(COUNTIF($A$2:A255,A255)&gt;1,"Duplicate","Unique")</f>
        <v>Unique</v>
      </c>
    </row>
    <row r="256" spans="1:20" x14ac:dyDescent="0.45">
      <c r="A256" t="s">
        <v>450</v>
      </c>
      <c r="B256" t="s">
        <v>2787</v>
      </c>
      <c r="C256" t="s">
        <v>61</v>
      </c>
      <c r="D256" t="s">
        <v>60</v>
      </c>
      <c r="E256" t="s">
        <v>356</v>
      </c>
      <c r="F256" t="s">
        <v>81</v>
      </c>
      <c r="G256" t="s">
        <v>357</v>
      </c>
      <c r="H256" t="s">
        <v>2788</v>
      </c>
      <c r="I256" t="s">
        <v>110</v>
      </c>
      <c r="J256" t="s">
        <v>2789</v>
      </c>
      <c r="K256" t="s">
        <v>162</v>
      </c>
      <c r="M256" t="s">
        <v>163</v>
      </c>
      <c r="N256" t="s">
        <v>99</v>
      </c>
      <c r="O256" s="27">
        <v>828000</v>
      </c>
      <c r="P256">
        <v>2</v>
      </c>
      <c r="Q256" t="s">
        <v>164</v>
      </c>
      <c r="R256">
        <v>35</v>
      </c>
      <c r="S256" t="s">
        <v>253</v>
      </c>
      <c r="T256" t="str">
        <f>IF(COUNTIF($A$2:A256,A256)&gt;1,"Duplicate","Unique")</f>
        <v>Unique</v>
      </c>
    </row>
    <row r="257" spans="1:20" x14ac:dyDescent="0.45">
      <c r="A257" t="s">
        <v>492</v>
      </c>
      <c r="B257" t="s">
        <v>493</v>
      </c>
      <c r="C257" t="s">
        <v>59</v>
      </c>
      <c r="D257" t="s">
        <v>58</v>
      </c>
      <c r="E257" t="s">
        <v>287</v>
      </c>
      <c r="F257" t="s">
        <v>83</v>
      </c>
      <c r="G257" t="s">
        <v>288</v>
      </c>
      <c r="H257" t="s">
        <v>108</v>
      </c>
      <c r="I257" t="s">
        <v>107</v>
      </c>
      <c r="J257" t="s">
        <v>2790</v>
      </c>
      <c r="K257" t="s">
        <v>162</v>
      </c>
      <c r="M257" t="s">
        <v>163</v>
      </c>
      <c r="N257" t="s">
        <v>99</v>
      </c>
      <c r="O257" s="27">
        <v>1831000</v>
      </c>
      <c r="P257">
        <v>3</v>
      </c>
      <c r="Q257" t="s">
        <v>164</v>
      </c>
      <c r="R257">
        <v>28</v>
      </c>
      <c r="S257" t="s">
        <v>208</v>
      </c>
      <c r="T257" t="str">
        <f>IF(COUNTIF($A$2:A257,A257)&gt;1,"Duplicate","Unique")</f>
        <v>Unique</v>
      </c>
    </row>
    <row r="258" spans="1:20" x14ac:dyDescent="0.45">
      <c r="A258" t="s">
        <v>1875</v>
      </c>
      <c r="B258" t="s">
        <v>228</v>
      </c>
      <c r="C258" t="s">
        <v>53</v>
      </c>
      <c r="D258" t="s">
        <v>52</v>
      </c>
      <c r="E258" t="s">
        <v>322</v>
      </c>
      <c r="F258" t="s">
        <v>81</v>
      </c>
      <c r="G258" t="s">
        <v>323</v>
      </c>
      <c r="H258" t="s">
        <v>106</v>
      </c>
      <c r="I258" t="s">
        <v>107</v>
      </c>
      <c r="J258" t="s">
        <v>2791</v>
      </c>
      <c r="K258" t="s">
        <v>162</v>
      </c>
      <c r="M258" t="s">
        <v>163</v>
      </c>
      <c r="N258" t="s">
        <v>95</v>
      </c>
      <c r="O258" s="27">
        <v>649000</v>
      </c>
      <c r="P258">
        <v>5</v>
      </c>
      <c r="Q258" t="s">
        <v>164</v>
      </c>
      <c r="R258">
        <v>38</v>
      </c>
      <c r="S258" t="s">
        <v>189</v>
      </c>
      <c r="T258" t="str">
        <f>IF(COUNTIF($A$2:A258,A258)&gt;1,"Duplicate","Unique")</f>
        <v>Unique</v>
      </c>
    </row>
    <row r="259" spans="1:20" x14ac:dyDescent="0.45">
      <c r="A259" t="s">
        <v>1362</v>
      </c>
      <c r="B259" t="s">
        <v>1363</v>
      </c>
      <c r="C259" t="s">
        <v>53</v>
      </c>
      <c r="D259" t="s">
        <v>52</v>
      </c>
      <c r="E259" t="s">
        <v>185</v>
      </c>
      <c r="F259" t="s">
        <v>82</v>
      </c>
      <c r="G259" t="s">
        <v>186</v>
      </c>
      <c r="H259" t="s">
        <v>109</v>
      </c>
      <c r="I259" t="s">
        <v>110</v>
      </c>
      <c r="J259" t="s">
        <v>2792</v>
      </c>
      <c r="K259" t="s">
        <v>162</v>
      </c>
      <c r="M259" t="s">
        <v>163</v>
      </c>
      <c r="N259" t="s">
        <v>97</v>
      </c>
      <c r="O259" s="27">
        <v>1134000</v>
      </c>
      <c r="P259">
        <v>4</v>
      </c>
      <c r="Q259" t="s">
        <v>164</v>
      </c>
      <c r="R259">
        <v>42</v>
      </c>
      <c r="S259" t="s">
        <v>194</v>
      </c>
      <c r="T259" t="str">
        <f>IF(COUNTIF($A$2:A259,A259)&gt;1,"Duplicate","Unique")</f>
        <v>Unique</v>
      </c>
    </row>
    <row r="260" spans="1:20" x14ac:dyDescent="0.45">
      <c r="A260" t="s">
        <v>1218</v>
      </c>
      <c r="B260" t="s">
        <v>1219</v>
      </c>
      <c r="C260" t="s">
        <v>53</v>
      </c>
      <c r="D260" t="s">
        <v>2793</v>
      </c>
      <c r="E260" t="s">
        <v>185</v>
      </c>
      <c r="F260" t="s">
        <v>82</v>
      </c>
      <c r="G260" t="s">
        <v>186</v>
      </c>
      <c r="H260" t="s">
        <v>108</v>
      </c>
      <c r="I260" t="s">
        <v>107</v>
      </c>
      <c r="J260" t="s">
        <v>2794</v>
      </c>
      <c r="K260" t="s">
        <v>187</v>
      </c>
      <c r="L260" t="s">
        <v>2795</v>
      </c>
      <c r="M260" t="s">
        <v>282</v>
      </c>
      <c r="N260" t="s">
        <v>97</v>
      </c>
      <c r="O260" s="27">
        <v>1014000</v>
      </c>
      <c r="P260">
        <v>3</v>
      </c>
      <c r="Q260" t="s">
        <v>172</v>
      </c>
      <c r="R260">
        <v>29</v>
      </c>
      <c r="S260" t="s">
        <v>237</v>
      </c>
      <c r="T260" t="str">
        <f>IF(COUNTIF($A$2:A260,A260)&gt;1,"Duplicate","Unique")</f>
        <v>Unique</v>
      </c>
    </row>
    <row r="261" spans="1:20" x14ac:dyDescent="0.45">
      <c r="A261" t="s">
        <v>2101</v>
      </c>
      <c r="B261" t="s">
        <v>1393</v>
      </c>
      <c r="C261" t="s">
        <v>51</v>
      </c>
      <c r="D261" t="s">
        <v>50</v>
      </c>
      <c r="E261" t="s">
        <v>397</v>
      </c>
      <c r="F261" t="s">
        <v>84</v>
      </c>
      <c r="G261" t="s">
        <v>398</v>
      </c>
      <c r="H261" t="s">
        <v>106</v>
      </c>
      <c r="I261" t="s">
        <v>107</v>
      </c>
      <c r="J261" t="s">
        <v>2796</v>
      </c>
      <c r="K261" t="s">
        <v>162</v>
      </c>
      <c r="M261" t="s">
        <v>163</v>
      </c>
      <c r="N261" t="s">
        <v>99</v>
      </c>
      <c r="O261" s="27">
        <v>2681000</v>
      </c>
      <c r="P261">
        <v>4</v>
      </c>
      <c r="Q261" t="s">
        <v>164</v>
      </c>
      <c r="R261">
        <v>45</v>
      </c>
      <c r="S261" t="s">
        <v>219</v>
      </c>
      <c r="T261" t="str">
        <f>IF(COUNTIF($A$2:A261,A261)&gt;1,"Duplicate","Unique")</f>
        <v>Unique</v>
      </c>
    </row>
    <row r="262" spans="1:20" x14ac:dyDescent="0.45">
      <c r="A262" t="s">
        <v>488</v>
      </c>
      <c r="B262" t="s">
        <v>444</v>
      </c>
      <c r="C262" t="s">
        <v>51</v>
      </c>
      <c r="D262" t="s">
        <v>2464</v>
      </c>
      <c r="E262" t="s">
        <v>217</v>
      </c>
      <c r="F262" t="s">
        <v>83</v>
      </c>
      <c r="G262" t="s">
        <v>218</v>
      </c>
      <c r="H262" t="s">
        <v>108</v>
      </c>
      <c r="I262" t="s">
        <v>107</v>
      </c>
      <c r="J262" t="s">
        <v>2797</v>
      </c>
      <c r="K262" t="s">
        <v>162</v>
      </c>
      <c r="M262" t="s">
        <v>163</v>
      </c>
      <c r="N262" t="s">
        <v>99</v>
      </c>
      <c r="O262" s="27">
        <v>1527000</v>
      </c>
      <c r="P262">
        <v>2</v>
      </c>
      <c r="Q262" t="s">
        <v>164</v>
      </c>
      <c r="R262">
        <v>21</v>
      </c>
      <c r="S262" t="s">
        <v>178</v>
      </c>
      <c r="T262" t="str">
        <f>IF(COUNTIF($A$2:A262,A262)&gt;1,"Duplicate","Unique")</f>
        <v>Unique</v>
      </c>
    </row>
    <row r="263" spans="1:20" x14ac:dyDescent="0.45">
      <c r="A263" t="s">
        <v>1607</v>
      </c>
      <c r="B263" t="s">
        <v>1174</v>
      </c>
      <c r="C263" t="s">
        <v>53</v>
      </c>
      <c r="D263" t="s">
        <v>52</v>
      </c>
      <c r="E263" t="s">
        <v>185</v>
      </c>
      <c r="F263" t="s">
        <v>82</v>
      </c>
      <c r="G263" t="s">
        <v>186</v>
      </c>
      <c r="H263" t="s">
        <v>109</v>
      </c>
      <c r="I263" t="s">
        <v>110</v>
      </c>
      <c r="J263" t="s">
        <v>2798</v>
      </c>
      <c r="K263" t="s">
        <v>162</v>
      </c>
      <c r="M263" t="s">
        <v>163</v>
      </c>
      <c r="N263" t="s">
        <v>97</v>
      </c>
      <c r="O263" s="27">
        <v>1298000</v>
      </c>
      <c r="P263">
        <v>2</v>
      </c>
      <c r="Q263" t="s">
        <v>2525</v>
      </c>
      <c r="R263">
        <v>43</v>
      </c>
      <c r="S263" t="s">
        <v>194</v>
      </c>
      <c r="T263" t="str">
        <f>IF(COUNTIF($A$2:A263,A263)&gt;1,"Duplicate","Unique")</f>
        <v>Unique</v>
      </c>
    </row>
    <row r="264" spans="1:20" x14ac:dyDescent="0.45">
      <c r="A264" t="s">
        <v>297</v>
      </c>
      <c r="B264" t="s">
        <v>298</v>
      </c>
      <c r="C264" t="s">
        <v>59</v>
      </c>
      <c r="D264" t="s">
        <v>58</v>
      </c>
      <c r="E264" t="s">
        <v>211</v>
      </c>
      <c r="F264" t="s">
        <v>82</v>
      </c>
      <c r="G264" t="s">
        <v>212</v>
      </c>
      <c r="H264" t="s">
        <v>112</v>
      </c>
      <c r="I264" t="s">
        <v>113</v>
      </c>
      <c r="J264" t="s">
        <v>2799</v>
      </c>
      <c r="K264" t="s">
        <v>162</v>
      </c>
      <c r="M264" t="s">
        <v>163</v>
      </c>
      <c r="N264" t="s">
        <v>97</v>
      </c>
      <c r="O264" s="27">
        <v>1329000</v>
      </c>
      <c r="P264">
        <v>3</v>
      </c>
      <c r="Q264" t="s">
        <v>172</v>
      </c>
      <c r="R264">
        <v>25</v>
      </c>
      <c r="S264" t="s">
        <v>214</v>
      </c>
      <c r="T264" t="str">
        <f>IF(COUNTIF($A$2:A264,A264)&gt;1,"Duplicate","Unique")</f>
        <v>Unique</v>
      </c>
    </row>
    <row r="265" spans="1:20" x14ac:dyDescent="0.45">
      <c r="A265" t="s">
        <v>1210</v>
      </c>
      <c r="B265" t="s">
        <v>1126</v>
      </c>
      <c r="C265" t="s">
        <v>57</v>
      </c>
      <c r="D265" t="s">
        <v>56</v>
      </c>
      <c r="E265" t="s">
        <v>160</v>
      </c>
      <c r="F265" t="s">
        <v>81</v>
      </c>
      <c r="G265" t="s">
        <v>161</v>
      </c>
      <c r="H265" t="s">
        <v>2465</v>
      </c>
      <c r="I265" t="s">
        <v>107</v>
      </c>
      <c r="J265" t="s">
        <v>2800</v>
      </c>
      <c r="K265" t="s">
        <v>162</v>
      </c>
      <c r="M265" t="s">
        <v>163</v>
      </c>
      <c r="N265" t="s">
        <v>98</v>
      </c>
      <c r="O265" s="27">
        <v>691000</v>
      </c>
      <c r="P265">
        <v>4</v>
      </c>
      <c r="Q265" t="s">
        <v>2516</v>
      </c>
      <c r="R265">
        <v>26</v>
      </c>
      <c r="S265" t="s">
        <v>165</v>
      </c>
      <c r="T265" t="str">
        <f>IF(COUNTIF($A$2:A265,A265)&gt;1,"Duplicate","Unique")</f>
        <v>Unique</v>
      </c>
    </row>
    <row r="266" spans="1:20" x14ac:dyDescent="0.45">
      <c r="A266" t="s">
        <v>2272</v>
      </c>
      <c r="B266" t="s">
        <v>1335</v>
      </c>
      <c r="C266" t="s">
        <v>51</v>
      </c>
      <c r="D266" t="s">
        <v>50</v>
      </c>
      <c r="E266" t="s">
        <v>176</v>
      </c>
      <c r="F266" t="s">
        <v>82</v>
      </c>
      <c r="G266" t="s">
        <v>177</v>
      </c>
      <c r="H266" t="s">
        <v>106</v>
      </c>
      <c r="I266" t="s">
        <v>107</v>
      </c>
      <c r="J266" t="s">
        <v>2801</v>
      </c>
      <c r="K266" t="s">
        <v>162</v>
      </c>
      <c r="M266" t="s">
        <v>163</v>
      </c>
      <c r="N266" t="s">
        <v>97</v>
      </c>
      <c r="O266" s="27">
        <v>1031000</v>
      </c>
      <c r="Q266" t="s">
        <v>164</v>
      </c>
      <c r="R266">
        <v>4</v>
      </c>
      <c r="S266" t="s">
        <v>178</v>
      </c>
      <c r="T266" t="str">
        <f>IF(COUNTIF($A$2:A266,A266)&gt;1,"Duplicate","Unique")</f>
        <v>Unique</v>
      </c>
    </row>
    <row r="267" spans="1:20" x14ac:dyDescent="0.45">
      <c r="A267" t="s">
        <v>2268</v>
      </c>
      <c r="B267" t="s">
        <v>666</v>
      </c>
      <c r="C267" t="s">
        <v>53</v>
      </c>
      <c r="D267" t="s">
        <v>52</v>
      </c>
      <c r="E267" t="s">
        <v>192</v>
      </c>
      <c r="F267" t="s">
        <v>83</v>
      </c>
      <c r="G267" t="s">
        <v>193</v>
      </c>
      <c r="H267" t="s">
        <v>106</v>
      </c>
      <c r="I267" t="s">
        <v>107</v>
      </c>
      <c r="J267" t="s">
        <v>2802</v>
      </c>
      <c r="K267" t="s">
        <v>162</v>
      </c>
      <c r="M267" t="s">
        <v>163</v>
      </c>
      <c r="N267" t="s">
        <v>95</v>
      </c>
      <c r="O267" s="27">
        <v>1462000</v>
      </c>
      <c r="P267">
        <v>3</v>
      </c>
      <c r="Q267" t="s">
        <v>164</v>
      </c>
      <c r="R267">
        <v>46</v>
      </c>
      <c r="S267" t="s">
        <v>237</v>
      </c>
      <c r="T267" t="str">
        <f>IF(COUNTIF($A$2:A267,A267)&gt;1,"Duplicate","Unique")</f>
        <v>Unique</v>
      </c>
    </row>
    <row r="268" spans="1:20" x14ac:dyDescent="0.45">
      <c r="A268" t="s">
        <v>2051</v>
      </c>
      <c r="B268" t="s">
        <v>2803</v>
      </c>
      <c r="C268" t="s">
        <v>57</v>
      </c>
      <c r="D268" t="s">
        <v>56</v>
      </c>
      <c r="E268" t="s">
        <v>160</v>
      </c>
      <c r="F268" t="s">
        <v>81</v>
      </c>
      <c r="G268" t="s">
        <v>161</v>
      </c>
      <c r="H268" t="s">
        <v>108</v>
      </c>
      <c r="I268" t="s">
        <v>107</v>
      </c>
      <c r="J268" t="s">
        <v>2804</v>
      </c>
      <c r="K268" t="s">
        <v>162</v>
      </c>
      <c r="M268" t="s">
        <v>163</v>
      </c>
      <c r="N268" t="s">
        <v>99</v>
      </c>
      <c r="O268" s="27">
        <v>697000</v>
      </c>
      <c r="P268">
        <v>5</v>
      </c>
      <c r="Q268" t="s">
        <v>164</v>
      </c>
      <c r="R268">
        <v>45</v>
      </c>
      <c r="S268" t="s">
        <v>224</v>
      </c>
      <c r="T268" t="str">
        <f>IF(COUNTIF($A$2:A268,A268)&gt;1,"Duplicate","Unique")</f>
        <v>Unique</v>
      </c>
    </row>
    <row r="269" spans="1:20" x14ac:dyDescent="0.45">
      <c r="A269" t="s">
        <v>1483</v>
      </c>
      <c r="B269" t="s">
        <v>1484</v>
      </c>
      <c r="C269" t="s">
        <v>51</v>
      </c>
      <c r="D269" t="s">
        <v>50</v>
      </c>
      <c r="E269" t="s">
        <v>176</v>
      </c>
      <c r="F269" t="s">
        <v>82</v>
      </c>
      <c r="G269" t="s">
        <v>177</v>
      </c>
      <c r="H269" t="s">
        <v>108</v>
      </c>
      <c r="I269" t="s">
        <v>107</v>
      </c>
      <c r="J269" t="s">
        <v>2597</v>
      </c>
      <c r="K269" t="s">
        <v>162</v>
      </c>
      <c r="M269" t="s">
        <v>163</v>
      </c>
      <c r="N269" t="s">
        <v>96</v>
      </c>
      <c r="O269" s="27">
        <v>1132000</v>
      </c>
      <c r="P269">
        <v>3</v>
      </c>
      <c r="Q269" t="s">
        <v>164</v>
      </c>
      <c r="R269">
        <v>20</v>
      </c>
      <c r="S269" t="s">
        <v>244</v>
      </c>
      <c r="T269" t="str">
        <f>IF(COUNTIF($A$2:A269,A269)&gt;1,"Duplicate","Unique")</f>
        <v>Unique</v>
      </c>
    </row>
    <row r="270" spans="1:20" x14ac:dyDescent="0.45">
      <c r="A270" t="s">
        <v>2202</v>
      </c>
      <c r="B270" t="s">
        <v>1882</v>
      </c>
      <c r="C270" t="s">
        <v>51</v>
      </c>
      <c r="D270" t="s">
        <v>50</v>
      </c>
      <c r="E270" t="s">
        <v>181</v>
      </c>
      <c r="F270" t="s">
        <v>81</v>
      </c>
      <c r="G270" t="s">
        <v>182</v>
      </c>
      <c r="H270" t="s">
        <v>106</v>
      </c>
      <c r="I270" t="s">
        <v>107</v>
      </c>
      <c r="J270" t="s">
        <v>2709</v>
      </c>
      <c r="K270" t="s">
        <v>187</v>
      </c>
      <c r="L270" t="s">
        <v>2805</v>
      </c>
      <c r="M270" t="s">
        <v>308</v>
      </c>
      <c r="N270" t="s">
        <v>99</v>
      </c>
      <c r="O270" s="27">
        <v>615000</v>
      </c>
      <c r="P270">
        <v>3</v>
      </c>
      <c r="Q270" t="s">
        <v>2631</v>
      </c>
      <c r="R270">
        <v>23</v>
      </c>
      <c r="S270" t="s">
        <v>244</v>
      </c>
      <c r="T270" t="str">
        <f>IF(COUNTIF($A$2:A270,A270)&gt;1,"Duplicate","Unique")</f>
        <v>Unique</v>
      </c>
    </row>
    <row r="271" spans="1:20" x14ac:dyDescent="0.45">
      <c r="A271" t="s">
        <v>521</v>
      </c>
      <c r="B271" t="s">
        <v>522</v>
      </c>
      <c r="C271" t="s">
        <v>59</v>
      </c>
      <c r="D271" t="s">
        <v>58</v>
      </c>
      <c r="E271" t="s">
        <v>206</v>
      </c>
      <c r="F271" t="s">
        <v>81</v>
      </c>
      <c r="G271" t="s">
        <v>207</v>
      </c>
      <c r="H271" t="s">
        <v>109</v>
      </c>
      <c r="I271" t="s">
        <v>110</v>
      </c>
      <c r="J271" t="s">
        <v>2806</v>
      </c>
      <c r="K271" t="s">
        <v>187</v>
      </c>
      <c r="L271" t="s">
        <v>2807</v>
      </c>
      <c r="M271" t="s">
        <v>282</v>
      </c>
      <c r="N271" t="s">
        <v>95</v>
      </c>
      <c r="O271" s="27">
        <v>604000</v>
      </c>
      <c r="P271">
        <v>3</v>
      </c>
      <c r="Q271" t="s">
        <v>172</v>
      </c>
      <c r="R271">
        <v>36</v>
      </c>
      <c r="S271" t="s">
        <v>208</v>
      </c>
      <c r="T271" t="str">
        <f>IF(COUNTIF($A$2:A271,A271)&gt;1,"Duplicate","Unique")</f>
        <v>Unique</v>
      </c>
    </row>
    <row r="272" spans="1:20" x14ac:dyDescent="0.45">
      <c r="A272" t="s">
        <v>1254</v>
      </c>
      <c r="B272" t="s">
        <v>582</v>
      </c>
      <c r="C272" t="s">
        <v>51</v>
      </c>
      <c r="D272" t="s">
        <v>50</v>
      </c>
      <c r="E272" t="s">
        <v>397</v>
      </c>
      <c r="F272" t="s">
        <v>84</v>
      </c>
      <c r="G272" t="s">
        <v>398</v>
      </c>
      <c r="H272" t="s">
        <v>109</v>
      </c>
      <c r="I272" t="s">
        <v>110</v>
      </c>
      <c r="J272" t="s">
        <v>2808</v>
      </c>
      <c r="K272" t="s">
        <v>187</v>
      </c>
      <c r="L272" t="s">
        <v>2809</v>
      </c>
      <c r="M272" t="s">
        <v>213</v>
      </c>
      <c r="N272" t="s">
        <v>95</v>
      </c>
      <c r="O272" s="27">
        <v>2591000</v>
      </c>
      <c r="P272">
        <v>3</v>
      </c>
      <c r="Q272" t="s">
        <v>164</v>
      </c>
      <c r="S272" t="s">
        <v>244</v>
      </c>
      <c r="T272" t="str">
        <f>IF(COUNTIF($A$2:A272,A272)&gt;1,"Duplicate","Unique")</f>
        <v>Unique</v>
      </c>
    </row>
    <row r="273" spans="1:20" x14ac:dyDescent="0.45">
      <c r="A273" t="s">
        <v>1841</v>
      </c>
      <c r="B273" t="s">
        <v>2810</v>
      </c>
      <c r="C273" t="s">
        <v>53</v>
      </c>
      <c r="D273" t="s">
        <v>52</v>
      </c>
      <c r="E273" t="s">
        <v>192</v>
      </c>
      <c r="F273" t="s">
        <v>83</v>
      </c>
      <c r="G273" t="s">
        <v>193</v>
      </c>
      <c r="H273" t="s">
        <v>2535</v>
      </c>
      <c r="I273" t="s">
        <v>107</v>
      </c>
      <c r="J273" t="s">
        <v>2811</v>
      </c>
      <c r="K273" t="s">
        <v>162</v>
      </c>
      <c r="M273" t="s">
        <v>163</v>
      </c>
      <c r="N273" t="s">
        <v>97</v>
      </c>
      <c r="O273" s="27">
        <v>1446000</v>
      </c>
      <c r="P273">
        <v>3</v>
      </c>
      <c r="Q273" t="s">
        <v>172</v>
      </c>
      <c r="R273">
        <v>60</v>
      </c>
      <c r="S273" t="s">
        <v>194</v>
      </c>
      <c r="T273" t="str">
        <f>IF(COUNTIF($A$2:A273,A273)&gt;1,"Duplicate","Unique")</f>
        <v>Unique</v>
      </c>
    </row>
    <row r="274" spans="1:20" x14ac:dyDescent="0.45">
      <c r="A274" t="s">
        <v>1649</v>
      </c>
      <c r="B274" t="s">
        <v>410</v>
      </c>
      <c r="C274" t="s">
        <v>51</v>
      </c>
      <c r="D274" t="s">
        <v>50</v>
      </c>
      <c r="E274" t="s">
        <v>181</v>
      </c>
      <c r="F274" t="s">
        <v>81</v>
      </c>
      <c r="G274" t="s">
        <v>182</v>
      </c>
      <c r="H274" t="s">
        <v>106</v>
      </c>
      <c r="I274" t="s">
        <v>107</v>
      </c>
      <c r="J274" t="s">
        <v>2812</v>
      </c>
      <c r="K274" t="s">
        <v>162</v>
      </c>
      <c r="M274" t="s">
        <v>163</v>
      </c>
      <c r="N274" t="s">
        <v>98</v>
      </c>
      <c r="O274" s="27">
        <v>677000</v>
      </c>
      <c r="P274">
        <v>3</v>
      </c>
      <c r="Q274" t="s">
        <v>164</v>
      </c>
      <c r="R274">
        <v>31</v>
      </c>
      <c r="S274" t="s">
        <v>197</v>
      </c>
      <c r="T274" t="str">
        <f>IF(COUNTIF($A$2:A274,A274)&gt;1,"Duplicate","Unique")</f>
        <v>Unique</v>
      </c>
    </row>
    <row r="275" spans="1:20" x14ac:dyDescent="0.45">
      <c r="A275" t="s">
        <v>293</v>
      </c>
      <c r="B275" t="s">
        <v>294</v>
      </c>
      <c r="C275" t="s">
        <v>53</v>
      </c>
      <c r="D275" t="s">
        <v>52</v>
      </c>
      <c r="E275" t="s">
        <v>280</v>
      </c>
      <c r="F275" t="s">
        <v>85</v>
      </c>
      <c r="G275" t="s">
        <v>281</v>
      </c>
      <c r="H275" t="s">
        <v>2788</v>
      </c>
      <c r="I275" t="s">
        <v>110</v>
      </c>
      <c r="J275" t="s">
        <v>2813</v>
      </c>
      <c r="K275" t="s">
        <v>162</v>
      </c>
      <c r="M275" t="s">
        <v>163</v>
      </c>
      <c r="N275" t="s">
        <v>97</v>
      </c>
      <c r="O275" s="27">
        <v>5087000</v>
      </c>
      <c r="P275">
        <v>3</v>
      </c>
      <c r="Q275" t="s">
        <v>172</v>
      </c>
      <c r="R275">
        <v>42</v>
      </c>
      <c r="S275" t="s">
        <v>189</v>
      </c>
      <c r="T275" t="str">
        <f>IF(COUNTIF($A$2:A275,A275)&gt;1,"Duplicate","Unique")</f>
        <v>Unique</v>
      </c>
    </row>
    <row r="276" spans="1:20" x14ac:dyDescent="0.45">
      <c r="A276" t="s">
        <v>1705</v>
      </c>
      <c r="B276" t="s">
        <v>666</v>
      </c>
      <c r="C276" t="s">
        <v>57</v>
      </c>
      <c r="D276" t="s">
        <v>56</v>
      </c>
      <c r="E276" t="s">
        <v>222</v>
      </c>
      <c r="F276" t="s">
        <v>82</v>
      </c>
      <c r="G276" t="s">
        <v>223</v>
      </c>
      <c r="H276" t="s">
        <v>108</v>
      </c>
      <c r="I276" t="s">
        <v>107</v>
      </c>
      <c r="J276" t="s">
        <v>2814</v>
      </c>
      <c r="K276" t="s">
        <v>162</v>
      </c>
      <c r="M276" t="s">
        <v>163</v>
      </c>
      <c r="N276" t="s">
        <v>97</v>
      </c>
      <c r="O276" s="27">
        <v>1295000</v>
      </c>
      <c r="P276">
        <v>4</v>
      </c>
      <c r="Q276" t="s">
        <v>164</v>
      </c>
      <c r="R276">
        <v>51</v>
      </c>
      <c r="S276" t="s">
        <v>165</v>
      </c>
      <c r="T276" t="str">
        <f>IF(COUNTIF($A$2:A276,A276)&gt;1,"Duplicate","Unique")</f>
        <v>Unique</v>
      </c>
    </row>
    <row r="277" spans="1:20" x14ac:dyDescent="0.45">
      <c r="A277" t="s">
        <v>1986</v>
      </c>
      <c r="B277" t="s">
        <v>1987</v>
      </c>
      <c r="C277" t="s">
        <v>57</v>
      </c>
      <c r="D277" t="s">
        <v>2484</v>
      </c>
      <c r="E277" t="s">
        <v>160</v>
      </c>
      <c r="F277" t="s">
        <v>81</v>
      </c>
      <c r="G277" t="s">
        <v>161</v>
      </c>
      <c r="H277" t="s">
        <v>108</v>
      </c>
      <c r="I277" t="s">
        <v>107</v>
      </c>
      <c r="J277" t="s">
        <v>2487</v>
      </c>
      <c r="K277" t="s">
        <v>162</v>
      </c>
      <c r="M277" t="s">
        <v>163</v>
      </c>
      <c r="N277" t="s">
        <v>99</v>
      </c>
      <c r="O277" s="27">
        <v>812000</v>
      </c>
      <c r="P277">
        <v>3</v>
      </c>
      <c r="Q277" t="s">
        <v>164</v>
      </c>
      <c r="R277">
        <v>29</v>
      </c>
      <c r="S277" t="s">
        <v>224</v>
      </c>
      <c r="T277" t="str">
        <f>IF(COUNTIF($A$2:A277,A277)&gt;1,"Duplicate","Unique")</f>
        <v>Unique</v>
      </c>
    </row>
    <row r="278" spans="1:20" x14ac:dyDescent="0.45">
      <c r="A278" t="s">
        <v>1514</v>
      </c>
      <c r="B278" t="s">
        <v>451</v>
      </c>
      <c r="C278" t="s">
        <v>55</v>
      </c>
      <c r="D278" t="s">
        <v>54</v>
      </c>
      <c r="E278" t="s">
        <v>240</v>
      </c>
      <c r="F278" t="s">
        <v>83</v>
      </c>
      <c r="G278" t="s">
        <v>241</v>
      </c>
      <c r="H278" t="s">
        <v>106</v>
      </c>
      <c r="I278" t="s">
        <v>107</v>
      </c>
      <c r="J278" t="s">
        <v>2815</v>
      </c>
      <c r="K278" t="s">
        <v>170</v>
      </c>
      <c r="L278" t="s">
        <v>2816</v>
      </c>
      <c r="M278" t="s">
        <v>171</v>
      </c>
      <c r="N278" t="s">
        <v>96</v>
      </c>
      <c r="O278" s="27">
        <v>1998000</v>
      </c>
      <c r="P278">
        <v>2</v>
      </c>
      <c r="Q278" t="s">
        <v>172</v>
      </c>
      <c r="R278">
        <v>33</v>
      </c>
      <c r="S278" t="s">
        <v>173</v>
      </c>
      <c r="T278" t="str">
        <f>IF(COUNTIF($A$2:A278,A278)&gt;1,"Duplicate","Unique")</f>
        <v>Unique</v>
      </c>
    </row>
    <row r="279" spans="1:20" x14ac:dyDescent="0.45">
      <c r="A279" t="s">
        <v>561</v>
      </c>
      <c r="B279" t="s">
        <v>562</v>
      </c>
      <c r="C279" t="s">
        <v>61</v>
      </c>
      <c r="D279" t="s">
        <v>60</v>
      </c>
      <c r="E279" t="s">
        <v>317</v>
      </c>
      <c r="F279" t="s">
        <v>84</v>
      </c>
      <c r="G279" t="s">
        <v>318</v>
      </c>
      <c r="H279" t="s">
        <v>106</v>
      </c>
      <c r="I279" t="s">
        <v>107</v>
      </c>
      <c r="J279" t="s">
        <v>2817</v>
      </c>
      <c r="K279" t="s">
        <v>162</v>
      </c>
      <c r="M279" t="s">
        <v>163</v>
      </c>
      <c r="N279" t="s">
        <v>96</v>
      </c>
      <c r="O279" s="27">
        <v>3164000</v>
      </c>
      <c r="P279">
        <v>3</v>
      </c>
      <c r="Q279" t="s">
        <v>164</v>
      </c>
      <c r="R279">
        <v>43</v>
      </c>
      <c r="S279" t="s">
        <v>253</v>
      </c>
      <c r="T279" t="str">
        <f>IF(COUNTIF($A$2:A279,A279)&gt;1,"Duplicate","Unique")</f>
        <v>Unique</v>
      </c>
    </row>
    <row r="280" spans="1:20" x14ac:dyDescent="0.45">
      <c r="A280" t="s">
        <v>1192</v>
      </c>
      <c r="B280" t="s">
        <v>1193</v>
      </c>
      <c r="C280" t="s">
        <v>51</v>
      </c>
      <c r="D280" t="s">
        <v>50</v>
      </c>
      <c r="E280" t="s">
        <v>217</v>
      </c>
      <c r="F280" t="s">
        <v>83</v>
      </c>
      <c r="G280" t="s">
        <v>218</v>
      </c>
      <c r="H280" t="s">
        <v>109</v>
      </c>
      <c r="I280" t="s">
        <v>110</v>
      </c>
      <c r="J280" t="s">
        <v>2818</v>
      </c>
      <c r="K280" t="s">
        <v>162</v>
      </c>
      <c r="M280" t="s">
        <v>163</v>
      </c>
      <c r="N280" t="s">
        <v>97</v>
      </c>
      <c r="O280" s="27">
        <v>1768000</v>
      </c>
      <c r="P280">
        <v>3</v>
      </c>
      <c r="Q280" t="s">
        <v>172</v>
      </c>
      <c r="R280">
        <v>36</v>
      </c>
      <c r="S280" t="s">
        <v>219</v>
      </c>
      <c r="T280" t="str">
        <f>IF(COUNTIF($A$2:A280,A280)&gt;1,"Duplicate","Unique")</f>
        <v>Unique</v>
      </c>
    </row>
    <row r="281" spans="1:20" x14ac:dyDescent="0.45">
      <c r="A281" t="s">
        <v>1408</v>
      </c>
      <c r="B281" t="s">
        <v>1409</v>
      </c>
      <c r="C281" t="s">
        <v>57</v>
      </c>
      <c r="D281" t="s">
        <v>56</v>
      </c>
      <c r="E281" t="s">
        <v>222</v>
      </c>
      <c r="F281" t="s">
        <v>82</v>
      </c>
      <c r="G281" t="s">
        <v>223</v>
      </c>
      <c r="H281" t="s">
        <v>112</v>
      </c>
      <c r="I281" t="s">
        <v>113</v>
      </c>
      <c r="J281" t="s">
        <v>2819</v>
      </c>
      <c r="K281" t="s">
        <v>162</v>
      </c>
      <c r="M281" t="s">
        <v>163</v>
      </c>
      <c r="N281" t="s">
        <v>95</v>
      </c>
      <c r="O281" s="27">
        <v>1186000</v>
      </c>
      <c r="P281">
        <v>2</v>
      </c>
      <c r="Q281" t="s">
        <v>164</v>
      </c>
      <c r="R281">
        <v>38</v>
      </c>
      <c r="S281" t="s">
        <v>165</v>
      </c>
      <c r="T281" t="str">
        <f>IF(COUNTIF($A$2:A281,A281)&gt;1,"Duplicate","Unique")</f>
        <v>Unique</v>
      </c>
    </row>
    <row r="282" spans="1:20" x14ac:dyDescent="0.45">
      <c r="A282" t="s">
        <v>1470</v>
      </c>
      <c r="B282" t="s">
        <v>1131</v>
      </c>
      <c r="C282" t="s">
        <v>57</v>
      </c>
      <c r="D282" t="s">
        <v>56</v>
      </c>
      <c r="E282" t="s">
        <v>222</v>
      </c>
      <c r="F282" t="s">
        <v>82</v>
      </c>
      <c r="G282" t="s">
        <v>223</v>
      </c>
      <c r="H282" t="s">
        <v>106</v>
      </c>
      <c r="I282" t="s">
        <v>107</v>
      </c>
      <c r="J282" t="s">
        <v>2820</v>
      </c>
      <c r="K282" t="s">
        <v>162</v>
      </c>
      <c r="M282" t="s">
        <v>163</v>
      </c>
      <c r="N282" t="s">
        <v>97</v>
      </c>
      <c r="O282" s="27">
        <v>1227000</v>
      </c>
      <c r="P282">
        <v>3</v>
      </c>
      <c r="Q282" t="s">
        <v>164</v>
      </c>
      <c r="R282">
        <v>42</v>
      </c>
      <c r="S282" t="s">
        <v>165</v>
      </c>
      <c r="T282" t="str">
        <f>IF(COUNTIF($A$2:A282,A282)&gt;1,"Duplicate","Unique")</f>
        <v>Unique</v>
      </c>
    </row>
    <row r="283" spans="1:20" x14ac:dyDescent="0.45">
      <c r="A283" t="s">
        <v>1960</v>
      </c>
      <c r="B283" t="s">
        <v>290</v>
      </c>
      <c r="C283" t="s">
        <v>51</v>
      </c>
      <c r="D283" t="s">
        <v>50</v>
      </c>
      <c r="E283" t="s">
        <v>176</v>
      </c>
      <c r="F283" t="s">
        <v>82</v>
      </c>
      <c r="G283" t="s">
        <v>177</v>
      </c>
      <c r="H283" t="s">
        <v>106</v>
      </c>
      <c r="I283" t="s">
        <v>107</v>
      </c>
      <c r="J283" t="s">
        <v>2618</v>
      </c>
      <c r="K283" t="s">
        <v>162</v>
      </c>
      <c r="M283" t="s">
        <v>163</v>
      </c>
      <c r="N283" t="s">
        <v>96</v>
      </c>
      <c r="O283" s="27">
        <v>1334000</v>
      </c>
      <c r="P283">
        <v>3</v>
      </c>
      <c r="Q283" t="s">
        <v>164</v>
      </c>
      <c r="R283">
        <v>39</v>
      </c>
      <c r="S283" t="s">
        <v>219</v>
      </c>
      <c r="T283" t="str">
        <f>IF(COUNTIF($A$2:A283,A283)&gt;1,"Duplicate","Unique")</f>
        <v>Unique</v>
      </c>
    </row>
    <row r="284" spans="1:20" x14ac:dyDescent="0.45">
      <c r="A284" t="s">
        <v>1106</v>
      </c>
      <c r="B284" t="s">
        <v>1107</v>
      </c>
      <c r="C284" t="s">
        <v>59</v>
      </c>
      <c r="D284" t="s">
        <v>58</v>
      </c>
      <c r="E284" t="s">
        <v>206</v>
      </c>
      <c r="F284" t="s">
        <v>81</v>
      </c>
      <c r="G284" t="s">
        <v>207</v>
      </c>
      <c r="H284" t="s">
        <v>108</v>
      </c>
      <c r="I284" t="s">
        <v>107</v>
      </c>
      <c r="J284" t="s">
        <v>2821</v>
      </c>
      <c r="K284" t="s">
        <v>162</v>
      </c>
      <c r="M284" t="s">
        <v>163</v>
      </c>
      <c r="N284" t="s">
        <v>96</v>
      </c>
      <c r="O284" s="27">
        <v>574000</v>
      </c>
      <c r="P284">
        <v>3</v>
      </c>
      <c r="Q284" t="s">
        <v>172</v>
      </c>
      <c r="R284">
        <v>51</v>
      </c>
      <c r="S284" t="s">
        <v>208</v>
      </c>
      <c r="T284" t="str">
        <f>IF(COUNTIF($A$2:A284,A284)&gt;1,"Duplicate","Unique")</f>
        <v>Unique</v>
      </c>
    </row>
    <row r="285" spans="1:20" x14ac:dyDescent="0.45">
      <c r="A285" t="s">
        <v>613</v>
      </c>
      <c r="B285" t="s">
        <v>606</v>
      </c>
      <c r="C285" t="s">
        <v>53</v>
      </c>
      <c r="D285" t="s">
        <v>52</v>
      </c>
      <c r="E285" t="s">
        <v>322</v>
      </c>
      <c r="F285" t="s">
        <v>81</v>
      </c>
      <c r="G285" t="s">
        <v>323</v>
      </c>
      <c r="H285" t="s">
        <v>109</v>
      </c>
      <c r="I285" t="s">
        <v>110</v>
      </c>
      <c r="J285" t="s">
        <v>2822</v>
      </c>
      <c r="K285" t="s">
        <v>162</v>
      </c>
      <c r="M285" t="s">
        <v>163</v>
      </c>
      <c r="N285" t="s">
        <v>96</v>
      </c>
      <c r="O285" s="27">
        <v>631000</v>
      </c>
      <c r="P285">
        <v>3</v>
      </c>
      <c r="Q285" t="s">
        <v>172</v>
      </c>
      <c r="R285">
        <v>35</v>
      </c>
      <c r="S285" t="s">
        <v>237</v>
      </c>
      <c r="T285" t="str">
        <f>IF(COUNTIF($A$2:A285,A285)&gt;1,"Duplicate","Unique")</f>
        <v>Unique</v>
      </c>
    </row>
    <row r="286" spans="1:20" x14ac:dyDescent="0.45">
      <c r="A286" t="s">
        <v>1521</v>
      </c>
      <c r="B286" t="s">
        <v>587</v>
      </c>
      <c r="C286" t="s">
        <v>51</v>
      </c>
      <c r="D286" t="s">
        <v>50</v>
      </c>
      <c r="E286" t="s">
        <v>181</v>
      </c>
      <c r="F286" t="s">
        <v>81</v>
      </c>
      <c r="G286" t="s">
        <v>182</v>
      </c>
      <c r="H286" t="s">
        <v>108</v>
      </c>
      <c r="I286" t="s">
        <v>107</v>
      </c>
      <c r="J286" t="s">
        <v>2446</v>
      </c>
      <c r="K286" t="s">
        <v>162</v>
      </c>
      <c r="M286" t="s">
        <v>163</v>
      </c>
      <c r="N286" t="s">
        <v>98</v>
      </c>
      <c r="O286" s="27">
        <v>767000</v>
      </c>
      <c r="P286">
        <v>3</v>
      </c>
      <c r="Q286" t="s">
        <v>164</v>
      </c>
      <c r="R286">
        <v>47</v>
      </c>
      <c r="S286" t="s">
        <v>178</v>
      </c>
      <c r="T286" t="str">
        <f>IF(COUNTIF($A$2:A286,A286)&gt;1,"Duplicate","Unique")</f>
        <v>Unique</v>
      </c>
    </row>
    <row r="287" spans="1:20" x14ac:dyDescent="0.45">
      <c r="A287" t="s">
        <v>1528</v>
      </c>
      <c r="B287" t="s">
        <v>1529</v>
      </c>
      <c r="C287" t="s">
        <v>53</v>
      </c>
      <c r="D287" t="s">
        <v>52</v>
      </c>
      <c r="E287" t="s">
        <v>280</v>
      </c>
      <c r="F287" t="s">
        <v>85</v>
      </c>
      <c r="G287" t="s">
        <v>281</v>
      </c>
      <c r="H287" t="s">
        <v>108</v>
      </c>
      <c r="I287" t="s">
        <v>107</v>
      </c>
      <c r="J287" t="s">
        <v>2823</v>
      </c>
      <c r="K287" t="s">
        <v>162</v>
      </c>
      <c r="M287" t="s">
        <v>163</v>
      </c>
      <c r="N287" t="s">
        <v>97</v>
      </c>
      <c r="O287" s="27">
        <v>3742000</v>
      </c>
      <c r="P287">
        <v>3</v>
      </c>
      <c r="Q287" t="s">
        <v>172</v>
      </c>
      <c r="R287">
        <v>30</v>
      </c>
      <c r="S287" t="s">
        <v>189</v>
      </c>
      <c r="T287" t="str">
        <f>IF(COUNTIF($A$2:A287,A287)&gt;1,"Duplicate","Unique")</f>
        <v>Unique</v>
      </c>
    </row>
    <row r="288" spans="1:20" x14ac:dyDescent="0.45">
      <c r="A288" t="s">
        <v>880</v>
      </c>
      <c r="B288" t="s">
        <v>353</v>
      </c>
      <c r="C288" t="s">
        <v>55</v>
      </c>
      <c r="D288" t="s">
        <v>54</v>
      </c>
      <c r="E288" t="s">
        <v>277</v>
      </c>
      <c r="F288" t="s">
        <v>81</v>
      </c>
      <c r="G288" t="s">
        <v>278</v>
      </c>
      <c r="H288" t="s">
        <v>106</v>
      </c>
      <c r="I288" t="s">
        <v>107</v>
      </c>
      <c r="J288" t="s">
        <v>2772</v>
      </c>
      <c r="K288" t="s">
        <v>187</v>
      </c>
      <c r="L288" t="s">
        <v>2824</v>
      </c>
      <c r="M288" t="s">
        <v>269</v>
      </c>
      <c r="N288" t="s">
        <v>96</v>
      </c>
      <c r="O288" s="27">
        <v>825000</v>
      </c>
      <c r="P288">
        <v>4</v>
      </c>
      <c r="Q288" t="s">
        <v>172</v>
      </c>
      <c r="R288">
        <v>46</v>
      </c>
      <c r="S288" t="s">
        <v>274</v>
      </c>
      <c r="T288" t="str">
        <f>IF(COUNTIF($A$2:A288,A288)&gt;1,"Duplicate","Unique")</f>
        <v>Unique</v>
      </c>
    </row>
    <row r="289" spans="1:20" x14ac:dyDescent="0.45">
      <c r="A289" t="s">
        <v>1146</v>
      </c>
      <c r="B289" t="s">
        <v>544</v>
      </c>
      <c r="C289" t="s">
        <v>53</v>
      </c>
      <c r="D289" t="s">
        <v>52</v>
      </c>
      <c r="E289" t="s">
        <v>322</v>
      </c>
      <c r="F289" t="s">
        <v>81</v>
      </c>
      <c r="G289" t="s">
        <v>323</v>
      </c>
      <c r="H289" t="s">
        <v>106</v>
      </c>
      <c r="I289" t="s">
        <v>107</v>
      </c>
      <c r="J289" t="s">
        <v>2690</v>
      </c>
      <c r="K289" t="s">
        <v>187</v>
      </c>
      <c r="L289" t="s">
        <v>2825</v>
      </c>
      <c r="M289" t="s">
        <v>188</v>
      </c>
      <c r="N289" t="s">
        <v>97</v>
      </c>
      <c r="O289" s="27">
        <v>704000</v>
      </c>
      <c r="P289">
        <v>3</v>
      </c>
      <c r="Q289" t="s">
        <v>172</v>
      </c>
      <c r="R289">
        <v>19</v>
      </c>
      <c r="S289" t="s">
        <v>237</v>
      </c>
      <c r="T289" t="str">
        <f>IF(COUNTIF($A$2:A289,A289)&gt;1,"Duplicate","Unique")</f>
        <v>Unique</v>
      </c>
    </row>
    <row r="290" spans="1:20" x14ac:dyDescent="0.45">
      <c r="A290" t="s">
        <v>752</v>
      </c>
      <c r="B290" t="s">
        <v>753</v>
      </c>
      <c r="C290" t="s">
        <v>61</v>
      </c>
      <c r="D290" t="s">
        <v>60</v>
      </c>
      <c r="E290" t="s">
        <v>484</v>
      </c>
      <c r="F290" t="s">
        <v>83</v>
      </c>
      <c r="G290" t="s">
        <v>485</v>
      </c>
      <c r="H290" t="s">
        <v>2580</v>
      </c>
      <c r="I290" t="s">
        <v>110</v>
      </c>
      <c r="J290" t="s">
        <v>2826</v>
      </c>
      <c r="K290" t="s">
        <v>162</v>
      </c>
      <c r="M290" t="s">
        <v>163</v>
      </c>
      <c r="N290" t="s">
        <v>95</v>
      </c>
      <c r="O290" s="27">
        <v>1998000</v>
      </c>
      <c r="P290">
        <v>4</v>
      </c>
      <c r="Q290" t="s">
        <v>172</v>
      </c>
      <c r="R290">
        <v>44</v>
      </c>
      <c r="S290" t="s">
        <v>253</v>
      </c>
      <c r="T290" t="str">
        <f>IF(COUNTIF($A$2:A290,A290)&gt;1,"Duplicate","Unique")</f>
        <v>Unique</v>
      </c>
    </row>
    <row r="291" spans="1:20" x14ac:dyDescent="0.45">
      <c r="A291" t="s">
        <v>1530</v>
      </c>
      <c r="B291" t="s">
        <v>2827</v>
      </c>
      <c r="C291" t="s">
        <v>51</v>
      </c>
      <c r="D291" t="s">
        <v>50</v>
      </c>
      <c r="E291" t="s">
        <v>176</v>
      </c>
      <c r="F291" t="s">
        <v>82</v>
      </c>
      <c r="G291" t="s">
        <v>177</v>
      </c>
      <c r="H291" t="s">
        <v>108</v>
      </c>
      <c r="I291" t="s">
        <v>107</v>
      </c>
      <c r="J291" t="s">
        <v>2828</v>
      </c>
      <c r="K291" t="s">
        <v>162</v>
      </c>
      <c r="M291" t="s">
        <v>163</v>
      </c>
      <c r="N291" t="s">
        <v>96</v>
      </c>
      <c r="O291" s="27">
        <v>965000</v>
      </c>
      <c r="P291">
        <v>3</v>
      </c>
      <c r="Q291" t="s">
        <v>172</v>
      </c>
      <c r="R291">
        <v>58</v>
      </c>
      <c r="S291" t="s">
        <v>244</v>
      </c>
      <c r="T291" t="str">
        <f>IF(COUNTIF($A$2:A291,A291)&gt;1,"Duplicate","Unique")</f>
        <v>Unique</v>
      </c>
    </row>
    <row r="292" spans="1:20" x14ac:dyDescent="0.45">
      <c r="A292" t="s">
        <v>1888</v>
      </c>
      <c r="B292" t="s">
        <v>601</v>
      </c>
      <c r="C292" t="s">
        <v>57</v>
      </c>
      <c r="D292" t="s">
        <v>56</v>
      </c>
      <c r="E292" t="s">
        <v>160</v>
      </c>
      <c r="F292" t="s">
        <v>81</v>
      </c>
      <c r="G292" t="s">
        <v>161</v>
      </c>
      <c r="H292" t="s">
        <v>108</v>
      </c>
      <c r="I292" t="s">
        <v>107</v>
      </c>
      <c r="J292" t="s">
        <v>2829</v>
      </c>
      <c r="K292" t="s">
        <v>162</v>
      </c>
      <c r="M292" t="s">
        <v>163</v>
      </c>
      <c r="N292" t="s">
        <v>97</v>
      </c>
      <c r="O292" s="27">
        <v>840000</v>
      </c>
      <c r="P292">
        <v>5</v>
      </c>
      <c r="Q292" t="s">
        <v>164</v>
      </c>
      <c r="R292">
        <v>44</v>
      </c>
      <c r="S292" t="s">
        <v>165</v>
      </c>
      <c r="T292" t="str">
        <f>IF(COUNTIF($A$2:A292,A292)&gt;1,"Duplicate","Unique")</f>
        <v>Unique</v>
      </c>
    </row>
    <row r="293" spans="1:20" x14ac:dyDescent="0.45">
      <c r="A293" t="s">
        <v>395</v>
      </c>
      <c r="B293" t="s">
        <v>396</v>
      </c>
      <c r="C293" t="s">
        <v>51</v>
      </c>
      <c r="D293" t="s">
        <v>2620</v>
      </c>
      <c r="E293" t="s">
        <v>397</v>
      </c>
      <c r="F293" t="s">
        <v>84</v>
      </c>
      <c r="G293" t="s">
        <v>398</v>
      </c>
      <c r="H293" t="s">
        <v>109</v>
      </c>
      <c r="I293" t="s">
        <v>110</v>
      </c>
      <c r="J293" t="s">
        <v>2830</v>
      </c>
      <c r="K293" t="s">
        <v>162</v>
      </c>
      <c r="M293" t="s">
        <v>163</v>
      </c>
      <c r="N293" t="s">
        <v>98</v>
      </c>
      <c r="O293" s="27">
        <v>2282000</v>
      </c>
      <c r="P293">
        <v>5</v>
      </c>
      <c r="Q293" t="s">
        <v>164</v>
      </c>
      <c r="R293">
        <v>30</v>
      </c>
      <c r="S293" t="s">
        <v>219</v>
      </c>
      <c r="T293" t="str">
        <f>IF(COUNTIF($A$2:A293,A293)&gt;1,"Duplicate","Unique")</f>
        <v>Unique</v>
      </c>
    </row>
    <row r="294" spans="1:20" x14ac:dyDescent="0.45">
      <c r="A294" t="s">
        <v>2267</v>
      </c>
      <c r="B294" t="s">
        <v>793</v>
      </c>
      <c r="C294" t="s">
        <v>59</v>
      </c>
      <c r="D294" t="s">
        <v>58</v>
      </c>
      <c r="E294" t="s">
        <v>206</v>
      </c>
      <c r="F294" t="s">
        <v>81</v>
      </c>
      <c r="G294" t="s">
        <v>207</v>
      </c>
      <c r="H294" t="s">
        <v>109</v>
      </c>
      <c r="I294" t="s">
        <v>110</v>
      </c>
      <c r="J294" t="s">
        <v>2831</v>
      </c>
      <c r="K294" t="s">
        <v>162</v>
      </c>
      <c r="M294" t="s">
        <v>163</v>
      </c>
      <c r="N294" t="s">
        <v>99</v>
      </c>
      <c r="O294" s="27">
        <v>572000</v>
      </c>
      <c r="P294">
        <v>2</v>
      </c>
      <c r="Q294" t="s">
        <v>164</v>
      </c>
      <c r="R294">
        <v>26</v>
      </c>
      <c r="S294" t="s">
        <v>208</v>
      </c>
      <c r="T294" t="str">
        <f>IF(COUNTIF($A$2:A294,A294)&gt;1,"Duplicate","Unique")</f>
        <v>Unique</v>
      </c>
    </row>
    <row r="295" spans="1:20" x14ac:dyDescent="0.45">
      <c r="A295" t="s">
        <v>1072</v>
      </c>
      <c r="B295" t="s">
        <v>2832</v>
      </c>
      <c r="C295" t="s">
        <v>51</v>
      </c>
      <c r="D295" t="s">
        <v>50</v>
      </c>
      <c r="E295" t="s">
        <v>181</v>
      </c>
      <c r="F295" t="s">
        <v>81</v>
      </c>
      <c r="G295" t="s">
        <v>182</v>
      </c>
      <c r="H295" t="s">
        <v>106</v>
      </c>
      <c r="I295" t="s">
        <v>107</v>
      </c>
      <c r="J295" t="s">
        <v>2833</v>
      </c>
      <c r="K295" t="s">
        <v>187</v>
      </c>
      <c r="L295" t="s">
        <v>2834</v>
      </c>
      <c r="M295" t="s">
        <v>213</v>
      </c>
      <c r="N295" t="s">
        <v>99</v>
      </c>
      <c r="O295" s="27">
        <v>570000</v>
      </c>
      <c r="P295">
        <v>3</v>
      </c>
      <c r="Q295" t="s">
        <v>164</v>
      </c>
      <c r="R295">
        <v>58</v>
      </c>
      <c r="S295" t="s">
        <v>244</v>
      </c>
      <c r="T295" t="str">
        <f>IF(COUNTIF($A$2:A295,A295)&gt;1,"Duplicate","Unique")</f>
        <v>Unique</v>
      </c>
    </row>
    <row r="296" spans="1:20" x14ac:dyDescent="0.45">
      <c r="A296" t="s">
        <v>2316</v>
      </c>
      <c r="B296" t="s">
        <v>640</v>
      </c>
      <c r="C296" t="s">
        <v>51</v>
      </c>
      <c r="D296" t="s">
        <v>50</v>
      </c>
      <c r="E296" t="s">
        <v>217</v>
      </c>
      <c r="F296" t="s">
        <v>83</v>
      </c>
      <c r="G296" t="s">
        <v>218</v>
      </c>
      <c r="H296" t="s">
        <v>106</v>
      </c>
      <c r="I296" t="s">
        <v>107</v>
      </c>
      <c r="J296" t="s">
        <v>2835</v>
      </c>
      <c r="K296" t="s">
        <v>162</v>
      </c>
      <c r="M296" t="s">
        <v>163</v>
      </c>
      <c r="N296" t="s">
        <v>96</v>
      </c>
      <c r="O296" s="27">
        <v>1749000</v>
      </c>
      <c r="P296">
        <v>4</v>
      </c>
      <c r="Q296" t="s">
        <v>172</v>
      </c>
      <c r="R296">
        <v>46</v>
      </c>
      <c r="S296" t="s">
        <v>244</v>
      </c>
      <c r="T296" t="str">
        <f>IF(COUNTIF($A$2:A296,A296)&gt;1,"Duplicate","Unique")</f>
        <v>Unique</v>
      </c>
    </row>
    <row r="297" spans="1:20" x14ac:dyDescent="0.45">
      <c r="A297" t="s">
        <v>362</v>
      </c>
      <c r="B297" t="s">
        <v>363</v>
      </c>
      <c r="C297" t="s">
        <v>51</v>
      </c>
      <c r="D297" t="s">
        <v>50</v>
      </c>
      <c r="E297" t="s">
        <v>181</v>
      </c>
      <c r="F297" t="s">
        <v>81</v>
      </c>
      <c r="G297" t="s">
        <v>182</v>
      </c>
      <c r="H297" t="s">
        <v>106</v>
      </c>
      <c r="I297" t="s">
        <v>107</v>
      </c>
      <c r="J297" t="s">
        <v>2836</v>
      </c>
      <c r="K297" t="s">
        <v>162</v>
      </c>
      <c r="M297" t="s">
        <v>163</v>
      </c>
      <c r="N297" t="s">
        <v>98</v>
      </c>
      <c r="O297" s="27">
        <v>794000</v>
      </c>
      <c r="P297">
        <v>3</v>
      </c>
      <c r="Q297" t="s">
        <v>172</v>
      </c>
      <c r="R297">
        <v>38</v>
      </c>
      <c r="S297" t="s">
        <v>197</v>
      </c>
      <c r="T297" t="str">
        <f>IF(COUNTIF($A$2:A297,A297)&gt;1,"Duplicate","Unique")</f>
        <v>Unique</v>
      </c>
    </row>
    <row r="298" spans="1:20" x14ac:dyDescent="0.45">
      <c r="A298" t="s">
        <v>1992</v>
      </c>
      <c r="B298" t="s">
        <v>1993</v>
      </c>
      <c r="C298" t="s">
        <v>57</v>
      </c>
      <c r="D298" t="s">
        <v>2484</v>
      </c>
      <c r="E298" t="s">
        <v>391</v>
      </c>
      <c r="F298" t="s">
        <v>83</v>
      </c>
      <c r="G298" t="s">
        <v>392</v>
      </c>
      <c r="H298" t="s">
        <v>108</v>
      </c>
      <c r="I298" t="s">
        <v>107</v>
      </c>
      <c r="J298" t="s">
        <v>2837</v>
      </c>
      <c r="K298" t="s">
        <v>162</v>
      </c>
      <c r="M298" t="s">
        <v>163</v>
      </c>
      <c r="N298" t="s">
        <v>97</v>
      </c>
      <c r="O298" s="27">
        <v>1815000</v>
      </c>
      <c r="P298">
        <v>3</v>
      </c>
      <c r="Q298" t="s">
        <v>172</v>
      </c>
      <c r="R298">
        <v>39</v>
      </c>
      <c r="S298" t="s">
        <v>224</v>
      </c>
      <c r="T298" t="str">
        <f>IF(COUNTIF($A$2:A298,A298)&gt;1,"Duplicate","Unique")</f>
        <v>Unique</v>
      </c>
    </row>
    <row r="299" spans="1:20" x14ac:dyDescent="0.45">
      <c r="A299" t="s">
        <v>1007</v>
      </c>
      <c r="B299" t="s">
        <v>533</v>
      </c>
      <c r="C299" t="s">
        <v>61</v>
      </c>
      <c r="D299" t="s">
        <v>60</v>
      </c>
      <c r="E299" t="s">
        <v>484</v>
      </c>
      <c r="F299" t="s">
        <v>83</v>
      </c>
      <c r="G299" t="s">
        <v>485</v>
      </c>
      <c r="H299" t="s">
        <v>108</v>
      </c>
      <c r="I299" t="s">
        <v>107</v>
      </c>
      <c r="J299" t="s">
        <v>2838</v>
      </c>
      <c r="K299" t="s">
        <v>162</v>
      </c>
      <c r="M299" t="s">
        <v>163</v>
      </c>
      <c r="N299" t="s">
        <v>99</v>
      </c>
      <c r="O299" s="27">
        <v>1694000</v>
      </c>
      <c r="P299">
        <v>3</v>
      </c>
      <c r="Q299" t="s">
        <v>164</v>
      </c>
      <c r="R299">
        <v>43</v>
      </c>
      <c r="S299" t="s">
        <v>253</v>
      </c>
      <c r="T299" t="str">
        <f>IF(COUNTIF($A$2:A299,A299)&gt;1,"Duplicate","Unique")</f>
        <v>Unique</v>
      </c>
    </row>
    <row r="300" spans="1:20" x14ac:dyDescent="0.45">
      <c r="A300" t="s">
        <v>1021</v>
      </c>
      <c r="B300" t="s">
        <v>2839</v>
      </c>
      <c r="C300" t="s">
        <v>53</v>
      </c>
      <c r="D300" t="s">
        <v>52</v>
      </c>
      <c r="E300" t="s">
        <v>192</v>
      </c>
      <c r="F300" t="s">
        <v>83</v>
      </c>
      <c r="G300" t="s">
        <v>193</v>
      </c>
      <c r="H300" t="s">
        <v>108</v>
      </c>
      <c r="I300" t="s">
        <v>107</v>
      </c>
      <c r="J300" t="s">
        <v>2840</v>
      </c>
      <c r="K300" t="s">
        <v>187</v>
      </c>
      <c r="L300" t="s">
        <v>2841</v>
      </c>
      <c r="M300" t="s">
        <v>269</v>
      </c>
      <c r="N300" t="s">
        <v>96</v>
      </c>
      <c r="O300" s="27">
        <v>1837000</v>
      </c>
      <c r="P300">
        <v>3</v>
      </c>
      <c r="Q300" t="s">
        <v>164</v>
      </c>
      <c r="R300">
        <v>50</v>
      </c>
      <c r="S300" t="s">
        <v>237</v>
      </c>
      <c r="T300" t="str">
        <f>IF(COUNTIF($A$2:A300,A300)&gt;1,"Duplicate","Unique")</f>
        <v>Unique</v>
      </c>
    </row>
    <row r="301" spans="1:20" x14ac:dyDescent="0.45">
      <c r="A301" t="s">
        <v>1317</v>
      </c>
      <c r="B301" t="s">
        <v>2842</v>
      </c>
      <c r="C301" t="s">
        <v>51</v>
      </c>
      <c r="D301" t="s">
        <v>50</v>
      </c>
      <c r="E301" t="s">
        <v>176</v>
      </c>
      <c r="F301" t="s">
        <v>82</v>
      </c>
      <c r="G301" t="s">
        <v>177</v>
      </c>
      <c r="H301" t="s">
        <v>106</v>
      </c>
      <c r="I301" t="s">
        <v>107</v>
      </c>
      <c r="J301" t="s">
        <v>2843</v>
      </c>
      <c r="K301" t="s">
        <v>162</v>
      </c>
      <c r="M301" t="s">
        <v>163</v>
      </c>
      <c r="N301" t="s">
        <v>99</v>
      </c>
      <c r="O301" s="27">
        <v>891000</v>
      </c>
      <c r="P301">
        <v>3</v>
      </c>
      <c r="Q301" t="s">
        <v>164</v>
      </c>
      <c r="R301">
        <v>56</v>
      </c>
      <c r="S301" t="s">
        <v>178</v>
      </c>
      <c r="T301" t="str">
        <f>IF(COUNTIF($A$2:A301,A301)&gt;1,"Duplicate","Unique")</f>
        <v>Unique</v>
      </c>
    </row>
    <row r="302" spans="1:20" x14ac:dyDescent="0.45">
      <c r="A302" t="s">
        <v>1663</v>
      </c>
      <c r="B302" t="s">
        <v>1296</v>
      </c>
      <c r="C302" t="s">
        <v>57</v>
      </c>
      <c r="D302" t="s">
        <v>56</v>
      </c>
      <c r="E302" t="s">
        <v>222</v>
      </c>
      <c r="F302" t="s">
        <v>82</v>
      </c>
      <c r="G302" t="s">
        <v>223</v>
      </c>
      <c r="H302" t="s">
        <v>109</v>
      </c>
      <c r="I302" t="s">
        <v>110</v>
      </c>
      <c r="J302" t="s">
        <v>2697</v>
      </c>
      <c r="K302" t="s">
        <v>162</v>
      </c>
      <c r="M302" t="s">
        <v>163</v>
      </c>
      <c r="N302" t="s">
        <v>99</v>
      </c>
      <c r="O302" s="27">
        <v>1301000</v>
      </c>
      <c r="P302">
        <v>2</v>
      </c>
      <c r="Q302" t="s">
        <v>172</v>
      </c>
      <c r="R302">
        <v>13</v>
      </c>
      <c r="S302" t="s">
        <v>224</v>
      </c>
      <c r="T302" t="str">
        <f>IF(COUNTIF($A$2:A302,A302)&gt;1,"Duplicate","Unique")</f>
        <v>Unique</v>
      </c>
    </row>
    <row r="303" spans="1:20" x14ac:dyDescent="0.45">
      <c r="A303" t="s">
        <v>2096</v>
      </c>
      <c r="B303" t="s">
        <v>629</v>
      </c>
      <c r="C303" t="s">
        <v>53</v>
      </c>
      <c r="D303" t="s">
        <v>52</v>
      </c>
      <c r="E303" t="s">
        <v>322</v>
      </c>
      <c r="F303" t="s">
        <v>81</v>
      </c>
      <c r="G303" t="s">
        <v>323</v>
      </c>
      <c r="H303" t="s">
        <v>106</v>
      </c>
      <c r="I303" t="s">
        <v>107</v>
      </c>
      <c r="J303" t="s">
        <v>2844</v>
      </c>
      <c r="K303" t="s">
        <v>162</v>
      </c>
      <c r="M303" t="s">
        <v>163</v>
      </c>
      <c r="N303" t="s">
        <v>99</v>
      </c>
      <c r="O303" s="27">
        <v>634000</v>
      </c>
      <c r="P303">
        <v>3</v>
      </c>
      <c r="Q303" t="s">
        <v>164</v>
      </c>
      <c r="R303">
        <v>20</v>
      </c>
      <c r="S303" t="s">
        <v>189</v>
      </c>
      <c r="T303" t="str">
        <f>IF(COUNTIF($A$2:A303,A303)&gt;1,"Duplicate","Unique")</f>
        <v>Unique</v>
      </c>
    </row>
    <row r="304" spans="1:20" x14ac:dyDescent="0.45">
      <c r="A304" t="s">
        <v>622</v>
      </c>
      <c r="B304" t="s">
        <v>623</v>
      </c>
      <c r="C304" t="s">
        <v>53</v>
      </c>
      <c r="D304" t="s">
        <v>52</v>
      </c>
      <c r="E304" t="s">
        <v>322</v>
      </c>
      <c r="F304" t="s">
        <v>81</v>
      </c>
      <c r="G304" t="s">
        <v>323</v>
      </c>
      <c r="H304" t="s">
        <v>108</v>
      </c>
      <c r="I304" t="s">
        <v>107</v>
      </c>
      <c r="J304" t="s">
        <v>2845</v>
      </c>
      <c r="K304" t="s">
        <v>162</v>
      </c>
      <c r="M304" t="s">
        <v>163</v>
      </c>
      <c r="N304" t="s">
        <v>99</v>
      </c>
      <c r="O304" s="27">
        <v>776000</v>
      </c>
      <c r="P304">
        <v>3</v>
      </c>
      <c r="Q304" t="s">
        <v>164</v>
      </c>
      <c r="R304">
        <v>32</v>
      </c>
      <c r="S304" t="s">
        <v>189</v>
      </c>
      <c r="T304" t="str">
        <f>IF(COUNTIF($A$2:A304,A304)&gt;1,"Duplicate","Unique")</f>
        <v>Unique</v>
      </c>
    </row>
    <row r="305" spans="1:20" x14ac:dyDescent="0.45">
      <c r="A305" t="s">
        <v>2154</v>
      </c>
      <c r="B305" t="s">
        <v>1413</v>
      </c>
      <c r="C305" t="s">
        <v>61</v>
      </c>
      <c r="D305" t="s">
        <v>60</v>
      </c>
      <c r="E305" t="s">
        <v>251</v>
      </c>
      <c r="F305" t="s">
        <v>82</v>
      </c>
      <c r="G305" t="s">
        <v>252</v>
      </c>
      <c r="H305" t="s">
        <v>108</v>
      </c>
      <c r="I305" t="s">
        <v>107</v>
      </c>
      <c r="J305" t="s">
        <v>2846</v>
      </c>
      <c r="K305" t="s">
        <v>162</v>
      </c>
      <c r="M305" t="s">
        <v>163</v>
      </c>
      <c r="N305" t="s">
        <v>99</v>
      </c>
      <c r="O305" s="27">
        <v>1267000</v>
      </c>
      <c r="P305">
        <v>3</v>
      </c>
      <c r="Q305" t="s">
        <v>172</v>
      </c>
      <c r="R305">
        <v>26</v>
      </c>
      <c r="S305" t="s">
        <v>253</v>
      </c>
      <c r="T305" t="str">
        <f>IF(COUNTIF($A$2:A305,A305)&gt;1,"Duplicate","Unique")</f>
        <v>Unique</v>
      </c>
    </row>
    <row r="306" spans="1:20" x14ac:dyDescent="0.45">
      <c r="A306" t="s">
        <v>1731</v>
      </c>
      <c r="B306" t="s">
        <v>1597</v>
      </c>
      <c r="C306" t="s">
        <v>51</v>
      </c>
      <c r="D306" t="s">
        <v>50</v>
      </c>
      <c r="E306" t="s">
        <v>176</v>
      </c>
      <c r="F306" t="s">
        <v>82</v>
      </c>
      <c r="G306" t="s">
        <v>177</v>
      </c>
      <c r="H306" t="s">
        <v>106</v>
      </c>
      <c r="I306" t="s">
        <v>107</v>
      </c>
      <c r="J306" t="s">
        <v>2847</v>
      </c>
      <c r="K306" t="s">
        <v>187</v>
      </c>
      <c r="L306" t="s">
        <v>2848</v>
      </c>
      <c r="M306" t="s">
        <v>188</v>
      </c>
      <c r="N306" t="s">
        <v>99</v>
      </c>
      <c r="O306" s="27">
        <v>1195000</v>
      </c>
      <c r="P306">
        <v>4</v>
      </c>
      <c r="Q306" t="s">
        <v>164</v>
      </c>
      <c r="R306">
        <v>58</v>
      </c>
      <c r="S306" t="s">
        <v>244</v>
      </c>
      <c r="T306" t="str">
        <f>IF(COUNTIF($A$2:A306,A306)&gt;1,"Duplicate","Unique")</f>
        <v>Unique</v>
      </c>
    </row>
    <row r="307" spans="1:20" x14ac:dyDescent="0.45">
      <c r="A307" t="s">
        <v>1093</v>
      </c>
      <c r="B307" t="s">
        <v>1094</v>
      </c>
      <c r="C307" t="s">
        <v>51</v>
      </c>
      <c r="D307" t="s">
        <v>50</v>
      </c>
      <c r="E307" t="s">
        <v>181</v>
      </c>
      <c r="F307" t="s">
        <v>81</v>
      </c>
      <c r="G307" t="s">
        <v>182</v>
      </c>
      <c r="H307" t="s">
        <v>106</v>
      </c>
      <c r="I307" t="s">
        <v>107</v>
      </c>
      <c r="J307" t="s">
        <v>2849</v>
      </c>
      <c r="K307" t="s">
        <v>162</v>
      </c>
      <c r="M307" t="s">
        <v>163</v>
      </c>
      <c r="N307" t="s">
        <v>99</v>
      </c>
      <c r="O307" s="27">
        <v>732000</v>
      </c>
      <c r="P307">
        <v>4</v>
      </c>
      <c r="Q307" t="s">
        <v>172</v>
      </c>
      <c r="R307">
        <v>35</v>
      </c>
      <c r="S307" t="s">
        <v>244</v>
      </c>
      <c r="T307" t="str">
        <f>IF(COUNTIF($A$2:A307,A307)&gt;1,"Duplicate","Unique")</f>
        <v>Unique</v>
      </c>
    </row>
    <row r="308" spans="1:20" x14ac:dyDescent="0.45">
      <c r="A308" t="s">
        <v>2112</v>
      </c>
      <c r="B308" t="s">
        <v>828</v>
      </c>
      <c r="C308" t="s">
        <v>59</v>
      </c>
      <c r="D308" t="s">
        <v>58</v>
      </c>
      <c r="E308" t="s">
        <v>211</v>
      </c>
      <c r="F308" t="s">
        <v>82</v>
      </c>
      <c r="G308" t="s">
        <v>212</v>
      </c>
      <c r="H308" t="s">
        <v>2550</v>
      </c>
      <c r="I308" t="s">
        <v>107</v>
      </c>
      <c r="J308" t="s">
        <v>2850</v>
      </c>
      <c r="K308" t="s">
        <v>162</v>
      </c>
      <c r="M308" t="s">
        <v>163</v>
      </c>
      <c r="N308" t="s">
        <v>96</v>
      </c>
      <c r="O308" s="27">
        <v>1346000</v>
      </c>
      <c r="P308">
        <v>4</v>
      </c>
      <c r="Q308" t="s">
        <v>172</v>
      </c>
      <c r="R308">
        <v>37</v>
      </c>
      <c r="S308" t="s">
        <v>214</v>
      </c>
      <c r="T308" t="str">
        <f>IF(COUNTIF($A$2:A308,A308)&gt;1,"Duplicate","Unique")</f>
        <v>Unique</v>
      </c>
    </row>
    <row r="309" spans="1:20" x14ac:dyDescent="0.45">
      <c r="A309" t="s">
        <v>1180</v>
      </c>
      <c r="B309" t="s">
        <v>1181</v>
      </c>
      <c r="C309" t="s">
        <v>55</v>
      </c>
      <c r="D309" t="s">
        <v>54</v>
      </c>
      <c r="E309" t="s">
        <v>277</v>
      </c>
      <c r="F309" t="s">
        <v>81</v>
      </c>
      <c r="G309" t="s">
        <v>278</v>
      </c>
      <c r="H309" t="s">
        <v>106</v>
      </c>
      <c r="I309" t="s">
        <v>107</v>
      </c>
      <c r="J309" t="s">
        <v>2851</v>
      </c>
      <c r="K309" t="s">
        <v>170</v>
      </c>
      <c r="L309" t="s">
        <v>2667</v>
      </c>
      <c r="M309" t="s">
        <v>171</v>
      </c>
      <c r="N309" t="s">
        <v>99</v>
      </c>
      <c r="O309" s="27">
        <v>748000</v>
      </c>
      <c r="P309">
        <v>2</v>
      </c>
      <c r="Q309" t="s">
        <v>164</v>
      </c>
      <c r="R309">
        <v>14</v>
      </c>
      <c r="S309" t="s">
        <v>173</v>
      </c>
      <c r="T309" t="str">
        <f>IF(COUNTIF($A$2:A309,A309)&gt;1,"Duplicate","Unique")</f>
        <v>Unique</v>
      </c>
    </row>
    <row r="310" spans="1:20" x14ac:dyDescent="0.45">
      <c r="A310" t="s">
        <v>2152</v>
      </c>
      <c r="B310" t="s">
        <v>1560</v>
      </c>
      <c r="C310" t="s">
        <v>59</v>
      </c>
      <c r="D310" t="s">
        <v>58</v>
      </c>
      <c r="E310" t="s">
        <v>206</v>
      </c>
      <c r="F310" t="s">
        <v>81</v>
      </c>
      <c r="G310" t="s">
        <v>207</v>
      </c>
      <c r="H310" t="s">
        <v>106</v>
      </c>
      <c r="I310" t="s">
        <v>107</v>
      </c>
      <c r="J310" t="s">
        <v>2852</v>
      </c>
      <c r="K310" t="s">
        <v>162</v>
      </c>
      <c r="M310" t="s">
        <v>163</v>
      </c>
      <c r="N310" t="s">
        <v>99</v>
      </c>
      <c r="O310" s="27">
        <v>740000</v>
      </c>
      <c r="P310">
        <v>4</v>
      </c>
      <c r="Q310" t="s">
        <v>164</v>
      </c>
      <c r="R310">
        <v>22</v>
      </c>
      <c r="S310" t="s">
        <v>214</v>
      </c>
      <c r="T310" t="str">
        <f>IF(COUNTIF($A$2:A310,A310)&gt;1,"Duplicate","Unique")</f>
        <v>Unique</v>
      </c>
    </row>
    <row r="311" spans="1:20" x14ac:dyDescent="0.45">
      <c r="A311" t="s">
        <v>1426</v>
      </c>
      <c r="B311" t="s">
        <v>1029</v>
      </c>
      <c r="C311" t="s">
        <v>55</v>
      </c>
      <c r="D311" t="s">
        <v>54</v>
      </c>
      <c r="E311" t="s">
        <v>277</v>
      </c>
      <c r="F311" t="s">
        <v>81</v>
      </c>
      <c r="G311" t="s">
        <v>278</v>
      </c>
      <c r="H311" t="s">
        <v>108</v>
      </c>
      <c r="I311" t="s">
        <v>107</v>
      </c>
      <c r="J311" t="s">
        <v>2668</v>
      </c>
      <c r="K311" t="s">
        <v>162</v>
      </c>
      <c r="M311" t="s">
        <v>163</v>
      </c>
      <c r="N311" t="s">
        <v>96</v>
      </c>
      <c r="O311" s="27">
        <v>683000</v>
      </c>
      <c r="P311">
        <v>4</v>
      </c>
      <c r="Q311" t="s">
        <v>164</v>
      </c>
      <c r="R311">
        <v>52</v>
      </c>
      <c r="S311" t="s">
        <v>262</v>
      </c>
      <c r="T311" t="str">
        <f>IF(COUNTIF($A$2:A311,A311)&gt;1,"Duplicate","Unique")</f>
        <v>Unique</v>
      </c>
    </row>
    <row r="312" spans="1:20" x14ac:dyDescent="0.45">
      <c r="A312" t="s">
        <v>1477</v>
      </c>
      <c r="B312" t="s">
        <v>889</v>
      </c>
      <c r="C312" t="s">
        <v>59</v>
      </c>
      <c r="D312" t="s">
        <v>58</v>
      </c>
      <c r="E312" t="s">
        <v>206</v>
      </c>
      <c r="F312" t="s">
        <v>81</v>
      </c>
      <c r="G312" t="s">
        <v>207</v>
      </c>
      <c r="H312" t="s">
        <v>111</v>
      </c>
      <c r="I312" t="s">
        <v>110</v>
      </c>
      <c r="J312" t="s">
        <v>2853</v>
      </c>
      <c r="K312" t="s">
        <v>162</v>
      </c>
      <c r="M312" t="s">
        <v>163</v>
      </c>
      <c r="N312" t="s">
        <v>97</v>
      </c>
      <c r="O312" s="27">
        <v>716000</v>
      </c>
      <c r="P312">
        <v>2</v>
      </c>
      <c r="Q312" t="s">
        <v>164</v>
      </c>
      <c r="S312" t="s">
        <v>208</v>
      </c>
      <c r="T312" t="str">
        <f>IF(COUNTIF($A$2:A312,A312)&gt;1,"Duplicate","Unique")</f>
        <v>Unique</v>
      </c>
    </row>
    <row r="313" spans="1:20" x14ac:dyDescent="0.45">
      <c r="A313" t="s">
        <v>534</v>
      </c>
      <c r="B313" t="s">
        <v>535</v>
      </c>
      <c r="C313" t="s">
        <v>51</v>
      </c>
      <c r="D313" t="s">
        <v>2643</v>
      </c>
      <c r="E313" t="s">
        <v>176</v>
      </c>
      <c r="F313" t="s">
        <v>82</v>
      </c>
      <c r="G313" t="s">
        <v>177</v>
      </c>
      <c r="H313" t="s">
        <v>108</v>
      </c>
      <c r="I313" t="s">
        <v>107</v>
      </c>
      <c r="J313" t="s">
        <v>2854</v>
      </c>
      <c r="K313" t="s">
        <v>162</v>
      </c>
      <c r="M313" t="s">
        <v>163</v>
      </c>
      <c r="N313" t="s">
        <v>97</v>
      </c>
      <c r="O313" s="27">
        <v>1242000</v>
      </c>
      <c r="P313">
        <v>3</v>
      </c>
      <c r="Q313" t="s">
        <v>164</v>
      </c>
      <c r="R313">
        <v>33</v>
      </c>
      <c r="S313" t="s">
        <v>197</v>
      </c>
      <c r="T313" t="str">
        <f>IF(COUNTIF($A$2:A313,A313)&gt;1,"Duplicate","Unique")</f>
        <v>Unique</v>
      </c>
    </row>
    <row r="314" spans="1:20" x14ac:dyDescent="0.45">
      <c r="A314" t="s">
        <v>1952</v>
      </c>
      <c r="B314" t="s">
        <v>493</v>
      </c>
      <c r="C314" t="s">
        <v>53</v>
      </c>
      <c r="D314" t="s">
        <v>52</v>
      </c>
      <c r="E314" t="s">
        <v>185</v>
      </c>
      <c r="F314" t="s">
        <v>82</v>
      </c>
      <c r="G314" t="s">
        <v>186</v>
      </c>
      <c r="H314" t="s">
        <v>109</v>
      </c>
      <c r="I314" t="s">
        <v>110</v>
      </c>
      <c r="J314" t="s">
        <v>2855</v>
      </c>
      <c r="K314" t="s">
        <v>162</v>
      </c>
      <c r="M314" t="s">
        <v>163</v>
      </c>
      <c r="N314" t="s">
        <v>96</v>
      </c>
      <c r="O314" s="27">
        <v>1301000</v>
      </c>
      <c r="P314">
        <v>3</v>
      </c>
      <c r="Q314" t="s">
        <v>172</v>
      </c>
      <c r="R314">
        <v>21</v>
      </c>
      <c r="S314" t="s">
        <v>189</v>
      </c>
      <c r="T314" t="str">
        <f>IF(COUNTIF($A$2:A314,A314)&gt;1,"Duplicate","Unique")</f>
        <v>Unique</v>
      </c>
    </row>
    <row r="315" spans="1:20" x14ac:dyDescent="0.45">
      <c r="A315" t="s">
        <v>2056</v>
      </c>
      <c r="B315" t="s">
        <v>479</v>
      </c>
      <c r="C315" t="s">
        <v>51</v>
      </c>
      <c r="D315" t="s">
        <v>50</v>
      </c>
      <c r="E315" t="s">
        <v>217</v>
      </c>
      <c r="F315" t="s">
        <v>83</v>
      </c>
      <c r="G315" t="s">
        <v>218</v>
      </c>
      <c r="H315" t="s">
        <v>108</v>
      </c>
      <c r="I315" t="s">
        <v>107</v>
      </c>
      <c r="J315" t="s">
        <v>2856</v>
      </c>
      <c r="K315" t="s">
        <v>162</v>
      </c>
      <c r="M315" t="s">
        <v>163</v>
      </c>
      <c r="N315" t="s">
        <v>98</v>
      </c>
      <c r="O315" s="27">
        <v>1552000</v>
      </c>
      <c r="P315">
        <v>4</v>
      </c>
      <c r="Q315" t="s">
        <v>172</v>
      </c>
      <c r="R315">
        <v>47</v>
      </c>
      <c r="S315" t="s">
        <v>219</v>
      </c>
      <c r="T315" t="str">
        <f>IF(COUNTIF($A$2:A315,A315)&gt;1,"Duplicate","Unique")</f>
        <v>Unique</v>
      </c>
    </row>
    <row r="316" spans="1:20" x14ac:dyDescent="0.45">
      <c r="A316" t="s">
        <v>1190</v>
      </c>
      <c r="B316" t="s">
        <v>2857</v>
      </c>
      <c r="C316" t="s">
        <v>57</v>
      </c>
      <c r="D316" t="s">
        <v>56</v>
      </c>
      <c r="E316" t="s">
        <v>222</v>
      </c>
      <c r="F316" t="s">
        <v>82</v>
      </c>
      <c r="G316" t="s">
        <v>223</v>
      </c>
      <c r="H316" t="s">
        <v>106</v>
      </c>
      <c r="I316" t="s">
        <v>107</v>
      </c>
      <c r="J316" t="s">
        <v>2614</v>
      </c>
      <c r="K316" t="s">
        <v>187</v>
      </c>
      <c r="L316" t="s">
        <v>2858</v>
      </c>
      <c r="M316" t="s">
        <v>282</v>
      </c>
      <c r="N316" t="s">
        <v>95</v>
      </c>
      <c r="O316" s="27">
        <v>1092000</v>
      </c>
      <c r="P316">
        <v>3</v>
      </c>
      <c r="Q316" t="s">
        <v>2584</v>
      </c>
      <c r="R316">
        <v>48</v>
      </c>
      <c r="S316" t="s">
        <v>224</v>
      </c>
      <c r="T316" t="str">
        <f>IF(COUNTIF($A$2:A316,A316)&gt;1,"Duplicate","Unique")</f>
        <v>Unique</v>
      </c>
    </row>
    <row r="317" spans="1:20" x14ac:dyDescent="0.45">
      <c r="A317" t="s">
        <v>1230</v>
      </c>
      <c r="B317" t="s">
        <v>1231</v>
      </c>
      <c r="C317" t="s">
        <v>51</v>
      </c>
      <c r="D317" t="s">
        <v>50</v>
      </c>
      <c r="E317" t="s">
        <v>176</v>
      </c>
      <c r="F317" t="s">
        <v>82</v>
      </c>
      <c r="G317" t="s">
        <v>177</v>
      </c>
      <c r="H317" t="s">
        <v>106</v>
      </c>
      <c r="I317" t="s">
        <v>107</v>
      </c>
      <c r="J317" t="s">
        <v>2579</v>
      </c>
      <c r="K317" t="s">
        <v>170</v>
      </c>
      <c r="L317" t="s">
        <v>2859</v>
      </c>
      <c r="M317" t="s">
        <v>171</v>
      </c>
      <c r="N317" t="s">
        <v>96</v>
      </c>
      <c r="O317" s="27">
        <v>853000</v>
      </c>
      <c r="P317">
        <v>2</v>
      </c>
      <c r="Q317" t="s">
        <v>172</v>
      </c>
      <c r="R317">
        <v>35</v>
      </c>
      <c r="S317" t="s">
        <v>219</v>
      </c>
      <c r="T317" t="str">
        <f>IF(COUNTIF($A$2:A317,A317)&gt;1,"Duplicate","Unique")</f>
        <v>Unique</v>
      </c>
    </row>
    <row r="318" spans="1:20" x14ac:dyDescent="0.45">
      <c r="A318" t="s">
        <v>1215</v>
      </c>
      <c r="B318" t="s">
        <v>1088</v>
      </c>
      <c r="C318" t="s">
        <v>55</v>
      </c>
      <c r="D318" t="s">
        <v>54</v>
      </c>
      <c r="E318" t="s">
        <v>229</v>
      </c>
      <c r="F318" t="s">
        <v>82</v>
      </c>
      <c r="G318" t="s">
        <v>230</v>
      </c>
      <c r="H318" t="s">
        <v>106</v>
      </c>
      <c r="I318" t="s">
        <v>107</v>
      </c>
      <c r="J318" t="s">
        <v>2794</v>
      </c>
      <c r="K318" t="s">
        <v>162</v>
      </c>
      <c r="M318" t="s">
        <v>163</v>
      </c>
      <c r="N318" t="s">
        <v>97</v>
      </c>
      <c r="O318" s="27">
        <v>1176000</v>
      </c>
      <c r="P318">
        <v>3</v>
      </c>
      <c r="Q318" t="s">
        <v>164</v>
      </c>
      <c r="R318">
        <v>47</v>
      </c>
      <c r="S318" t="s">
        <v>173</v>
      </c>
      <c r="T318" t="str">
        <f>IF(COUNTIF($A$2:A318,A318)&gt;1,"Duplicate","Unique")</f>
        <v>Unique</v>
      </c>
    </row>
    <row r="319" spans="1:20" x14ac:dyDescent="0.45">
      <c r="A319" t="s">
        <v>2076</v>
      </c>
      <c r="B319" t="s">
        <v>2077</v>
      </c>
      <c r="C319" t="s">
        <v>53</v>
      </c>
      <c r="D319" t="s">
        <v>52</v>
      </c>
      <c r="E319" t="s">
        <v>322</v>
      </c>
      <c r="F319" t="s">
        <v>81</v>
      </c>
      <c r="G319" t="s">
        <v>323</v>
      </c>
      <c r="H319" t="s">
        <v>112</v>
      </c>
      <c r="I319" t="s">
        <v>113</v>
      </c>
      <c r="J319" t="s">
        <v>2860</v>
      </c>
      <c r="K319" t="s">
        <v>162</v>
      </c>
      <c r="M319" t="s">
        <v>163</v>
      </c>
      <c r="N319" t="s">
        <v>99</v>
      </c>
      <c r="O319" s="27">
        <v>603000</v>
      </c>
      <c r="P319">
        <v>2</v>
      </c>
      <c r="Q319" t="s">
        <v>172</v>
      </c>
      <c r="R319">
        <v>41</v>
      </c>
      <c r="S319" t="s">
        <v>237</v>
      </c>
      <c r="T319" t="str">
        <f>IF(COUNTIF($A$2:A319,A319)&gt;1,"Duplicate","Unique")</f>
        <v>Unique</v>
      </c>
    </row>
    <row r="320" spans="1:20" x14ac:dyDescent="0.45">
      <c r="A320" t="s">
        <v>1376</v>
      </c>
      <c r="B320" t="s">
        <v>903</v>
      </c>
      <c r="C320" t="s">
        <v>53</v>
      </c>
      <c r="D320" t="s">
        <v>52</v>
      </c>
      <c r="E320" t="s">
        <v>322</v>
      </c>
      <c r="F320" t="s">
        <v>81</v>
      </c>
      <c r="G320" t="s">
        <v>323</v>
      </c>
      <c r="H320" t="s">
        <v>108</v>
      </c>
      <c r="I320" t="s">
        <v>107</v>
      </c>
      <c r="J320" t="s">
        <v>2861</v>
      </c>
      <c r="K320" t="s">
        <v>170</v>
      </c>
      <c r="L320" t="s">
        <v>2862</v>
      </c>
      <c r="M320" t="s">
        <v>171</v>
      </c>
      <c r="N320" t="s">
        <v>96</v>
      </c>
      <c r="O320" s="27">
        <v>723000</v>
      </c>
      <c r="P320">
        <v>1</v>
      </c>
      <c r="Q320" t="s">
        <v>172</v>
      </c>
      <c r="R320">
        <v>20</v>
      </c>
      <c r="S320" t="s">
        <v>237</v>
      </c>
      <c r="T320" t="str">
        <f>IF(COUNTIF($A$2:A320,A320)&gt;1,"Duplicate","Unique")</f>
        <v>Unique</v>
      </c>
    </row>
    <row r="321" spans="1:20" x14ac:dyDescent="0.45">
      <c r="A321" t="s">
        <v>2341</v>
      </c>
      <c r="B321" t="s">
        <v>932</v>
      </c>
      <c r="C321" t="s">
        <v>51</v>
      </c>
      <c r="D321" t="s">
        <v>50</v>
      </c>
      <c r="E321" t="s">
        <v>217</v>
      </c>
      <c r="F321" t="s">
        <v>83</v>
      </c>
      <c r="G321" t="s">
        <v>218</v>
      </c>
      <c r="H321" t="s">
        <v>108</v>
      </c>
      <c r="I321" t="s">
        <v>107</v>
      </c>
      <c r="J321" t="s">
        <v>2863</v>
      </c>
      <c r="K321" t="s">
        <v>162</v>
      </c>
      <c r="M321" t="s">
        <v>163</v>
      </c>
      <c r="N321" t="s">
        <v>99</v>
      </c>
      <c r="O321" s="27">
        <v>2065000</v>
      </c>
      <c r="P321">
        <v>2</v>
      </c>
      <c r="Q321" t="s">
        <v>164</v>
      </c>
      <c r="R321">
        <v>17</v>
      </c>
      <c r="S321" t="s">
        <v>219</v>
      </c>
      <c r="T321" t="str">
        <f>IF(COUNTIF($A$2:A321,A321)&gt;1,"Duplicate","Unique")</f>
        <v>Unique</v>
      </c>
    </row>
    <row r="322" spans="1:20" x14ac:dyDescent="0.45">
      <c r="A322" t="s">
        <v>2071</v>
      </c>
      <c r="B322" t="s">
        <v>1162</v>
      </c>
      <c r="C322" t="s">
        <v>57</v>
      </c>
      <c r="D322" t="s">
        <v>56</v>
      </c>
      <c r="E322" t="s">
        <v>160</v>
      </c>
      <c r="F322" t="s">
        <v>81</v>
      </c>
      <c r="G322" t="s">
        <v>161</v>
      </c>
      <c r="H322" t="s">
        <v>111</v>
      </c>
      <c r="I322" t="s">
        <v>110</v>
      </c>
      <c r="J322" t="s">
        <v>2864</v>
      </c>
      <c r="K322" t="s">
        <v>162</v>
      </c>
      <c r="M322" t="s">
        <v>163</v>
      </c>
      <c r="N322" t="s">
        <v>95</v>
      </c>
      <c r="O322" s="27">
        <v>789000</v>
      </c>
      <c r="P322">
        <v>5</v>
      </c>
      <c r="Q322" t="s">
        <v>164</v>
      </c>
      <c r="R322">
        <v>17</v>
      </c>
      <c r="S322" t="s">
        <v>165</v>
      </c>
      <c r="T322" t="str">
        <f>IF(COUNTIF($A$2:A322,A322)&gt;1,"Duplicate","Unique")</f>
        <v>Unique</v>
      </c>
    </row>
    <row r="323" spans="1:20" x14ac:dyDescent="0.45">
      <c r="A323" t="s">
        <v>1534</v>
      </c>
      <c r="B323" t="s">
        <v>724</v>
      </c>
      <c r="C323" t="s">
        <v>53</v>
      </c>
      <c r="D323" t="s">
        <v>52</v>
      </c>
      <c r="E323" t="s">
        <v>185</v>
      </c>
      <c r="F323" t="s">
        <v>82</v>
      </c>
      <c r="G323" t="s">
        <v>186</v>
      </c>
      <c r="H323" t="s">
        <v>106</v>
      </c>
      <c r="I323" t="s">
        <v>107</v>
      </c>
      <c r="J323" t="s">
        <v>2563</v>
      </c>
      <c r="K323" t="s">
        <v>162</v>
      </c>
      <c r="M323" t="s">
        <v>163</v>
      </c>
      <c r="N323" t="s">
        <v>95</v>
      </c>
      <c r="O323" s="27">
        <v>927000</v>
      </c>
      <c r="P323">
        <v>4</v>
      </c>
      <c r="Q323" t="s">
        <v>172</v>
      </c>
      <c r="R323">
        <v>18</v>
      </c>
      <c r="S323" t="s">
        <v>237</v>
      </c>
      <c r="T323" t="str">
        <f>IF(COUNTIF($A$2:A323,A323)&gt;1,"Duplicate","Unique")</f>
        <v>Unique</v>
      </c>
    </row>
    <row r="324" spans="1:20" x14ac:dyDescent="0.45">
      <c r="A324" t="s">
        <v>872</v>
      </c>
      <c r="B324" t="s">
        <v>2865</v>
      </c>
      <c r="C324" t="s">
        <v>61</v>
      </c>
      <c r="D324" t="s">
        <v>60</v>
      </c>
      <c r="E324" t="s">
        <v>251</v>
      </c>
      <c r="F324" t="s">
        <v>82</v>
      </c>
      <c r="G324" t="s">
        <v>252</v>
      </c>
      <c r="H324" t="s">
        <v>106</v>
      </c>
      <c r="I324" t="s">
        <v>107</v>
      </c>
      <c r="J324" t="s">
        <v>2866</v>
      </c>
      <c r="K324" t="s">
        <v>162</v>
      </c>
      <c r="M324" t="s">
        <v>163</v>
      </c>
      <c r="N324" t="s">
        <v>99</v>
      </c>
      <c r="O324" s="27">
        <v>1117000</v>
      </c>
      <c r="P324">
        <v>2</v>
      </c>
      <c r="Q324" t="s">
        <v>164</v>
      </c>
      <c r="R324">
        <v>6</v>
      </c>
      <c r="S324" t="s">
        <v>253</v>
      </c>
      <c r="T324" t="str">
        <f>IF(COUNTIF($A$2:A324,A324)&gt;1,"Duplicate","Unique")</f>
        <v>Unique</v>
      </c>
    </row>
    <row r="325" spans="1:20" x14ac:dyDescent="0.45">
      <c r="A325" t="s">
        <v>502</v>
      </c>
      <c r="B325" t="s">
        <v>503</v>
      </c>
      <c r="C325" t="s">
        <v>57</v>
      </c>
      <c r="D325" t="s">
        <v>56</v>
      </c>
      <c r="E325" t="s">
        <v>222</v>
      </c>
      <c r="F325" t="s">
        <v>82</v>
      </c>
      <c r="G325" t="s">
        <v>223</v>
      </c>
      <c r="H325" t="s">
        <v>106</v>
      </c>
      <c r="I325" t="s">
        <v>107</v>
      </c>
      <c r="J325" t="s">
        <v>2867</v>
      </c>
      <c r="K325" t="s">
        <v>162</v>
      </c>
      <c r="M325" t="s">
        <v>163</v>
      </c>
      <c r="N325" t="s">
        <v>95</v>
      </c>
      <c r="O325" s="27">
        <v>1118000</v>
      </c>
      <c r="P325">
        <v>3</v>
      </c>
      <c r="Q325" t="s">
        <v>164</v>
      </c>
      <c r="R325">
        <v>25</v>
      </c>
      <c r="S325" t="s">
        <v>224</v>
      </c>
      <c r="T325" t="str">
        <f>IF(COUNTIF($A$2:A325,A325)&gt;1,"Duplicate","Unique")</f>
        <v>Unique</v>
      </c>
    </row>
    <row r="326" spans="1:20" x14ac:dyDescent="0.45">
      <c r="A326" t="s">
        <v>2333</v>
      </c>
      <c r="B326" t="s">
        <v>780</v>
      </c>
      <c r="C326" t="s">
        <v>55</v>
      </c>
      <c r="D326" t="s">
        <v>54</v>
      </c>
      <c r="E326" t="s">
        <v>229</v>
      </c>
      <c r="F326" t="s">
        <v>82</v>
      </c>
      <c r="G326" t="s">
        <v>230</v>
      </c>
      <c r="H326" t="s">
        <v>108</v>
      </c>
      <c r="I326" t="s">
        <v>107</v>
      </c>
      <c r="J326" t="s">
        <v>2868</v>
      </c>
      <c r="K326" t="s">
        <v>162</v>
      </c>
      <c r="M326" t="s">
        <v>163</v>
      </c>
      <c r="N326" t="s">
        <v>96</v>
      </c>
      <c r="O326" s="27">
        <v>1174000</v>
      </c>
      <c r="P326">
        <v>3</v>
      </c>
      <c r="Q326" t="s">
        <v>172</v>
      </c>
      <c r="R326">
        <v>59</v>
      </c>
      <c r="S326" t="s">
        <v>262</v>
      </c>
      <c r="T326" t="str">
        <f>IF(COUNTIF($A$2:A326,A326)&gt;1,"Duplicate","Unique")</f>
        <v>Unique</v>
      </c>
    </row>
    <row r="327" spans="1:20" x14ac:dyDescent="0.45">
      <c r="A327" t="s">
        <v>1427</v>
      </c>
      <c r="B327" t="s">
        <v>914</v>
      </c>
      <c r="C327" t="s">
        <v>51</v>
      </c>
      <c r="D327" t="s">
        <v>50</v>
      </c>
      <c r="E327" t="s">
        <v>181</v>
      </c>
      <c r="F327" t="s">
        <v>81</v>
      </c>
      <c r="G327" t="s">
        <v>182</v>
      </c>
      <c r="H327" t="s">
        <v>106</v>
      </c>
      <c r="I327" t="s">
        <v>107</v>
      </c>
      <c r="J327" t="s">
        <v>2668</v>
      </c>
      <c r="K327" t="s">
        <v>162</v>
      </c>
      <c r="M327" t="s">
        <v>163</v>
      </c>
      <c r="N327" t="s">
        <v>99</v>
      </c>
      <c r="O327" s="27">
        <v>617000</v>
      </c>
      <c r="P327">
        <v>3</v>
      </c>
      <c r="Q327" t="s">
        <v>172</v>
      </c>
      <c r="R327">
        <v>49</v>
      </c>
      <c r="S327" t="s">
        <v>244</v>
      </c>
      <c r="T327" t="str">
        <f>IF(COUNTIF($A$2:A327,A327)&gt;1,"Duplicate","Unique")</f>
        <v>Unique</v>
      </c>
    </row>
    <row r="328" spans="1:20" x14ac:dyDescent="0.45">
      <c r="A328" t="s">
        <v>2250</v>
      </c>
      <c r="B328" t="s">
        <v>2869</v>
      </c>
      <c r="C328" t="s">
        <v>57</v>
      </c>
      <c r="D328" t="s">
        <v>56</v>
      </c>
      <c r="E328" t="s">
        <v>455</v>
      </c>
      <c r="F328" t="s">
        <v>84</v>
      </c>
      <c r="G328" t="s">
        <v>456</v>
      </c>
      <c r="H328" t="s">
        <v>109</v>
      </c>
      <c r="I328" t="s">
        <v>110</v>
      </c>
      <c r="J328" t="s">
        <v>2870</v>
      </c>
      <c r="K328" t="s">
        <v>162</v>
      </c>
      <c r="M328" t="s">
        <v>163</v>
      </c>
      <c r="N328" t="s">
        <v>95</v>
      </c>
      <c r="O328" s="27">
        <v>3104000</v>
      </c>
      <c r="P328">
        <v>2</v>
      </c>
      <c r="Q328" t="s">
        <v>164</v>
      </c>
      <c r="R328">
        <v>17</v>
      </c>
      <c r="S328" t="s">
        <v>224</v>
      </c>
      <c r="T328" t="str">
        <f>IF(COUNTIF($A$2:A328,A328)&gt;1,"Duplicate","Unique")</f>
        <v>Unique</v>
      </c>
    </row>
    <row r="329" spans="1:20" x14ac:dyDescent="0.45">
      <c r="A329" t="s">
        <v>412</v>
      </c>
      <c r="B329" t="s">
        <v>413</v>
      </c>
      <c r="C329" t="s">
        <v>59</v>
      </c>
      <c r="D329" t="s">
        <v>58</v>
      </c>
      <c r="E329" t="s">
        <v>206</v>
      </c>
      <c r="F329" t="s">
        <v>81</v>
      </c>
      <c r="G329" t="s">
        <v>207</v>
      </c>
      <c r="H329" t="s">
        <v>111</v>
      </c>
      <c r="I329" t="s">
        <v>110</v>
      </c>
      <c r="J329" t="s">
        <v>2871</v>
      </c>
      <c r="K329" t="s">
        <v>162</v>
      </c>
      <c r="M329" t="s">
        <v>163</v>
      </c>
      <c r="N329" t="s">
        <v>96</v>
      </c>
      <c r="O329" s="27">
        <v>675000</v>
      </c>
      <c r="P329">
        <v>3</v>
      </c>
      <c r="Q329" t="s">
        <v>172</v>
      </c>
      <c r="R329">
        <v>39</v>
      </c>
      <c r="S329" t="s">
        <v>214</v>
      </c>
      <c r="T329" t="str">
        <f>IF(COUNTIF($A$2:A329,A329)&gt;1,"Duplicate","Unique")</f>
        <v>Unique</v>
      </c>
    </row>
    <row r="330" spans="1:20" x14ac:dyDescent="0.45">
      <c r="A330" t="s">
        <v>1112</v>
      </c>
      <c r="B330" t="s">
        <v>595</v>
      </c>
      <c r="C330" t="s">
        <v>57</v>
      </c>
      <c r="D330" t="s">
        <v>56</v>
      </c>
      <c r="E330" t="s">
        <v>222</v>
      </c>
      <c r="F330" t="s">
        <v>82</v>
      </c>
      <c r="G330" t="s">
        <v>223</v>
      </c>
      <c r="H330" t="s">
        <v>111</v>
      </c>
      <c r="I330" t="s">
        <v>110</v>
      </c>
      <c r="J330" t="s">
        <v>2872</v>
      </c>
      <c r="K330" t="s">
        <v>162</v>
      </c>
      <c r="M330" t="s">
        <v>163</v>
      </c>
      <c r="N330" t="s">
        <v>95</v>
      </c>
      <c r="O330" s="27">
        <v>953000</v>
      </c>
      <c r="P330">
        <v>3</v>
      </c>
      <c r="Q330" t="s">
        <v>164</v>
      </c>
      <c r="R330">
        <v>43</v>
      </c>
      <c r="S330" t="s">
        <v>165</v>
      </c>
      <c r="T330" t="str">
        <f>IF(COUNTIF($A$2:A330,A330)&gt;1,"Duplicate","Unique")</f>
        <v>Unique</v>
      </c>
    </row>
    <row r="331" spans="1:20" x14ac:dyDescent="0.45">
      <c r="A331" t="s">
        <v>2311</v>
      </c>
      <c r="B331" t="s">
        <v>205</v>
      </c>
      <c r="C331" t="s">
        <v>53</v>
      </c>
      <c r="D331" t="s">
        <v>52</v>
      </c>
      <c r="E331" t="s">
        <v>185</v>
      </c>
      <c r="F331" t="s">
        <v>82</v>
      </c>
      <c r="G331" t="s">
        <v>186</v>
      </c>
      <c r="H331" t="s">
        <v>2535</v>
      </c>
      <c r="I331" t="s">
        <v>107</v>
      </c>
      <c r="J331" t="s">
        <v>2626</v>
      </c>
      <c r="K331" t="s">
        <v>162</v>
      </c>
      <c r="M331" t="s">
        <v>163</v>
      </c>
      <c r="N331" t="s">
        <v>95</v>
      </c>
      <c r="O331" s="27">
        <v>1000000</v>
      </c>
      <c r="Q331" t="s">
        <v>172</v>
      </c>
      <c r="R331">
        <v>27</v>
      </c>
      <c r="S331" t="s">
        <v>189</v>
      </c>
      <c r="T331" t="str">
        <f>IF(COUNTIF($A$2:A331,A331)&gt;1,"Duplicate","Unique")</f>
        <v>Unique</v>
      </c>
    </row>
    <row r="332" spans="1:20" x14ac:dyDescent="0.45">
      <c r="A332" t="s">
        <v>2300</v>
      </c>
      <c r="B332" t="s">
        <v>726</v>
      </c>
      <c r="C332" t="s">
        <v>53</v>
      </c>
      <c r="D332" t="s">
        <v>52</v>
      </c>
      <c r="E332" t="s">
        <v>192</v>
      </c>
      <c r="F332" t="s">
        <v>83</v>
      </c>
      <c r="G332" t="s">
        <v>193</v>
      </c>
      <c r="H332" t="s">
        <v>109</v>
      </c>
      <c r="I332" t="s">
        <v>110</v>
      </c>
      <c r="J332" t="s">
        <v>2587</v>
      </c>
      <c r="K332" t="s">
        <v>162</v>
      </c>
      <c r="M332" t="s">
        <v>163</v>
      </c>
      <c r="N332" t="s">
        <v>95</v>
      </c>
      <c r="O332" s="27">
        <v>1473000</v>
      </c>
      <c r="Q332" t="s">
        <v>164</v>
      </c>
      <c r="R332">
        <v>49</v>
      </c>
      <c r="S332" t="s">
        <v>189</v>
      </c>
      <c r="T332" t="str">
        <f>IF(COUNTIF($A$2:A332,A332)&gt;1,"Duplicate","Unique")</f>
        <v>Unique</v>
      </c>
    </row>
    <row r="333" spans="1:20" x14ac:dyDescent="0.45">
      <c r="A333" t="s">
        <v>1668</v>
      </c>
      <c r="B333" t="s">
        <v>1669</v>
      </c>
      <c r="C333" t="s">
        <v>57</v>
      </c>
      <c r="D333" t="s">
        <v>56</v>
      </c>
      <c r="E333" t="s">
        <v>160</v>
      </c>
      <c r="F333" t="s">
        <v>81</v>
      </c>
      <c r="G333" t="s">
        <v>161</v>
      </c>
      <c r="H333" t="s">
        <v>111</v>
      </c>
      <c r="I333" t="s">
        <v>110</v>
      </c>
      <c r="J333" t="s">
        <v>2873</v>
      </c>
      <c r="K333" t="s">
        <v>162</v>
      </c>
      <c r="M333" t="s">
        <v>163</v>
      </c>
      <c r="N333" t="s">
        <v>99</v>
      </c>
      <c r="O333" s="27">
        <v>678000</v>
      </c>
      <c r="P333">
        <v>3</v>
      </c>
      <c r="Q333" t="s">
        <v>172</v>
      </c>
      <c r="R333">
        <v>33</v>
      </c>
      <c r="S333" t="s">
        <v>224</v>
      </c>
      <c r="T333" t="str">
        <f>IF(COUNTIF($A$2:A333,A333)&gt;1,"Duplicate","Unique")</f>
        <v>Unique</v>
      </c>
    </row>
    <row r="334" spans="1:20" x14ac:dyDescent="0.45">
      <c r="A334" t="s">
        <v>2060</v>
      </c>
      <c r="B334" t="s">
        <v>2874</v>
      </c>
      <c r="C334" t="s">
        <v>57</v>
      </c>
      <c r="D334" t="s">
        <v>56</v>
      </c>
      <c r="E334" t="s">
        <v>160</v>
      </c>
      <c r="F334" t="s">
        <v>81</v>
      </c>
      <c r="G334" t="s">
        <v>161</v>
      </c>
      <c r="H334" t="s">
        <v>108</v>
      </c>
      <c r="I334" t="s">
        <v>107</v>
      </c>
      <c r="J334" t="s">
        <v>2875</v>
      </c>
      <c r="K334" t="s">
        <v>162</v>
      </c>
      <c r="M334" t="s">
        <v>163</v>
      </c>
      <c r="N334" t="s">
        <v>98</v>
      </c>
      <c r="O334" s="27">
        <v>559000</v>
      </c>
      <c r="P334">
        <v>4</v>
      </c>
      <c r="Q334" t="s">
        <v>164</v>
      </c>
      <c r="R334">
        <v>31</v>
      </c>
      <c r="S334" t="s">
        <v>224</v>
      </c>
      <c r="T334" t="str">
        <f>IF(COUNTIF($A$2:A334,A334)&gt;1,"Duplicate","Unique")</f>
        <v>Unique</v>
      </c>
    </row>
    <row r="335" spans="1:20" x14ac:dyDescent="0.45">
      <c r="A335" t="s">
        <v>2228</v>
      </c>
      <c r="B335" t="s">
        <v>487</v>
      </c>
      <c r="C335" t="s">
        <v>53</v>
      </c>
      <c r="D335" t="s">
        <v>52</v>
      </c>
      <c r="E335" t="s">
        <v>192</v>
      </c>
      <c r="F335" t="s">
        <v>83</v>
      </c>
      <c r="G335" t="s">
        <v>193</v>
      </c>
      <c r="H335" t="s">
        <v>106</v>
      </c>
      <c r="I335" t="s">
        <v>107</v>
      </c>
      <c r="J335" t="s">
        <v>2876</v>
      </c>
      <c r="K335" t="s">
        <v>162</v>
      </c>
      <c r="M335" t="s">
        <v>163</v>
      </c>
      <c r="N335" t="s">
        <v>97</v>
      </c>
      <c r="O335" s="27">
        <v>1511000</v>
      </c>
      <c r="P335">
        <v>1</v>
      </c>
      <c r="Q335" t="s">
        <v>172</v>
      </c>
      <c r="R335">
        <v>13</v>
      </c>
      <c r="S335" t="s">
        <v>237</v>
      </c>
      <c r="T335" t="str">
        <f>IF(COUNTIF($A$2:A335,A335)&gt;1,"Duplicate","Unique")</f>
        <v>Unique</v>
      </c>
    </row>
    <row r="336" spans="1:20" x14ac:dyDescent="0.45">
      <c r="A336" t="s">
        <v>358</v>
      </c>
      <c r="B336" t="s">
        <v>359</v>
      </c>
      <c r="C336" t="s">
        <v>57</v>
      </c>
      <c r="D336" t="s">
        <v>2484</v>
      </c>
      <c r="E336" t="s">
        <v>222</v>
      </c>
      <c r="F336" t="s">
        <v>82</v>
      </c>
      <c r="G336" t="s">
        <v>223</v>
      </c>
      <c r="H336" t="s">
        <v>109</v>
      </c>
      <c r="I336" t="s">
        <v>110</v>
      </c>
      <c r="J336" t="s">
        <v>2877</v>
      </c>
      <c r="K336" t="s">
        <v>187</v>
      </c>
      <c r="L336" t="s">
        <v>2638</v>
      </c>
      <c r="M336" t="s">
        <v>213</v>
      </c>
      <c r="N336" t="s">
        <v>99</v>
      </c>
      <c r="O336" s="27">
        <v>949000</v>
      </c>
      <c r="P336">
        <v>4</v>
      </c>
      <c r="Q336" t="s">
        <v>164</v>
      </c>
      <c r="R336">
        <v>42</v>
      </c>
      <c r="S336" t="s">
        <v>224</v>
      </c>
      <c r="T336" t="str">
        <f>IF(COUNTIF($A$2:A336,A336)&gt;1,"Duplicate","Unique")</f>
        <v>Unique</v>
      </c>
    </row>
    <row r="337" spans="1:20" x14ac:dyDescent="0.45">
      <c r="A337" t="s">
        <v>2028</v>
      </c>
      <c r="B337" t="s">
        <v>2029</v>
      </c>
      <c r="C337" t="s">
        <v>59</v>
      </c>
      <c r="D337" t="s">
        <v>58</v>
      </c>
      <c r="E337" t="s">
        <v>287</v>
      </c>
      <c r="F337" t="s">
        <v>83</v>
      </c>
      <c r="G337" t="s">
        <v>288</v>
      </c>
      <c r="H337" t="s">
        <v>109</v>
      </c>
      <c r="I337" t="s">
        <v>110</v>
      </c>
      <c r="J337" t="s">
        <v>2807</v>
      </c>
      <c r="K337" t="s">
        <v>162</v>
      </c>
      <c r="M337" t="s">
        <v>163</v>
      </c>
      <c r="N337" t="s">
        <v>98</v>
      </c>
      <c r="O337" s="27">
        <v>1611000</v>
      </c>
      <c r="P337">
        <v>3</v>
      </c>
      <c r="Q337" t="s">
        <v>164</v>
      </c>
      <c r="R337">
        <v>44</v>
      </c>
      <c r="S337" t="s">
        <v>214</v>
      </c>
      <c r="T337" t="str">
        <f>IF(COUNTIF($A$2:A337,A337)&gt;1,"Duplicate","Unique")</f>
        <v>Unique</v>
      </c>
    </row>
    <row r="338" spans="1:20" x14ac:dyDescent="0.45">
      <c r="A338" t="s">
        <v>1308</v>
      </c>
      <c r="B338" t="s">
        <v>664</v>
      </c>
      <c r="C338" t="s">
        <v>51</v>
      </c>
      <c r="D338" t="s">
        <v>50</v>
      </c>
      <c r="E338" t="s">
        <v>176</v>
      </c>
      <c r="F338" t="s">
        <v>82</v>
      </c>
      <c r="G338" t="s">
        <v>177</v>
      </c>
      <c r="H338" t="s">
        <v>106</v>
      </c>
      <c r="I338" t="s">
        <v>107</v>
      </c>
      <c r="J338" t="s">
        <v>2878</v>
      </c>
      <c r="K338" t="s">
        <v>170</v>
      </c>
      <c r="L338" t="s">
        <v>2879</v>
      </c>
      <c r="M338" t="s">
        <v>171</v>
      </c>
      <c r="N338" t="s">
        <v>99</v>
      </c>
      <c r="O338" s="27">
        <v>917000</v>
      </c>
      <c r="P338">
        <v>2</v>
      </c>
      <c r="Q338" t="s">
        <v>172</v>
      </c>
      <c r="R338">
        <v>12</v>
      </c>
      <c r="S338" t="s">
        <v>197</v>
      </c>
      <c r="T338" t="str">
        <f>IF(COUNTIF($A$2:A338,A338)&gt;1,"Duplicate","Unique")</f>
        <v>Unique</v>
      </c>
    </row>
    <row r="339" spans="1:20" x14ac:dyDescent="0.45">
      <c r="A339" t="s">
        <v>1206</v>
      </c>
      <c r="B339" t="s">
        <v>1207</v>
      </c>
      <c r="C339" t="s">
        <v>57</v>
      </c>
      <c r="D339" t="s">
        <v>56</v>
      </c>
      <c r="E339" t="s">
        <v>160</v>
      </c>
      <c r="F339" t="s">
        <v>81</v>
      </c>
      <c r="G339" t="s">
        <v>161</v>
      </c>
      <c r="H339" t="s">
        <v>2880</v>
      </c>
      <c r="I339" t="s">
        <v>113</v>
      </c>
      <c r="J339" t="s">
        <v>2881</v>
      </c>
      <c r="K339" t="s">
        <v>170</v>
      </c>
      <c r="L339" t="s">
        <v>2882</v>
      </c>
      <c r="M339" t="s">
        <v>171</v>
      </c>
      <c r="N339" t="s">
        <v>95</v>
      </c>
      <c r="O339" s="27">
        <v>665000</v>
      </c>
      <c r="P339">
        <v>2</v>
      </c>
      <c r="Q339" t="s">
        <v>172</v>
      </c>
      <c r="R339">
        <v>18</v>
      </c>
      <c r="S339" t="s">
        <v>165</v>
      </c>
      <c r="T339" t="str">
        <f>IF(COUNTIF($A$2:A339,A339)&gt;1,"Duplicate","Unique")</f>
        <v>Unique</v>
      </c>
    </row>
    <row r="340" spans="1:20" x14ac:dyDescent="0.45">
      <c r="A340" t="s">
        <v>1102</v>
      </c>
      <c r="B340" t="s">
        <v>942</v>
      </c>
      <c r="C340" t="s">
        <v>59</v>
      </c>
      <c r="D340" t="s">
        <v>58</v>
      </c>
      <c r="E340" t="s">
        <v>211</v>
      </c>
      <c r="F340" t="s">
        <v>82</v>
      </c>
      <c r="G340" t="s">
        <v>212</v>
      </c>
      <c r="H340" t="s">
        <v>106</v>
      </c>
      <c r="I340" t="s">
        <v>107</v>
      </c>
      <c r="J340" t="s">
        <v>2883</v>
      </c>
      <c r="K340" t="s">
        <v>162</v>
      </c>
      <c r="M340" t="s">
        <v>163</v>
      </c>
      <c r="N340" t="s">
        <v>97</v>
      </c>
      <c r="O340" s="27">
        <v>1271000</v>
      </c>
      <c r="P340">
        <v>3</v>
      </c>
      <c r="Q340" t="s">
        <v>172</v>
      </c>
      <c r="R340">
        <v>26</v>
      </c>
      <c r="S340" t="s">
        <v>214</v>
      </c>
      <c r="T340" t="str">
        <f>IF(COUNTIF($A$2:A340,A340)&gt;1,"Duplicate","Unique")</f>
        <v>Unique</v>
      </c>
    </row>
    <row r="341" spans="1:20" x14ac:dyDescent="0.45">
      <c r="A341" t="s">
        <v>1044</v>
      </c>
      <c r="B341" t="s">
        <v>2884</v>
      </c>
      <c r="C341" t="s">
        <v>61</v>
      </c>
      <c r="D341" t="s">
        <v>60</v>
      </c>
      <c r="E341" t="s">
        <v>317</v>
      </c>
      <c r="F341" t="s">
        <v>84</v>
      </c>
      <c r="G341" t="s">
        <v>318</v>
      </c>
      <c r="H341" t="s">
        <v>108</v>
      </c>
      <c r="I341" t="s">
        <v>107</v>
      </c>
      <c r="J341" t="s">
        <v>2885</v>
      </c>
      <c r="K341" t="s">
        <v>162</v>
      </c>
      <c r="M341" t="s">
        <v>163</v>
      </c>
      <c r="N341" t="s">
        <v>96</v>
      </c>
      <c r="O341" s="27">
        <v>3353000</v>
      </c>
      <c r="P341">
        <v>3</v>
      </c>
      <c r="Q341" t="s">
        <v>164</v>
      </c>
      <c r="R341">
        <v>24</v>
      </c>
      <c r="S341" t="s">
        <v>253</v>
      </c>
      <c r="T341" t="str">
        <f>IF(COUNTIF($A$2:A341,A341)&gt;1,"Duplicate","Unique")</f>
        <v>Unique</v>
      </c>
    </row>
    <row r="342" spans="1:20" x14ac:dyDescent="0.45">
      <c r="A342" t="s">
        <v>1209</v>
      </c>
      <c r="B342" t="s">
        <v>955</v>
      </c>
      <c r="C342" t="s">
        <v>51</v>
      </c>
      <c r="D342" t="s">
        <v>50</v>
      </c>
      <c r="E342" t="s">
        <v>176</v>
      </c>
      <c r="F342" t="s">
        <v>82</v>
      </c>
      <c r="G342" t="s">
        <v>177</v>
      </c>
      <c r="H342" t="s">
        <v>112</v>
      </c>
      <c r="I342" t="s">
        <v>113</v>
      </c>
      <c r="J342" t="s">
        <v>2800</v>
      </c>
      <c r="K342" t="s">
        <v>187</v>
      </c>
      <c r="L342" t="s">
        <v>2858</v>
      </c>
      <c r="M342" t="s">
        <v>282</v>
      </c>
      <c r="N342" t="s">
        <v>95</v>
      </c>
      <c r="O342" s="27">
        <v>1094000</v>
      </c>
      <c r="P342">
        <v>3</v>
      </c>
      <c r="Q342" t="s">
        <v>164</v>
      </c>
      <c r="R342">
        <v>4</v>
      </c>
      <c r="S342" t="s">
        <v>244</v>
      </c>
      <c r="T342" t="str">
        <f>IF(COUNTIF($A$2:A342,A342)&gt;1,"Duplicate","Unique")</f>
        <v>Unique</v>
      </c>
    </row>
    <row r="343" spans="1:20" x14ac:dyDescent="0.45">
      <c r="A343" t="s">
        <v>1866</v>
      </c>
      <c r="B343" t="s">
        <v>1160</v>
      </c>
      <c r="C343" t="s">
        <v>55</v>
      </c>
      <c r="D343" t="s">
        <v>54</v>
      </c>
      <c r="E343" t="s">
        <v>277</v>
      </c>
      <c r="F343" t="s">
        <v>81</v>
      </c>
      <c r="G343" t="s">
        <v>278</v>
      </c>
      <c r="H343" t="s">
        <v>109</v>
      </c>
      <c r="I343" t="s">
        <v>110</v>
      </c>
      <c r="J343" t="s">
        <v>2886</v>
      </c>
      <c r="K343" t="s">
        <v>162</v>
      </c>
      <c r="M343" t="s">
        <v>163</v>
      </c>
      <c r="N343" t="s">
        <v>99</v>
      </c>
      <c r="O343" s="27">
        <v>784000</v>
      </c>
      <c r="P343">
        <v>4</v>
      </c>
      <c r="Q343" t="s">
        <v>172</v>
      </c>
      <c r="R343">
        <v>38</v>
      </c>
      <c r="S343" t="s">
        <v>173</v>
      </c>
      <c r="T343" t="str">
        <f>IF(COUNTIF($A$2:A343,A343)&gt;1,"Duplicate","Unique")</f>
        <v>Unique</v>
      </c>
    </row>
    <row r="344" spans="1:20" x14ac:dyDescent="0.45">
      <c r="A344" t="s">
        <v>2016</v>
      </c>
      <c r="B344" t="s">
        <v>2017</v>
      </c>
      <c r="C344" t="s">
        <v>61</v>
      </c>
      <c r="D344" t="s">
        <v>60</v>
      </c>
      <c r="E344" t="s">
        <v>251</v>
      </c>
      <c r="F344" t="s">
        <v>82</v>
      </c>
      <c r="G344" t="s">
        <v>252</v>
      </c>
      <c r="H344" t="s">
        <v>108</v>
      </c>
      <c r="I344" t="s">
        <v>107</v>
      </c>
      <c r="J344" t="s">
        <v>2887</v>
      </c>
      <c r="K344" t="s">
        <v>162</v>
      </c>
      <c r="M344" t="s">
        <v>163</v>
      </c>
      <c r="N344" t="s">
        <v>97</v>
      </c>
      <c r="O344" s="27">
        <v>1122000</v>
      </c>
      <c r="P344">
        <v>3</v>
      </c>
      <c r="Q344" t="s">
        <v>172</v>
      </c>
      <c r="R344">
        <v>13</v>
      </c>
      <c r="S344" t="s">
        <v>319</v>
      </c>
      <c r="T344" t="str">
        <f>IF(COUNTIF($A$2:A344,A344)&gt;1,"Duplicate","Unique")</f>
        <v>Unique</v>
      </c>
    </row>
    <row r="345" spans="1:20" x14ac:dyDescent="0.45">
      <c r="A345" t="s">
        <v>1264</v>
      </c>
      <c r="B345" t="s">
        <v>2888</v>
      </c>
      <c r="C345" t="s">
        <v>51</v>
      </c>
      <c r="D345" t="s">
        <v>50</v>
      </c>
      <c r="E345" t="s">
        <v>176</v>
      </c>
      <c r="F345" t="s">
        <v>82</v>
      </c>
      <c r="G345" t="s">
        <v>177</v>
      </c>
      <c r="H345" t="s">
        <v>106</v>
      </c>
      <c r="I345" t="s">
        <v>107</v>
      </c>
      <c r="J345" t="s">
        <v>2889</v>
      </c>
      <c r="K345" t="s">
        <v>162</v>
      </c>
      <c r="M345" t="s">
        <v>163</v>
      </c>
      <c r="N345" t="s">
        <v>98</v>
      </c>
      <c r="O345" s="27">
        <v>901000</v>
      </c>
      <c r="P345">
        <v>1</v>
      </c>
      <c r="Q345" t="s">
        <v>164</v>
      </c>
      <c r="R345">
        <v>21</v>
      </c>
      <c r="S345" t="s">
        <v>244</v>
      </c>
      <c r="T345" t="str">
        <f>IF(COUNTIF($A$2:A345,A345)&gt;1,"Duplicate","Unique")</f>
        <v>Unique</v>
      </c>
    </row>
    <row r="346" spans="1:20" x14ac:dyDescent="0.45">
      <c r="A346" t="s">
        <v>336</v>
      </c>
      <c r="B346" t="s">
        <v>337</v>
      </c>
      <c r="C346" t="s">
        <v>53</v>
      </c>
      <c r="D346" t="s">
        <v>52</v>
      </c>
      <c r="E346" t="s">
        <v>322</v>
      </c>
      <c r="F346" t="s">
        <v>81</v>
      </c>
      <c r="G346" t="s">
        <v>323</v>
      </c>
      <c r="H346" t="s">
        <v>106</v>
      </c>
      <c r="I346" t="s">
        <v>107</v>
      </c>
      <c r="J346" t="s">
        <v>2890</v>
      </c>
      <c r="K346" t="s">
        <v>187</v>
      </c>
      <c r="L346" t="s">
        <v>2891</v>
      </c>
      <c r="M346" t="s">
        <v>213</v>
      </c>
      <c r="N346" t="s">
        <v>98</v>
      </c>
      <c r="O346" s="27">
        <v>795000</v>
      </c>
      <c r="P346">
        <v>4</v>
      </c>
      <c r="Q346" t="s">
        <v>172</v>
      </c>
      <c r="R346">
        <v>25</v>
      </c>
      <c r="S346" t="s">
        <v>194</v>
      </c>
      <c r="T346" t="str">
        <f>IF(COUNTIF($A$2:A346,A346)&gt;1,"Duplicate","Unique")</f>
        <v>Unique</v>
      </c>
    </row>
    <row r="347" spans="1:20" x14ac:dyDescent="0.45">
      <c r="A347" t="s">
        <v>1923</v>
      </c>
      <c r="B347" t="s">
        <v>875</v>
      </c>
      <c r="C347" t="s">
        <v>53</v>
      </c>
      <c r="D347" t="s">
        <v>52</v>
      </c>
      <c r="E347" t="s">
        <v>322</v>
      </c>
      <c r="F347" t="s">
        <v>81</v>
      </c>
      <c r="G347" t="s">
        <v>323</v>
      </c>
      <c r="H347" t="s">
        <v>109</v>
      </c>
      <c r="I347" t="s">
        <v>110</v>
      </c>
      <c r="J347" t="s">
        <v>2630</v>
      </c>
      <c r="K347" t="s">
        <v>170</v>
      </c>
      <c r="L347" t="s">
        <v>2892</v>
      </c>
      <c r="M347" t="s">
        <v>171</v>
      </c>
      <c r="N347" t="s">
        <v>99</v>
      </c>
      <c r="O347" s="27">
        <v>740000</v>
      </c>
      <c r="P347">
        <v>4</v>
      </c>
      <c r="Q347" t="s">
        <v>164</v>
      </c>
      <c r="R347">
        <v>49</v>
      </c>
      <c r="S347" t="s">
        <v>237</v>
      </c>
      <c r="T347" t="str">
        <f>IF(COUNTIF($A$2:A347,A347)&gt;1,"Duplicate","Unique")</f>
        <v>Unique</v>
      </c>
    </row>
    <row r="348" spans="1:20" x14ac:dyDescent="0.45">
      <c r="A348" t="s">
        <v>1995</v>
      </c>
      <c r="B348" t="s">
        <v>1472</v>
      </c>
      <c r="C348" t="s">
        <v>57</v>
      </c>
      <c r="D348" t="s">
        <v>56</v>
      </c>
      <c r="E348" t="s">
        <v>160</v>
      </c>
      <c r="F348" t="s">
        <v>81</v>
      </c>
      <c r="G348" t="s">
        <v>161</v>
      </c>
      <c r="H348" t="s">
        <v>2880</v>
      </c>
      <c r="I348" t="s">
        <v>113</v>
      </c>
      <c r="J348" t="s">
        <v>2893</v>
      </c>
      <c r="K348" t="s">
        <v>162</v>
      </c>
      <c r="M348" t="s">
        <v>163</v>
      </c>
      <c r="N348" t="s">
        <v>97</v>
      </c>
      <c r="O348" s="27">
        <v>601000</v>
      </c>
      <c r="P348">
        <v>3</v>
      </c>
      <c r="Q348" t="s">
        <v>164</v>
      </c>
      <c r="R348">
        <v>54</v>
      </c>
      <c r="S348" t="s">
        <v>165</v>
      </c>
      <c r="T348" t="str">
        <f>IF(COUNTIF($A$2:A348,A348)&gt;1,"Duplicate","Unique")</f>
        <v>Unique</v>
      </c>
    </row>
    <row r="349" spans="1:20" x14ac:dyDescent="0.45">
      <c r="A349" t="s">
        <v>1679</v>
      </c>
      <c r="B349" t="s">
        <v>1054</v>
      </c>
      <c r="C349" t="s">
        <v>59</v>
      </c>
      <c r="D349" t="s">
        <v>58</v>
      </c>
      <c r="E349" t="s">
        <v>206</v>
      </c>
      <c r="F349" t="s">
        <v>81</v>
      </c>
      <c r="G349" t="s">
        <v>207</v>
      </c>
      <c r="H349" t="s">
        <v>106</v>
      </c>
      <c r="I349" t="s">
        <v>107</v>
      </c>
      <c r="J349" t="s">
        <v>2894</v>
      </c>
      <c r="K349" t="s">
        <v>162</v>
      </c>
      <c r="M349" t="s">
        <v>163</v>
      </c>
      <c r="N349" t="s">
        <v>98</v>
      </c>
      <c r="O349" s="27">
        <v>591000</v>
      </c>
      <c r="P349">
        <v>5</v>
      </c>
      <c r="Q349" t="s">
        <v>164</v>
      </c>
      <c r="R349">
        <v>20</v>
      </c>
      <c r="S349" t="s">
        <v>214</v>
      </c>
      <c r="T349" t="str">
        <f>IF(COUNTIF($A$2:A349,A349)&gt;1,"Duplicate","Unique")</f>
        <v>Unique</v>
      </c>
    </row>
    <row r="350" spans="1:20" x14ac:dyDescent="0.45">
      <c r="A350" t="s">
        <v>577</v>
      </c>
      <c r="B350" t="s">
        <v>578</v>
      </c>
      <c r="C350" t="s">
        <v>59</v>
      </c>
      <c r="D350" t="s">
        <v>58</v>
      </c>
      <c r="E350" t="s">
        <v>579</v>
      </c>
      <c r="F350" t="s">
        <v>84</v>
      </c>
      <c r="G350" t="s">
        <v>580</v>
      </c>
      <c r="H350" t="s">
        <v>109</v>
      </c>
      <c r="I350" t="s">
        <v>110</v>
      </c>
      <c r="J350" t="s">
        <v>2895</v>
      </c>
      <c r="K350" t="s">
        <v>162</v>
      </c>
      <c r="M350" t="s">
        <v>163</v>
      </c>
      <c r="N350" t="s">
        <v>99</v>
      </c>
      <c r="O350" s="27">
        <v>2272000</v>
      </c>
      <c r="P350">
        <v>4</v>
      </c>
      <c r="Q350" t="s">
        <v>164</v>
      </c>
      <c r="R350">
        <v>30</v>
      </c>
      <c r="S350" t="s">
        <v>214</v>
      </c>
      <c r="T350" t="str">
        <f>IF(COUNTIF($A$2:A350,A350)&gt;1,"Duplicate","Unique")</f>
        <v>Unique</v>
      </c>
    </row>
    <row r="351" spans="1:20" x14ac:dyDescent="0.45">
      <c r="A351" t="s">
        <v>1204</v>
      </c>
      <c r="B351" t="s">
        <v>1205</v>
      </c>
      <c r="C351" t="s">
        <v>53</v>
      </c>
      <c r="D351" t="s">
        <v>52</v>
      </c>
      <c r="E351" t="s">
        <v>200</v>
      </c>
      <c r="F351" t="s">
        <v>84</v>
      </c>
      <c r="G351" t="s">
        <v>201</v>
      </c>
      <c r="H351" t="s">
        <v>108</v>
      </c>
      <c r="I351" t="s">
        <v>107</v>
      </c>
      <c r="J351" t="s">
        <v>2664</v>
      </c>
      <c r="K351" t="s">
        <v>162</v>
      </c>
      <c r="M351" t="s">
        <v>163</v>
      </c>
      <c r="N351" t="s">
        <v>99</v>
      </c>
      <c r="O351" s="27">
        <v>2922000</v>
      </c>
      <c r="P351">
        <v>3</v>
      </c>
      <c r="Q351" t="s">
        <v>172</v>
      </c>
      <c r="R351">
        <v>37</v>
      </c>
      <c r="S351" t="s">
        <v>237</v>
      </c>
      <c r="T351" t="str">
        <f>IF(COUNTIF($A$2:A351,A351)&gt;1,"Duplicate","Unique")</f>
        <v>Unique</v>
      </c>
    </row>
    <row r="352" spans="1:20" x14ac:dyDescent="0.45">
      <c r="A352" t="s">
        <v>1346</v>
      </c>
      <c r="B352" t="s">
        <v>402</v>
      </c>
      <c r="C352" t="s">
        <v>53</v>
      </c>
      <c r="D352" t="s">
        <v>52</v>
      </c>
      <c r="E352" t="s">
        <v>322</v>
      </c>
      <c r="F352" t="s">
        <v>81</v>
      </c>
      <c r="G352" t="s">
        <v>323</v>
      </c>
      <c r="H352" t="s">
        <v>106</v>
      </c>
      <c r="I352" t="s">
        <v>107</v>
      </c>
      <c r="J352" t="s">
        <v>2896</v>
      </c>
      <c r="K352" t="s">
        <v>162</v>
      </c>
      <c r="M352" t="s">
        <v>163</v>
      </c>
      <c r="N352" t="s">
        <v>98</v>
      </c>
      <c r="O352" s="27">
        <v>578000</v>
      </c>
      <c r="P352">
        <v>4</v>
      </c>
      <c r="Q352" t="s">
        <v>164</v>
      </c>
      <c r="R352">
        <v>31</v>
      </c>
      <c r="S352" t="s">
        <v>194</v>
      </c>
      <c r="T352" t="str">
        <f>IF(COUNTIF($A$2:A352,A352)&gt;1,"Duplicate","Unique")</f>
        <v>Unique</v>
      </c>
    </row>
    <row r="353" spans="1:20" x14ac:dyDescent="0.45">
      <c r="A353" t="s">
        <v>1634</v>
      </c>
      <c r="B353" t="s">
        <v>1635</v>
      </c>
      <c r="C353" t="s">
        <v>55</v>
      </c>
      <c r="D353" t="s">
        <v>54</v>
      </c>
      <c r="E353" t="s">
        <v>229</v>
      </c>
      <c r="F353" t="s">
        <v>82</v>
      </c>
      <c r="G353" t="s">
        <v>230</v>
      </c>
      <c r="H353" t="s">
        <v>111</v>
      </c>
      <c r="I353" t="s">
        <v>110</v>
      </c>
      <c r="J353" t="s">
        <v>2897</v>
      </c>
      <c r="K353" t="s">
        <v>162</v>
      </c>
      <c r="M353" t="s">
        <v>163</v>
      </c>
      <c r="N353" t="s">
        <v>97</v>
      </c>
      <c r="O353" s="27">
        <v>1284000</v>
      </c>
      <c r="P353">
        <v>3</v>
      </c>
      <c r="Q353" t="s">
        <v>164</v>
      </c>
      <c r="R353">
        <v>41</v>
      </c>
      <c r="S353" t="s">
        <v>173</v>
      </c>
      <c r="T353" t="str">
        <f>IF(COUNTIF($A$2:A353,A353)&gt;1,"Duplicate","Unique")</f>
        <v>Unique</v>
      </c>
    </row>
    <row r="354" spans="1:20" x14ac:dyDescent="0.45">
      <c r="A354" t="s">
        <v>1034</v>
      </c>
      <c r="B354" t="s">
        <v>1035</v>
      </c>
      <c r="C354" t="s">
        <v>51</v>
      </c>
      <c r="D354" t="s">
        <v>50</v>
      </c>
      <c r="E354" t="s">
        <v>181</v>
      </c>
      <c r="F354" t="s">
        <v>81</v>
      </c>
      <c r="G354" t="s">
        <v>182</v>
      </c>
      <c r="H354" t="s">
        <v>109</v>
      </c>
      <c r="I354" t="s">
        <v>110</v>
      </c>
      <c r="J354" t="s">
        <v>2898</v>
      </c>
      <c r="K354" t="s">
        <v>162</v>
      </c>
      <c r="M354" t="s">
        <v>163</v>
      </c>
      <c r="N354" t="s">
        <v>98</v>
      </c>
      <c r="O354" s="27">
        <v>615000</v>
      </c>
      <c r="P354">
        <v>3</v>
      </c>
      <c r="Q354" t="s">
        <v>164</v>
      </c>
      <c r="R354">
        <v>54</v>
      </c>
      <c r="S354" t="s">
        <v>197</v>
      </c>
      <c r="T354" t="str">
        <f>IF(COUNTIF($A$2:A354,A354)&gt;1,"Duplicate","Unique")</f>
        <v>Unique</v>
      </c>
    </row>
    <row r="355" spans="1:20" x14ac:dyDescent="0.45">
      <c r="A355" t="s">
        <v>304</v>
      </c>
      <c r="B355" t="s">
        <v>305</v>
      </c>
      <c r="C355" t="s">
        <v>51</v>
      </c>
      <c r="D355" t="s">
        <v>50</v>
      </c>
      <c r="E355" t="s">
        <v>217</v>
      </c>
      <c r="F355" t="s">
        <v>83</v>
      </c>
      <c r="G355" t="s">
        <v>218</v>
      </c>
      <c r="H355" t="s">
        <v>2611</v>
      </c>
      <c r="I355" t="s">
        <v>107</v>
      </c>
      <c r="J355" t="s">
        <v>2899</v>
      </c>
      <c r="K355" t="s">
        <v>170</v>
      </c>
      <c r="L355" t="s">
        <v>2900</v>
      </c>
      <c r="M355" t="s">
        <v>171</v>
      </c>
      <c r="N355" t="s">
        <v>99</v>
      </c>
      <c r="O355" s="27">
        <v>1760000</v>
      </c>
      <c r="P355">
        <v>2</v>
      </c>
      <c r="Q355" t="s">
        <v>164</v>
      </c>
      <c r="S355" t="s">
        <v>197</v>
      </c>
      <c r="T355" t="str">
        <f>IF(COUNTIF($A$2:A355,A355)&gt;1,"Duplicate","Unique")</f>
        <v>Unique</v>
      </c>
    </row>
    <row r="356" spans="1:20" x14ac:dyDescent="0.45">
      <c r="A356" t="s">
        <v>1343</v>
      </c>
      <c r="B356" t="s">
        <v>576</v>
      </c>
      <c r="C356" t="s">
        <v>51</v>
      </c>
      <c r="D356" t="s">
        <v>50</v>
      </c>
      <c r="E356" t="s">
        <v>217</v>
      </c>
      <c r="F356" t="s">
        <v>83</v>
      </c>
      <c r="G356" t="s">
        <v>218</v>
      </c>
      <c r="H356" t="s">
        <v>106</v>
      </c>
      <c r="I356" t="s">
        <v>107</v>
      </c>
      <c r="J356" t="s">
        <v>2896</v>
      </c>
      <c r="K356" t="s">
        <v>162</v>
      </c>
      <c r="M356" t="s">
        <v>163</v>
      </c>
      <c r="N356" t="s">
        <v>99</v>
      </c>
      <c r="O356" s="27">
        <v>1362000</v>
      </c>
      <c r="P356">
        <v>1</v>
      </c>
      <c r="Q356" t="s">
        <v>164</v>
      </c>
      <c r="R356">
        <v>19</v>
      </c>
      <c r="S356" t="s">
        <v>178</v>
      </c>
      <c r="T356" t="str">
        <f>IF(COUNTIF($A$2:A356,A356)&gt;1,"Duplicate","Unique")</f>
        <v>Unique</v>
      </c>
    </row>
    <row r="357" spans="1:20" x14ac:dyDescent="0.45">
      <c r="A357" t="s">
        <v>183</v>
      </c>
      <c r="B357" t="s">
        <v>184</v>
      </c>
      <c r="C357" t="s">
        <v>53</v>
      </c>
      <c r="D357" t="s">
        <v>52</v>
      </c>
      <c r="E357" t="s">
        <v>185</v>
      </c>
      <c r="F357" t="s">
        <v>82</v>
      </c>
      <c r="G357" t="s">
        <v>186</v>
      </c>
      <c r="H357" t="s">
        <v>108</v>
      </c>
      <c r="I357" t="s">
        <v>107</v>
      </c>
      <c r="J357" t="s">
        <v>2901</v>
      </c>
      <c r="K357" t="s">
        <v>187</v>
      </c>
      <c r="L357" t="s">
        <v>2902</v>
      </c>
      <c r="M357" t="s">
        <v>188</v>
      </c>
      <c r="N357" t="s">
        <v>95</v>
      </c>
      <c r="O357" s="27">
        <v>1194000</v>
      </c>
      <c r="P357">
        <v>3</v>
      </c>
      <c r="Q357" t="s">
        <v>172</v>
      </c>
      <c r="R357">
        <v>24</v>
      </c>
      <c r="S357" t="s">
        <v>189</v>
      </c>
      <c r="T357" t="str">
        <f>IF(COUNTIF($A$2:A357,A357)&gt;1,"Duplicate","Unique")</f>
        <v>Unique</v>
      </c>
    </row>
    <row r="358" spans="1:20" x14ac:dyDescent="0.45">
      <c r="A358" t="s">
        <v>1899</v>
      </c>
      <c r="B358" t="s">
        <v>196</v>
      </c>
      <c r="C358" t="s">
        <v>53</v>
      </c>
      <c r="D358" t="s">
        <v>52</v>
      </c>
      <c r="E358" t="s">
        <v>185</v>
      </c>
      <c r="F358" t="s">
        <v>82</v>
      </c>
      <c r="G358" t="s">
        <v>186</v>
      </c>
      <c r="H358" t="s">
        <v>106</v>
      </c>
      <c r="I358" t="s">
        <v>107</v>
      </c>
      <c r="J358" t="s">
        <v>2903</v>
      </c>
      <c r="K358" t="s">
        <v>162</v>
      </c>
      <c r="M358" t="s">
        <v>163</v>
      </c>
      <c r="N358" t="s">
        <v>98</v>
      </c>
      <c r="O358" s="27">
        <v>1182000</v>
      </c>
      <c r="P358">
        <v>3</v>
      </c>
      <c r="Q358" t="s">
        <v>172</v>
      </c>
      <c r="R358">
        <v>33</v>
      </c>
      <c r="S358" t="s">
        <v>237</v>
      </c>
      <c r="T358" t="str">
        <f>IF(COUNTIF($A$2:A358,A358)&gt;1,"Duplicate","Unique")</f>
        <v>Unique</v>
      </c>
    </row>
    <row r="359" spans="1:20" x14ac:dyDescent="0.45">
      <c r="A359" t="s">
        <v>1752</v>
      </c>
      <c r="B359" t="s">
        <v>698</v>
      </c>
      <c r="C359" t="s">
        <v>51</v>
      </c>
      <c r="D359" t="s">
        <v>50</v>
      </c>
      <c r="E359" t="s">
        <v>181</v>
      </c>
      <c r="F359" t="s">
        <v>81</v>
      </c>
      <c r="G359" t="s">
        <v>182</v>
      </c>
      <c r="H359" t="s">
        <v>2465</v>
      </c>
      <c r="I359" t="s">
        <v>107</v>
      </c>
      <c r="J359" t="s">
        <v>2904</v>
      </c>
      <c r="K359" t="s">
        <v>187</v>
      </c>
      <c r="L359" t="s">
        <v>2684</v>
      </c>
      <c r="M359" t="s">
        <v>282</v>
      </c>
      <c r="N359" t="s">
        <v>98</v>
      </c>
      <c r="O359" s="27">
        <v>679000</v>
      </c>
      <c r="P359">
        <v>3</v>
      </c>
      <c r="Q359" t="s">
        <v>164</v>
      </c>
      <c r="R359">
        <v>38</v>
      </c>
      <c r="S359" t="s">
        <v>197</v>
      </c>
      <c r="T359" t="str">
        <f>IF(COUNTIF($A$2:A359,A359)&gt;1,"Duplicate","Unique")</f>
        <v>Unique</v>
      </c>
    </row>
    <row r="360" spans="1:20" x14ac:dyDescent="0.45">
      <c r="A360" t="s">
        <v>2022</v>
      </c>
      <c r="B360" t="s">
        <v>554</v>
      </c>
      <c r="C360" t="s">
        <v>51</v>
      </c>
      <c r="D360" t="s">
        <v>50</v>
      </c>
      <c r="E360" t="s">
        <v>181</v>
      </c>
      <c r="F360" t="s">
        <v>81</v>
      </c>
      <c r="G360" t="s">
        <v>182</v>
      </c>
      <c r="H360" t="s">
        <v>108</v>
      </c>
      <c r="I360" t="s">
        <v>107</v>
      </c>
      <c r="J360" t="s">
        <v>2905</v>
      </c>
      <c r="K360" t="s">
        <v>170</v>
      </c>
      <c r="L360" t="s">
        <v>2906</v>
      </c>
      <c r="M360" t="s">
        <v>171</v>
      </c>
      <c r="N360" t="s">
        <v>96</v>
      </c>
      <c r="O360" s="27">
        <v>684000</v>
      </c>
      <c r="P360">
        <v>1</v>
      </c>
      <c r="Q360" t="s">
        <v>164</v>
      </c>
      <c r="R360">
        <v>24</v>
      </c>
      <c r="S360" t="s">
        <v>219</v>
      </c>
      <c r="T360" t="str">
        <f>IF(COUNTIF($A$2:A360,A360)&gt;1,"Duplicate","Unique")</f>
        <v>Unique</v>
      </c>
    </row>
    <row r="361" spans="1:20" x14ac:dyDescent="0.45">
      <c r="A361" t="s">
        <v>209</v>
      </c>
      <c r="B361" t="s">
        <v>210</v>
      </c>
      <c r="C361" t="s">
        <v>59</v>
      </c>
      <c r="D361" t="s">
        <v>58</v>
      </c>
      <c r="E361" t="s">
        <v>211</v>
      </c>
      <c r="F361" t="s">
        <v>82</v>
      </c>
      <c r="G361" t="s">
        <v>212</v>
      </c>
      <c r="H361" t="s">
        <v>106</v>
      </c>
      <c r="I361" t="s">
        <v>107</v>
      </c>
      <c r="J361" t="s">
        <v>2907</v>
      </c>
      <c r="K361" t="s">
        <v>187</v>
      </c>
      <c r="L361" t="s">
        <v>2908</v>
      </c>
      <c r="M361" t="s">
        <v>213</v>
      </c>
      <c r="N361" t="s">
        <v>99</v>
      </c>
      <c r="O361" s="27">
        <v>1215000</v>
      </c>
      <c r="P361">
        <v>3</v>
      </c>
      <c r="Q361" t="s">
        <v>164</v>
      </c>
      <c r="R361">
        <v>38</v>
      </c>
      <c r="S361" t="s">
        <v>214</v>
      </c>
      <c r="T361" t="str">
        <f>IF(COUNTIF($A$2:A361,A361)&gt;1,"Duplicate","Unique")</f>
        <v>Unique</v>
      </c>
    </row>
    <row r="362" spans="1:20" x14ac:dyDescent="0.45">
      <c r="A362" t="s">
        <v>2336</v>
      </c>
      <c r="B362" t="s">
        <v>1107</v>
      </c>
      <c r="C362" t="s">
        <v>53</v>
      </c>
      <c r="D362" t="s">
        <v>52</v>
      </c>
      <c r="E362" t="s">
        <v>192</v>
      </c>
      <c r="F362" t="s">
        <v>83</v>
      </c>
      <c r="G362" t="s">
        <v>193</v>
      </c>
      <c r="H362" t="s">
        <v>108</v>
      </c>
      <c r="I362" t="s">
        <v>107</v>
      </c>
      <c r="J362" t="s">
        <v>2868</v>
      </c>
      <c r="K362" t="s">
        <v>162</v>
      </c>
      <c r="M362" t="s">
        <v>163</v>
      </c>
      <c r="N362" t="s">
        <v>97</v>
      </c>
      <c r="O362" s="27">
        <v>1748000</v>
      </c>
      <c r="P362">
        <v>5</v>
      </c>
      <c r="Q362" t="s">
        <v>2631</v>
      </c>
      <c r="R362">
        <v>42</v>
      </c>
      <c r="S362" t="s">
        <v>194</v>
      </c>
      <c r="T362" t="str">
        <f>IF(COUNTIF($A$2:A362,A362)&gt;1,"Duplicate","Unique")</f>
        <v>Unique</v>
      </c>
    </row>
    <row r="363" spans="1:20" x14ac:dyDescent="0.45">
      <c r="A363" t="s">
        <v>593</v>
      </c>
      <c r="B363" t="s">
        <v>184</v>
      </c>
      <c r="C363" t="s">
        <v>51</v>
      </c>
      <c r="D363" t="s">
        <v>50</v>
      </c>
      <c r="E363" t="s">
        <v>181</v>
      </c>
      <c r="F363" t="s">
        <v>81</v>
      </c>
      <c r="G363" t="s">
        <v>182</v>
      </c>
      <c r="H363" t="s">
        <v>106</v>
      </c>
      <c r="I363" t="s">
        <v>107</v>
      </c>
      <c r="J363" t="s">
        <v>2909</v>
      </c>
      <c r="K363" t="s">
        <v>162</v>
      </c>
      <c r="M363" t="s">
        <v>163</v>
      </c>
      <c r="N363" t="s">
        <v>97</v>
      </c>
      <c r="O363" s="27">
        <v>595000</v>
      </c>
      <c r="P363">
        <v>3</v>
      </c>
      <c r="Q363" t="s">
        <v>164</v>
      </c>
      <c r="R363">
        <v>36</v>
      </c>
      <c r="S363" t="s">
        <v>197</v>
      </c>
      <c r="T363" t="str">
        <f>IF(COUNTIF($A$2:A363,A363)&gt;1,"Duplicate","Unique")</f>
        <v>Unique</v>
      </c>
    </row>
    <row r="364" spans="1:20" x14ac:dyDescent="0.45">
      <c r="A364" t="s">
        <v>1436</v>
      </c>
      <c r="B364" t="s">
        <v>1437</v>
      </c>
      <c r="C364" t="s">
        <v>59</v>
      </c>
      <c r="D364" t="s">
        <v>58</v>
      </c>
      <c r="E364" t="s">
        <v>211</v>
      </c>
      <c r="F364" t="s">
        <v>82</v>
      </c>
      <c r="G364" t="s">
        <v>212</v>
      </c>
      <c r="H364" t="s">
        <v>106</v>
      </c>
      <c r="I364" t="s">
        <v>107</v>
      </c>
      <c r="J364" t="s">
        <v>2910</v>
      </c>
      <c r="K364" t="s">
        <v>162</v>
      </c>
      <c r="M364" t="s">
        <v>163</v>
      </c>
      <c r="N364" t="s">
        <v>98</v>
      </c>
      <c r="O364" s="27">
        <v>1145000</v>
      </c>
      <c r="P364">
        <v>3</v>
      </c>
      <c r="Q364" t="s">
        <v>164</v>
      </c>
      <c r="R364">
        <v>21</v>
      </c>
      <c r="S364" t="s">
        <v>208</v>
      </c>
      <c r="T364" t="str">
        <f>IF(COUNTIF($A$2:A364,A364)&gt;1,"Duplicate","Unique")</f>
        <v>Unique</v>
      </c>
    </row>
    <row r="365" spans="1:20" x14ac:dyDescent="0.45">
      <c r="A365" t="s">
        <v>2165</v>
      </c>
      <c r="B365" t="s">
        <v>234</v>
      </c>
      <c r="C365" t="s">
        <v>53</v>
      </c>
      <c r="D365" t="s">
        <v>52</v>
      </c>
      <c r="E365" t="s">
        <v>200</v>
      </c>
      <c r="F365" t="s">
        <v>84</v>
      </c>
      <c r="G365" t="s">
        <v>201</v>
      </c>
      <c r="H365" t="s">
        <v>106</v>
      </c>
      <c r="I365" t="s">
        <v>107</v>
      </c>
      <c r="J365" t="s">
        <v>2911</v>
      </c>
      <c r="K365" t="s">
        <v>162</v>
      </c>
      <c r="M365" t="s">
        <v>163</v>
      </c>
      <c r="N365" t="s">
        <v>99</v>
      </c>
      <c r="O365" s="27">
        <v>2423000</v>
      </c>
      <c r="P365">
        <v>4</v>
      </c>
      <c r="Q365" t="s">
        <v>164</v>
      </c>
      <c r="R365">
        <v>46</v>
      </c>
      <c r="S365" t="s">
        <v>194</v>
      </c>
      <c r="T365" t="str">
        <f>IF(COUNTIF($A$2:A365,A365)&gt;1,"Duplicate","Unique")</f>
        <v>Unique</v>
      </c>
    </row>
    <row r="366" spans="1:20" x14ac:dyDescent="0.45">
      <c r="A366" t="s">
        <v>1324</v>
      </c>
      <c r="B366" t="s">
        <v>203</v>
      </c>
      <c r="C366" t="s">
        <v>51</v>
      </c>
      <c r="D366" t="s">
        <v>50</v>
      </c>
      <c r="E366" t="s">
        <v>181</v>
      </c>
      <c r="F366" t="s">
        <v>81</v>
      </c>
      <c r="G366" t="s">
        <v>182</v>
      </c>
      <c r="H366" t="s">
        <v>106</v>
      </c>
      <c r="I366" t="s">
        <v>107</v>
      </c>
      <c r="J366" t="s">
        <v>2795</v>
      </c>
      <c r="K366" t="s">
        <v>170</v>
      </c>
      <c r="L366" t="s">
        <v>2912</v>
      </c>
      <c r="M366" t="s">
        <v>171</v>
      </c>
      <c r="N366" t="s">
        <v>95</v>
      </c>
      <c r="O366" s="27">
        <v>732000</v>
      </c>
      <c r="P366">
        <v>2</v>
      </c>
      <c r="Q366" t="s">
        <v>172</v>
      </c>
      <c r="R366">
        <v>22</v>
      </c>
      <c r="S366" t="s">
        <v>178</v>
      </c>
      <c r="T366" t="str">
        <f>IF(COUNTIF($A$2:A366,A366)&gt;1,"Duplicate","Unique")</f>
        <v>Unique</v>
      </c>
    </row>
    <row r="367" spans="1:20" x14ac:dyDescent="0.45">
      <c r="A367" t="s">
        <v>1803</v>
      </c>
      <c r="B367" t="s">
        <v>601</v>
      </c>
      <c r="C367" t="s">
        <v>53</v>
      </c>
      <c r="D367" t="s">
        <v>52</v>
      </c>
      <c r="E367" t="s">
        <v>185</v>
      </c>
      <c r="F367" t="s">
        <v>82</v>
      </c>
      <c r="G367" t="s">
        <v>186</v>
      </c>
      <c r="H367" t="s">
        <v>106</v>
      </c>
      <c r="I367" t="s">
        <v>107</v>
      </c>
      <c r="J367" t="s">
        <v>2582</v>
      </c>
      <c r="K367" t="s">
        <v>162</v>
      </c>
      <c r="M367" t="s">
        <v>163</v>
      </c>
      <c r="N367" t="s">
        <v>99</v>
      </c>
      <c r="O367" s="27">
        <v>1147000</v>
      </c>
      <c r="P367">
        <v>3</v>
      </c>
      <c r="Q367" t="s">
        <v>172</v>
      </c>
      <c r="R367">
        <v>43</v>
      </c>
      <c r="S367" t="s">
        <v>189</v>
      </c>
      <c r="T367" t="str">
        <f>IF(COUNTIF($A$2:A367,A367)&gt;1,"Duplicate","Unique")</f>
        <v>Unique</v>
      </c>
    </row>
    <row r="368" spans="1:20" x14ac:dyDescent="0.45">
      <c r="A368" t="s">
        <v>1049</v>
      </c>
      <c r="B368" t="s">
        <v>558</v>
      </c>
      <c r="C368" t="s">
        <v>55</v>
      </c>
      <c r="D368" t="s">
        <v>54</v>
      </c>
      <c r="E368" t="s">
        <v>229</v>
      </c>
      <c r="F368" t="s">
        <v>82</v>
      </c>
      <c r="G368" t="s">
        <v>230</v>
      </c>
      <c r="H368" t="s">
        <v>106</v>
      </c>
      <c r="I368" t="s">
        <v>107</v>
      </c>
      <c r="J368" t="s">
        <v>2913</v>
      </c>
      <c r="K368" t="s">
        <v>162</v>
      </c>
      <c r="M368" t="s">
        <v>163</v>
      </c>
      <c r="N368" t="s">
        <v>97</v>
      </c>
      <c r="O368" s="27">
        <v>1134000</v>
      </c>
      <c r="P368">
        <v>3</v>
      </c>
      <c r="Q368" t="s">
        <v>164</v>
      </c>
      <c r="R368">
        <v>30</v>
      </c>
      <c r="S368" t="s">
        <v>173</v>
      </c>
      <c r="T368" t="str">
        <f>IF(COUNTIF($A$2:A368,A368)&gt;1,"Duplicate","Unique")</f>
        <v>Unique</v>
      </c>
    </row>
    <row r="369" spans="1:20" x14ac:dyDescent="0.45">
      <c r="A369" t="s">
        <v>1789</v>
      </c>
      <c r="B369" t="s">
        <v>1129</v>
      </c>
      <c r="C369" t="s">
        <v>57</v>
      </c>
      <c r="D369" t="s">
        <v>56</v>
      </c>
      <c r="E369" t="s">
        <v>160</v>
      </c>
      <c r="F369" t="s">
        <v>81</v>
      </c>
      <c r="G369" t="s">
        <v>161</v>
      </c>
      <c r="H369" t="s">
        <v>112</v>
      </c>
      <c r="I369" t="s">
        <v>113</v>
      </c>
      <c r="J369" t="s">
        <v>2914</v>
      </c>
      <c r="K369" t="s">
        <v>187</v>
      </c>
      <c r="L369" t="s">
        <v>2915</v>
      </c>
      <c r="M369" t="s">
        <v>282</v>
      </c>
      <c r="N369" t="s">
        <v>96</v>
      </c>
      <c r="O369" s="27">
        <v>629000</v>
      </c>
      <c r="P369">
        <v>5</v>
      </c>
      <c r="Q369" t="s">
        <v>172</v>
      </c>
      <c r="S369" t="s">
        <v>224</v>
      </c>
      <c r="T369" t="str">
        <f>IF(COUNTIF($A$2:A369,A369)&gt;1,"Duplicate","Unique")</f>
        <v>Unique</v>
      </c>
    </row>
    <row r="370" spans="1:20" x14ac:dyDescent="0.45">
      <c r="A370" t="s">
        <v>1610</v>
      </c>
      <c r="B370" t="s">
        <v>1611</v>
      </c>
      <c r="C370" t="s">
        <v>51</v>
      </c>
      <c r="D370" t="s">
        <v>50</v>
      </c>
      <c r="E370" t="s">
        <v>176</v>
      </c>
      <c r="F370" t="s">
        <v>82</v>
      </c>
      <c r="G370" t="s">
        <v>177</v>
      </c>
      <c r="H370" t="s">
        <v>108</v>
      </c>
      <c r="I370" t="s">
        <v>107</v>
      </c>
      <c r="J370" t="s">
        <v>2916</v>
      </c>
      <c r="K370" t="s">
        <v>162</v>
      </c>
      <c r="M370" t="s">
        <v>163</v>
      </c>
      <c r="N370" t="s">
        <v>97</v>
      </c>
      <c r="O370" s="27">
        <v>1170000</v>
      </c>
      <c r="P370">
        <v>5</v>
      </c>
      <c r="Q370" t="s">
        <v>2624</v>
      </c>
      <c r="R370">
        <v>42</v>
      </c>
      <c r="S370" t="s">
        <v>244</v>
      </c>
      <c r="T370" t="str">
        <f>IF(COUNTIF($A$2:A370,A370)&gt;1,"Duplicate","Unique")</f>
        <v>Unique</v>
      </c>
    </row>
    <row r="371" spans="1:20" x14ac:dyDescent="0.45">
      <c r="A371" t="s">
        <v>2180</v>
      </c>
      <c r="B371" t="s">
        <v>745</v>
      </c>
      <c r="C371" t="s">
        <v>57</v>
      </c>
      <c r="D371" t="s">
        <v>56</v>
      </c>
      <c r="E371" t="s">
        <v>455</v>
      </c>
      <c r="F371" t="s">
        <v>84</v>
      </c>
      <c r="G371" t="s">
        <v>456</v>
      </c>
      <c r="H371" t="s">
        <v>112</v>
      </c>
      <c r="I371" t="s">
        <v>113</v>
      </c>
      <c r="J371" t="s">
        <v>2705</v>
      </c>
      <c r="K371" t="s">
        <v>162</v>
      </c>
      <c r="M371" t="s">
        <v>163</v>
      </c>
      <c r="N371" t="s">
        <v>95</v>
      </c>
      <c r="O371" s="27">
        <v>2364000</v>
      </c>
      <c r="P371">
        <v>4</v>
      </c>
      <c r="Q371" t="s">
        <v>164</v>
      </c>
      <c r="R371">
        <v>29</v>
      </c>
      <c r="S371" t="s">
        <v>224</v>
      </c>
      <c r="T371" t="str">
        <f>IF(COUNTIF($A$2:A371,A371)&gt;1,"Duplicate","Unique")</f>
        <v>Unique</v>
      </c>
    </row>
    <row r="372" spans="1:20" x14ac:dyDescent="0.45">
      <c r="A372" t="s">
        <v>1701</v>
      </c>
      <c r="B372" t="s">
        <v>1597</v>
      </c>
      <c r="C372" t="s">
        <v>51</v>
      </c>
      <c r="D372" t="s">
        <v>50</v>
      </c>
      <c r="E372" t="s">
        <v>176</v>
      </c>
      <c r="F372" t="s">
        <v>82</v>
      </c>
      <c r="G372" t="s">
        <v>177</v>
      </c>
      <c r="H372" t="s">
        <v>109</v>
      </c>
      <c r="I372" t="s">
        <v>110</v>
      </c>
      <c r="J372" t="s">
        <v>2917</v>
      </c>
      <c r="K372" t="s">
        <v>162</v>
      </c>
      <c r="M372" t="s">
        <v>163</v>
      </c>
      <c r="N372" t="s">
        <v>99</v>
      </c>
      <c r="O372" s="27">
        <v>1175000</v>
      </c>
      <c r="P372">
        <v>4</v>
      </c>
      <c r="Q372" t="s">
        <v>164</v>
      </c>
      <c r="R372">
        <v>38</v>
      </c>
      <c r="S372" t="s">
        <v>244</v>
      </c>
      <c r="T372" t="str">
        <f>IF(COUNTIF($A$2:A372,A372)&gt;1,"Duplicate","Unique")</f>
        <v>Unique</v>
      </c>
    </row>
    <row r="373" spans="1:20" x14ac:dyDescent="0.45">
      <c r="A373" t="s">
        <v>966</v>
      </c>
      <c r="B373" t="s">
        <v>967</v>
      </c>
      <c r="C373" t="s">
        <v>59</v>
      </c>
      <c r="D373" t="s">
        <v>58</v>
      </c>
      <c r="E373" t="s">
        <v>211</v>
      </c>
      <c r="F373" t="s">
        <v>82</v>
      </c>
      <c r="G373" t="s">
        <v>212</v>
      </c>
      <c r="H373" t="s">
        <v>106</v>
      </c>
      <c r="I373" t="s">
        <v>107</v>
      </c>
      <c r="J373" t="s">
        <v>2542</v>
      </c>
      <c r="K373" t="s">
        <v>162</v>
      </c>
      <c r="M373" t="s">
        <v>163</v>
      </c>
      <c r="N373" t="s">
        <v>97</v>
      </c>
      <c r="O373" s="27">
        <v>1067000</v>
      </c>
      <c r="P373">
        <v>5</v>
      </c>
      <c r="Q373" t="s">
        <v>172</v>
      </c>
      <c r="R373">
        <v>21</v>
      </c>
      <c r="S373" t="s">
        <v>208</v>
      </c>
      <c r="T373" t="str">
        <f>IF(COUNTIF($A$2:A373,A373)&gt;1,"Duplicate","Unique")</f>
        <v>Unique</v>
      </c>
    </row>
    <row r="374" spans="1:20" x14ac:dyDescent="0.45">
      <c r="A374" t="s">
        <v>2062</v>
      </c>
      <c r="B374" t="s">
        <v>587</v>
      </c>
      <c r="C374" t="s">
        <v>51</v>
      </c>
      <c r="D374" t="s">
        <v>50</v>
      </c>
      <c r="E374" t="s">
        <v>176</v>
      </c>
      <c r="F374" t="s">
        <v>82</v>
      </c>
      <c r="G374" t="s">
        <v>177</v>
      </c>
      <c r="H374" t="s">
        <v>106</v>
      </c>
      <c r="I374" t="s">
        <v>107</v>
      </c>
      <c r="J374" t="s">
        <v>2918</v>
      </c>
      <c r="K374" t="s">
        <v>187</v>
      </c>
      <c r="L374" t="s">
        <v>2844</v>
      </c>
      <c r="M374" t="s">
        <v>213</v>
      </c>
      <c r="N374" t="s">
        <v>99</v>
      </c>
      <c r="O374" s="27">
        <v>938000</v>
      </c>
      <c r="P374">
        <v>4</v>
      </c>
      <c r="Q374" t="s">
        <v>164</v>
      </c>
      <c r="R374">
        <v>34</v>
      </c>
      <c r="S374" t="s">
        <v>197</v>
      </c>
      <c r="T374" t="str">
        <f>IF(COUNTIF($A$2:A374,A374)&gt;1,"Duplicate","Unique")</f>
        <v>Unique</v>
      </c>
    </row>
    <row r="375" spans="1:20" x14ac:dyDescent="0.45">
      <c r="A375" t="s">
        <v>1278</v>
      </c>
      <c r="B375" t="s">
        <v>681</v>
      </c>
      <c r="C375" t="s">
        <v>53</v>
      </c>
      <c r="D375" t="s">
        <v>2442</v>
      </c>
      <c r="E375" t="s">
        <v>185</v>
      </c>
      <c r="F375" t="s">
        <v>82</v>
      </c>
      <c r="G375" t="s">
        <v>186</v>
      </c>
      <c r="H375" t="s">
        <v>106</v>
      </c>
      <c r="I375" t="s">
        <v>107</v>
      </c>
      <c r="J375" t="s">
        <v>2919</v>
      </c>
      <c r="K375" t="s">
        <v>187</v>
      </c>
      <c r="L375" t="s">
        <v>2920</v>
      </c>
      <c r="M375" t="s">
        <v>188</v>
      </c>
      <c r="N375" t="s">
        <v>99</v>
      </c>
      <c r="O375" s="27">
        <v>1210000</v>
      </c>
      <c r="P375">
        <v>5</v>
      </c>
      <c r="Q375" t="s">
        <v>164</v>
      </c>
      <c r="R375">
        <v>25</v>
      </c>
      <c r="S375" t="s">
        <v>189</v>
      </c>
      <c r="T375" t="str">
        <f>IF(COUNTIF($A$2:A375,A375)&gt;1,"Duplicate","Unique")</f>
        <v>Unique</v>
      </c>
    </row>
    <row r="376" spans="1:20" x14ac:dyDescent="0.45">
      <c r="A376" t="s">
        <v>1934</v>
      </c>
      <c r="B376" t="s">
        <v>726</v>
      </c>
      <c r="C376" t="s">
        <v>51</v>
      </c>
      <c r="D376" t="s">
        <v>50</v>
      </c>
      <c r="E376" t="s">
        <v>217</v>
      </c>
      <c r="F376" t="s">
        <v>83</v>
      </c>
      <c r="G376" t="s">
        <v>218</v>
      </c>
      <c r="H376" t="s">
        <v>106</v>
      </c>
      <c r="I376" t="s">
        <v>107</v>
      </c>
      <c r="J376" t="s">
        <v>2443</v>
      </c>
      <c r="K376" t="s">
        <v>162</v>
      </c>
      <c r="M376" t="s">
        <v>163</v>
      </c>
      <c r="N376" t="s">
        <v>99</v>
      </c>
      <c r="O376" s="27">
        <v>1547000</v>
      </c>
      <c r="P376">
        <v>5</v>
      </c>
      <c r="Q376" t="s">
        <v>164</v>
      </c>
      <c r="R376">
        <v>37</v>
      </c>
      <c r="S376" t="s">
        <v>197</v>
      </c>
      <c r="T376" t="str">
        <f>IF(COUNTIF($A$2:A376,A376)&gt;1,"Duplicate","Unique")</f>
        <v>Unique</v>
      </c>
    </row>
    <row r="377" spans="1:20" x14ac:dyDescent="0.45">
      <c r="A377" t="s">
        <v>1273</v>
      </c>
      <c r="B377" t="s">
        <v>1274</v>
      </c>
      <c r="C377" t="s">
        <v>53</v>
      </c>
      <c r="D377" t="s">
        <v>52</v>
      </c>
      <c r="E377" t="s">
        <v>192</v>
      </c>
      <c r="F377" t="s">
        <v>83</v>
      </c>
      <c r="G377" t="s">
        <v>193</v>
      </c>
      <c r="H377" t="s">
        <v>106</v>
      </c>
      <c r="I377" t="s">
        <v>107</v>
      </c>
      <c r="J377" t="s">
        <v>2921</v>
      </c>
      <c r="K377" t="s">
        <v>187</v>
      </c>
      <c r="L377" t="s">
        <v>2922</v>
      </c>
      <c r="M377" t="s">
        <v>213</v>
      </c>
      <c r="N377" t="s">
        <v>95</v>
      </c>
      <c r="O377" s="27">
        <v>1995000</v>
      </c>
      <c r="P377">
        <v>3</v>
      </c>
      <c r="Q377" t="s">
        <v>172</v>
      </c>
      <c r="R377">
        <v>43</v>
      </c>
      <c r="S377" t="s">
        <v>189</v>
      </c>
      <c r="T377" t="str">
        <f>IF(COUNTIF($A$2:A377,A377)&gt;1,"Duplicate","Unique")</f>
        <v>Unique</v>
      </c>
    </row>
    <row r="378" spans="1:20" x14ac:dyDescent="0.45">
      <c r="A378" t="s">
        <v>937</v>
      </c>
      <c r="B378" t="s">
        <v>239</v>
      </c>
      <c r="C378" t="s">
        <v>51</v>
      </c>
      <c r="D378" t="s">
        <v>50</v>
      </c>
      <c r="E378" t="s">
        <v>397</v>
      </c>
      <c r="F378" t="s">
        <v>84</v>
      </c>
      <c r="G378" t="s">
        <v>398</v>
      </c>
      <c r="H378" t="s">
        <v>106</v>
      </c>
      <c r="I378" t="s">
        <v>107</v>
      </c>
      <c r="J378" t="s">
        <v>2923</v>
      </c>
      <c r="K378" t="s">
        <v>170</v>
      </c>
      <c r="L378" t="s">
        <v>2924</v>
      </c>
      <c r="M378" t="s">
        <v>171</v>
      </c>
      <c r="N378" t="s">
        <v>99</v>
      </c>
      <c r="O378" s="27">
        <v>3216000</v>
      </c>
      <c r="P378">
        <v>1</v>
      </c>
      <c r="Q378" t="s">
        <v>172</v>
      </c>
      <c r="R378">
        <v>17</v>
      </c>
      <c r="S378" t="s">
        <v>219</v>
      </c>
      <c r="T378" t="str">
        <f>IF(COUNTIF($A$2:A378,A378)&gt;1,"Duplicate","Unique")</f>
        <v>Unique</v>
      </c>
    </row>
    <row r="379" spans="1:20" x14ac:dyDescent="0.45">
      <c r="A379" t="s">
        <v>2009</v>
      </c>
      <c r="B379" t="s">
        <v>749</v>
      </c>
      <c r="C379" t="s">
        <v>55</v>
      </c>
      <c r="D379" t="s">
        <v>54</v>
      </c>
      <c r="E379" t="s">
        <v>229</v>
      </c>
      <c r="F379" t="s">
        <v>82</v>
      </c>
      <c r="G379" t="s">
        <v>230</v>
      </c>
      <c r="H379" t="s">
        <v>108</v>
      </c>
      <c r="I379" t="s">
        <v>107</v>
      </c>
      <c r="J379" t="s">
        <v>2925</v>
      </c>
      <c r="K379" t="s">
        <v>162</v>
      </c>
      <c r="M379" t="s">
        <v>163</v>
      </c>
      <c r="N379" t="s">
        <v>99</v>
      </c>
      <c r="O379" s="27">
        <v>1220000</v>
      </c>
      <c r="P379">
        <v>3</v>
      </c>
      <c r="Q379" t="s">
        <v>164</v>
      </c>
      <c r="R379">
        <v>44</v>
      </c>
      <c r="S379" t="s">
        <v>262</v>
      </c>
      <c r="T379" t="str">
        <f>IF(COUNTIF($A$2:A379,A379)&gt;1,"Duplicate","Unique")</f>
        <v>Unique</v>
      </c>
    </row>
    <row r="380" spans="1:20" x14ac:dyDescent="0.45">
      <c r="A380" t="s">
        <v>1364</v>
      </c>
      <c r="B380" t="s">
        <v>1205</v>
      </c>
      <c r="C380" t="s">
        <v>53</v>
      </c>
      <c r="D380" t="s">
        <v>52</v>
      </c>
      <c r="E380" t="s">
        <v>192</v>
      </c>
      <c r="F380" t="s">
        <v>83</v>
      </c>
      <c r="G380" t="s">
        <v>193</v>
      </c>
      <c r="H380" t="s">
        <v>2926</v>
      </c>
      <c r="I380" t="s">
        <v>110</v>
      </c>
      <c r="J380" t="s">
        <v>2792</v>
      </c>
      <c r="K380" t="s">
        <v>187</v>
      </c>
      <c r="L380" t="s">
        <v>2927</v>
      </c>
      <c r="M380" t="s">
        <v>213</v>
      </c>
      <c r="N380" t="s">
        <v>96</v>
      </c>
      <c r="O380" s="27">
        <v>1408000</v>
      </c>
      <c r="P380">
        <v>4</v>
      </c>
      <c r="Q380" t="s">
        <v>172</v>
      </c>
      <c r="R380">
        <v>31</v>
      </c>
      <c r="S380" t="s">
        <v>189</v>
      </c>
      <c r="T380" t="str">
        <f>IF(COUNTIF($A$2:A380,A380)&gt;1,"Duplicate","Unique")</f>
        <v>Unique</v>
      </c>
    </row>
    <row r="381" spans="1:20" x14ac:dyDescent="0.45">
      <c r="A381" t="s">
        <v>632</v>
      </c>
      <c r="B381" t="s">
        <v>633</v>
      </c>
      <c r="C381" t="s">
        <v>55</v>
      </c>
      <c r="D381" t="s">
        <v>54</v>
      </c>
      <c r="E381" t="s">
        <v>277</v>
      </c>
      <c r="F381" t="s">
        <v>81</v>
      </c>
      <c r="G381" t="s">
        <v>278</v>
      </c>
      <c r="H381" t="s">
        <v>106</v>
      </c>
      <c r="I381" t="s">
        <v>107</v>
      </c>
      <c r="J381" t="s">
        <v>2928</v>
      </c>
      <c r="K381" t="s">
        <v>170</v>
      </c>
      <c r="L381" t="s">
        <v>2744</v>
      </c>
      <c r="M381" t="s">
        <v>171</v>
      </c>
      <c r="N381" t="s">
        <v>96</v>
      </c>
      <c r="O381" s="27">
        <v>690000</v>
      </c>
      <c r="P381">
        <v>2</v>
      </c>
      <c r="Q381" t="s">
        <v>172</v>
      </c>
      <c r="R381">
        <v>4</v>
      </c>
      <c r="S381" t="s">
        <v>274</v>
      </c>
      <c r="T381" t="str">
        <f>IF(COUNTIF($A$2:A381,A381)&gt;1,"Duplicate","Unique")</f>
        <v>Unique</v>
      </c>
    </row>
    <row r="382" spans="1:20" x14ac:dyDescent="0.45">
      <c r="A382" t="s">
        <v>1781</v>
      </c>
      <c r="B382" t="s">
        <v>1782</v>
      </c>
      <c r="C382" t="s">
        <v>57</v>
      </c>
      <c r="D382" t="s">
        <v>56</v>
      </c>
      <c r="E382" t="s">
        <v>222</v>
      </c>
      <c r="F382" t="s">
        <v>82</v>
      </c>
      <c r="G382" t="s">
        <v>223</v>
      </c>
      <c r="H382" t="s">
        <v>108</v>
      </c>
      <c r="I382" t="s">
        <v>107</v>
      </c>
      <c r="J382" t="s">
        <v>2929</v>
      </c>
      <c r="K382" t="s">
        <v>162</v>
      </c>
      <c r="M382" t="s">
        <v>163</v>
      </c>
      <c r="N382" t="s">
        <v>98</v>
      </c>
      <c r="O382" s="27">
        <v>1132000</v>
      </c>
      <c r="P382">
        <v>3</v>
      </c>
      <c r="Q382" t="s">
        <v>172</v>
      </c>
      <c r="R382">
        <v>48</v>
      </c>
      <c r="S382" t="s">
        <v>165</v>
      </c>
      <c r="T382" t="str">
        <f>IF(COUNTIF($A$2:A382,A382)&gt;1,"Duplicate","Unique")</f>
        <v>Unique</v>
      </c>
    </row>
    <row r="383" spans="1:20" x14ac:dyDescent="0.45">
      <c r="A383" t="s">
        <v>759</v>
      </c>
      <c r="B383" t="s">
        <v>714</v>
      </c>
      <c r="C383" t="s">
        <v>55</v>
      </c>
      <c r="D383" t="s">
        <v>54</v>
      </c>
      <c r="E383" t="s">
        <v>277</v>
      </c>
      <c r="F383" t="s">
        <v>81</v>
      </c>
      <c r="G383" t="s">
        <v>278</v>
      </c>
      <c r="H383" t="s">
        <v>111</v>
      </c>
      <c r="I383" t="s">
        <v>110</v>
      </c>
      <c r="J383" t="s">
        <v>2930</v>
      </c>
      <c r="K383" t="s">
        <v>162</v>
      </c>
      <c r="M383" t="s">
        <v>163</v>
      </c>
      <c r="N383" t="s">
        <v>95</v>
      </c>
      <c r="O383" s="27">
        <v>849000</v>
      </c>
      <c r="P383">
        <v>3</v>
      </c>
      <c r="Q383" t="s">
        <v>164</v>
      </c>
      <c r="S383" t="s">
        <v>173</v>
      </c>
      <c r="T383" t="str">
        <f>IF(COUNTIF($A$2:A383,A383)&gt;1,"Duplicate","Unique")</f>
        <v>Unique</v>
      </c>
    </row>
    <row r="384" spans="1:20" x14ac:dyDescent="0.45">
      <c r="A384" t="s">
        <v>974</v>
      </c>
      <c r="B384" t="s">
        <v>671</v>
      </c>
      <c r="C384" t="s">
        <v>51</v>
      </c>
      <c r="D384" t="s">
        <v>50</v>
      </c>
      <c r="E384" t="s">
        <v>181</v>
      </c>
      <c r="F384" t="s">
        <v>81</v>
      </c>
      <c r="G384" t="s">
        <v>182</v>
      </c>
      <c r="H384" t="s">
        <v>109</v>
      </c>
      <c r="I384" t="s">
        <v>110</v>
      </c>
      <c r="J384" t="s">
        <v>2931</v>
      </c>
      <c r="K384" t="s">
        <v>162</v>
      </c>
      <c r="M384" t="s">
        <v>163</v>
      </c>
      <c r="N384" t="s">
        <v>97</v>
      </c>
      <c r="O384" s="27">
        <v>712000</v>
      </c>
      <c r="P384">
        <v>3</v>
      </c>
      <c r="Q384" t="s">
        <v>172</v>
      </c>
      <c r="R384">
        <v>27</v>
      </c>
      <c r="S384" t="s">
        <v>219</v>
      </c>
      <c r="T384" t="str">
        <f>IF(COUNTIF($A$2:A384,A384)&gt;1,"Duplicate","Unique")</f>
        <v>Unique</v>
      </c>
    </row>
    <row r="385" spans="1:20" x14ac:dyDescent="0.45">
      <c r="A385" t="s">
        <v>2314</v>
      </c>
      <c r="B385" t="s">
        <v>2315</v>
      </c>
      <c r="C385" t="s">
        <v>51</v>
      </c>
      <c r="D385" t="s">
        <v>50</v>
      </c>
      <c r="E385" t="s">
        <v>181</v>
      </c>
      <c r="F385" t="s">
        <v>81</v>
      </c>
      <c r="G385" t="s">
        <v>182</v>
      </c>
      <c r="H385" t="s">
        <v>106</v>
      </c>
      <c r="I385" t="s">
        <v>107</v>
      </c>
      <c r="J385" t="s">
        <v>2932</v>
      </c>
      <c r="K385" t="s">
        <v>162</v>
      </c>
      <c r="M385" t="s">
        <v>163</v>
      </c>
      <c r="N385" t="s">
        <v>98</v>
      </c>
      <c r="O385" s="27">
        <v>768000</v>
      </c>
      <c r="P385">
        <v>3</v>
      </c>
      <c r="Q385" t="s">
        <v>164</v>
      </c>
      <c r="R385">
        <v>23</v>
      </c>
      <c r="S385" t="s">
        <v>178</v>
      </c>
      <c r="T385" t="str">
        <f>IF(COUNTIF($A$2:A385,A385)&gt;1,"Duplicate","Unique")</f>
        <v>Unique</v>
      </c>
    </row>
    <row r="386" spans="1:20" x14ac:dyDescent="0.45">
      <c r="A386" t="s">
        <v>1225</v>
      </c>
      <c r="B386" t="s">
        <v>1009</v>
      </c>
      <c r="C386" t="s">
        <v>55</v>
      </c>
      <c r="D386" t="s">
        <v>54</v>
      </c>
      <c r="E386" t="s">
        <v>240</v>
      </c>
      <c r="F386" t="s">
        <v>83</v>
      </c>
      <c r="G386" t="s">
        <v>241</v>
      </c>
      <c r="H386" t="s">
        <v>109</v>
      </c>
      <c r="I386" t="s">
        <v>110</v>
      </c>
      <c r="J386" t="s">
        <v>2933</v>
      </c>
      <c r="K386" t="s">
        <v>187</v>
      </c>
      <c r="L386" t="s">
        <v>2934</v>
      </c>
      <c r="M386" t="s">
        <v>213</v>
      </c>
      <c r="N386" t="s">
        <v>99</v>
      </c>
      <c r="O386" s="27">
        <v>1457000</v>
      </c>
      <c r="P386">
        <v>3</v>
      </c>
      <c r="Q386" t="s">
        <v>164</v>
      </c>
      <c r="R386">
        <v>46</v>
      </c>
      <c r="S386" t="s">
        <v>173</v>
      </c>
      <c r="T386" t="str">
        <f>IF(COUNTIF($A$2:A386,A386)&gt;1,"Duplicate","Unique")</f>
        <v>Unique</v>
      </c>
    </row>
    <row r="387" spans="1:20" x14ac:dyDescent="0.45">
      <c r="A387" t="s">
        <v>1903</v>
      </c>
      <c r="B387" t="s">
        <v>834</v>
      </c>
      <c r="C387" t="s">
        <v>53</v>
      </c>
      <c r="D387" t="s">
        <v>2617</v>
      </c>
      <c r="E387" t="s">
        <v>200</v>
      </c>
      <c r="F387" t="s">
        <v>84</v>
      </c>
      <c r="G387" t="s">
        <v>201</v>
      </c>
      <c r="H387" t="s">
        <v>109</v>
      </c>
      <c r="I387" t="s">
        <v>110</v>
      </c>
      <c r="J387" t="s">
        <v>2935</v>
      </c>
      <c r="K387" t="s">
        <v>187</v>
      </c>
      <c r="L387" t="s">
        <v>2488</v>
      </c>
      <c r="M387" t="s">
        <v>282</v>
      </c>
      <c r="N387" t="s">
        <v>96</v>
      </c>
      <c r="O387" s="27">
        <v>2210000</v>
      </c>
      <c r="P387">
        <v>3</v>
      </c>
      <c r="Q387" t="s">
        <v>164</v>
      </c>
      <c r="R387">
        <v>42</v>
      </c>
      <c r="S387" t="s">
        <v>237</v>
      </c>
      <c r="T387" t="str">
        <f>IF(COUNTIF($A$2:A387,A387)&gt;1,"Duplicate","Unique")</f>
        <v>Unique</v>
      </c>
    </row>
    <row r="388" spans="1:20" x14ac:dyDescent="0.45">
      <c r="A388" t="s">
        <v>634</v>
      </c>
      <c r="B388" t="s">
        <v>359</v>
      </c>
      <c r="C388" t="s">
        <v>55</v>
      </c>
      <c r="D388" t="s">
        <v>54</v>
      </c>
      <c r="E388" t="s">
        <v>277</v>
      </c>
      <c r="F388" t="s">
        <v>81</v>
      </c>
      <c r="G388" t="s">
        <v>278</v>
      </c>
      <c r="H388" t="s">
        <v>108</v>
      </c>
      <c r="I388" t="s">
        <v>107</v>
      </c>
      <c r="J388" t="s">
        <v>2936</v>
      </c>
      <c r="K388" t="s">
        <v>187</v>
      </c>
      <c r="L388" t="s">
        <v>2937</v>
      </c>
      <c r="M388" t="s">
        <v>213</v>
      </c>
      <c r="N388" t="s">
        <v>98</v>
      </c>
      <c r="O388" s="27">
        <v>589000</v>
      </c>
      <c r="P388">
        <v>4</v>
      </c>
      <c r="Q388" t="s">
        <v>164</v>
      </c>
      <c r="R388">
        <v>42</v>
      </c>
      <c r="S388" t="s">
        <v>274</v>
      </c>
      <c r="T388" t="str">
        <f>IF(COUNTIF($A$2:A388,A388)&gt;1,"Duplicate","Unique")</f>
        <v>Unique</v>
      </c>
    </row>
    <row r="389" spans="1:20" x14ac:dyDescent="0.45">
      <c r="A389" t="s">
        <v>1973</v>
      </c>
      <c r="B389" t="s">
        <v>914</v>
      </c>
      <c r="C389" t="s">
        <v>51</v>
      </c>
      <c r="D389" t="s">
        <v>50</v>
      </c>
      <c r="E389" t="s">
        <v>176</v>
      </c>
      <c r="F389" t="s">
        <v>82</v>
      </c>
      <c r="G389" t="s">
        <v>177</v>
      </c>
      <c r="H389" t="s">
        <v>106</v>
      </c>
      <c r="I389" t="s">
        <v>107</v>
      </c>
      <c r="J389" t="s">
        <v>2938</v>
      </c>
      <c r="K389" t="s">
        <v>170</v>
      </c>
      <c r="L389" t="s">
        <v>2939</v>
      </c>
      <c r="M389" t="s">
        <v>171</v>
      </c>
      <c r="N389" t="s">
        <v>98</v>
      </c>
      <c r="O389" s="27">
        <v>1322000</v>
      </c>
      <c r="P389">
        <v>2</v>
      </c>
      <c r="Q389" t="s">
        <v>172</v>
      </c>
      <c r="R389">
        <v>23</v>
      </c>
      <c r="S389" t="s">
        <v>197</v>
      </c>
      <c r="T389" t="str">
        <f>IF(COUNTIF($A$2:A389,A389)&gt;1,"Duplicate","Unique")</f>
        <v>Unique</v>
      </c>
    </row>
    <row r="390" spans="1:20" x14ac:dyDescent="0.45">
      <c r="A390" t="s">
        <v>1979</v>
      </c>
      <c r="B390" t="s">
        <v>1980</v>
      </c>
      <c r="C390" t="s">
        <v>53</v>
      </c>
      <c r="D390" t="s">
        <v>52</v>
      </c>
      <c r="E390" t="s">
        <v>322</v>
      </c>
      <c r="F390" t="s">
        <v>81</v>
      </c>
      <c r="G390" t="s">
        <v>323</v>
      </c>
      <c r="H390" t="s">
        <v>111</v>
      </c>
      <c r="I390" t="s">
        <v>110</v>
      </c>
      <c r="J390" t="s">
        <v>2940</v>
      </c>
      <c r="K390" t="s">
        <v>162</v>
      </c>
      <c r="M390" t="s">
        <v>163</v>
      </c>
      <c r="N390" t="s">
        <v>96</v>
      </c>
      <c r="O390" s="27">
        <v>586000</v>
      </c>
      <c r="P390">
        <v>4</v>
      </c>
      <c r="Q390" t="s">
        <v>2525</v>
      </c>
      <c r="R390">
        <v>45</v>
      </c>
      <c r="S390" t="s">
        <v>194</v>
      </c>
      <c r="T390" t="str">
        <f>IF(COUNTIF($A$2:A390,A390)&gt;1,"Duplicate","Unique")</f>
        <v>Unique</v>
      </c>
    </row>
    <row r="391" spans="1:20" x14ac:dyDescent="0.45">
      <c r="A391" t="s">
        <v>1972</v>
      </c>
      <c r="B391" t="s">
        <v>1162</v>
      </c>
      <c r="C391" t="s">
        <v>55</v>
      </c>
      <c r="D391" t="s">
        <v>54</v>
      </c>
      <c r="E391" t="s">
        <v>229</v>
      </c>
      <c r="F391" t="s">
        <v>82</v>
      </c>
      <c r="G391" t="s">
        <v>230</v>
      </c>
      <c r="H391" t="s">
        <v>111</v>
      </c>
      <c r="I391" t="s">
        <v>110</v>
      </c>
      <c r="J391" t="s">
        <v>2938</v>
      </c>
      <c r="K391" t="s">
        <v>162</v>
      </c>
      <c r="M391" t="s">
        <v>163</v>
      </c>
      <c r="N391" t="s">
        <v>99</v>
      </c>
      <c r="O391" s="27">
        <v>895000</v>
      </c>
      <c r="P391">
        <v>3</v>
      </c>
      <c r="Q391" t="s">
        <v>164</v>
      </c>
      <c r="R391">
        <v>35</v>
      </c>
      <c r="S391" t="s">
        <v>173</v>
      </c>
      <c r="T391" t="str">
        <f>IF(COUNTIF($A$2:A391,A391)&gt;1,"Duplicate","Unique")</f>
        <v>Unique</v>
      </c>
    </row>
    <row r="392" spans="1:20" x14ac:dyDescent="0.45">
      <c r="A392" t="s">
        <v>1871</v>
      </c>
      <c r="B392" t="s">
        <v>1348</v>
      </c>
      <c r="C392" t="s">
        <v>53</v>
      </c>
      <c r="D392" t="s">
        <v>52</v>
      </c>
      <c r="E392" t="s">
        <v>322</v>
      </c>
      <c r="F392" t="s">
        <v>81</v>
      </c>
      <c r="G392" t="s">
        <v>323</v>
      </c>
      <c r="H392" t="s">
        <v>112</v>
      </c>
      <c r="I392" t="s">
        <v>113</v>
      </c>
      <c r="J392" t="s">
        <v>2941</v>
      </c>
      <c r="K392" t="s">
        <v>162</v>
      </c>
      <c r="M392" t="s">
        <v>163</v>
      </c>
      <c r="N392" t="s">
        <v>96</v>
      </c>
      <c r="O392" s="27">
        <v>594000</v>
      </c>
      <c r="P392">
        <v>4</v>
      </c>
      <c r="Q392" t="s">
        <v>164</v>
      </c>
      <c r="R392">
        <v>43</v>
      </c>
      <c r="S392" t="s">
        <v>194</v>
      </c>
      <c r="T392" t="str">
        <f>IF(COUNTIF($A$2:A392,A392)&gt;1,"Duplicate","Unique")</f>
        <v>Unique</v>
      </c>
    </row>
    <row r="393" spans="1:20" x14ac:dyDescent="0.45">
      <c r="A393" t="s">
        <v>1791</v>
      </c>
      <c r="B393" t="s">
        <v>1571</v>
      </c>
      <c r="C393" t="s">
        <v>53</v>
      </c>
      <c r="D393" t="s">
        <v>52</v>
      </c>
      <c r="E393" t="s">
        <v>322</v>
      </c>
      <c r="F393" t="s">
        <v>81</v>
      </c>
      <c r="G393" t="s">
        <v>323</v>
      </c>
      <c r="H393" t="s">
        <v>106</v>
      </c>
      <c r="I393" t="s">
        <v>107</v>
      </c>
      <c r="J393" t="s">
        <v>2942</v>
      </c>
      <c r="K393" t="s">
        <v>187</v>
      </c>
      <c r="L393" t="s">
        <v>2943</v>
      </c>
      <c r="M393" t="s">
        <v>213</v>
      </c>
      <c r="N393" t="s">
        <v>98</v>
      </c>
      <c r="O393" s="27">
        <v>796000</v>
      </c>
      <c r="P393">
        <v>3</v>
      </c>
      <c r="Q393" t="s">
        <v>172</v>
      </c>
      <c r="R393">
        <v>37</v>
      </c>
      <c r="S393" t="s">
        <v>237</v>
      </c>
      <c r="T393" t="str">
        <f>IF(COUNTIF($A$2:A393,A393)&gt;1,"Duplicate","Unique")</f>
        <v>Unique</v>
      </c>
    </row>
    <row r="394" spans="1:20" x14ac:dyDescent="0.45">
      <c r="A394" t="s">
        <v>1011</v>
      </c>
      <c r="B394" t="s">
        <v>1012</v>
      </c>
      <c r="C394" t="s">
        <v>61</v>
      </c>
      <c r="D394" t="s">
        <v>60</v>
      </c>
      <c r="E394" t="s">
        <v>356</v>
      </c>
      <c r="F394" t="s">
        <v>81</v>
      </c>
      <c r="G394" t="s">
        <v>357</v>
      </c>
      <c r="H394" t="s">
        <v>109</v>
      </c>
      <c r="I394" t="s">
        <v>110</v>
      </c>
      <c r="J394" t="s">
        <v>2944</v>
      </c>
      <c r="K394" t="s">
        <v>187</v>
      </c>
      <c r="L394" t="s">
        <v>2945</v>
      </c>
      <c r="M394" t="s">
        <v>282</v>
      </c>
      <c r="N394" t="s">
        <v>96</v>
      </c>
      <c r="O394" s="27">
        <v>788000</v>
      </c>
      <c r="P394">
        <v>3</v>
      </c>
      <c r="Q394" t="s">
        <v>172</v>
      </c>
      <c r="R394">
        <v>46</v>
      </c>
      <c r="S394" t="s">
        <v>319</v>
      </c>
      <c r="T394" t="str">
        <f>IF(COUNTIF($A$2:A394,A394)&gt;1,"Duplicate","Unique")</f>
        <v>Unique</v>
      </c>
    </row>
    <row r="395" spans="1:20" x14ac:dyDescent="0.45">
      <c r="A395" t="s">
        <v>2217</v>
      </c>
      <c r="B395" t="s">
        <v>1416</v>
      </c>
      <c r="C395" t="s">
        <v>57</v>
      </c>
      <c r="D395" t="s">
        <v>56</v>
      </c>
      <c r="E395" t="s">
        <v>160</v>
      </c>
      <c r="F395" t="s">
        <v>81</v>
      </c>
      <c r="G395" t="s">
        <v>161</v>
      </c>
      <c r="H395" t="s">
        <v>108</v>
      </c>
      <c r="I395" t="s">
        <v>107</v>
      </c>
      <c r="J395" t="s">
        <v>2651</v>
      </c>
      <c r="K395" t="s">
        <v>162</v>
      </c>
      <c r="M395" t="s">
        <v>163</v>
      </c>
      <c r="N395" t="s">
        <v>98</v>
      </c>
      <c r="O395" s="27">
        <v>743000</v>
      </c>
      <c r="P395">
        <v>2</v>
      </c>
      <c r="Q395" t="s">
        <v>164</v>
      </c>
      <c r="R395">
        <v>28</v>
      </c>
      <c r="S395" t="s">
        <v>165</v>
      </c>
      <c r="T395" t="str">
        <f>IF(COUNTIF($A$2:A395,A395)&gt;1,"Duplicate","Unique")</f>
        <v>Unique</v>
      </c>
    </row>
    <row r="396" spans="1:20" x14ac:dyDescent="0.45">
      <c r="A396" t="s">
        <v>2125</v>
      </c>
      <c r="B396" t="s">
        <v>2126</v>
      </c>
      <c r="C396" t="s">
        <v>61</v>
      </c>
      <c r="D396" t="s">
        <v>60</v>
      </c>
      <c r="E396" t="s">
        <v>251</v>
      </c>
      <c r="F396" t="s">
        <v>82</v>
      </c>
      <c r="G396" t="s">
        <v>252</v>
      </c>
      <c r="H396" t="s">
        <v>106</v>
      </c>
      <c r="I396" t="s">
        <v>107</v>
      </c>
      <c r="J396" t="s">
        <v>2946</v>
      </c>
      <c r="K396" t="s">
        <v>162</v>
      </c>
      <c r="M396" t="s">
        <v>163</v>
      </c>
      <c r="N396" t="s">
        <v>97</v>
      </c>
      <c r="O396" s="27">
        <v>1072000</v>
      </c>
      <c r="P396">
        <v>2</v>
      </c>
      <c r="Q396" t="s">
        <v>2584</v>
      </c>
      <c r="R396">
        <v>8</v>
      </c>
      <c r="S396" t="s">
        <v>319</v>
      </c>
      <c r="T396" t="str">
        <f>IF(COUNTIF($A$2:A396,A396)&gt;1,"Duplicate","Unique")</f>
        <v>Unique</v>
      </c>
    </row>
    <row r="397" spans="1:20" x14ac:dyDescent="0.45">
      <c r="A397" t="s">
        <v>1621</v>
      </c>
      <c r="B397" t="s">
        <v>1622</v>
      </c>
      <c r="C397" t="s">
        <v>61</v>
      </c>
      <c r="D397" t="s">
        <v>60</v>
      </c>
      <c r="E397" t="s">
        <v>251</v>
      </c>
      <c r="F397" t="s">
        <v>82</v>
      </c>
      <c r="G397" t="s">
        <v>252</v>
      </c>
      <c r="H397" t="s">
        <v>109</v>
      </c>
      <c r="I397" t="s">
        <v>110</v>
      </c>
      <c r="J397" t="s">
        <v>2947</v>
      </c>
      <c r="K397" t="s">
        <v>162</v>
      </c>
      <c r="M397" t="s">
        <v>163</v>
      </c>
      <c r="N397" t="s">
        <v>99</v>
      </c>
      <c r="O397" s="27">
        <v>1137000</v>
      </c>
      <c r="P397">
        <v>3</v>
      </c>
      <c r="Q397" t="s">
        <v>172</v>
      </c>
      <c r="R397">
        <v>23</v>
      </c>
      <c r="S397" t="s">
        <v>319</v>
      </c>
      <c r="T397" t="str">
        <f>IF(COUNTIF($A$2:A397,A397)&gt;1,"Duplicate","Unique")</f>
        <v>Unique</v>
      </c>
    </row>
    <row r="398" spans="1:20" x14ac:dyDescent="0.45">
      <c r="A398" t="s">
        <v>315</v>
      </c>
      <c r="B398" t="s">
        <v>316</v>
      </c>
      <c r="C398" t="s">
        <v>61</v>
      </c>
      <c r="D398" t="s">
        <v>60</v>
      </c>
      <c r="E398" t="s">
        <v>317</v>
      </c>
      <c r="F398" t="s">
        <v>84</v>
      </c>
      <c r="G398" t="s">
        <v>318</v>
      </c>
      <c r="H398" t="s">
        <v>106</v>
      </c>
      <c r="I398" t="s">
        <v>107</v>
      </c>
      <c r="J398" t="s">
        <v>2948</v>
      </c>
      <c r="K398" t="s">
        <v>162</v>
      </c>
      <c r="M398" t="s">
        <v>163</v>
      </c>
      <c r="N398" t="s">
        <v>95</v>
      </c>
      <c r="O398" s="27">
        <v>2560000</v>
      </c>
      <c r="P398">
        <v>3</v>
      </c>
      <c r="Q398" t="s">
        <v>164</v>
      </c>
      <c r="R398">
        <v>23</v>
      </c>
      <c r="S398" t="s">
        <v>319</v>
      </c>
      <c r="T398" t="str">
        <f>IF(COUNTIF($A$2:A398,A398)&gt;1,"Duplicate","Unique")</f>
        <v>Unique</v>
      </c>
    </row>
    <row r="399" spans="1:20" x14ac:dyDescent="0.45">
      <c r="A399" t="s">
        <v>1041</v>
      </c>
      <c r="B399" t="s">
        <v>994</v>
      </c>
      <c r="C399" t="s">
        <v>53</v>
      </c>
      <c r="D399" t="s">
        <v>52</v>
      </c>
      <c r="E399" t="s">
        <v>185</v>
      </c>
      <c r="F399" t="s">
        <v>82</v>
      </c>
      <c r="G399" t="s">
        <v>186</v>
      </c>
      <c r="H399" t="s">
        <v>106</v>
      </c>
      <c r="I399" t="s">
        <v>107</v>
      </c>
      <c r="J399" t="s">
        <v>2949</v>
      </c>
      <c r="K399" t="s">
        <v>162</v>
      </c>
      <c r="M399" t="s">
        <v>163</v>
      </c>
      <c r="N399" t="s">
        <v>98</v>
      </c>
      <c r="O399" s="27">
        <v>1158000</v>
      </c>
      <c r="P399">
        <v>2</v>
      </c>
      <c r="Q399" t="s">
        <v>164</v>
      </c>
      <c r="R399">
        <v>8</v>
      </c>
      <c r="S399" t="s">
        <v>189</v>
      </c>
      <c r="T399" t="str">
        <f>IF(COUNTIF($A$2:A399,A399)&gt;1,"Duplicate","Unique")</f>
        <v>Unique</v>
      </c>
    </row>
    <row r="400" spans="1:20" x14ac:dyDescent="0.45">
      <c r="A400" t="s">
        <v>954</v>
      </c>
      <c r="B400" t="s">
        <v>955</v>
      </c>
      <c r="C400" t="s">
        <v>59</v>
      </c>
      <c r="D400" t="s">
        <v>58</v>
      </c>
      <c r="E400" t="s">
        <v>206</v>
      </c>
      <c r="F400" t="s">
        <v>81</v>
      </c>
      <c r="G400" t="s">
        <v>207</v>
      </c>
      <c r="H400" t="s">
        <v>108</v>
      </c>
      <c r="I400" t="s">
        <v>107</v>
      </c>
      <c r="J400" t="s">
        <v>2759</v>
      </c>
      <c r="K400" t="s">
        <v>170</v>
      </c>
      <c r="L400" t="s">
        <v>2950</v>
      </c>
      <c r="M400" t="s">
        <v>171</v>
      </c>
      <c r="N400" t="s">
        <v>98</v>
      </c>
      <c r="O400" s="27">
        <v>591000</v>
      </c>
      <c r="P400">
        <v>2</v>
      </c>
      <c r="Q400" t="s">
        <v>2631</v>
      </c>
      <c r="R400">
        <v>28</v>
      </c>
      <c r="S400" t="s">
        <v>214</v>
      </c>
      <c r="T400" t="str">
        <f>IF(COUNTIF($A$2:A400,A400)&gt;1,"Duplicate","Unique")</f>
        <v>Unique</v>
      </c>
    </row>
    <row r="401" spans="1:20" x14ac:dyDescent="0.45">
      <c r="A401" t="s">
        <v>1954</v>
      </c>
      <c r="B401" t="s">
        <v>1932</v>
      </c>
      <c r="C401" t="s">
        <v>55</v>
      </c>
      <c r="D401" t="s">
        <v>54</v>
      </c>
      <c r="E401" t="s">
        <v>229</v>
      </c>
      <c r="F401" t="s">
        <v>82</v>
      </c>
      <c r="G401" t="s">
        <v>230</v>
      </c>
      <c r="H401" t="s">
        <v>106</v>
      </c>
      <c r="I401" t="s">
        <v>107</v>
      </c>
      <c r="J401" t="s">
        <v>2951</v>
      </c>
      <c r="K401" t="s">
        <v>162</v>
      </c>
      <c r="M401" t="s">
        <v>163</v>
      </c>
      <c r="N401" t="s">
        <v>99</v>
      </c>
      <c r="O401" s="27">
        <v>1090000</v>
      </c>
      <c r="P401">
        <v>2</v>
      </c>
      <c r="Q401" t="s">
        <v>164</v>
      </c>
      <c r="R401">
        <v>20</v>
      </c>
      <c r="S401" t="s">
        <v>262</v>
      </c>
      <c r="T401" t="str">
        <f>IF(COUNTIF($A$2:A401,A401)&gt;1,"Duplicate","Unique")</f>
        <v>Unique</v>
      </c>
    </row>
    <row r="402" spans="1:20" x14ac:dyDescent="0.45">
      <c r="A402" t="s">
        <v>309</v>
      </c>
      <c r="B402" t="s">
        <v>310</v>
      </c>
      <c r="C402" t="s">
        <v>51</v>
      </c>
      <c r="D402" t="s">
        <v>50</v>
      </c>
      <c r="E402" t="s">
        <v>181</v>
      </c>
      <c r="F402" t="s">
        <v>81</v>
      </c>
      <c r="G402" t="s">
        <v>182</v>
      </c>
      <c r="H402" t="s">
        <v>108</v>
      </c>
      <c r="I402" t="s">
        <v>107</v>
      </c>
      <c r="J402" t="s">
        <v>2952</v>
      </c>
      <c r="K402" t="s">
        <v>187</v>
      </c>
      <c r="L402" t="s">
        <v>2953</v>
      </c>
      <c r="M402" t="s">
        <v>269</v>
      </c>
      <c r="N402" t="s">
        <v>96</v>
      </c>
      <c r="O402" s="27">
        <v>646000</v>
      </c>
      <c r="P402">
        <v>3</v>
      </c>
      <c r="Q402" t="s">
        <v>172</v>
      </c>
      <c r="R402">
        <v>33</v>
      </c>
      <c r="S402" t="s">
        <v>197</v>
      </c>
      <c r="T402" t="str">
        <f>IF(COUNTIF($A$2:A402,A402)&gt;1,"Duplicate","Unique")</f>
        <v>Unique</v>
      </c>
    </row>
    <row r="403" spans="1:20" x14ac:dyDescent="0.45">
      <c r="A403" t="s">
        <v>869</v>
      </c>
      <c r="B403" t="s">
        <v>405</v>
      </c>
      <c r="C403" t="s">
        <v>59</v>
      </c>
      <c r="D403" t="s">
        <v>58</v>
      </c>
      <c r="E403" t="s">
        <v>211</v>
      </c>
      <c r="F403" t="s">
        <v>82</v>
      </c>
      <c r="G403" t="s">
        <v>212</v>
      </c>
      <c r="H403" t="s">
        <v>106</v>
      </c>
      <c r="I403" t="s">
        <v>107</v>
      </c>
      <c r="J403" t="s">
        <v>2954</v>
      </c>
      <c r="K403" t="s">
        <v>162</v>
      </c>
      <c r="M403" t="s">
        <v>163</v>
      </c>
      <c r="N403" t="s">
        <v>99</v>
      </c>
      <c r="O403" s="27">
        <v>900000</v>
      </c>
      <c r="P403">
        <v>3</v>
      </c>
      <c r="Q403" t="s">
        <v>164</v>
      </c>
      <c r="R403">
        <v>24</v>
      </c>
      <c r="S403" t="s">
        <v>214</v>
      </c>
      <c r="T403" t="str">
        <f>IF(COUNTIF($A$2:A403,A403)&gt;1,"Duplicate","Unique")</f>
        <v>Unique</v>
      </c>
    </row>
    <row r="404" spans="1:20" x14ac:dyDescent="0.45">
      <c r="A404" t="s">
        <v>2116</v>
      </c>
      <c r="B404" t="s">
        <v>1434</v>
      </c>
      <c r="C404" t="s">
        <v>53</v>
      </c>
      <c r="D404" t="s">
        <v>52</v>
      </c>
      <c r="E404" t="s">
        <v>322</v>
      </c>
      <c r="F404" t="s">
        <v>81</v>
      </c>
      <c r="G404" t="s">
        <v>323</v>
      </c>
      <c r="H404" t="s">
        <v>106</v>
      </c>
      <c r="I404" t="s">
        <v>107</v>
      </c>
      <c r="J404" t="s">
        <v>2583</v>
      </c>
      <c r="K404" t="s">
        <v>162</v>
      </c>
      <c r="M404" t="s">
        <v>163</v>
      </c>
      <c r="N404" t="s">
        <v>95</v>
      </c>
      <c r="O404" s="27">
        <v>616000</v>
      </c>
      <c r="P404">
        <v>3</v>
      </c>
      <c r="Q404" t="s">
        <v>164</v>
      </c>
      <c r="R404">
        <v>34</v>
      </c>
      <c r="S404" t="s">
        <v>237</v>
      </c>
      <c r="T404" t="str">
        <f>IF(COUNTIF($A$2:A404,A404)&gt;1,"Duplicate","Unique")</f>
        <v>Unique</v>
      </c>
    </row>
    <row r="405" spans="1:20" x14ac:dyDescent="0.45">
      <c r="A405" t="s">
        <v>678</v>
      </c>
      <c r="B405" t="s">
        <v>679</v>
      </c>
      <c r="C405" t="s">
        <v>51</v>
      </c>
      <c r="D405" t="s">
        <v>50</v>
      </c>
      <c r="E405" t="s">
        <v>176</v>
      </c>
      <c r="F405" t="s">
        <v>82</v>
      </c>
      <c r="G405" t="s">
        <v>177</v>
      </c>
      <c r="H405" t="s">
        <v>108</v>
      </c>
      <c r="I405" t="s">
        <v>107</v>
      </c>
      <c r="J405" t="s">
        <v>2955</v>
      </c>
      <c r="K405" t="s">
        <v>162</v>
      </c>
      <c r="M405" t="s">
        <v>163</v>
      </c>
      <c r="N405" t="s">
        <v>95</v>
      </c>
      <c r="O405" s="27">
        <v>1253000</v>
      </c>
      <c r="P405">
        <v>1</v>
      </c>
      <c r="Q405" t="s">
        <v>164</v>
      </c>
      <c r="R405">
        <v>24</v>
      </c>
      <c r="S405" t="s">
        <v>219</v>
      </c>
      <c r="T405" t="str">
        <f>IF(COUNTIF($A$2:A405,A405)&gt;1,"Duplicate","Unique")</f>
        <v>Unique</v>
      </c>
    </row>
    <row r="406" spans="1:20" x14ac:dyDescent="0.45">
      <c r="A406" t="s">
        <v>1698</v>
      </c>
      <c r="B406" t="s">
        <v>1699</v>
      </c>
      <c r="C406" t="s">
        <v>57</v>
      </c>
      <c r="D406" t="s">
        <v>56</v>
      </c>
      <c r="E406" t="s">
        <v>160</v>
      </c>
      <c r="F406" t="s">
        <v>81</v>
      </c>
      <c r="G406" t="s">
        <v>161</v>
      </c>
      <c r="H406" t="s">
        <v>109</v>
      </c>
      <c r="I406" t="s">
        <v>110</v>
      </c>
      <c r="J406" t="s">
        <v>2956</v>
      </c>
      <c r="K406" t="s">
        <v>162</v>
      </c>
      <c r="M406" t="s">
        <v>163</v>
      </c>
      <c r="N406" t="s">
        <v>98</v>
      </c>
      <c r="O406" s="27">
        <v>835000</v>
      </c>
      <c r="P406">
        <v>3</v>
      </c>
      <c r="Q406" t="s">
        <v>172</v>
      </c>
      <c r="R406">
        <v>43</v>
      </c>
      <c r="S406" t="s">
        <v>165</v>
      </c>
      <c r="T406" t="str">
        <f>IF(COUNTIF($A$2:A406,A406)&gt;1,"Duplicate","Unique")</f>
        <v>Unique</v>
      </c>
    </row>
    <row r="407" spans="1:20" x14ac:dyDescent="0.45">
      <c r="A407" t="s">
        <v>2153</v>
      </c>
      <c r="B407" t="s">
        <v>2017</v>
      </c>
      <c r="C407" t="s">
        <v>61</v>
      </c>
      <c r="D407" t="s">
        <v>60</v>
      </c>
      <c r="E407" t="s">
        <v>317</v>
      </c>
      <c r="F407" t="s">
        <v>84</v>
      </c>
      <c r="G407" t="s">
        <v>318</v>
      </c>
      <c r="H407" t="s">
        <v>106</v>
      </c>
      <c r="I407" t="s">
        <v>107</v>
      </c>
      <c r="J407" t="s">
        <v>2957</v>
      </c>
      <c r="K407" t="s">
        <v>162</v>
      </c>
      <c r="M407" t="s">
        <v>163</v>
      </c>
      <c r="N407" t="s">
        <v>97</v>
      </c>
      <c r="O407" s="27">
        <v>2173000</v>
      </c>
      <c r="P407">
        <v>4</v>
      </c>
      <c r="Q407" t="s">
        <v>2467</v>
      </c>
      <c r="R407">
        <v>17</v>
      </c>
      <c r="S407" t="s">
        <v>253</v>
      </c>
      <c r="T407" t="str">
        <f>IF(COUNTIF($A$2:A407,A407)&gt;1,"Duplicate","Unique")</f>
        <v>Unique</v>
      </c>
    </row>
    <row r="408" spans="1:20" x14ac:dyDescent="0.45">
      <c r="A408" t="s">
        <v>1780</v>
      </c>
      <c r="B408" t="s">
        <v>363</v>
      </c>
      <c r="C408" t="s">
        <v>57</v>
      </c>
      <c r="D408" t="s">
        <v>56</v>
      </c>
      <c r="E408" t="s">
        <v>160</v>
      </c>
      <c r="F408" t="s">
        <v>81</v>
      </c>
      <c r="G408" t="s">
        <v>161</v>
      </c>
      <c r="H408" t="s">
        <v>108</v>
      </c>
      <c r="I408" t="s">
        <v>107</v>
      </c>
      <c r="J408" t="s">
        <v>2958</v>
      </c>
      <c r="K408" t="s">
        <v>187</v>
      </c>
      <c r="L408" t="s">
        <v>2688</v>
      </c>
      <c r="M408" t="s">
        <v>213</v>
      </c>
      <c r="N408" t="s">
        <v>98</v>
      </c>
      <c r="O408" s="27">
        <v>610000</v>
      </c>
      <c r="P408">
        <v>3</v>
      </c>
      <c r="Q408" t="s">
        <v>164</v>
      </c>
      <c r="R408">
        <v>36</v>
      </c>
      <c r="S408" t="s">
        <v>165</v>
      </c>
      <c r="T408" t="str">
        <f>IF(COUNTIF($A$2:A408,A408)&gt;1,"Duplicate","Unique")</f>
        <v>Unique</v>
      </c>
    </row>
    <row r="409" spans="1:20" x14ac:dyDescent="0.45">
      <c r="A409" t="s">
        <v>883</v>
      </c>
      <c r="B409" t="s">
        <v>860</v>
      </c>
      <c r="C409" t="s">
        <v>53</v>
      </c>
      <c r="D409" t="s">
        <v>52</v>
      </c>
      <c r="E409" t="s">
        <v>200</v>
      </c>
      <c r="F409" t="s">
        <v>84</v>
      </c>
      <c r="G409" t="s">
        <v>201</v>
      </c>
      <c r="H409" t="s">
        <v>106</v>
      </c>
      <c r="I409" t="s">
        <v>107</v>
      </c>
      <c r="J409" t="s">
        <v>2772</v>
      </c>
      <c r="K409" t="s">
        <v>162</v>
      </c>
      <c r="M409" t="s">
        <v>163</v>
      </c>
      <c r="N409" t="s">
        <v>96</v>
      </c>
      <c r="O409" s="27">
        <v>3107000</v>
      </c>
      <c r="P409">
        <v>4</v>
      </c>
      <c r="Q409" t="s">
        <v>164</v>
      </c>
      <c r="R409">
        <v>32</v>
      </c>
      <c r="S409" t="s">
        <v>194</v>
      </c>
      <c r="T409" t="str">
        <f>IF(COUNTIF($A$2:A409,A409)&gt;1,"Duplicate","Unique")</f>
        <v>Unique</v>
      </c>
    </row>
    <row r="410" spans="1:20" x14ac:dyDescent="0.45">
      <c r="A410" t="s">
        <v>605</v>
      </c>
      <c r="B410" t="s">
        <v>606</v>
      </c>
      <c r="C410" t="s">
        <v>57</v>
      </c>
      <c r="D410" t="s">
        <v>56</v>
      </c>
      <c r="E410" t="s">
        <v>160</v>
      </c>
      <c r="F410" t="s">
        <v>81</v>
      </c>
      <c r="G410" t="s">
        <v>161</v>
      </c>
      <c r="H410" t="s">
        <v>2550</v>
      </c>
      <c r="I410" t="s">
        <v>107</v>
      </c>
      <c r="J410" t="s">
        <v>2959</v>
      </c>
      <c r="K410" t="s">
        <v>187</v>
      </c>
      <c r="L410" t="s">
        <v>2960</v>
      </c>
      <c r="M410" t="s">
        <v>213</v>
      </c>
      <c r="N410" t="s">
        <v>99</v>
      </c>
      <c r="O410" s="27">
        <v>580000</v>
      </c>
      <c r="P410">
        <v>4</v>
      </c>
      <c r="Q410" t="s">
        <v>164</v>
      </c>
      <c r="R410">
        <v>34</v>
      </c>
      <c r="S410" t="s">
        <v>165</v>
      </c>
      <c r="T410" t="str">
        <f>IF(COUNTIF($A$2:A410,A410)&gt;1,"Duplicate","Unique")</f>
        <v>Unique</v>
      </c>
    </row>
    <row r="411" spans="1:20" x14ac:dyDescent="0.45">
      <c r="A411" t="s">
        <v>1558</v>
      </c>
      <c r="B411" t="s">
        <v>243</v>
      </c>
      <c r="C411" t="s">
        <v>53</v>
      </c>
      <c r="D411" t="s">
        <v>52</v>
      </c>
      <c r="E411" t="s">
        <v>185</v>
      </c>
      <c r="F411" t="s">
        <v>82</v>
      </c>
      <c r="G411" t="s">
        <v>186</v>
      </c>
      <c r="H411" t="s">
        <v>106</v>
      </c>
      <c r="I411" t="s">
        <v>107</v>
      </c>
      <c r="J411" t="s">
        <v>2961</v>
      </c>
      <c r="K411" t="s">
        <v>162</v>
      </c>
      <c r="M411" t="s">
        <v>163</v>
      </c>
      <c r="N411" t="s">
        <v>95</v>
      </c>
      <c r="O411" s="27">
        <v>1131000</v>
      </c>
      <c r="P411">
        <v>3</v>
      </c>
      <c r="Q411" t="s">
        <v>164</v>
      </c>
      <c r="R411">
        <v>45</v>
      </c>
      <c r="S411" t="s">
        <v>237</v>
      </c>
      <c r="T411" t="str">
        <f>IF(COUNTIF($A$2:A411,A411)&gt;1,"Duplicate","Unique")</f>
        <v>Unique</v>
      </c>
    </row>
    <row r="412" spans="1:20" x14ac:dyDescent="0.45">
      <c r="A412" t="s">
        <v>2324</v>
      </c>
      <c r="B412" t="s">
        <v>2325</v>
      </c>
      <c r="C412" t="s">
        <v>51</v>
      </c>
      <c r="D412" t="s">
        <v>50</v>
      </c>
      <c r="E412" t="s">
        <v>176</v>
      </c>
      <c r="F412" t="s">
        <v>82</v>
      </c>
      <c r="G412" t="s">
        <v>177</v>
      </c>
      <c r="H412" t="s">
        <v>106</v>
      </c>
      <c r="I412" t="s">
        <v>107</v>
      </c>
      <c r="J412" t="s">
        <v>2522</v>
      </c>
      <c r="K412" t="s">
        <v>162</v>
      </c>
      <c r="M412" t="s">
        <v>163</v>
      </c>
      <c r="N412" t="s">
        <v>97</v>
      </c>
      <c r="O412" s="27">
        <v>1039000</v>
      </c>
      <c r="P412">
        <v>4</v>
      </c>
      <c r="Q412" t="s">
        <v>164</v>
      </c>
      <c r="R412">
        <v>27</v>
      </c>
      <c r="S412" t="s">
        <v>219</v>
      </c>
      <c r="T412" t="str">
        <f>IF(COUNTIF($A$2:A412,A412)&gt;1,"Duplicate","Unique")</f>
        <v>Unique</v>
      </c>
    </row>
    <row r="413" spans="1:20" x14ac:dyDescent="0.45">
      <c r="A413" t="s">
        <v>1726</v>
      </c>
      <c r="B413" t="s">
        <v>2962</v>
      </c>
      <c r="C413" t="s">
        <v>51</v>
      </c>
      <c r="D413" t="s">
        <v>50</v>
      </c>
      <c r="E413" t="s">
        <v>181</v>
      </c>
      <c r="F413" t="s">
        <v>81</v>
      </c>
      <c r="G413" t="s">
        <v>182</v>
      </c>
      <c r="H413" t="s">
        <v>2963</v>
      </c>
      <c r="I413" t="s">
        <v>107</v>
      </c>
      <c r="J413" t="s">
        <v>2964</v>
      </c>
      <c r="K413" t="s">
        <v>162</v>
      </c>
      <c r="M413" t="s">
        <v>163</v>
      </c>
      <c r="N413" t="s">
        <v>98</v>
      </c>
      <c r="O413" s="27">
        <v>835000</v>
      </c>
      <c r="P413">
        <v>4</v>
      </c>
      <c r="Q413" t="s">
        <v>164</v>
      </c>
      <c r="R413">
        <v>25</v>
      </c>
      <c r="S413" t="s">
        <v>219</v>
      </c>
      <c r="T413" t="str">
        <f>IF(COUNTIF($A$2:A413,A413)&gt;1,"Duplicate","Unique")</f>
        <v>Unique</v>
      </c>
    </row>
    <row r="414" spans="1:20" x14ac:dyDescent="0.45">
      <c r="A414" t="s">
        <v>2025</v>
      </c>
      <c r="B414" t="s">
        <v>1432</v>
      </c>
      <c r="C414" t="s">
        <v>51</v>
      </c>
      <c r="D414" t="s">
        <v>50</v>
      </c>
      <c r="E414" t="s">
        <v>397</v>
      </c>
      <c r="F414" t="s">
        <v>84</v>
      </c>
      <c r="G414" t="s">
        <v>398</v>
      </c>
      <c r="H414" t="s">
        <v>109</v>
      </c>
      <c r="I414" t="s">
        <v>110</v>
      </c>
      <c r="J414" t="s">
        <v>2965</v>
      </c>
      <c r="K414" t="s">
        <v>162</v>
      </c>
      <c r="M414" t="s">
        <v>163</v>
      </c>
      <c r="N414" t="s">
        <v>98</v>
      </c>
      <c r="O414" s="27">
        <v>3358000</v>
      </c>
      <c r="P414">
        <v>5</v>
      </c>
      <c r="Q414" t="s">
        <v>164</v>
      </c>
      <c r="R414">
        <v>19</v>
      </c>
      <c r="S414" t="s">
        <v>219</v>
      </c>
      <c r="T414" t="str">
        <f>IF(COUNTIF($A$2:A414,A414)&gt;1,"Duplicate","Unique")</f>
        <v>Unique</v>
      </c>
    </row>
    <row r="415" spans="1:20" x14ac:dyDescent="0.45">
      <c r="A415" t="s">
        <v>238</v>
      </c>
      <c r="B415" t="s">
        <v>239</v>
      </c>
      <c r="C415" t="s">
        <v>55</v>
      </c>
      <c r="D415" t="s">
        <v>54</v>
      </c>
      <c r="E415" t="s">
        <v>240</v>
      </c>
      <c r="F415" t="s">
        <v>83</v>
      </c>
      <c r="G415" t="s">
        <v>241</v>
      </c>
      <c r="H415" t="s">
        <v>2788</v>
      </c>
      <c r="I415" t="s">
        <v>110</v>
      </c>
      <c r="J415" t="s">
        <v>2966</v>
      </c>
      <c r="K415" t="s">
        <v>162</v>
      </c>
      <c r="M415" t="s">
        <v>163</v>
      </c>
      <c r="N415" t="s">
        <v>95</v>
      </c>
      <c r="O415" s="27">
        <v>1528000</v>
      </c>
      <c r="P415">
        <v>3</v>
      </c>
      <c r="Q415" t="s">
        <v>164</v>
      </c>
      <c r="R415">
        <v>38</v>
      </c>
      <c r="S415" t="s">
        <v>173</v>
      </c>
      <c r="T415" t="str">
        <f>IF(COUNTIF($A$2:A415,A415)&gt;1,"Duplicate","Unique")</f>
        <v>Unique</v>
      </c>
    </row>
    <row r="416" spans="1:20" x14ac:dyDescent="0.45">
      <c r="A416" t="s">
        <v>1221</v>
      </c>
      <c r="B416" t="s">
        <v>1222</v>
      </c>
      <c r="C416" t="s">
        <v>57</v>
      </c>
      <c r="D416" t="s">
        <v>56</v>
      </c>
      <c r="E416" t="s">
        <v>222</v>
      </c>
      <c r="F416" t="s">
        <v>82</v>
      </c>
      <c r="G416" t="s">
        <v>223</v>
      </c>
      <c r="H416" t="s">
        <v>108</v>
      </c>
      <c r="I416" t="s">
        <v>107</v>
      </c>
      <c r="J416" t="s">
        <v>2541</v>
      </c>
      <c r="K416" t="s">
        <v>187</v>
      </c>
      <c r="L416" t="s">
        <v>2967</v>
      </c>
      <c r="M416" t="s">
        <v>282</v>
      </c>
      <c r="N416" t="s">
        <v>99</v>
      </c>
      <c r="O416" s="27">
        <v>975000</v>
      </c>
      <c r="P416">
        <v>4</v>
      </c>
      <c r="Q416" t="s">
        <v>172</v>
      </c>
      <c r="R416">
        <v>49</v>
      </c>
      <c r="S416" t="s">
        <v>165</v>
      </c>
      <c r="T416" t="str">
        <f>IF(COUNTIF($A$2:A416,A416)&gt;1,"Duplicate","Unique")</f>
        <v>Unique</v>
      </c>
    </row>
    <row r="417" spans="1:20" x14ac:dyDescent="0.45">
      <c r="A417" t="s">
        <v>1250</v>
      </c>
      <c r="B417" t="s">
        <v>1251</v>
      </c>
      <c r="C417" t="s">
        <v>55</v>
      </c>
      <c r="D417" t="s">
        <v>54</v>
      </c>
      <c r="E417" t="s">
        <v>277</v>
      </c>
      <c r="F417" t="s">
        <v>81</v>
      </c>
      <c r="G417" t="s">
        <v>278</v>
      </c>
      <c r="H417" t="s">
        <v>109</v>
      </c>
      <c r="I417" t="s">
        <v>110</v>
      </c>
      <c r="J417" t="s">
        <v>2968</v>
      </c>
      <c r="K417" t="s">
        <v>187</v>
      </c>
      <c r="L417" t="s">
        <v>2751</v>
      </c>
      <c r="M417" t="s">
        <v>188</v>
      </c>
      <c r="N417" t="s">
        <v>99</v>
      </c>
      <c r="O417" s="27">
        <v>600000</v>
      </c>
      <c r="P417">
        <v>3</v>
      </c>
      <c r="Q417" t="s">
        <v>172</v>
      </c>
      <c r="R417">
        <v>43</v>
      </c>
      <c r="S417" t="s">
        <v>173</v>
      </c>
      <c r="T417" t="str">
        <f>IF(COUNTIF($A$2:A417,A417)&gt;1,"Duplicate","Unique")</f>
        <v>Unique</v>
      </c>
    </row>
    <row r="418" spans="1:20" x14ac:dyDescent="0.45">
      <c r="A418" t="s">
        <v>344</v>
      </c>
      <c r="B418" t="s">
        <v>345</v>
      </c>
      <c r="C418" t="s">
        <v>51</v>
      </c>
      <c r="D418" t="s">
        <v>50</v>
      </c>
      <c r="E418" t="s">
        <v>217</v>
      </c>
      <c r="F418" t="s">
        <v>83</v>
      </c>
      <c r="G418" t="s">
        <v>218</v>
      </c>
      <c r="H418" t="s">
        <v>106</v>
      </c>
      <c r="I418" t="s">
        <v>107</v>
      </c>
      <c r="J418" t="s">
        <v>2969</v>
      </c>
      <c r="K418" t="s">
        <v>162</v>
      </c>
      <c r="M418" t="s">
        <v>163</v>
      </c>
      <c r="N418" t="s">
        <v>99</v>
      </c>
      <c r="O418" s="27">
        <v>1838000</v>
      </c>
      <c r="P418">
        <v>3</v>
      </c>
      <c r="Q418" t="s">
        <v>164</v>
      </c>
      <c r="R418">
        <v>27</v>
      </c>
      <c r="S418" t="s">
        <v>178</v>
      </c>
      <c r="T418" t="str">
        <f>IF(COUNTIF($A$2:A418,A418)&gt;1,"Duplicate","Unique")</f>
        <v>Unique</v>
      </c>
    </row>
    <row r="419" spans="1:20" x14ac:dyDescent="0.45">
      <c r="A419" t="s">
        <v>970</v>
      </c>
      <c r="B419" t="s">
        <v>184</v>
      </c>
      <c r="C419" t="s">
        <v>53</v>
      </c>
      <c r="D419" t="s">
        <v>52</v>
      </c>
      <c r="E419" t="s">
        <v>200</v>
      </c>
      <c r="F419" t="s">
        <v>84</v>
      </c>
      <c r="G419" t="s">
        <v>201</v>
      </c>
      <c r="H419" t="s">
        <v>106</v>
      </c>
      <c r="I419" t="s">
        <v>107</v>
      </c>
      <c r="J419" t="s">
        <v>2970</v>
      </c>
      <c r="K419" t="s">
        <v>187</v>
      </c>
      <c r="L419" t="s">
        <v>2971</v>
      </c>
      <c r="M419" t="s">
        <v>213</v>
      </c>
      <c r="N419" t="s">
        <v>98</v>
      </c>
      <c r="O419" s="27">
        <v>2439000</v>
      </c>
      <c r="P419">
        <v>3</v>
      </c>
      <c r="Q419" t="s">
        <v>172</v>
      </c>
      <c r="R419">
        <v>36</v>
      </c>
      <c r="S419" t="s">
        <v>194</v>
      </c>
      <c r="T419" t="str">
        <f>IF(COUNTIF($A$2:A419,A419)&gt;1,"Duplicate","Unique")</f>
        <v>Unique</v>
      </c>
    </row>
    <row r="420" spans="1:20" x14ac:dyDescent="0.45">
      <c r="A420" t="s">
        <v>1572</v>
      </c>
      <c r="B420" t="s">
        <v>1222</v>
      </c>
      <c r="C420" t="s">
        <v>51</v>
      </c>
      <c r="D420" t="s">
        <v>50</v>
      </c>
      <c r="E420" t="s">
        <v>181</v>
      </c>
      <c r="F420" t="s">
        <v>81</v>
      </c>
      <c r="G420" t="s">
        <v>182</v>
      </c>
      <c r="H420" t="s">
        <v>106</v>
      </c>
      <c r="I420" t="s">
        <v>107</v>
      </c>
      <c r="J420" t="s">
        <v>2972</v>
      </c>
      <c r="K420" t="s">
        <v>162</v>
      </c>
      <c r="M420" t="s">
        <v>163</v>
      </c>
      <c r="N420" t="s">
        <v>97</v>
      </c>
      <c r="O420" s="27">
        <v>818000</v>
      </c>
      <c r="P420">
        <v>4</v>
      </c>
      <c r="Q420" t="s">
        <v>164</v>
      </c>
      <c r="R420">
        <v>42</v>
      </c>
      <c r="S420" t="s">
        <v>178</v>
      </c>
      <c r="T420" t="str">
        <f>IF(COUNTIF($A$2:A420,A420)&gt;1,"Duplicate","Unique")</f>
        <v>Unique</v>
      </c>
    </row>
    <row r="421" spans="1:20" x14ac:dyDescent="0.45">
      <c r="A421" t="s">
        <v>1463</v>
      </c>
      <c r="B421" t="s">
        <v>1464</v>
      </c>
      <c r="C421" t="s">
        <v>51</v>
      </c>
      <c r="D421" t="s">
        <v>50</v>
      </c>
      <c r="E421" t="s">
        <v>181</v>
      </c>
      <c r="F421" t="s">
        <v>81</v>
      </c>
      <c r="G421" t="s">
        <v>182</v>
      </c>
      <c r="H421" t="s">
        <v>106</v>
      </c>
      <c r="I421" t="s">
        <v>107</v>
      </c>
      <c r="J421" t="s">
        <v>2973</v>
      </c>
      <c r="K421" t="s">
        <v>187</v>
      </c>
      <c r="L421" t="s">
        <v>2641</v>
      </c>
      <c r="M421" t="s">
        <v>282</v>
      </c>
      <c r="N421" t="s">
        <v>99</v>
      </c>
      <c r="O421" s="27">
        <v>612000</v>
      </c>
      <c r="P421">
        <v>3</v>
      </c>
      <c r="Q421" t="s">
        <v>172</v>
      </c>
      <c r="R421">
        <v>47</v>
      </c>
      <c r="S421" t="s">
        <v>244</v>
      </c>
      <c r="T421" t="str">
        <f>IF(COUNTIF($A$2:A421,A421)&gt;1,"Duplicate","Unique")</f>
        <v>Unique</v>
      </c>
    </row>
    <row r="422" spans="1:20" x14ac:dyDescent="0.45">
      <c r="A422" t="s">
        <v>2186</v>
      </c>
      <c r="B422" t="s">
        <v>2187</v>
      </c>
      <c r="C422" t="s">
        <v>53</v>
      </c>
      <c r="D422" t="s">
        <v>52</v>
      </c>
      <c r="E422" t="s">
        <v>192</v>
      </c>
      <c r="F422" t="s">
        <v>83</v>
      </c>
      <c r="G422" t="s">
        <v>193</v>
      </c>
      <c r="H422" t="s">
        <v>109</v>
      </c>
      <c r="I422" t="s">
        <v>110</v>
      </c>
      <c r="J422" t="s">
        <v>2974</v>
      </c>
      <c r="K422" t="s">
        <v>162</v>
      </c>
      <c r="M422" t="s">
        <v>163</v>
      </c>
      <c r="N422" t="s">
        <v>99</v>
      </c>
      <c r="O422" s="27">
        <v>1387000</v>
      </c>
      <c r="P422">
        <v>5</v>
      </c>
      <c r="Q422" t="s">
        <v>172</v>
      </c>
      <c r="R422">
        <v>22</v>
      </c>
      <c r="S422" t="s">
        <v>237</v>
      </c>
      <c r="T422" t="str">
        <f>IF(COUNTIF($A$2:A422,A422)&gt;1,"Duplicate","Unique")</f>
        <v>Unique</v>
      </c>
    </row>
    <row r="423" spans="1:20" x14ac:dyDescent="0.45">
      <c r="A423" t="s">
        <v>1132</v>
      </c>
      <c r="B423" t="s">
        <v>724</v>
      </c>
      <c r="C423" t="s">
        <v>53</v>
      </c>
      <c r="D423" t="s">
        <v>52</v>
      </c>
      <c r="E423" t="s">
        <v>200</v>
      </c>
      <c r="F423" t="s">
        <v>84</v>
      </c>
      <c r="G423" t="s">
        <v>201</v>
      </c>
      <c r="H423" t="s">
        <v>111</v>
      </c>
      <c r="I423" t="s">
        <v>110</v>
      </c>
      <c r="J423" t="s">
        <v>2975</v>
      </c>
      <c r="K423" t="s">
        <v>162</v>
      </c>
      <c r="M423" t="s">
        <v>163</v>
      </c>
      <c r="N423" t="s">
        <v>97</v>
      </c>
      <c r="O423" s="27">
        <v>2483000</v>
      </c>
      <c r="P423">
        <v>3</v>
      </c>
      <c r="Q423" t="s">
        <v>172</v>
      </c>
      <c r="R423">
        <v>19</v>
      </c>
      <c r="S423" t="s">
        <v>194</v>
      </c>
      <c r="T423" t="str">
        <f>IF(COUNTIF($A$2:A423,A423)&gt;1,"Duplicate","Unique")</f>
        <v>Unique</v>
      </c>
    </row>
    <row r="424" spans="1:20" x14ac:dyDescent="0.45">
      <c r="A424" t="s">
        <v>1795</v>
      </c>
      <c r="B424" t="s">
        <v>853</v>
      </c>
      <c r="C424" t="s">
        <v>53</v>
      </c>
      <c r="D424" t="s">
        <v>52</v>
      </c>
      <c r="E424" t="s">
        <v>322</v>
      </c>
      <c r="F424" t="s">
        <v>81</v>
      </c>
      <c r="G424" t="s">
        <v>323</v>
      </c>
      <c r="H424" t="s">
        <v>111</v>
      </c>
      <c r="I424" t="s">
        <v>110</v>
      </c>
      <c r="J424" t="s">
        <v>2976</v>
      </c>
      <c r="K424" t="s">
        <v>162</v>
      </c>
      <c r="M424" t="s">
        <v>163</v>
      </c>
      <c r="N424" t="s">
        <v>95</v>
      </c>
      <c r="O424" s="27">
        <v>741000</v>
      </c>
      <c r="P424">
        <v>4</v>
      </c>
      <c r="Q424" t="s">
        <v>172</v>
      </c>
      <c r="R424">
        <v>31</v>
      </c>
      <c r="S424" t="s">
        <v>194</v>
      </c>
      <c r="T424" t="str">
        <f>IF(COUNTIF($A$2:A424,A424)&gt;1,"Duplicate","Unique")</f>
        <v>Unique</v>
      </c>
    </row>
    <row r="425" spans="1:20" x14ac:dyDescent="0.45">
      <c r="A425" t="s">
        <v>1943</v>
      </c>
      <c r="B425" t="s">
        <v>205</v>
      </c>
      <c r="C425" t="s">
        <v>55</v>
      </c>
      <c r="D425" t="s">
        <v>54</v>
      </c>
      <c r="E425" t="s">
        <v>277</v>
      </c>
      <c r="F425" t="s">
        <v>81</v>
      </c>
      <c r="G425" t="s">
        <v>278</v>
      </c>
      <c r="H425" t="s">
        <v>109</v>
      </c>
      <c r="I425" t="s">
        <v>110</v>
      </c>
      <c r="J425" t="s">
        <v>2977</v>
      </c>
      <c r="K425" t="s">
        <v>170</v>
      </c>
      <c r="L425" t="s">
        <v>2978</v>
      </c>
      <c r="M425" t="s">
        <v>171</v>
      </c>
      <c r="N425" t="s">
        <v>97</v>
      </c>
      <c r="O425" s="27">
        <v>748000</v>
      </c>
      <c r="P425">
        <v>3</v>
      </c>
      <c r="Q425" t="s">
        <v>172</v>
      </c>
      <c r="R425">
        <v>55</v>
      </c>
      <c r="S425" t="s">
        <v>173</v>
      </c>
      <c r="T425" t="str">
        <f>IF(COUNTIF($A$2:A425,A425)&gt;1,"Duplicate","Unique")</f>
        <v>Unique</v>
      </c>
    </row>
    <row r="426" spans="1:20" x14ac:dyDescent="0.45">
      <c r="A426" t="s">
        <v>1478</v>
      </c>
      <c r="B426" t="s">
        <v>865</v>
      </c>
      <c r="C426" t="s">
        <v>51</v>
      </c>
      <c r="D426" t="s">
        <v>50</v>
      </c>
      <c r="E426" t="s">
        <v>181</v>
      </c>
      <c r="F426" t="s">
        <v>81</v>
      </c>
      <c r="G426" t="s">
        <v>182</v>
      </c>
      <c r="H426" t="s">
        <v>109</v>
      </c>
      <c r="I426" t="s">
        <v>110</v>
      </c>
      <c r="J426" t="s">
        <v>2979</v>
      </c>
      <c r="K426" t="s">
        <v>170</v>
      </c>
      <c r="L426" t="s">
        <v>2980</v>
      </c>
      <c r="M426" t="s">
        <v>171</v>
      </c>
      <c r="N426" t="s">
        <v>98</v>
      </c>
      <c r="O426" s="27">
        <v>682000</v>
      </c>
      <c r="P426">
        <v>2</v>
      </c>
      <c r="Q426" t="s">
        <v>172</v>
      </c>
      <c r="R426">
        <v>13</v>
      </c>
      <c r="S426" t="s">
        <v>197</v>
      </c>
      <c r="T426" t="str">
        <f>IF(COUNTIF($A$2:A426,A426)&gt;1,"Duplicate","Unique")</f>
        <v>Unique</v>
      </c>
    </row>
    <row r="427" spans="1:20" x14ac:dyDescent="0.45">
      <c r="A427" t="s">
        <v>225</v>
      </c>
      <c r="B427" t="s">
        <v>226</v>
      </c>
      <c r="C427" t="s">
        <v>51</v>
      </c>
      <c r="D427" t="s">
        <v>50</v>
      </c>
      <c r="E427" t="s">
        <v>176</v>
      </c>
      <c r="F427" t="s">
        <v>82</v>
      </c>
      <c r="G427" t="s">
        <v>177</v>
      </c>
      <c r="H427" t="s">
        <v>108</v>
      </c>
      <c r="I427" t="s">
        <v>107</v>
      </c>
      <c r="J427" t="s">
        <v>2981</v>
      </c>
      <c r="K427" t="s">
        <v>162</v>
      </c>
      <c r="M427" t="s">
        <v>163</v>
      </c>
      <c r="N427" t="s">
        <v>99</v>
      </c>
      <c r="O427" s="27">
        <v>1121000</v>
      </c>
      <c r="P427">
        <v>3</v>
      </c>
      <c r="Q427" t="s">
        <v>172</v>
      </c>
      <c r="R427">
        <v>20</v>
      </c>
      <c r="S427" t="s">
        <v>178</v>
      </c>
      <c r="T427" t="str">
        <f>IF(COUNTIF($A$2:A427,A427)&gt;1,"Duplicate","Unique")</f>
        <v>Unique</v>
      </c>
    </row>
    <row r="428" spans="1:20" x14ac:dyDescent="0.45">
      <c r="A428" t="s">
        <v>1619</v>
      </c>
      <c r="B428" t="s">
        <v>509</v>
      </c>
      <c r="C428" t="s">
        <v>51</v>
      </c>
      <c r="D428" t="s">
        <v>50</v>
      </c>
      <c r="E428" t="s">
        <v>181</v>
      </c>
      <c r="F428" t="s">
        <v>81</v>
      </c>
      <c r="G428" t="s">
        <v>182</v>
      </c>
      <c r="H428" t="s">
        <v>112</v>
      </c>
      <c r="I428" t="s">
        <v>113</v>
      </c>
      <c r="J428" t="s">
        <v>2552</v>
      </c>
      <c r="K428" t="s">
        <v>162</v>
      </c>
      <c r="M428" t="s">
        <v>163</v>
      </c>
      <c r="N428" t="s">
        <v>95</v>
      </c>
      <c r="O428" s="27">
        <v>840000</v>
      </c>
      <c r="P428">
        <v>3</v>
      </c>
      <c r="Q428" t="s">
        <v>164</v>
      </c>
      <c r="R428">
        <v>52</v>
      </c>
      <c r="S428" t="s">
        <v>178</v>
      </c>
      <c r="T428" t="str">
        <f>IF(COUNTIF($A$2:A428,A428)&gt;1,"Duplicate","Unique")</f>
        <v>Unique</v>
      </c>
    </row>
    <row r="429" spans="1:20" x14ac:dyDescent="0.45">
      <c r="A429" t="s">
        <v>1233</v>
      </c>
      <c r="B429" t="s">
        <v>945</v>
      </c>
      <c r="C429" t="s">
        <v>55</v>
      </c>
      <c r="D429" t="s">
        <v>54</v>
      </c>
      <c r="E429" t="s">
        <v>229</v>
      </c>
      <c r="F429" t="s">
        <v>82</v>
      </c>
      <c r="G429" t="s">
        <v>230</v>
      </c>
      <c r="H429" t="s">
        <v>106</v>
      </c>
      <c r="I429" t="s">
        <v>107</v>
      </c>
      <c r="J429" t="s">
        <v>2982</v>
      </c>
      <c r="K429" t="s">
        <v>162</v>
      </c>
      <c r="M429" t="s">
        <v>163</v>
      </c>
      <c r="N429" t="s">
        <v>99</v>
      </c>
      <c r="O429" s="27">
        <v>1301000</v>
      </c>
      <c r="P429">
        <v>4</v>
      </c>
      <c r="Q429" t="s">
        <v>172</v>
      </c>
      <c r="R429">
        <v>8</v>
      </c>
      <c r="S429" t="s">
        <v>262</v>
      </c>
      <c r="T429" t="str">
        <f>IF(COUNTIF($A$2:A429,A429)&gt;1,"Duplicate","Unique")</f>
        <v>Unique</v>
      </c>
    </row>
    <row r="430" spans="1:20" x14ac:dyDescent="0.45">
      <c r="A430" t="s">
        <v>563</v>
      </c>
      <c r="B430" t="s">
        <v>564</v>
      </c>
      <c r="C430" t="s">
        <v>55</v>
      </c>
      <c r="D430" t="s">
        <v>54</v>
      </c>
      <c r="E430" t="s">
        <v>229</v>
      </c>
      <c r="F430" t="s">
        <v>82</v>
      </c>
      <c r="G430" t="s">
        <v>230</v>
      </c>
      <c r="H430" t="s">
        <v>106</v>
      </c>
      <c r="I430" t="s">
        <v>107</v>
      </c>
      <c r="J430" t="s">
        <v>2983</v>
      </c>
      <c r="K430" t="s">
        <v>162</v>
      </c>
      <c r="M430" t="s">
        <v>163</v>
      </c>
      <c r="N430" t="s">
        <v>95</v>
      </c>
      <c r="O430" s="27">
        <v>924000</v>
      </c>
      <c r="P430">
        <v>3</v>
      </c>
      <c r="Q430" t="s">
        <v>164</v>
      </c>
      <c r="R430">
        <v>41</v>
      </c>
      <c r="S430" t="s">
        <v>274</v>
      </c>
      <c r="T430" t="str">
        <f>IF(COUNTIF($A$2:A430,A430)&gt;1,"Duplicate","Unique")</f>
        <v>Unique</v>
      </c>
    </row>
    <row r="431" spans="1:20" x14ac:dyDescent="0.45">
      <c r="A431" t="s">
        <v>1522</v>
      </c>
      <c r="B431" t="s">
        <v>1523</v>
      </c>
      <c r="C431" t="s">
        <v>51</v>
      </c>
      <c r="D431" t="s">
        <v>50</v>
      </c>
      <c r="E431" t="s">
        <v>181</v>
      </c>
      <c r="F431" t="s">
        <v>81</v>
      </c>
      <c r="G431" t="s">
        <v>182</v>
      </c>
      <c r="H431" t="s">
        <v>111</v>
      </c>
      <c r="I431" t="s">
        <v>110</v>
      </c>
      <c r="J431" t="s">
        <v>2446</v>
      </c>
      <c r="K431" t="s">
        <v>170</v>
      </c>
      <c r="L431" t="s">
        <v>2785</v>
      </c>
      <c r="M431" t="s">
        <v>171</v>
      </c>
      <c r="N431" t="s">
        <v>97</v>
      </c>
      <c r="O431" s="27">
        <v>563000</v>
      </c>
      <c r="P431">
        <v>3</v>
      </c>
      <c r="Q431" t="s">
        <v>2467</v>
      </c>
      <c r="R431">
        <v>26</v>
      </c>
      <c r="S431" t="s">
        <v>219</v>
      </c>
      <c r="T431" t="str">
        <f>IF(COUNTIF($A$2:A431,A431)&gt;1,"Duplicate","Unique")</f>
        <v>Unique</v>
      </c>
    </row>
    <row r="432" spans="1:20" x14ac:dyDescent="0.45">
      <c r="A432" t="s">
        <v>1576</v>
      </c>
      <c r="B432" t="s">
        <v>1577</v>
      </c>
      <c r="C432" t="s">
        <v>59</v>
      </c>
      <c r="D432" t="s">
        <v>58</v>
      </c>
      <c r="E432" t="s">
        <v>206</v>
      </c>
      <c r="F432" t="s">
        <v>81</v>
      </c>
      <c r="G432" t="s">
        <v>207</v>
      </c>
      <c r="H432" t="s">
        <v>108</v>
      </c>
      <c r="I432" t="s">
        <v>107</v>
      </c>
      <c r="J432" t="s">
        <v>2984</v>
      </c>
      <c r="K432" t="s">
        <v>162</v>
      </c>
      <c r="M432" t="s">
        <v>163</v>
      </c>
      <c r="N432" t="s">
        <v>95</v>
      </c>
      <c r="O432" s="27">
        <v>570000</v>
      </c>
      <c r="P432">
        <v>4</v>
      </c>
      <c r="Q432" t="s">
        <v>164</v>
      </c>
      <c r="R432">
        <v>39</v>
      </c>
      <c r="S432" t="s">
        <v>214</v>
      </c>
      <c r="T432" t="str">
        <f>IF(COUNTIF($A$2:A432,A432)&gt;1,"Duplicate","Unique")</f>
        <v>Unique</v>
      </c>
    </row>
    <row r="433" spans="1:20" x14ac:dyDescent="0.45">
      <c r="A433" t="s">
        <v>1115</v>
      </c>
      <c r="B433" t="s">
        <v>1116</v>
      </c>
      <c r="C433" t="s">
        <v>61</v>
      </c>
      <c r="D433" t="s">
        <v>60</v>
      </c>
      <c r="E433" t="s">
        <v>484</v>
      </c>
      <c r="F433" t="s">
        <v>83</v>
      </c>
      <c r="G433" t="s">
        <v>485</v>
      </c>
      <c r="H433" t="s">
        <v>109</v>
      </c>
      <c r="I433" t="s">
        <v>110</v>
      </c>
      <c r="J433" t="s">
        <v>2985</v>
      </c>
      <c r="K433" t="s">
        <v>162</v>
      </c>
      <c r="M433" t="s">
        <v>163</v>
      </c>
      <c r="N433" t="s">
        <v>99</v>
      </c>
      <c r="O433" s="27">
        <v>2005000</v>
      </c>
      <c r="P433">
        <v>4</v>
      </c>
      <c r="Q433" t="s">
        <v>164</v>
      </c>
      <c r="R433">
        <v>57</v>
      </c>
      <c r="S433" t="s">
        <v>253</v>
      </c>
      <c r="T433" t="str">
        <f>IF(COUNTIF($A$2:A433,A433)&gt;1,"Duplicate","Unique")</f>
        <v>Unique</v>
      </c>
    </row>
    <row r="434" spans="1:20" x14ac:dyDescent="0.45">
      <c r="A434" t="s">
        <v>1176</v>
      </c>
      <c r="B434" t="s">
        <v>1177</v>
      </c>
      <c r="C434" t="s">
        <v>53</v>
      </c>
      <c r="D434" t="s">
        <v>52</v>
      </c>
      <c r="E434" t="s">
        <v>322</v>
      </c>
      <c r="F434" t="s">
        <v>81</v>
      </c>
      <c r="G434" t="s">
        <v>323</v>
      </c>
      <c r="H434" t="s">
        <v>111</v>
      </c>
      <c r="I434" t="s">
        <v>110</v>
      </c>
      <c r="J434" t="s">
        <v>2986</v>
      </c>
      <c r="K434" t="s">
        <v>170</v>
      </c>
      <c r="L434" t="s">
        <v>2987</v>
      </c>
      <c r="M434" t="s">
        <v>171</v>
      </c>
      <c r="N434" t="s">
        <v>96</v>
      </c>
      <c r="O434" s="27">
        <v>594000</v>
      </c>
      <c r="P434">
        <v>2</v>
      </c>
      <c r="Q434" t="s">
        <v>172</v>
      </c>
      <c r="R434">
        <v>36</v>
      </c>
      <c r="S434" t="s">
        <v>237</v>
      </c>
      <c r="T434" t="str">
        <f>IF(COUNTIF($A$2:A434,A434)&gt;1,"Duplicate","Unique")</f>
        <v>Unique</v>
      </c>
    </row>
    <row r="435" spans="1:20" x14ac:dyDescent="0.45">
      <c r="A435" t="s">
        <v>1550</v>
      </c>
      <c r="B435" t="s">
        <v>1551</v>
      </c>
      <c r="C435" t="s">
        <v>51</v>
      </c>
      <c r="D435" t="s">
        <v>50</v>
      </c>
      <c r="E435" t="s">
        <v>181</v>
      </c>
      <c r="F435" t="s">
        <v>81</v>
      </c>
      <c r="G435" t="s">
        <v>182</v>
      </c>
      <c r="H435" t="s">
        <v>111</v>
      </c>
      <c r="I435" t="s">
        <v>110</v>
      </c>
      <c r="J435" t="s">
        <v>2988</v>
      </c>
      <c r="K435" t="s">
        <v>162</v>
      </c>
      <c r="M435" t="s">
        <v>163</v>
      </c>
      <c r="N435" t="s">
        <v>99</v>
      </c>
      <c r="O435" s="27">
        <v>653000</v>
      </c>
      <c r="P435">
        <v>5</v>
      </c>
      <c r="Q435" t="s">
        <v>164</v>
      </c>
      <c r="R435">
        <v>30</v>
      </c>
      <c r="S435" t="s">
        <v>178</v>
      </c>
      <c r="T435" t="str">
        <f>IF(COUNTIF($A$2:A435,A435)&gt;1,"Duplicate","Unique")</f>
        <v>Unique</v>
      </c>
    </row>
    <row r="436" spans="1:20" x14ac:dyDescent="0.45">
      <c r="A436" t="s">
        <v>1774</v>
      </c>
      <c r="B436" t="s">
        <v>1775</v>
      </c>
      <c r="C436" t="s">
        <v>51</v>
      </c>
      <c r="D436" t="s">
        <v>50</v>
      </c>
      <c r="E436" t="s">
        <v>176</v>
      </c>
      <c r="F436" t="s">
        <v>82</v>
      </c>
      <c r="G436" t="s">
        <v>177</v>
      </c>
      <c r="H436" t="s">
        <v>106</v>
      </c>
      <c r="I436" t="s">
        <v>107</v>
      </c>
      <c r="J436" t="s">
        <v>2989</v>
      </c>
      <c r="K436" t="s">
        <v>162</v>
      </c>
      <c r="M436" t="s">
        <v>163</v>
      </c>
      <c r="N436" t="s">
        <v>99</v>
      </c>
      <c r="O436" s="27">
        <v>922000</v>
      </c>
      <c r="P436">
        <v>3</v>
      </c>
      <c r="Q436" t="s">
        <v>172</v>
      </c>
      <c r="R436">
        <v>23</v>
      </c>
      <c r="S436" t="s">
        <v>244</v>
      </c>
      <c r="T436" t="str">
        <f>IF(COUNTIF($A$2:A436,A436)&gt;1,"Duplicate","Unique")</f>
        <v>Unique</v>
      </c>
    </row>
    <row r="437" spans="1:20" x14ac:dyDescent="0.45">
      <c r="A437" t="s">
        <v>1165</v>
      </c>
      <c r="B437" t="s">
        <v>1166</v>
      </c>
      <c r="C437" t="s">
        <v>53</v>
      </c>
      <c r="D437" t="s">
        <v>52</v>
      </c>
      <c r="E437" t="s">
        <v>322</v>
      </c>
      <c r="F437" t="s">
        <v>81</v>
      </c>
      <c r="G437" t="s">
        <v>323</v>
      </c>
      <c r="H437" t="s">
        <v>106</v>
      </c>
      <c r="I437" t="s">
        <v>107</v>
      </c>
      <c r="J437" t="s">
        <v>2990</v>
      </c>
      <c r="K437" t="s">
        <v>162</v>
      </c>
      <c r="M437" t="s">
        <v>163</v>
      </c>
      <c r="N437" t="s">
        <v>99</v>
      </c>
      <c r="O437" s="27">
        <v>774000</v>
      </c>
      <c r="P437">
        <v>4</v>
      </c>
      <c r="Q437" t="s">
        <v>172</v>
      </c>
      <c r="R437">
        <v>27</v>
      </c>
      <c r="S437" t="s">
        <v>189</v>
      </c>
      <c r="T437" t="str">
        <f>IF(COUNTIF($A$2:A437,A437)&gt;1,"Duplicate","Unique")</f>
        <v>Unique</v>
      </c>
    </row>
    <row r="438" spans="1:20" x14ac:dyDescent="0.45">
      <c r="A438" t="s">
        <v>1535</v>
      </c>
      <c r="B438" t="s">
        <v>1536</v>
      </c>
      <c r="C438" t="s">
        <v>55</v>
      </c>
      <c r="D438" t="s">
        <v>54</v>
      </c>
      <c r="E438" t="s">
        <v>229</v>
      </c>
      <c r="F438" t="s">
        <v>82</v>
      </c>
      <c r="G438" t="s">
        <v>230</v>
      </c>
      <c r="H438" t="s">
        <v>106</v>
      </c>
      <c r="I438" t="s">
        <v>107</v>
      </c>
      <c r="J438" t="s">
        <v>2991</v>
      </c>
      <c r="K438" t="s">
        <v>162</v>
      </c>
      <c r="M438" t="s">
        <v>163</v>
      </c>
      <c r="N438" t="s">
        <v>97</v>
      </c>
      <c r="O438" s="27">
        <v>1096000</v>
      </c>
      <c r="P438">
        <v>3</v>
      </c>
      <c r="Q438" t="s">
        <v>172</v>
      </c>
      <c r="R438">
        <v>39</v>
      </c>
      <c r="S438" t="s">
        <v>173</v>
      </c>
      <c r="T438" t="str">
        <f>IF(COUNTIF($A$2:A438,A438)&gt;1,"Duplicate","Unique")</f>
        <v>Unique</v>
      </c>
    </row>
    <row r="439" spans="1:20" x14ac:dyDescent="0.45">
      <c r="A439" t="s">
        <v>1885</v>
      </c>
      <c r="B439" t="s">
        <v>1886</v>
      </c>
      <c r="C439" t="s">
        <v>51</v>
      </c>
      <c r="D439" t="s">
        <v>50</v>
      </c>
      <c r="E439" t="s">
        <v>217</v>
      </c>
      <c r="F439" t="s">
        <v>83</v>
      </c>
      <c r="G439" t="s">
        <v>218</v>
      </c>
      <c r="H439" t="s">
        <v>108</v>
      </c>
      <c r="I439" t="s">
        <v>107</v>
      </c>
      <c r="J439" t="s">
        <v>2992</v>
      </c>
      <c r="K439" t="s">
        <v>162</v>
      </c>
      <c r="M439" t="s">
        <v>163</v>
      </c>
      <c r="N439" t="s">
        <v>98</v>
      </c>
      <c r="O439" s="27">
        <v>1969000</v>
      </c>
      <c r="P439">
        <v>4</v>
      </c>
      <c r="Q439" t="s">
        <v>164</v>
      </c>
      <c r="R439">
        <v>54</v>
      </c>
      <c r="S439" t="s">
        <v>219</v>
      </c>
      <c r="T439" t="str">
        <f>IF(COUNTIF($A$2:A439,A439)&gt;1,"Duplicate","Unique")</f>
        <v>Unique</v>
      </c>
    </row>
    <row r="440" spans="1:20" x14ac:dyDescent="0.45">
      <c r="A440" t="s">
        <v>1801</v>
      </c>
      <c r="B440" t="s">
        <v>1096</v>
      </c>
      <c r="C440" t="s">
        <v>53</v>
      </c>
      <c r="D440" t="s">
        <v>52</v>
      </c>
      <c r="E440" t="s">
        <v>322</v>
      </c>
      <c r="F440" t="s">
        <v>81</v>
      </c>
      <c r="G440" t="s">
        <v>323</v>
      </c>
      <c r="H440" t="s">
        <v>109</v>
      </c>
      <c r="I440" t="s">
        <v>110</v>
      </c>
      <c r="J440" t="s">
        <v>2993</v>
      </c>
      <c r="K440" t="s">
        <v>170</v>
      </c>
      <c r="L440" t="s">
        <v>2994</v>
      </c>
      <c r="M440" t="s">
        <v>171</v>
      </c>
      <c r="N440" t="s">
        <v>95</v>
      </c>
      <c r="O440" s="27">
        <v>824000</v>
      </c>
      <c r="P440">
        <v>2</v>
      </c>
      <c r="Q440" t="s">
        <v>172</v>
      </c>
      <c r="R440">
        <v>23</v>
      </c>
      <c r="S440" t="s">
        <v>237</v>
      </c>
      <c r="T440" t="str">
        <f>IF(COUNTIF($A$2:A440,A440)&gt;1,"Duplicate","Unique")</f>
        <v>Unique</v>
      </c>
    </row>
    <row r="441" spans="1:20" x14ac:dyDescent="0.45">
      <c r="A441" t="s">
        <v>2129</v>
      </c>
      <c r="B441" t="s">
        <v>640</v>
      </c>
      <c r="C441" t="s">
        <v>57</v>
      </c>
      <c r="D441" t="s">
        <v>56</v>
      </c>
      <c r="E441" t="s">
        <v>391</v>
      </c>
      <c r="F441" t="s">
        <v>83</v>
      </c>
      <c r="G441" t="s">
        <v>392</v>
      </c>
      <c r="H441" t="s">
        <v>2995</v>
      </c>
      <c r="I441" t="s">
        <v>107</v>
      </c>
      <c r="J441" t="s">
        <v>2996</v>
      </c>
      <c r="K441" t="s">
        <v>162</v>
      </c>
      <c r="M441" t="s">
        <v>163</v>
      </c>
      <c r="N441" t="s">
        <v>95</v>
      </c>
      <c r="O441" s="27">
        <v>1653000</v>
      </c>
      <c r="P441">
        <v>3</v>
      </c>
      <c r="Q441" t="s">
        <v>164</v>
      </c>
      <c r="R441">
        <v>34</v>
      </c>
      <c r="S441" t="s">
        <v>224</v>
      </c>
      <c r="T441" t="str">
        <f>IF(COUNTIF($A$2:A441,A441)&gt;1,"Duplicate","Unique")</f>
        <v>Unique</v>
      </c>
    </row>
    <row r="442" spans="1:20" x14ac:dyDescent="0.45">
      <c r="A442" t="s">
        <v>676</v>
      </c>
      <c r="B442" t="s">
        <v>677</v>
      </c>
      <c r="C442" t="s">
        <v>55</v>
      </c>
      <c r="D442" t="s">
        <v>54</v>
      </c>
      <c r="E442" t="s">
        <v>277</v>
      </c>
      <c r="F442" t="s">
        <v>81</v>
      </c>
      <c r="G442" t="s">
        <v>278</v>
      </c>
      <c r="H442" t="s">
        <v>108</v>
      </c>
      <c r="I442" t="s">
        <v>107</v>
      </c>
      <c r="J442" t="s">
        <v>2997</v>
      </c>
      <c r="K442" t="s">
        <v>170</v>
      </c>
      <c r="L442" t="s">
        <v>2998</v>
      </c>
      <c r="M442" t="s">
        <v>171</v>
      </c>
      <c r="N442" t="s">
        <v>98</v>
      </c>
      <c r="O442" s="27">
        <v>610000</v>
      </c>
      <c r="P442">
        <v>3</v>
      </c>
      <c r="Q442" t="s">
        <v>164</v>
      </c>
      <c r="R442">
        <v>22</v>
      </c>
      <c r="S442" t="s">
        <v>262</v>
      </c>
      <c r="T442" t="str">
        <f>IF(COUNTIF($A$2:A442,A442)&gt;1,"Duplicate","Unique")</f>
        <v>Unique</v>
      </c>
    </row>
    <row r="443" spans="1:20" x14ac:dyDescent="0.45">
      <c r="A443" t="s">
        <v>504</v>
      </c>
      <c r="B443" t="s">
        <v>505</v>
      </c>
      <c r="C443" t="s">
        <v>53</v>
      </c>
      <c r="D443" t="s">
        <v>52</v>
      </c>
      <c r="E443" t="s">
        <v>200</v>
      </c>
      <c r="F443" t="s">
        <v>84</v>
      </c>
      <c r="G443" t="s">
        <v>201</v>
      </c>
      <c r="H443" t="s">
        <v>108</v>
      </c>
      <c r="I443" t="s">
        <v>107</v>
      </c>
      <c r="J443" t="s">
        <v>2999</v>
      </c>
      <c r="K443" t="s">
        <v>162</v>
      </c>
      <c r="M443" t="s">
        <v>163</v>
      </c>
      <c r="N443" t="s">
        <v>97</v>
      </c>
      <c r="O443" s="27">
        <v>2616000</v>
      </c>
      <c r="P443">
        <v>4</v>
      </c>
      <c r="Q443" t="s">
        <v>164</v>
      </c>
      <c r="R443">
        <v>26</v>
      </c>
      <c r="S443" t="s">
        <v>189</v>
      </c>
      <c r="T443" t="str">
        <f>IF(COUNTIF($A$2:A443,A443)&gt;1,"Duplicate","Unique")</f>
        <v>Unique</v>
      </c>
    </row>
    <row r="444" spans="1:20" x14ac:dyDescent="0.45">
      <c r="A444" t="s">
        <v>823</v>
      </c>
      <c r="B444" t="s">
        <v>3000</v>
      </c>
      <c r="C444" t="s">
        <v>53</v>
      </c>
      <c r="D444" t="s">
        <v>52</v>
      </c>
      <c r="E444" t="s">
        <v>192</v>
      </c>
      <c r="F444" t="s">
        <v>83</v>
      </c>
      <c r="G444" t="s">
        <v>193</v>
      </c>
      <c r="H444" t="s">
        <v>109</v>
      </c>
      <c r="I444" t="s">
        <v>110</v>
      </c>
      <c r="J444" t="s">
        <v>3001</v>
      </c>
      <c r="K444" t="s">
        <v>187</v>
      </c>
      <c r="L444" t="s">
        <v>2736</v>
      </c>
      <c r="M444" t="s">
        <v>269</v>
      </c>
      <c r="N444" t="s">
        <v>98</v>
      </c>
      <c r="O444" s="27">
        <v>2070000</v>
      </c>
      <c r="P444">
        <v>4</v>
      </c>
      <c r="Q444" t="s">
        <v>172</v>
      </c>
      <c r="R444">
        <v>37</v>
      </c>
      <c r="S444" t="s">
        <v>189</v>
      </c>
      <c r="T444" t="str">
        <f>IF(COUNTIF($A$2:A444,A444)&gt;1,"Duplicate","Unique")</f>
        <v>Unique</v>
      </c>
    </row>
    <row r="445" spans="1:20" x14ac:dyDescent="0.45">
      <c r="A445" t="s">
        <v>930</v>
      </c>
      <c r="B445" t="s">
        <v>847</v>
      </c>
      <c r="C445" t="s">
        <v>53</v>
      </c>
      <c r="D445" t="s">
        <v>52</v>
      </c>
      <c r="E445" t="s">
        <v>322</v>
      </c>
      <c r="F445" t="s">
        <v>81</v>
      </c>
      <c r="G445" t="s">
        <v>323</v>
      </c>
      <c r="H445" t="s">
        <v>106</v>
      </c>
      <c r="I445" t="s">
        <v>107</v>
      </c>
      <c r="J445" t="s">
        <v>3002</v>
      </c>
      <c r="K445" t="s">
        <v>187</v>
      </c>
      <c r="L445" t="s">
        <v>3003</v>
      </c>
      <c r="M445" t="s">
        <v>213</v>
      </c>
      <c r="N445" t="s">
        <v>98</v>
      </c>
      <c r="O445" s="27">
        <v>666000</v>
      </c>
      <c r="P445">
        <v>3</v>
      </c>
      <c r="Q445" t="s">
        <v>172</v>
      </c>
      <c r="R445">
        <v>35</v>
      </c>
      <c r="S445" t="s">
        <v>237</v>
      </c>
      <c r="T445" t="str">
        <f>IF(COUNTIF($A$2:A445,A445)&gt;1,"Duplicate","Unique")</f>
        <v>Unique</v>
      </c>
    </row>
    <row r="446" spans="1:20" x14ac:dyDescent="0.45">
      <c r="A446" t="s">
        <v>705</v>
      </c>
      <c r="B446" t="s">
        <v>294</v>
      </c>
      <c r="C446" t="s">
        <v>55</v>
      </c>
      <c r="D446" t="s">
        <v>54</v>
      </c>
      <c r="E446" t="s">
        <v>240</v>
      </c>
      <c r="F446" t="s">
        <v>83</v>
      </c>
      <c r="G446" t="s">
        <v>241</v>
      </c>
      <c r="H446" t="s">
        <v>109</v>
      </c>
      <c r="I446" t="s">
        <v>110</v>
      </c>
      <c r="J446" t="s">
        <v>2653</v>
      </c>
      <c r="K446" t="s">
        <v>162</v>
      </c>
      <c r="M446" t="s">
        <v>163</v>
      </c>
      <c r="N446" t="s">
        <v>98</v>
      </c>
      <c r="O446" s="27">
        <v>1735000</v>
      </c>
      <c r="P446">
        <v>2</v>
      </c>
      <c r="Q446" t="s">
        <v>164</v>
      </c>
      <c r="R446">
        <v>10</v>
      </c>
      <c r="S446" t="s">
        <v>274</v>
      </c>
      <c r="T446" t="str">
        <f>IF(COUNTIF($A$2:A446,A446)&gt;1,"Duplicate","Unique")</f>
        <v>Unique</v>
      </c>
    </row>
    <row r="447" spans="1:20" x14ac:dyDescent="0.45">
      <c r="A447" t="s">
        <v>2304</v>
      </c>
      <c r="B447" t="s">
        <v>1134</v>
      </c>
      <c r="C447" t="s">
        <v>53</v>
      </c>
      <c r="D447" t="s">
        <v>52</v>
      </c>
      <c r="E447" t="s">
        <v>322</v>
      </c>
      <c r="F447" t="s">
        <v>81</v>
      </c>
      <c r="G447" t="s">
        <v>323</v>
      </c>
      <c r="H447" t="s">
        <v>106</v>
      </c>
      <c r="I447" t="s">
        <v>107</v>
      </c>
      <c r="J447" t="s">
        <v>3004</v>
      </c>
      <c r="K447" t="s">
        <v>162</v>
      </c>
      <c r="M447" t="s">
        <v>163</v>
      </c>
      <c r="N447" t="s">
        <v>97</v>
      </c>
      <c r="O447" s="27">
        <v>553000</v>
      </c>
      <c r="Q447" t="s">
        <v>164</v>
      </c>
      <c r="R447">
        <v>53</v>
      </c>
      <c r="S447" t="s">
        <v>194</v>
      </c>
      <c r="T447" t="str">
        <f>IF(COUNTIF($A$2:A447,A447)&gt;1,"Duplicate","Unique")</f>
        <v>Unique</v>
      </c>
    </row>
    <row r="448" spans="1:20" x14ac:dyDescent="0.45">
      <c r="A448" t="s">
        <v>2240</v>
      </c>
      <c r="B448" t="s">
        <v>1754</v>
      </c>
      <c r="C448" t="s">
        <v>55</v>
      </c>
      <c r="D448" t="s">
        <v>2524</v>
      </c>
      <c r="E448" t="s">
        <v>277</v>
      </c>
      <c r="F448" t="s">
        <v>81</v>
      </c>
      <c r="G448" t="s">
        <v>278</v>
      </c>
      <c r="H448" t="s">
        <v>109</v>
      </c>
      <c r="I448" t="s">
        <v>110</v>
      </c>
      <c r="J448" t="s">
        <v>3005</v>
      </c>
      <c r="K448" t="s">
        <v>162</v>
      </c>
      <c r="M448" t="s">
        <v>163</v>
      </c>
      <c r="N448" t="s">
        <v>99</v>
      </c>
      <c r="O448" s="27">
        <v>626000</v>
      </c>
      <c r="P448">
        <v>4</v>
      </c>
      <c r="Q448" t="s">
        <v>172</v>
      </c>
      <c r="R448">
        <v>44</v>
      </c>
      <c r="S448" t="s">
        <v>173</v>
      </c>
      <c r="T448" t="str">
        <f>IF(COUNTIF($A$2:A448,A448)&gt;1,"Duplicate","Unique")</f>
        <v>Unique</v>
      </c>
    </row>
    <row r="449" spans="1:20" x14ac:dyDescent="0.45">
      <c r="A449" t="s">
        <v>1688</v>
      </c>
      <c r="B449" t="s">
        <v>520</v>
      </c>
      <c r="C449" t="s">
        <v>57</v>
      </c>
      <c r="D449" t="s">
        <v>56</v>
      </c>
      <c r="E449" t="s">
        <v>391</v>
      </c>
      <c r="F449" t="s">
        <v>83</v>
      </c>
      <c r="G449" t="s">
        <v>392</v>
      </c>
      <c r="H449" t="s">
        <v>109</v>
      </c>
      <c r="I449" t="s">
        <v>110</v>
      </c>
      <c r="J449" t="s">
        <v>3006</v>
      </c>
      <c r="K449" t="s">
        <v>162</v>
      </c>
      <c r="M449" t="s">
        <v>163</v>
      </c>
      <c r="N449" t="s">
        <v>99</v>
      </c>
      <c r="O449" s="27">
        <v>2100000</v>
      </c>
      <c r="P449">
        <v>2</v>
      </c>
      <c r="Q449" t="s">
        <v>172</v>
      </c>
      <c r="R449">
        <v>18</v>
      </c>
      <c r="S449" t="s">
        <v>165</v>
      </c>
      <c r="T449" t="str">
        <f>IF(COUNTIF($A$2:A449,A449)&gt;1,"Duplicate","Unique")</f>
        <v>Unique</v>
      </c>
    </row>
    <row r="450" spans="1:20" x14ac:dyDescent="0.45">
      <c r="A450" t="s">
        <v>1883</v>
      </c>
      <c r="B450" t="s">
        <v>647</v>
      </c>
      <c r="C450" t="s">
        <v>51</v>
      </c>
      <c r="D450" t="s">
        <v>50</v>
      </c>
      <c r="E450" t="s">
        <v>328</v>
      </c>
      <c r="F450" t="s">
        <v>85</v>
      </c>
      <c r="G450" t="s">
        <v>329</v>
      </c>
      <c r="H450" t="s">
        <v>106</v>
      </c>
      <c r="I450" t="s">
        <v>107</v>
      </c>
      <c r="J450" t="s">
        <v>3007</v>
      </c>
      <c r="K450" t="s">
        <v>162</v>
      </c>
      <c r="M450" t="s">
        <v>163</v>
      </c>
      <c r="N450" t="s">
        <v>98</v>
      </c>
      <c r="O450" s="27">
        <v>3515000</v>
      </c>
      <c r="P450">
        <v>4</v>
      </c>
      <c r="Q450" t="s">
        <v>172</v>
      </c>
      <c r="R450">
        <v>34</v>
      </c>
      <c r="S450" t="s">
        <v>197</v>
      </c>
      <c r="T450" t="str">
        <f>IF(COUNTIF($A$2:A450,A450)&gt;1,"Duplicate","Unique")</f>
        <v>Unique</v>
      </c>
    </row>
    <row r="451" spans="1:20" x14ac:dyDescent="0.45">
      <c r="A451" t="s">
        <v>1720</v>
      </c>
      <c r="B451" t="s">
        <v>1643</v>
      </c>
      <c r="C451" t="s">
        <v>51</v>
      </c>
      <c r="D451" t="s">
        <v>50</v>
      </c>
      <c r="E451" t="s">
        <v>181</v>
      </c>
      <c r="F451" t="s">
        <v>81</v>
      </c>
      <c r="G451" t="s">
        <v>182</v>
      </c>
      <c r="H451" t="s">
        <v>106</v>
      </c>
      <c r="I451" t="s">
        <v>107</v>
      </c>
      <c r="J451" t="s">
        <v>2485</v>
      </c>
      <c r="K451" t="s">
        <v>187</v>
      </c>
      <c r="L451" t="s">
        <v>3008</v>
      </c>
      <c r="M451" t="s">
        <v>269</v>
      </c>
      <c r="N451" t="s">
        <v>98</v>
      </c>
      <c r="O451" s="27">
        <v>745000</v>
      </c>
      <c r="P451">
        <v>3</v>
      </c>
      <c r="Q451" t="s">
        <v>164</v>
      </c>
      <c r="R451">
        <v>29</v>
      </c>
      <c r="S451" t="s">
        <v>197</v>
      </c>
      <c r="T451" t="str">
        <f>IF(COUNTIF($A$2:A451,A451)&gt;1,"Duplicate","Unique")</f>
        <v>Unique</v>
      </c>
    </row>
    <row r="452" spans="1:20" x14ac:dyDescent="0.45">
      <c r="A452" t="s">
        <v>2054</v>
      </c>
      <c r="B452" t="s">
        <v>3009</v>
      </c>
      <c r="C452" t="s">
        <v>51</v>
      </c>
      <c r="D452" t="s">
        <v>50</v>
      </c>
      <c r="E452" t="s">
        <v>181</v>
      </c>
      <c r="F452" t="s">
        <v>81</v>
      </c>
      <c r="G452" t="s">
        <v>182</v>
      </c>
      <c r="H452" t="s">
        <v>109</v>
      </c>
      <c r="I452" t="s">
        <v>110</v>
      </c>
      <c r="J452" t="s">
        <v>3010</v>
      </c>
      <c r="K452" t="s">
        <v>162</v>
      </c>
      <c r="M452" t="s">
        <v>163</v>
      </c>
      <c r="N452" t="s">
        <v>95</v>
      </c>
      <c r="O452" s="27">
        <v>766000</v>
      </c>
      <c r="P452">
        <v>1</v>
      </c>
      <c r="Q452" t="s">
        <v>164</v>
      </c>
      <c r="R452">
        <v>26</v>
      </c>
      <c r="S452" t="s">
        <v>244</v>
      </c>
      <c r="T452" t="str">
        <f>IF(COUNTIF($A$2:A452,A452)&gt;1,"Duplicate","Unique")</f>
        <v>Unique</v>
      </c>
    </row>
    <row r="453" spans="1:20" x14ac:dyDescent="0.45">
      <c r="A453" t="s">
        <v>1594</v>
      </c>
      <c r="B453" t="s">
        <v>1595</v>
      </c>
      <c r="C453" t="s">
        <v>55</v>
      </c>
      <c r="D453" t="s">
        <v>54</v>
      </c>
      <c r="E453" t="s">
        <v>229</v>
      </c>
      <c r="F453" t="s">
        <v>82</v>
      </c>
      <c r="G453" t="s">
        <v>230</v>
      </c>
      <c r="H453" t="s">
        <v>111</v>
      </c>
      <c r="I453" t="s">
        <v>110</v>
      </c>
      <c r="J453" t="s">
        <v>3011</v>
      </c>
      <c r="K453" t="s">
        <v>162</v>
      </c>
      <c r="M453" t="s">
        <v>163</v>
      </c>
      <c r="N453" t="s">
        <v>95</v>
      </c>
      <c r="O453" s="27">
        <v>1142000</v>
      </c>
      <c r="P453">
        <v>5</v>
      </c>
      <c r="Q453" t="s">
        <v>164</v>
      </c>
      <c r="R453">
        <v>49</v>
      </c>
      <c r="S453" t="s">
        <v>173</v>
      </c>
      <c r="T453" t="str">
        <f>IF(COUNTIF($A$2:A453,A453)&gt;1,"Duplicate","Unique")</f>
        <v>Unique</v>
      </c>
    </row>
    <row r="454" spans="1:20" x14ac:dyDescent="0.45">
      <c r="A454" t="s">
        <v>911</v>
      </c>
      <c r="B454" t="s">
        <v>912</v>
      </c>
      <c r="C454" t="s">
        <v>59</v>
      </c>
      <c r="D454" t="s">
        <v>58</v>
      </c>
      <c r="E454" t="s">
        <v>211</v>
      </c>
      <c r="F454" t="s">
        <v>82</v>
      </c>
      <c r="G454" t="s">
        <v>212</v>
      </c>
      <c r="H454" t="s">
        <v>109</v>
      </c>
      <c r="I454" t="s">
        <v>110</v>
      </c>
      <c r="J454" t="s">
        <v>2473</v>
      </c>
      <c r="K454" t="s">
        <v>162</v>
      </c>
      <c r="M454" t="s">
        <v>163</v>
      </c>
      <c r="N454" t="s">
        <v>99</v>
      </c>
      <c r="O454" s="27">
        <v>1088000</v>
      </c>
      <c r="P454">
        <v>3</v>
      </c>
      <c r="Q454" t="s">
        <v>164</v>
      </c>
      <c r="R454">
        <v>40</v>
      </c>
      <c r="S454" t="s">
        <v>208</v>
      </c>
      <c r="T454" t="str">
        <f>IF(COUNTIF($A$2:A454,A454)&gt;1,"Duplicate","Unique")</f>
        <v>Unique</v>
      </c>
    </row>
    <row r="455" spans="1:20" x14ac:dyDescent="0.45">
      <c r="A455" t="s">
        <v>1850</v>
      </c>
      <c r="B455" t="s">
        <v>1851</v>
      </c>
      <c r="C455" t="s">
        <v>51</v>
      </c>
      <c r="D455" t="s">
        <v>50</v>
      </c>
      <c r="E455" t="s">
        <v>328</v>
      </c>
      <c r="F455" t="s">
        <v>85</v>
      </c>
      <c r="G455" t="s">
        <v>329</v>
      </c>
      <c r="H455" t="s">
        <v>112</v>
      </c>
      <c r="I455" t="s">
        <v>113</v>
      </c>
      <c r="J455" t="s">
        <v>3012</v>
      </c>
      <c r="K455" t="s">
        <v>162</v>
      </c>
      <c r="M455" t="s">
        <v>163</v>
      </c>
      <c r="N455" t="s">
        <v>95</v>
      </c>
      <c r="O455" s="27">
        <v>4405000</v>
      </c>
      <c r="P455">
        <v>4</v>
      </c>
      <c r="Q455" t="s">
        <v>2584</v>
      </c>
      <c r="R455">
        <v>10</v>
      </c>
      <c r="S455" t="s">
        <v>197</v>
      </c>
      <c r="T455" t="str">
        <f>IF(COUNTIF($A$2:A455,A455)&gt;1,"Duplicate","Unique")</f>
        <v>Unique</v>
      </c>
    </row>
    <row r="456" spans="1:20" x14ac:dyDescent="0.45">
      <c r="A456" t="s">
        <v>1547</v>
      </c>
      <c r="B456" t="s">
        <v>631</v>
      </c>
      <c r="C456" t="s">
        <v>55</v>
      </c>
      <c r="D456" t="s">
        <v>54</v>
      </c>
      <c r="E456" t="s">
        <v>277</v>
      </c>
      <c r="F456" t="s">
        <v>81</v>
      </c>
      <c r="G456" t="s">
        <v>278</v>
      </c>
      <c r="H456" t="s">
        <v>108</v>
      </c>
      <c r="I456" t="s">
        <v>107</v>
      </c>
      <c r="J456" t="s">
        <v>3013</v>
      </c>
      <c r="K456" t="s">
        <v>170</v>
      </c>
      <c r="L456" t="s">
        <v>3014</v>
      </c>
      <c r="M456" t="s">
        <v>171</v>
      </c>
      <c r="N456" t="s">
        <v>95</v>
      </c>
      <c r="O456" s="27">
        <v>779000</v>
      </c>
      <c r="P456">
        <v>3</v>
      </c>
      <c r="Q456" t="s">
        <v>164</v>
      </c>
      <c r="R456">
        <v>59</v>
      </c>
      <c r="S456" t="s">
        <v>274</v>
      </c>
      <c r="T456" t="str">
        <f>IF(COUNTIF($A$2:A456,A456)&gt;1,"Duplicate","Unique")</f>
        <v>Unique</v>
      </c>
    </row>
    <row r="457" spans="1:20" x14ac:dyDescent="0.45">
      <c r="A457" t="s">
        <v>1518</v>
      </c>
      <c r="B457" t="s">
        <v>918</v>
      </c>
      <c r="C457" t="s">
        <v>55</v>
      </c>
      <c r="D457" t="s">
        <v>54</v>
      </c>
      <c r="E457" t="s">
        <v>277</v>
      </c>
      <c r="F457" t="s">
        <v>81</v>
      </c>
      <c r="G457" t="s">
        <v>278</v>
      </c>
      <c r="H457" t="s">
        <v>106</v>
      </c>
      <c r="I457" t="s">
        <v>107</v>
      </c>
      <c r="J457" t="s">
        <v>3015</v>
      </c>
      <c r="K457" t="s">
        <v>162</v>
      </c>
      <c r="M457" t="s">
        <v>163</v>
      </c>
      <c r="N457" t="s">
        <v>95</v>
      </c>
      <c r="O457" s="27">
        <v>676000</v>
      </c>
      <c r="P457">
        <v>2</v>
      </c>
      <c r="Q457" t="s">
        <v>164</v>
      </c>
      <c r="R457">
        <v>22</v>
      </c>
      <c r="S457" t="s">
        <v>173</v>
      </c>
      <c r="T457" t="str">
        <f>IF(COUNTIF($A$2:A457,A457)&gt;1,"Duplicate","Unique")</f>
        <v>Unique</v>
      </c>
    </row>
    <row r="458" spans="1:20" x14ac:dyDescent="0.45">
      <c r="A458" t="s">
        <v>831</v>
      </c>
      <c r="B458" t="s">
        <v>832</v>
      </c>
      <c r="C458" t="s">
        <v>59</v>
      </c>
      <c r="D458" t="s">
        <v>58</v>
      </c>
      <c r="E458" t="s">
        <v>211</v>
      </c>
      <c r="F458" t="s">
        <v>82</v>
      </c>
      <c r="G458" t="s">
        <v>212</v>
      </c>
      <c r="H458" t="s">
        <v>109</v>
      </c>
      <c r="I458" t="s">
        <v>110</v>
      </c>
      <c r="J458" t="s">
        <v>3016</v>
      </c>
      <c r="K458" t="s">
        <v>162</v>
      </c>
      <c r="M458" t="s">
        <v>163</v>
      </c>
      <c r="N458" t="s">
        <v>96</v>
      </c>
      <c r="O458" s="27">
        <v>877000</v>
      </c>
      <c r="P458">
        <v>1</v>
      </c>
      <c r="Q458" t="s">
        <v>172</v>
      </c>
      <c r="R458">
        <v>28</v>
      </c>
      <c r="S458" t="s">
        <v>214</v>
      </c>
      <c r="T458" t="str">
        <f>IF(COUNTIF($A$2:A458,A458)&gt;1,"Duplicate","Unique")</f>
        <v>Unique</v>
      </c>
    </row>
    <row r="459" spans="1:20" x14ac:dyDescent="0.45">
      <c r="A459" t="s">
        <v>1631</v>
      </c>
      <c r="B459" t="s">
        <v>3017</v>
      </c>
      <c r="C459" t="s">
        <v>55</v>
      </c>
      <c r="D459" t="s">
        <v>54</v>
      </c>
      <c r="E459" t="s">
        <v>240</v>
      </c>
      <c r="F459" t="s">
        <v>83</v>
      </c>
      <c r="G459" t="s">
        <v>241</v>
      </c>
      <c r="H459" t="s">
        <v>109</v>
      </c>
      <c r="I459" t="s">
        <v>110</v>
      </c>
      <c r="J459" t="s">
        <v>3018</v>
      </c>
      <c r="K459" t="s">
        <v>162</v>
      </c>
      <c r="M459" t="s">
        <v>163</v>
      </c>
      <c r="N459" t="s">
        <v>96</v>
      </c>
      <c r="O459" s="27">
        <v>2001000</v>
      </c>
      <c r="P459">
        <v>3</v>
      </c>
      <c r="Q459" t="s">
        <v>164</v>
      </c>
      <c r="R459">
        <v>51</v>
      </c>
      <c r="S459" t="s">
        <v>262</v>
      </c>
      <c r="T459" t="str">
        <f>IF(COUNTIF($A$2:A459,A459)&gt;1,"Duplicate","Unique")</f>
        <v>Unique</v>
      </c>
    </row>
    <row r="460" spans="1:20" x14ac:dyDescent="0.45">
      <c r="A460" t="s">
        <v>2148</v>
      </c>
      <c r="B460" t="s">
        <v>967</v>
      </c>
      <c r="C460" t="s">
        <v>53</v>
      </c>
      <c r="D460" t="s">
        <v>52</v>
      </c>
      <c r="E460" t="s">
        <v>322</v>
      </c>
      <c r="F460" t="s">
        <v>81</v>
      </c>
      <c r="G460" t="s">
        <v>323</v>
      </c>
      <c r="H460" t="s">
        <v>108</v>
      </c>
      <c r="I460" t="s">
        <v>107</v>
      </c>
      <c r="J460" t="s">
        <v>3019</v>
      </c>
      <c r="K460" t="s">
        <v>162</v>
      </c>
      <c r="M460" t="s">
        <v>163</v>
      </c>
      <c r="N460" t="s">
        <v>99</v>
      </c>
      <c r="O460" s="27">
        <v>653000</v>
      </c>
      <c r="P460">
        <v>3</v>
      </c>
      <c r="Q460" t="s">
        <v>164</v>
      </c>
      <c r="R460">
        <v>15</v>
      </c>
      <c r="S460" t="s">
        <v>194</v>
      </c>
      <c r="T460" t="str">
        <f>IF(COUNTIF($A$2:A460,A460)&gt;1,"Duplicate","Unique")</f>
        <v>Unique</v>
      </c>
    </row>
    <row r="461" spans="1:20" x14ac:dyDescent="0.45">
      <c r="A461" t="s">
        <v>1732</v>
      </c>
      <c r="B461" t="s">
        <v>499</v>
      </c>
      <c r="C461" t="s">
        <v>51</v>
      </c>
      <c r="D461" t="s">
        <v>50</v>
      </c>
      <c r="E461" t="s">
        <v>181</v>
      </c>
      <c r="F461" t="s">
        <v>81</v>
      </c>
      <c r="G461" t="s">
        <v>182</v>
      </c>
      <c r="H461" t="s">
        <v>108</v>
      </c>
      <c r="I461" t="s">
        <v>107</v>
      </c>
      <c r="J461" t="s">
        <v>3020</v>
      </c>
      <c r="K461" t="s">
        <v>162</v>
      </c>
      <c r="M461" t="s">
        <v>163</v>
      </c>
      <c r="N461" t="s">
        <v>97</v>
      </c>
      <c r="O461" s="27">
        <v>696000</v>
      </c>
      <c r="P461">
        <v>4</v>
      </c>
      <c r="Q461" t="s">
        <v>164</v>
      </c>
      <c r="R461">
        <v>49</v>
      </c>
      <c r="S461" t="s">
        <v>197</v>
      </c>
      <c r="T461" t="str">
        <f>IF(COUNTIF($A$2:A461,A461)&gt;1,"Duplicate","Unique")</f>
        <v>Unique</v>
      </c>
    </row>
    <row r="462" spans="1:20" x14ac:dyDescent="0.45">
      <c r="A462" t="s">
        <v>2103</v>
      </c>
      <c r="B462" t="s">
        <v>702</v>
      </c>
      <c r="C462" t="s">
        <v>57</v>
      </c>
      <c r="D462" t="s">
        <v>56</v>
      </c>
      <c r="E462" t="s">
        <v>222</v>
      </c>
      <c r="F462" t="s">
        <v>82</v>
      </c>
      <c r="G462" t="s">
        <v>223</v>
      </c>
      <c r="H462" t="s">
        <v>106</v>
      </c>
      <c r="I462" t="s">
        <v>107</v>
      </c>
      <c r="J462" t="s">
        <v>3021</v>
      </c>
      <c r="K462" t="s">
        <v>162</v>
      </c>
      <c r="M462" t="s">
        <v>163</v>
      </c>
      <c r="N462" t="s">
        <v>96</v>
      </c>
      <c r="O462" s="27">
        <v>1231000</v>
      </c>
      <c r="P462">
        <v>3</v>
      </c>
      <c r="Q462" t="s">
        <v>172</v>
      </c>
      <c r="R462">
        <v>25</v>
      </c>
      <c r="S462" t="s">
        <v>224</v>
      </c>
      <c r="T462" t="str">
        <f>IF(COUNTIF($A$2:A462,A462)&gt;1,"Duplicate","Unique")</f>
        <v>Unique</v>
      </c>
    </row>
    <row r="463" spans="1:20" x14ac:dyDescent="0.45">
      <c r="A463" t="s">
        <v>1491</v>
      </c>
      <c r="B463" t="s">
        <v>681</v>
      </c>
      <c r="C463" t="s">
        <v>61</v>
      </c>
      <c r="D463" t="s">
        <v>60</v>
      </c>
      <c r="E463" t="s">
        <v>923</v>
      </c>
      <c r="F463" t="s">
        <v>85</v>
      </c>
      <c r="G463" t="s">
        <v>924</v>
      </c>
      <c r="H463" t="s">
        <v>106</v>
      </c>
      <c r="I463" t="s">
        <v>107</v>
      </c>
      <c r="J463" t="s">
        <v>3022</v>
      </c>
      <c r="K463" t="s">
        <v>162</v>
      </c>
      <c r="M463" t="s">
        <v>163</v>
      </c>
      <c r="N463" t="s">
        <v>96</v>
      </c>
      <c r="O463" s="27">
        <v>4173000</v>
      </c>
      <c r="P463">
        <v>5</v>
      </c>
      <c r="Q463" t="s">
        <v>164</v>
      </c>
      <c r="R463">
        <v>47</v>
      </c>
      <c r="S463" t="s">
        <v>319</v>
      </c>
      <c r="T463" t="str">
        <f>IF(COUNTIF($A$2:A463,A463)&gt;1,"Duplicate","Unique")</f>
        <v>Unique</v>
      </c>
    </row>
    <row r="464" spans="1:20" x14ac:dyDescent="0.45">
      <c r="A464" t="s">
        <v>190</v>
      </c>
      <c r="B464" t="s">
        <v>191</v>
      </c>
      <c r="C464" t="s">
        <v>53</v>
      </c>
      <c r="D464" t="s">
        <v>2793</v>
      </c>
      <c r="E464" t="s">
        <v>192</v>
      </c>
      <c r="F464" t="s">
        <v>83</v>
      </c>
      <c r="G464" t="s">
        <v>193</v>
      </c>
      <c r="H464" t="s">
        <v>106</v>
      </c>
      <c r="I464" t="s">
        <v>107</v>
      </c>
      <c r="J464" t="s">
        <v>3023</v>
      </c>
      <c r="K464" t="s">
        <v>187</v>
      </c>
      <c r="L464" t="s">
        <v>3024</v>
      </c>
      <c r="M464" t="s">
        <v>188</v>
      </c>
      <c r="N464" t="s">
        <v>99</v>
      </c>
      <c r="O464" s="27">
        <v>1630000</v>
      </c>
      <c r="P464">
        <v>5</v>
      </c>
      <c r="Q464" t="s">
        <v>172</v>
      </c>
      <c r="R464">
        <v>40</v>
      </c>
      <c r="S464" t="s">
        <v>194</v>
      </c>
      <c r="T464" t="str">
        <f>IF(COUNTIF($A$2:A464,A464)&gt;1,"Duplicate","Unique")</f>
        <v>Unique</v>
      </c>
    </row>
    <row r="465" spans="1:20" x14ac:dyDescent="0.45">
      <c r="A465" t="s">
        <v>920</v>
      </c>
      <c r="B465" t="s">
        <v>3025</v>
      </c>
      <c r="C465" t="s">
        <v>51</v>
      </c>
      <c r="D465" t="s">
        <v>50</v>
      </c>
      <c r="E465" t="s">
        <v>181</v>
      </c>
      <c r="F465" t="s">
        <v>81</v>
      </c>
      <c r="G465" t="s">
        <v>182</v>
      </c>
      <c r="H465" t="s">
        <v>106</v>
      </c>
      <c r="I465" t="s">
        <v>107</v>
      </c>
      <c r="J465" t="s">
        <v>3026</v>
      </c>
      <c r="K465" t="s">
        <v>187</v>
      </c>
      <c r="L465" t="s">
        <v>2945</v>
      </c>
      <c r="M465" t="s">
        <v>213</v>
      </c>
      <c r="N465" t="s">
        <v>97</v>
      </c>
      <c r="O465" s="27">
        <v>758000</v>
      </c>
      <c r="P465">
        <v>3</v>
      </c>
      <c r="Q465" t="s">
        <v>172</v>
      </c>
      <c r="R465">
        <v>39</v>
      </c>
      <c r="S465" t="s">
        <v>178</v>
      </c>
      <c r="T465" t="str">
        <f>IF(COUNTIF($A$2:A465,A465)&gt;1,"Duplicate","Unique")</f>
        <v>Unique</v>
      </c>
    </row>
    <row r="466" spans="1:20" x14ac:dyDescent="0.45">
      <c r="A466" t="s">
        <v>1822</v>
      </c>
      <c r="B466" t="s">
        <v>564</v>
      </c>
      <c r="C466" t="s">
        <v>51</v>
      </c>
      <c r="D466" t="s">
        <v>50</v>
      </c>
      <c r="E466" t="s">
        <v>181</v>
      </c>
      <c r="F466" t="s">
        <v>81</v>
      </c>
      <c r="G466" t="s">
        <v>182</v>
      </c>
      <c r="H466" t="s">
        <v>106</v>
      </c>
      <c r="I466" t="s">
        <v>107</v>
      </c>
      <c r="J466" t="s">
        <v>3027</v>
      </c>
      <c r="K466" t="s">
        <v>162</v>
      </c>
      <c r="M466" t="s">
        <v>163</v>
      </c>
      <c r="N466" t="s">
        <v>96</v>
      </c>
      <c r="O466" s="27">
        <v>639000</v>
      </c>
      <c r="P466">
        <v>5</v>
      </c>
      <c r="Q466" t="s">
        <v>164</v>
      </c>
      <c r="R466">
        <v>15</v>
      </c>
      <c r="S466" t="s">
        <v>197</v>
      </c>
      <c r="T466" t="str">
        <f>IF(COUNTIF($A$2:A466,A466)&gt;1,"Duplicate","Unique")</f>
        <v>Unique</v>
      </c>
    </row>
    <row r="467" spans="1:20" x14ac:dyDescent="0.45">
      <c r="A467" t="s">
        <v>519</v>
      </c>
      <c r="B467" t="s">
        <v>520</v>
      </c>
      <c r="C467" t="s">
        <v>59</v>
      </c>
      <c r="D467" t="s">
        <v>58</v>
      </c>
      <c r="E467" t="s">
        <v>206</v>
      </c>
      <c r="F467" t="s">
        <v>81</v>
      </c>
      <c r="G467" t="s">
        <v>207</v>
      </c>
      <c r="H467" t="s">
        <v>106</v>
      </c>
      <c r="I467" t="s">
        <v>107</v>
      </c>
      <c r="J467" t="s">
        <v>3028</v>
      </c>
      <c r="K467" t="s">
        <v>162</v>
      </c>
      <c r="M467" t="s">
        <v>163</v>
      </c>
      <c r="N467" t="s">
        <v>99</v>
      </c>
      <c r="O467" s="27">
        <v>653000</v>
      </c>
      <c r="P467">
        <v>3</v>
      </c>
      <c r="Q467" t="s">
        <v>2584</v>
      </c>
      <c r="R467">
        <v>30</v>
      </c>
      <c r="S467" t="s">
        <v>214</v>
      </c>
      <c r="T467" t="str">
        <f>IF(COUNTIF($A$2:A467,A467)&gt;1,"Duplicate","Unique")</f>
        <v>Unique</v>
      </c>
    </row>
    <row r="468" spans="1:20" x14ac:dyDescent="0.45">
      <c r="A468" t="s">
        <v>1925</v>
      </c>
      <c r="B468" t="s">
        <v>1926</v>
      </c>
      <c r="C468" t="s">
        <v>53</v>
      </c>
      <c r="D468" t="s">
        <v>52</v>
      </c>
      <c r="E468" t="s">
        <v>185</v>
      </c>
      <c r="F468" t="s">
        <v>82</v>
      </c>
      <c r="G468" t="s">
        <v>186</v>
      </c>
      <c r="H468" t="s">
        <v>106</v>
      </c>
      <c r="I468" t="s">
        <v>107</v>
      </c>
      <c r="J468" t="s">
        <v>3029</v>
      </c>
      <c r="K468" t="s">
        <v>170</v>
      </c>
      <c r="L468" t="s">
        <v>3030</v>
      </c>
      <c r="M468" t="s">
        <v>171</v>
      </c>
      <c r="N468" t="s">
        <v>97</v>
      </c>
      <c r="O468" s="27">
        <v>1214000</v>
      </c>
      <c r="P468">
        <v>2</v>
      </c>
      <c r="Q468" t="s">
        <v>172</v>
      </c>
      <c r="R468">
        <v>32</v>
      </c>
      <c r="S468" t="s">
        <v>194</v>
      </c>
      <c r="T468" t="str">
        <f>IF(COUNTIF($A$2:A468,A468)&gt;1,"Duplicate","Unique")</f>
        <v>Unique</v>
      </c>
    </row>
    <row r="469" spans="1:20" x14ac:dyDescent="0.45">
      <c r="A469" t="s">
        <v>1913</v>
      </c>
      <c r="B469" t="s">
        <v>1914</v>
      </c>
      <c r="C469" t="s">
        <v>51</v>
      </c>
      <c r="D469" t="s">
        <v>50</v>
      </c>
      <c r="E469" t="s">
        <v>176</v>
      </c>
      <c r="F469" t="s">
        <v>82</v>
      </c>
      <c r="G469" t="s">
        <v>177</v>
      </c>
      <c r="H469" t="s">
        <v>106</v>
      </c>
      <c r="I469" t="s">
        <v>107</v>
      </c>
      <c r="J469" t="s">
        <v>3031</v>
      </c>
      <c r="K469" t="s">
        <v>162</v>
      </c>
      <c r="M469" t="s">
        <v>163</v>
      </c>
      <c r="N469" t="s">
        <v>95</v>
      </c>
      <c r="O469" s="27">
        <v>869000</v>
      </c>
      <c r="P469">
        <v>2</v>
      </c>
      <c r="Q469" t="s">
        <v>164</v>
      </c>
      <c r="R469">
        <v>17</v>
      </c>
      <c r="S469" t="s">
        <v>178</v>
      </c>
      <c r="T469" t="str">
        <f>IF(COUNTIF($A$2:A469,A469)&gt;1,"Duplicate","Unique")</f>
        <v>Unique</v>
      </c>
    </row>
    <row r="470" spans="1:20" x14ac:dyDescent="0.45">
      <c r="A470" t="s">
        <v>641</v>
      </c>
      <c r="B470" t="s">
        <v>642</v>
      </c>
      <c r="C470" t="s">
        <v>55</v>
      </c>
      <c r="D470" t="s">
        <v>54</v>
      </c>
      <c r="E470" t="s">
        <v>229</v>
      </c>
      <c r="F470" t="s">
        <v>82</v>
      </c>
      <c r="G470" t="s">
        <v>230</v>
      </c>
      <c r="H470" t="s">
        <v>106</v>
      </c>
      <c r="I470" t="s">
        <v>107</v>
      </c>
      <c r="J470" t="s">
        <v>3032</v>
      </c>
      <c r="K470" t="s">
        <v>162</v>
      </c>
      <c r="M470" t="s">
        <v>163</v>
      </c>
      <c r="N470" t="s">
        <v>95</v>
      </c>
      <c r="O470" s="27">
        <v>1181000</v>
      </c>
      <c r="P470">
        <v>3</v>
      </c>
      <c r="Q470" t="s">
        <v>164</v>
      </c>
      <c r="R470">
        <v>35</v>
      </c>
      <c r="S470" t="s">
        <v>274</v>
      </c>
      <c r="T470" t="str">
        <f>IF(COUNTIF($A$2:A470,A470)&gt;1,"Duplicate","Unique")</f>
        <v>Unique</v>
      </c>
    </row>
    <row r="471" spans="1:20" x14ac:dyDescent="0.45">
      <c r="A471" t="s">
        <v>1199</v>
      </c>
      <c r="B471" t="s">
        <v>844</v>
      </c>
      <c r="C471" t="s">
        <v>51</v>
      </c>
      <c r="D471" t="s">
        <v>2620</v>
      </c>
      <c r="E471" t="s">
        <v>217</v>
      </c>
      <c r="F471" t="s">
        <v>83</v>
      </c>
      <c r="G471" t="s">
        <v>218</v>
      </c>
      <c r="H471" t="s">
        <v>106</v>
      </c>
      <c r="I471" t="s">
        <v>107</v>
      </c>
      <c r="J471" t="s">
        <v>3033</v>
      </c>
      <c r="K471" t="s">
        <v>162</v>
      </c>
      <c r="M471" t="s">
        <v>163</v>
      </c>
      <c r="N471" t="s">
        <v>99</v>
      </c>
      <c r="O471" s="27">
        <v>1760000</v>
      </c>
      <c r="P471">
        <v>4</v>
      </c>
      <c r="Q471" t="s">
        <v>164</v>
      </c>
      <c r="R471">
        <v>26</v>
      </c>
      <c r="S471" t="s">
        <v>178</v>
      </c>
      <c r="T471" t="str">
        <f>IF(COUNTIF($A$2:A471,A471)&gt;1,"Duplicate","Unique")</f>
        <v>Unique</v>
      </c>
    </row>
    <row r="472" spans="1:20" x14ac:dyDescent="0.45">
      <c r="A472" t="s">
        <v>1339</v>
      </c>
      <c r="B472" t="s">
        <v>1340</v>
      </c>
      <c r="C472" t="s">
        <v>55</v>
      </c>
      <c r="D472" t="s">
        <v>54</v>
      </c>
      <c r="E472" t="s">
        <v>229</v>
      </c>
      <c r="F472" t="s">
        <v>82</v>
      </c>
      <c r="G472" t="s">
        <v>230</v>
      </c>
      <c r="H472" t="s">
        <v>109</v>
      </c>
      <c r="I472" t="s">
        <v>110</v>
      </c>
      <c r="J472" t="s">
        <v>3034</v>
      </c>
      <c r="K472" t="s">
        <v>187</v>
      </c>
      <c r="L472" t="s">
        <v>3035</v>
      </c>
      <c r="M472" t="s">
        <v>213</v>
      </c>
      <c r="N472" t="s">
        <v>96</v>
      </c>
      <c r="O472" s="27">
        <v>1060000</v>
      </c>
      <c r="P472">
        <v>3</v>
      </c>
      <c r="Q472" t="s">
        <v>172</v>
      </c>
      <c r="R472">
        <v>32</v>
      </c>
      <c r="S472" t="s">
        <v>274</v>
      </c>
      <c r="T472" t="str">
        <f>IF(COUNTIF($A$2:A472,A472)&gt;1,"Duplicate","Unique")</f>
        <v>Unique</v>
      </c>
    </row>
    <row r="473" spans="1:20" x14ac:dyDescent="0.45">
      <c r="A473" t="s">
        <v>2086</v>
      </c>
      <c r="B473" t="s">
        <v>1768</v>
      </c>
      <c r="C473" t="s">
        <v>53</v>
      </c>
      <c r="D473" t="s">
        <v>2617</v>
      </c>
      <c r="E473" t="s">
        <v>192</v>
      </c>
      <c r="F473" t="s">
        <v>83</v>
      </c>
      <c r="G473" t="s">
        <v>193</v>
      </c>
      <c r="H473" t="s">
        <v>108</v>
      </c>
      <c r="I473" t="s">
        <v>107</v>
      </c>
      <c r="J473" t="s">
        <v>3036</v>
      </c>
      <c r="K473" t="s">
        <v>187</v>
      </c>
      <c r="L473" t="s">
        <v>3037</v>
      </c>
      <c r="M473" t="s">
        <v>308</v>
      </c>
      <c r="N473" t="s">
        <v>99</v>
      </c>
      <c r="O473" s="27">
        <v>1436000</v>
      </c>
      <c r="P473">
        <v>3</v>
      </c>
      <c r="Q473" t="s">
        <v>172</v>
      </c>
      <c r="R473">
        <v>46</v>
      </c>
      <c r="S473" t="s">
        <v>237</v>
      </c>
      <c r="T473" t="str">
        <f>IF(COUNTIF($A$2:A473,A473)&gt;1,"Duplicate","Unique")</f>
        <v>Unique</v>
      </c>
    </row>
    <row r="474" spans="1:20" x14ac:dyDescent="0.45">
      <c r="A474" t="s">
        <v>500</v>
      </c>
      <c r="B474" t="s">
        <v>501</v>
      </c>
      <c r="C474" t="s">
        <v>53</v>
      </c>
      <c r="D474" t="s">
        <v>52</v>
      </c>
      <c r="E474" t="s">
        <v>322</v>
      </c>
      <c r="F474" t="s">
        <v>81</v>
      </c>
      <c r="G474" t="s">
        <v>323</v>
      </c>
      <c r="H474" t="s">
        <v>108</v>
      </c>
      <c r="I474" t="s">
        <v>107</v>
      </c>
      <c r="J474" t="s">
        <v>2867</v>
      </c>
      <c r="K474" t="s">
        <v>187</v>
      </c>
      <c r="L474" t="s">
        <v>2471</v>
      </c>
      <c r="M474" t="s">
        <v>282</v>
      </c>
      <c r="N474" t="s">
        <v>98</v>
      </c>
      <c r="O474" s="27">
        <v>598000</v>
      </c>
      <c r="P474">
        <v>3</v>
      </c>
      <c r="Q474" t="s">
        <v>172</v>
      </c>
      <c r="R474">
        <v>58</v>
      </c>
      <c r="S474" t="s">
        <v>194</v>
      </c>
      <c r="T474" t="str">
        <f>IF(COUNTIF($A$2:A474,A474)&gt;1,"Duplicate","Unique")</f>
        <v>Unique</v>
      </c>
    </row>
    <row r="475" spans="1:20" x14ac:dyDescent="0.45">
      <c r="A475" t="s">
        <v>1392</v>
      </c>
      <c r="B475" t="s">
        <v>1393</v>
      </c>
      <c r="C475" t="s">
        <v>55</v>
      </c>
      <c r="D475" t="s">
        <v>54</v>
      </c>
      <c r="E475" t="s">
        <v>277</v>
      </c>
      <c r="F475" t="s">
        <v>81</v>
      </c>
      <c r="G475" t="s">
        <v>278</v>
      </c>
      <c r="H475" t="s">
        <v>108</v>
      </c>
      <c r="I475" t="s">
        <v>107</v>
      </c>
      <c r="J475" t="s">
        <v>3038</v>
      </c>
      <c r="K475" t="s">
        <v>162</v>
      </c>
      <c r="M475" t="s">
        <v>163</v>
      </c>
      <c r="N475" t="s">
        <v>99</v>
      </c>
      <c r="O475" s="27">
        <v>822000</v>
      </c>
      <c r="P475">
        <v>2</v>
      </c>
      <c r="Q475" t="s">
        <v>164</v>
      </c>
      <c r="R475">
        <v>41</v>
      </c>
      <c r="S475" t="s">
        <v>262</v>
      </c>
      <c r="T475" t="str">
        <f>IF(COUNTIF($A$2:A475,A475)&gt;1,"Duplicate","Unique")</f>
        <v>Unique</v>
      </c>
    </row>
    <row r="476" spans="1:20" x14ac:dyDescent="0.45">
      <c r="A476" t="s">
        <v>835</v>
      </c>
      <c r="B476" t="s">
        <v>724</v>
      </c>
      <c r="C476" t="s">
        <v>55</v>
      </c>
      <c r="D476" t="s">
        <v>54</v>
      </c>
      <c r="E476" t="s">
        <v>277</v>
      </c>
      <c r="F476" t="s">
        <v>81</v>
      </c>
      <c r="G476" t="s">
        <v>278</v>
      </c>
      <c r="H476" t="s">
        <v>106</v>
      </c>
      <c r="I476" t="s">
        <v>107</v>
      </c>
      <c r="J476" t="s">
        <v>3039</v>
      </c>
      <c r="K476" t="s">
        <v>170</v>
      </c>
      <c r="L476" t="s">
        <v>3040</v>
      </c>
      <c r="M476" t="s">
        <v>171</v>
      </c>
      <c r="N476" t="s">
        <v>97</v>
      </c>
      <c r="O476" s="27">
        <v>580000</v>
      </c>
      <c r="P476">
        <v>4</v>
      </c>
      <c r="Q476" t="s">
        <v>164</v>
      </c>
      <c r="R476">
        <v>40</v>
      </c>
      <c r="S476" t="s">
        <v>262</v>
      </c>
      <c r="T476" t="str">
        <f>IF(COUNTIF($A$2:A476,A476)&gt;1,"Duplicate","Unique")</f>
        <v>Unique</v>
      </c>
    </row>
    <row r="477" spans="1:20" x14ac:dyDescent="0.45">
      <c r="A477" t="s">
        <v>1040</v>
      </c>
      <c r="B477" t="s">
        <v>472</v>
      </c>
      <c r="C477" t="s">
        <v>55</v>
      </c>
      <c r="D477" t="s">
        <v>54</v>
      </c>
      <c r="E477" t="s">
        <v>277</v>
      </c>
      <c r="F477" t="s">
        <v>81</v>
      </c>
      <c r="G477" t="s">
        <v>278</v>
      </c>
      <c r="H477" t="s">
        <v>2611</v>
      </c>
      <c r="I477" t="s">
        <v>107</v>
      </c>
      <c r="J477" t="s">
        <v>3041</v>
      </c>
      <c r="K477" t="s">
        <v>170</v>
      </c>
      <c r="L477" t="s">
        <v>3042</v>
      </c>
      <c r="M477" t="s">
        <v>171</v>
      </c>
      <c r="N477" t="s">
        <v>98</v>
      </c>
      <c r="O477" s="27">
        <v>562000</v>
      </c>
      <c r="P477">
        <v>2</v>
      </c>
      <c r="Q477" t="s">
        <v>172</v>
      </c>
      <c r="R477">
        <v>19</v>
      </c>
      <c r="S477" t="s">
        <v>262</v>
      </c>
      <c r="T477" t="str">
        <f>IF(COUNTIF($A$2:A477,A477)&gt;1,"Duplicate","Unique")</f>
        <v>Unique</v>
      </c>
    </row>
    <row r="478" spans="1:20" x14ac:dyDescent="0.45">
      <c r="A478" t="s">
        <v>618</v>
      </c>
      <c r="B478" t="s">
        <v>619</v>
      </c>
      <c r="C478" t="s">
        <v>61</v>
      </c>
      <c r="D478" t="s">
        <v>60</v>
      </c>
      <c r="E478" t="s">
        <v>484</v>
      </c>
      <c r="F478" t="s">
        <v>83</v>
      </c>
      <c r="G478" t="s">
        <v>485</v>
      </c>
      <c r="H478" t="s">
        <v>106</v>
      </c>
      <c r="I478" t="s">
        <v>107</v>
      </c>
      <c r="J478" t="s">
        <v>2432</v>
      </c>
      <c r="K478" t="s">
        <v>187</v>
      </c>
      <c r="L478" t="s">
        <v>3043</v>
      </c>
      <c r="M478" t="s">
        <v>213</v>
      </c>
      <c r="N478" t="s">
        <v>95</v>
      </c>
      <c r="O478" s="27">
        <v>1848000</v>
      </c>
      <c r="P478">
        <v>3</v>
      </c>
      <c r="Q478" t="s">
        <v>164</v>
      </c>
      <c r="R478">
        <v>31</v>
      </c>
      <c r="S478" t="s">
        <v>319</v>
      </c>
      <c r="T478" t="str">
        <f>IF(COUNTIF($A$2:A478,A478)&gt;1,"Duplicate","Unique")</f>
        <v>Unique</v>
      </c>
    </row>
    <row r="479" spans="1:20" x14ac:dyDescent="0.45">
      <c r="A479" t="s">
        <v>1919</v>
      </c>
      <c r="B479" t="s">
        <v>1920</v>
      </c>
      <c r="C479" t="s">
        <v>51</v>
      </c>
      <c r="D479" t="s">
        <v>50</v>
      </c>
      <c r="E479" t="s">
        <v>217</v>
      </c>
      <c r="F479" t="s">
        <v>83</v>
      </c>
      <c r="G479" t="s">
        <v>218</v>
      </c>
      <c r="H479" t="s">
        <v>109</v>
      </c>
      <c r="I479" t="s">
        <v>110</v>
      </c>
      <c r="J479" t="s">
        <v>3044</v>
      </c>
      <c r="K479" t="s">
        <v>162</v>
      </c>
      <c r="M479" t="s">
        <v>163</v>
      </c>
      <c r="N479" t="s">
        <v>95</v>
      </c>
      <c r="O479" s="27">
        <v>1435000</v>
      </c>
      <c r="P479">
        <v>2</v>
      </c>
      <c r="Q479" t="s">
        <v>164</v>
      </c>
      <c r="R479">
        <v>28</v>
      </c>
      <c r="S479" t="s">
        <v>178</v>
      </c>
      <c r="T479" t="str">
        <f>IF(COUNTIF($A$2:A479,A479)&gt;1,"Duplicate","Unique")</f>
        <v>Unique</v>
      </c>
    </row>
    <row r="480" spans="1:20" x14ac:dyDescent="0.45">
      <c r="A480" t="s">
        <v>2306</v>
      </c>
      <c r="B480" t="s">
        <v>3045</v>
      </c>
      <c r="C480" t="s">
        <v>53</v>
      </c>
      <c r="D480" t="s">
        <v>52</v>
      </c>
      <c r="E480" t="s">
        <v>322</v>
      </c>
      <c r="F480" t="s">
        <v>81</v>
      </c>
      <c r="G480" t="s">
        <v>323</v>
      </c>
      <c r="H480" t="s">
        <v>106</v>
      </c>
      <c r="I480" t="s">
        <v>107</v>
      </c>
      <c r="J480" t="s">
        <v>3046</v>
      </c>
      <c r="K480" t="s">
        <v>162</v>
      </c>
      <c r="M480" t="s">
        <v>163</v>
      </c>
      <c r="N480" t="s">
        <v>99</v>
      </c>
      <c r="O480" s="27">
        <v>745000</v>
      </c>
      <c r="P480">
        <v>2</v>
      </c>
      <c r="Q480" t="s">
        <v>164</v>
      </c>
      <c r="R480">
        <v>10</v>
      </c>
      <c r="S480" t="s">
        <v>189</v>
      </c>
      <c r="T480" t="str">
        <f>IF(COUNTIF($A$2:A480,A480)&gt;1,"Duplicate","Unique")</f>
        <v>Unique</v>
      </c>
    </row>
    <row r="481" spans="1:20" x14ac:dyDescent="0.45">
      <c r="A481" t="s">
        <v>1826</v>
      </c>
      <c r="B481" t="s">
        <v>3047</v>
      </c>
      <c r="C481" t="s">
        <v>51</v>
      </c>
      <c r="D481" t="s">
        <v>50</v>
      </c>
      <c r="E481" t="s">
        <v>397</v>
      </c>
      <c r="F481" t="s">
        <v>84</v>
      </c>
      <c r="G481" t="s">
        <v>398</v>
      </c>
      <c r="H481" t="s">
        <v>108</v>
      </c>
      <c r="I481" t="s">
        <v>107</v>
      </c>
      <c r="J481" t="s">
        <v>2757</v>
      </c>
      <c r="K481" t="s">
        <v>162</v>
      </c>
      <c r="M481" t="s">
        <v>163</v>
      </c>
      <c r="N481" t="s">
        <v>99</v>
      </c>
      <c r="O481" s="27">
        <v>2868000</v>
      </c>
      <c r="P481">
        <v>2</v>
      </c>
      <c r="Q481" t="s">
        <v>164</v>
      </c>
      <c r="R481">
        <v>13</v>
      </c>
      <c r="S481" t="s">
        <v>178</v>
      </c>
      <c r="T481" t="str">
        <f>IF(COUNTIF($A$2:A481,A481)&gt;1,"Duplicate","Unique")</f>
        <v>Unique</v>
      </c>
    </row>
    <row r="482" spans="1:20" x14ac:dyDescent="0.45">
      <c r="A482" t="s">
        <v>1953</v>
      </c>
      <c r="B482" t="s">
        <v>1523</v>
      </c>
      <c r="C482" t="s">
        <v>53</v>
      </c>
      <c r="D482" t="s">
        <v>52</v>
      </c>
      <c r="E482" t="s">
        <v>185</v>
      </c>
      <c r="F482" t="s">
        <v>82</v>
      </c>
      <c r="G482" t="s">
        <v>186</v>
      </c>
      <c r="H482" t="s">
        <v>108</v>
      </c>
      <c r="I482" t="s">
        <v>107</v>
      </c>
      <c r="J482" t="s">
        <v>2855</v>
      </c>
      <c r="K482" t="s">
        <v>162</v>
      </c>
      <c r="M482" t="s">
        <v>163</v>
      </c>
      <c r="N482" t="s">
        <v>96</v>
      </c>
      <c r="O482" s="27">
        <v>864000</v>
      </c>
      <c r="P482">
        <v>3</v>
      </c>
      <c r="Q482" t="s">
        <v>172</v>
      </c>
      <c r="R482">
        <v>31</v>
      </c>
      <c r="S482" t="s">
        <v>237</v>
      </c>
      <c r="T482" t="str">
        <f>IF(COUNTIF($A$2:A482,A482)&gt;1,"Duplicate","Unique")</f>
        <v>Unique</v>
      </c>
    </row>
    <row r="483" spans="1:20" x14ac:dyDescent="0.45">
      <c r="A483" t="s">
        <v>1447</v>
      </c>
      <c r="B483" t="s">
        <v>1201</v>
      </c>
      <c r="C483" t="s">
        <v>51</v>
      </c>
      <c r="D483" t="s">
        <v>50</v>
      </c>
      <c r="E483" t="s">
        <v>181</v>
      </c>
      <c r="F483" t="s">
        <v>81</v>
      </c>
      <c r="G483" t="s">
        <v>182</v>
      </c>
      <c r="H483" t="s">
        <v>106</v>
      </c>
      <c r="I483" t="s">
        <v>107</v>
      </c>
      <c r="J483" t="s">
        <v>3048</v>
      </c>
      <c r="K483" t="s">
        <v>162</v>
      </c>
      <c r="M483" t="s">
        <v>163</v>
      </c>
      <c r="N483" t="s">
        <v>99</v>
      </c>
      <c r="O483" s="27">
        <v>569000</v>
      </c>
      <c r="P483">
        <v>5</v>
      </c>
      <c r="Q483" t="s">
        <v>164</v>
      </c>
      <c r="R483">
        <v>40</v>
      </c>
      <c r="S483" t="s">
        <v>244</v>
      </c>
      <c r="T483" t="str">
        <f>IF(COUNTIF($A$2:A483,A483)&gt;1,"Duplicate","Unique")</f>
        <v>Unique</v>
      </c>
    </row>
    <row r="484" spans="1:20" x14ac:dyDescent="0.45">
      <c r="A484" t="s">
        <v>1703</v>
      </c>
      <c r="B484" t="s">
        <v>1287</v>
      </c>
      <c r="C484" t="s">
        <v>53</v>
      </c>
      <c r="D484" t="s">
        <v>52</v>
      </c>
      <c r="E484" t="s">
        <v>185</v>
      </c>
      <c r="F484" t="s">
        <v>82</v>
      </c>
      <c r="G484" t="s">
        <v>186</v>
      </c>
      <c r="H484" t="s">
        <v>106</v>
      </c>
      <c r="I484" t="s">
        <v>107</v>
      </c>
      <c r="J484" t="s">
        <v>2718</v>
      </c>
      <c r="K484" t="s">
        <v>162</v>
      </c>
      <c r="M484" t="s">
        <v>163</v>
      </c>
      <c r="N484" t="s">
        <v>97</v>
      </c>
      <c r="O484" s="27">
        <v>1339000</v>
      </c>
      <c r="P484">
        <v>3</v>
      </c>
      <c r="Q484" t="s">
        <v>164</v>
      </c>
      <c r="R484">
        <v>32</v>
      </c>
      <c r="S484" t="s">
        <v>237</v>
      </c>
      <c r="T484" t="str">
        <f>IF(COUNTIF($A$2:A484,A484)&gt;1,"Duplicate","Unique")</f>
        <v>Unique</v>
      </c>
    </row>
    <row r="485" spans="1:20" x14ac:dyDescent="0.45">
      <c r="A485" t="s">
        <v>1949</v>
      </c>
      <c r="B485" t="s">
        <v>1813</v>
      </c>
      <c r="C485" t="s">
        <v>51</v>
      </c>
      <c r="D485" t="s">
        <v>50</v>
      </c>
      <c r="E485" t="s">
        <v>176</v>
      </c>
      <c r="F485" t="s">
        <v>82</v>
      </c>
      <c r="G485" t="s">
        <v>177</v>
      </c>
      <c r="H485" t="s">
        <v>106</v>
      </c>
      <c r="I485" t="s">
        <v>107</v>
      </c>
      <c r="J485" t="s">
        <v>2647</v>
      </c>
      <c r="K485" t="s">
        <v>162</v>
      </c>
      <c r="M485" t="s">
        <v>163</v>
      </c>
      <c r="N485" t="s">
        <v>97</v>
      </c>
      <c r="O485" s="27">
        <v>1091000</v>
      </c>
      <c r="P485">
        <v>2</v>
      </c>
      <c r="Q485" t="s">
        <v>164</v>
      </c>
      <c r="R485">
        <v>25</v>
      </c>
      <c r="S485" t="s">
        <v>178</v>
      </c>
      <c r="T485" t="str">
        <f>IF(COUNTIF($A$2:A485,A485)&gt;1,"Duplicate","Unique")</f>
        <v>Unique</v>
      </c>
    </row>
    <row r="486" spans="1:20" x14ac:dyDescent="0.45">
      <c r="A486" t="s">
        <v>2011</v>
      </c>
      <c r="B486" t="s">
        <v>1495</v>
      </c>
      <c r="C486" t="s">
        <v>55</v>
      </c>
      <c r="D486" t="s">
        <v>54</v>
      </c>
      <c r="E486" t="s">
        <v>277</v>
      </c>
      <c r="F486" t="s">
        <v>81</v>
      </c>
      <c r="G486" t="s">
        <v>278</v>
      </c>
      <c r="H486" t="s">
        <v>106</v>
      </c>
      <c r="I486" t="s">
        <v>107</v>
      </c>
      <c r="J486" t="s">
        <v>3049</v>
      </c>
      <c r="K486" t="s">
        <v>162</v>
      </c>
      <c r="M486" t="s">
        <v>163</v>
      </c>
      <c r="N486" t="s">
        <v>99</v>
      </c>
      <c r="O486" s="27">
        <v>830000</v>
      </c>
      <c r="P486">
        <v>3</v>
      </c>
      <c r="Q486" t="s">
        <v>172</v>
      </c>
      <c r="R486">
        <v>29</v>
      </c>
      <c r="S486" t="s">
        <v>274</v>
      </c>
      <c r="T486" t="str">
        <f>IF(COUNTIF($A$2:A486,A486)&gt;1,"Duplicate","Unique")</f>
        <v>Unique</v>
      </c>
    </row>
    <row r="487" spans="1:20" x14ac:dyDescent="0.45">
      <c r="A487" t="s">
        <v>2141</v>
      </c>
      <c r="B487" t="s">
        <v>3050</v>
      </c>
      <c r="C487" t="s">
        <v>59</v>
      </c>
      <c r="D487" t="s">
        <v>58</v>
      </c>
      <c r="E487" t="s">
        <v>206</v>
      </c>
      <c r="F487" t="s">
        <v>81</v>
      </c>
      <c r="G487" t="s">
        <v>207</v>
      </c>
      <c r="H487" t="s">
        <v>109</v>
      </c>
      <c r="I487" t="s">
        <v>110</v>
      </c>
      <c r="J487" t="s">
        <v>3051</v>
      </c>
      <c r="K487" t="s">
        <v>162</v>
      </c>
      <c r="M487" t="s">
        <v>163</v>
      </c>
      <c r="N487" t="s">
        <v>95</v>
      </c>
      <c r="O487" s="27">
        <v>622000</v>
      </c>
      <c r="P487">
        <v>3</v>
      </c>
      <c r="Q487" t="s">
        <v>164</v>
      </c>
      <c r="R487">
        <v>40</v>
      </c>
      <c r="S487" t="s">
        <v>208</v>
      </c>
      <c r="T487" t="str">
        <f>IF(COUNTIF($A$2:A487,A487)&gt;1,"Duplicate","Unique")</f>
        <v>Unique</v>
      </c>
    </row>
    <row r="488" spans="1:20" x14ac:dyDescent="0.45">
      <c r="A488" t="s">
        <v>2001</v>
      </c>
      <c r="B488" t="s">
        <v>1708</v>
      </c>
      <c r="C488" t="s">
        <v>51</v>
      </c>
      <c r="D488" t="s">
        <v>2620</v>
      </c>
      <c r="E488" t="s">
        <v>181</v>
      </c>
      <c r="F488" t="s">
        <v>81</v>
      </c>
      <c r="G488" t="s">
        <v>182</v>
      </c>
      <c r="H488" t="s">
        <v>109</v>
      </c>
      <c r="I488" t="s">
        <v>110</v>
      </c>
      <c r="J488" t="s">
        <v>2751</v>
      </c>
      <c r="K488" t="s">
        <v>187</v>
      </c>
      <c r="L488" t="s">
        <v>3052</v>
      </c>
      <c r="M488" t="s">
        <v>188</v>
      </c>
      <c r="N488" t="s">
        <v>95</v>
      </c>
      <c r="O488" s="27">
        <v>795000</v>
      </c>
      <c r="P488">
        <v>3</v>
      </c>
      <c r="Q488" t="s">
        <v>164</v>
      </c>
      <c r="R488">
        <v>33</v>
      </c>
      <c r="S488" t="s">
        <v>219</v>
      </c>
      <c r="T488" t="str">
        <f>IF(COUNTIF($A$2:A488,A488)&gt;1,"Duplicate","Unique")</f>
        <v>Unique</v>
      </c>
    </row>
    <row r="489" spans="1:20" x14ac:dyDescent="0.45">
      <c r="A489" t="s">
        <v>1636</v>
      </c>
      <c r="B489" t="s">
        <v>1069</v>
      </c>
      <c r="C489" t="s">
        <v>55</v>
      </c>
      <c r="D489" t="s">
        <v>54</v>
      </c>
      <c r="E489" t="s">
        <v>168</v>
      </c>
      <c r="F489" t="s">
        <v>84</v>
      </c>
      <c r="G489" t="s">
        <v>169</v>
      </c>
      <c r="H489" t="s">
        <v>106</v>
      </c>
      <c r="I489" t="s">
        <v>107</v>
      </c>
      <c r="J489" t="s">
        <v>2897</v>
      </c>
      <c r="K489" t="s">
        <v>162</v>
      </c>
      <c r="M489" t="s">
        <v>163</v>
      </c>
      <c r="N489" t="s">
        <v>95</v>
      </c>
      <c r="O489" s="27">
        <v>2747000</v>
      </c>
      <c r="P489">
        <v>3</v>
      </c>
      <c r="Q489" t="s">
        <v>172</v>
      </c>
      <c r="R489">
        <v>35</v>
      </c>
      <c r="S489" t="s">
        <v>173</v>
      </c>
      <c r="T489" t="str">
        <f>IF(COUNTIF($A$2:A489,A489)&gt;1,"Duplicate","Unique")</f>
        <v>Unique</v>
      </c>
    </row>
    <row r="490" spans="1:20" x14ac:dyDescent="0.45">
      <c r="A490" t="s">
        <v>637</v>
      </c>
      <c r="B490" t="s">
        <v>638</v>
      </c>
      <c r="C490" t="s">
        <v>61</v>
      </c>
      <c r="D490" t="s">
        <v>60</v>
      </c>
      <c r="E490" t="s">
        <v>317</v>
      </c>
      <c r="F490" t="s">
        <v>84</v>
      </c>
      <c r="G490" t="s">
        <v>318</v>
      </c>
      <c r="H490" t="s">
        <v>2926</v>
      </c>
      <c r="I490" t="s">
        <v>110</v>
      </c>
      <c r="J490" t="s">
        <v>2564</v>
      </c>
      <c r="K490" t="s">
        <v>162</v>
      </c>
      <c r="M490" t="s">
        <v>163</v>
      </c>
      <c r="N490" t="s">
        <v>98</v>
      </c>
      <c r="O490" s="27">
        <v>3174000</v>
      </c>
      <c r="P490">
        <v>3</v>
      </c>
      <c r="Q490" t="s">
        <v>164</v>
      </c>
      <c r="R490">
        <v>47</v>
      </c>
      <c r="S490" t="s">
        <v>253</v>
      </c>
      <c r="T490" t="str">
        <f>IF(COUNTIF($A$2:A490,A490)&gt;1,"Duplicate","Unique")</f>
        <v>Unique</v>
      </c>
    </row>
    <row r="491" spans="1:20" x14ac:dyDescent="0.45">
      <c r="A491" t="s">
        <v>536</v>
      </c>
      <c r="B491" t="s">
        <v>335</v>
      </c>
      <c r="C491" t="s">
        <v>55</v>
      </c>
      <c r="D491" t="s">
        <v>54</v>
      </c>
      <c r="E491" t="s">
        <v>537</v>
      </c>
      <c r="F491" t="s">
        <v>85</v>
      </c>
      <c r="G491" t="s">
        <v>538</v>
      </c>
      <c r="H491" t="s">
        <v>106</v>
      </c>
      <c r="I491" t="s">
        <v>107</v>
      </c>
      <c r="J491" t="s">
        <v>3053</v>
      </c>
      <c r="K491" t="s">
        <v>162</v>
      </c>
      <c r="M491" t="s">
        <v>163</v>
      </c>
      <c r="N491" t="s">
        <v>99</v>
      </c>
      <c r="O491" s="27">
        <v>4221000</v>
      </c>
      <c r="P491">
        <v>3</v>
      </c>
      <c r="Q491" t="s">
        <v>164</v>
      </c>
      <c r="R491">
        <v>48</v>
      </c>
      <c r="S491" t="s">
        <v>274</v>
      </c>
      <c r="T491" t="str">
        <f>IF(COUNTIF($A$2:A491,A491)&gt;1,"Duplicate","Unique")</f>
        <v>Unique</v>
      </c>
    </row>
    <row r="492" spans="1:20" x14ac:dyDescent="0.45">
      <c r="A492" t="s">
        <v>757</v>
      </c>
      <c r="B492" t="s">
        <v>758</v>
      </c>
      <c r="C492" t="s">
        <v>51</v>
      </c>
      <c r="D492" t="s">
        <v>50</v>
      </c>
      <c r="E492" t="s">
        <v>181</v>
      </c>
      <c r="F492" t="s">
        <v>81</v>
      </c>
      <c r="G492" t="s">
        <v>182</v>
      </c>
      <c r="H492" t="s">
        <v>109</v>
      </c>
      <c r="I492" t="s">
        <v>110</v>
      </c>
      <c r="J492" t="s">
        <v>2548</v>
      </c>
      <c r="K492" t="s">
        <v>162</v>
      </c>
      <c r="M492" t="s">
        <v>163</v>
      </c>
      <c r="N492" t="s">
        <v>96</v>
      </c>
      <c r="O492" s="27">
        <v>730000</v>
      </c>
      <c r="P492">
        <v>3</v>
      </c>
      <c r="Q492" t="s">
        <v>164</v>
      </c>
      <c r="R492">
        <v>22</v>
      </c>
      <c r="S492" t="s">
        <v>244</v>
      </c>
      <c r="T492" t="str">
        <f>IF(COUNTIF($A$2:A492,A492)&gt;1,"Duplicate","Unique")</f>
        <v>Unique</v>
      </c>
    </row>
    <row r="493" spans="1:20" x14ac:dyDescent="0.45">
      <c r="A493" t="s">
        <v>1030</v>
      </c>
      <c r="B493" t="s">
        <v>802</v>
      </c>
      <c r="C493" t="s">
        <v>57</v>
      </c>
      <c r="D493" t="s">
        <v>56</v>
      </c>
      <c r="E493" t="s">
        <v>222</v>
      </c>
      <c r="F493" t="s">
        <v>82</v>
      </c>
      <c r="G493" t="s">
        <v>223</v>
      </c>
      <c r="H493" t="s">
        <v>108</v>
      </c>
      <c r="I493" t="s">
        <v>107</v>
      </c>
      <c r="J493" t="s">
        <v>2657</v>
      </c>
      <c r="K493" t="s">
        <v>162</v>
      </c>
      <c r="M493" t="s">
        <v>163</v>
      </c>
      <c r="N493" t="s">
        <v>99</v>
      </c>
      <c r="O493" s="27">
        <v>851000</v>
      </c>
      <c r="P493">
        <v>4</v>
      </c>
      <c r="Q493" t="s">
        <v>164</v>
      </c>
      <c r="R493">
        <v>39</v>
      </c>
      <c r="S493" t="s">
        <v>224</v>
      </c>
      <c r="T493" t="str">
        <f>IF(COUNTIF($A$2:A493,A493)&gt;1,"Duplicate","Unique")</f>
        <v>Unique</v>
      </c>
    </row>
    <row r="494" spans="1:20" x14ac:dyDescent="0.45">
      <c r="A494" t="s">
        <v>2073</v>
      </c>
      <c r="B494" t="s">
        <v>1449</v>
      </c>
      <c r="C494" t="s">
        <v>59</v>
      </c>
      <c r="D494" t="s">
        <v>58</v>
      </c>
      <c r="E494" t="s">
        <v>287</v>
      </c>
      <c r="F494" t="s">
        <v>83</v>
      </c>
      <c r="G494" t="s">
        <v>288</v>
      </c>
      <c r="H494" t="s">
        <v>108</v>
      </c>
      <c r="I494" t="s">
        <v>107</v>
      </c>
      <c r="J494" t="s">
        <v>3054</v>
      </c>
      <c r="K494" t="s">
        <v>162</v>
      </c>
      <c r="M494" t="s">
        <v>163</v>
      </c>
      <c r="N494" t="s">
        <v>96</v>
      </c>
      <c r="O494" s="27">
        <v>1473000</v>
      </c>
      <c r="P494">
        <v>4</v>
      </c>
      <c r="Q494" t="s">
        <v>172</v>
      </c>
      <c r="R494">
        <v>43</v>
      </c>
      <c r="S494" t="s">
        <v>214</v>
      </c>
      <c r="T494" t="str">
        <f>IF(COUNTIF($A$2:A494,A494)&gt;1,"Duplicate","Unique")</f>
        <v>Unique</v>
      </c>
    </row>
    <row r="495" spans="1:20" x14ac:dyDescent="0.45">
      <c r="A495" t="s">
        <v>2283</v>
      </c>
      <c r="B495" t="s">
        <v>1768</v>
      </c>
      <c r="C495" t="s">
        <v>53</v>
      </c>
      <c r="D495" t="s">
        <v>52</v>
      </c>
      <c r="E495" t="s">
        <v>185</v>
      </c>
      <c r="F495" t="s">
        <v>82</v>
      </c>
      <c r="G495" t="s">
        <v>186</v>
      </c>
      <c r="H495" t="s">
        <v>111</v>
      </c>
      <c r="I495" t="s">
        <v>110</v>
      </c>
      <c r="J495" t="s">
        <v>2706</v>
      </c>
      <c r="K495" t="s">
        <v>162</v>
      </c>
      <c r="M495" t="s">
        <v>163</v>
      </c>
      <c r="N495" t="s">
        <v>96</v>
      </c>
      <c r="O495" s="27">
        <v>1315000</v>
      </c>
      <c r="Q495" t="s">
        <v>172</v>
      </c>
      <c r="R495">
        <v>22</v>
      </c>
      <c r="S495" t="s">
        <v>189</v>
      </c>
      <c r="T495" t="str">
        <f>IF(COUNTIF($A$2:A495,A495)&gt;1,"Duplicate","Unique")</f>
        <v>Unique</v>
      </c>
    </row>
    <row r="496" spans="1:20" x14ac:dyDescent="0.45">
      <c r="A496" t="s">
        <v>1140</v>
      </c>
      <c r="B496" t="s">
        <v>1141</v>
      </c>
      <c r="C496" t="s">
        <v>55</v>
      </c>
      <c r="D496" t="s">
        <v>54</v>
      </c>
      <c r="E496" t="s">
        <v>277</v>
      </c>
      <c r="F496" t="s">
        <v>81</v>
      </c>
      <c r="G496" t="s">
        <v>278</v>
      </c>
      <c r="H496" t="s">
        <v>106</v>
      </c>
      <c r="I496" t="s">
        <v>107</v>
      </c>
      <c r="J496" t="s">
        <v>3055</v>
      </c>
      <c r="K496" t="s">
        <v>162</v>
      </c>
      <c r="M496" t="s">
        <v>163</v>
      </c>
      <c r="N496" t="s">
        <v>97</v>
      </c>
      <c r="O496" s="27">
        <v>564000</v>
      </c>
      <c r="P496">
        <v>3</v>
      </c>
      <c r="Q496" t="s">
        <v>164</v>
      </c>
      <c r="R496">
        <v>38</v>
      </c>
      <c r="S496" t="s">
        <v>274</v>
      </c>
      <c r="T496" t="str">
        <f>IF(COUNTIF($A$2:A496,A496)&gt;1,"Duplicate","Unique")</f>
        <v>Unique</v>
      </c>
    </row>
    <row r="497" spans="1:20" x14ac:dyDescent="0.45">
      <c r="A497" t="s">
        <v>1247</v>
      </c>
      <c r="B497" t="s">
        <v>822</v>
      </c>
      <c r="C497" t="s">
        <v>51</v>
      </c>
      <c r="D497" t="s">
        <v>50</v>
      </c>
      <c r="E497" t="s">
        <v>176</v>
      </c>
      <c r="F497" t="s">
        <v>82</v>
      </c>
      <c r="G497" t="s">
        <v>177</v>
      </c>
      <c r="H497" t="s">
        <v>106</v>
      </c>
      <c r="I497" t="s">
        <v>107</v>
      </c>
      <c r="J497" t="s">
        <v>3056</v>
      </c>
      <c r="K497" t="s">
        <v>162</v>
      </c>
      <c r="M497" t="s">
        <v>163</v>
      </c>
      <c r="N497" t="s">
        <v>95</v>
      </c>
      <c r="O497" s="27">
        <v>1102000</v>
      </c>
      <c r="P497">
        <v>2</v>
      </c>
      <c r="Q497" t="s">
        <v>164</v>
      </c>
      <c r="R497">
        <v>42</v>
      </c>
      <c r="S497" t="s">
        <v>244</v>
      </c>
      <c r="T497" t="str">
        <f>IF(COUNTIF($A$2:A497,A497)&gt;1,"Duplicate","Unique")</f>
        <v>Unique</v>
      </c>
    </row>
    <row r="498" spans="1:20" x14ac:dyDescent="0.45">
      <c r="A498" t="s">
        <v>1997</v>
      </c>
      <c r="B498" t="s">
        <v>1287</v>
      </c>
      <c r="C498" t="s">
        <v>51</v>
      </c>
      <c r="D498" t="s">
        <v>2464</v>
      </c>
      <c r="E498" t="s">
        <v>176</v>
      </c>
      <c r="F498" t="s">
        <v>82</v>
      </c>
      <c r="G498" t="s">
        <v>177</v>
      </c>
      <c r="H498" t="s">
        <v>111</v>
      </c>
      <c r="I498" t="s">
        <v>110</v>
      </c>
      <c r="J498" t="s">
        <v>2497</v>
      </c>
      <c r="K498" t="s">
        <v>162</v>
      </c>
      <c r="M498" t="s">
        <v>163</v>
      </c>
      <c r="N498" t="s">
        <v>99</v>
      </c>
      <c r="O498" s="27">
        <v>1091000</v>
      </c>
      <c r="P498">
        <v>3</v>
      </c>
      <c r="Q498" t="s">
        <v>164</v>
      </c>
      <c r="R498">
        <v>58</v>
      </c>
      <c r="S498" t="s">
        <v>178</v>
      </c>
      <c r="T498" t="str">
        <f>IF(COUNTIF($A$2:A498,A498)&gt;1,"Duplicate","Unique")</f>
        <v>Unique</v>
      </c>
    </row>
    <row r="499" spans="1:20" x14ac:dyDescent="0.45">
      <c r="A499" t="s">
        <v>2093</v>
      </c>
      <c r="B499" t="s">
        <v>2094</v>
      </c>
      <c r="C499" t="s">
        <v>57</v>
      </c>
      <c r="D499" t="s">
        <v>56</v>
      </c>
      <c r="E499" t="s">
        <v>160</v>
      </c>
      <c r="F499" t="s">
        <v>81</v>
      </c>
      <c r="G499" t="s">
        <v>161</v>
      </c>
      <c r="H499" t="s">
        <v>106</v>
      </c>
      <c r="I499" t="s">
        <v>107</v>
      </c>
      <c r="J499" t="s">
        <v>3057</v>
      </c>
      <c r="K499" t="s">
        <v>162</v>
      </c>
      <c r="M499" t="s">
        <v>163</v>
      </c>
      <c r="N499" t="s">
        <v>97</v>
      </c>
      <c r="O499" s="27">
        <v>666000</v>
      </c>
      <c r="P499">
        <v>4</v>
      </c>
      <c r="Q499" t="s">
        <v>172</v>
      </c>
      <c r="R499">
        <v>45</v>
      </c>
      <c r="S499" t="s">
        <v>224</v>
      </c>
      <c r="T499" t="str">
        <f>IF(COUNTIF($A$2:A499,A499)&gt;1,"Duplicate","Unique")</f>
        <v>Unique</v>
      </c>
    </row>
    <row r="500" spans="1:20" x14ac:dyDescent="0.45">
      <c r="A500" t="s">
        <v>2232</v>
      </c>
      <c r="B500" t="s">
        <v>2233</v>
      </c>
      <c r="C500" t="s">
        <v>51</v>
      </c>
      <c r="D500" t="s">
        <v>50</v>
      </c>
      <c r="E500" t="s">
        <v>176</v>
      </c>
      <c r="F500" t="s">
        <v>82</v>
      </c>
      <c r="G500" t="s">
        <v>177</v>
      </c>
      <c r="H500" t="s">
        <v>108</v>
      </c>
      <c r="I500" t="s">
        <v>107</v>
      </c>
      <c r="J500" t="s">
        <v>2727</v>
      </c>
      <c r="K500" t="s">
        <v>162</v>
      </c>
      <c r="M500" t="s">
        <v>163</v>
      </c>
      <c r="N500" t="s">
        <v>97</v>
      </c>
      <c r="O500" s="27">
        <v>1231000</v>
      </c>
      <c r="P500">
        <v>3</v>
      </c>
      <c r="Q500" t="s">
        <v>164</v>
      </c>
      <c r="R500">
        <v>37</v>
      </c>
      <c r="S500" t="s">
        <v>244</v>
      </c>
      <c r="T500" t="str">
        <f>IF(COUNTIF($A$2:A500,A500)&gt;1,"Duplicate","Unique")</f>
        <v>Unique</v>
      </c>
    </row>
    <row r="501" spans="1:20" x14ac:dyDescent="0.45">
      <c r="A501" t="s">
        <v>443</v>
      </c>
      <c r="B501" t="s">
        <v>444</v>
      </c>
      <c r="C501" t="s">
        <v>59</v>
      </c>
      <c r="D501" t="s">
        <v>3058</v>
      </c>
      <c r="E501" t="s">
        <v>206</v>
      </c>
      <c r="F501" t="s">
        <v>81</v>
      </c>
      <c r="G501" t="s">
        <v>207</v>
      </c>
      <c r="H501" t="s">
        <v>109</v>
      </c>
      <c r="I501" t="s">
        <v>110</v>
      </c>
      <c r="J501" t="s">
        <v>3059</v>
      </c>
      <c r="K501" t="s">
        <v>162</v>
      </c>
      <c r="M501" t="s">
        <v>163</v>
      </c>
      <c r="N501" t="s">
        <v>95</v>
      </c>
      <c r="O501" s="27">
        <v>760000</v>
      </c>
      <c r="P501">
        <v>2</v>
      </c>
      <c r="Q501" t="s">
        <v>164</v>
      </c>
      <c r="R501">
        <v>13</v>
      </c>
      <c r="S501" t="s">
        <v>214</v>
      </c>
      <c r="T501" t="str">
        <f>IF(COUNTIF($A$2:A501,A501)&gt;1,"Duplicate","Unique")</f>
        <v>Unique</v>
      </c>
    </row>
    <row r="502" spans="1:20" x14ac:dyDescent="0.45">
      <c r="A502" t="s">
        <v>2302</v>
      </c>
      <c r="B502" t="s">
        <v>2303</v>
      </c>
      <c r="C502" t="s">
        <v>55</v>
      </c>
      <c r="D502" t="s">
        <v>54</v>
      </c>
      <c r="E502" t="s">
        <v>277</v>
      </c>
      <c r="F502" t="s">
        <v>81</v>
      </c>
      <c r="G502" t="s">
        <v>278</v>
      </c>
      <c r="H502" t="s">
        <v>111</v>
      </c>
      <c r="I502" t="s">
        <v>110</v>
      </c>
      <c r="J502" t="s">
        <v>3060</v>
      </c>
      <c r="K502" t="s">
        <v>162</v>
      </c>
      <c r="M502" t="s">
        <v>163</v>
      </c>
      <c r="N502" t="s">
        <v>98</v>
      </c>
      <c r="O502" s="27">
        <v>610000</v>
      </c>
      <c r="P502">
        <v>3</v>
      </c>
      <c r="Q502" t="s">
        <v>164</v>
      </c>
      <c r="R502">
        <v>35</v>
      </c>
      <c r="S502" t="s">
        <v>173</v>
      </c>
      <c r="T502" t="str">
        <f>IF(COUNTIF($A$2:A502,A502)&gt;1,"Duplicate","Unique")</f>
        <v>Unique</v>
      </c>
    </row>
    <row r="503" spans="1:20" x14ac:dyDescent="0.45">
      <c r="A503" t="s">
        <v>1067</v>
      </c>
      <c r="B503" t="s">
        <v>511</v>
      </c>
      <c r="C503" t="s">
        <v>53</v>
      </c>
      <c r="D503" t="s">
        <v>52</v>
      </c>
      <c r="E503" t="s">
        <v>322</v>
      </c>
      <c r="F503" t="s">
        <v>81</v>
      </c>
      <c r="G503" t="s">
        <v>323</v>
      </c>
      <c r="H503" t="s">
        <v>106</v>
      </c>
      <c r="I503" t="s">
        <v>107</v>
      </c>
      <c r="J503" t="s">
        <v>3061</v>
      </c>
      <c r="K503" t="s">
        <v>187</v>
      </c>
      <c r="L503" t="s">
        <v>3062</v>
      </c>
      <c r="M503" t="s">
        <v>269</v>
      </c>
      <c r="N503" t="s">
        <v>98</v>
      </c>
      <c r="O503" s="27">
        <v>837000</v>
      </c>
      <c r="P503">
        <v>3</v>
      </c>
      <c r="Q503" t="s">
        <v>164</v>
      </c>
      <c r="R503">
        <v>41</v>
      </c>
      <c r="S503" t="s">
        <v>237</v>
      </c>
      <c r="T503" t="str">
        <f>IF(COUNTIF($A$2:A503,A503)&gt;1,"Duplicate","Unique")</f>
        <v>Unique</v>
      </c>
    </row>
    <row r="504" spans="1:20" x14ac:dyDescent="0.45">
      <c r="A504" t="s">
        <v>2034</v>
      </c>
      <c r="B504" t="s">
        <v>3063</v>
      </c>
      <c r="C504" t="s">
        <v>51</v>
      </c>
      <c r="D504" t="s">
        <v>50</v>
      </c>
      <c r="E504" t="s">
        <v>176</v>
      </c>
      <c r="F504" t="s">
        <v>82</v>
      </c>
      <c r="G504" t="s">
        <v>177</v>
      </c>
      <c r="H504" t="s">
        <v>106</v>
      </c>
      <c r="I504" t="s">
        <v>107</v>
      </c>
      <c r="J504" t="s">
        <v>3064</v>
      </c>
      <c r="K504" t="s">
        <v>162</v>
      </c>
      <c r="M504" t="s">
        <v>163</v>
      </c>
      <c r="N504" t="s">
        <v>96</v>
      </c>
      <c r="O504" s="27">
        <v>1205000</v>
      </c>
      <c r="P504">
        <v>3</v>
      </c>
      <c r="Q504" t="s">
        <v>164</v>
      </c>
      <c r="R504">
        <v>20</v>
      </c>
      <c r="S504" t="s">
        <v>244</v>
      </c>
      <c r="T504" t="str">
        <f>IF(COUNTIF($A$2:A504,A504)&gt;1,"Duplicate","Unique")</f>
        <v>Unique</v>
      </c>
    </row>
    <row r="505" spans="1:20" x14ac:dyDescent="0.45">
      <c r="A505" t="s">
        <v>975</v>
      </c>
      <c r="B505" t="s">
        <v>976</v>
      </c>
      <c r="C505" t="s">
        <v>61</v>
      </c>
      <c r="D505" t="s">
        <v>60</v>
      </c>
      <c r="E505" t="s">
        <v>356</v>
      </c>
      <c r="F505" t="s">
        <v>81</v>
      </c>
      <c r="G505" t="s">
        <v>357</v>
      </c>
      <c r="H505" t="s">
        <v>106</v>
      </c>
      <c r="I505" t="s">
        <v>107</v>
      </c>
      <c r="J505" t="s">
        <v>3065</v>
      </c>
      <c r="K505" t="s">
        <v>187</v>
      </c>
      <c r="L505" t="s">
        <v>3066</v>
      </c>
      <c r="M505" t="s">
        <v>308</v>
      </c>
      <c r="N505" t="s">
        <v>97</v>
      </c>
      <c r="O505" s="27">
        <v>664000</v>
      </c>
      <c r="P505">
        <v>3</v>
      </c>
      <c r="Q505" t="s">
        <v>172</v>
      </c>
      <c r="R505">
        <v>19</v>
      </c>
      <c r="S505" t="s">
        <v>253</v>
      </c>
      <c r="T505" t="str">
        <f>IF(COUNTIF($A$2:A505,A505)&gt;1,"Duplicate","Unique")</f>
        <v>Unique</v>
      </c>
    </row>
    <row r="506" spans="1:20" x14ac:dyDescent="0.45">
      <c r="A506" t="s">
        <v>1073</v>
      </c>
      <c r="B506" t="s">
        <v>372</v>
      </c>
      <c r="C506" t="s">
        <v>51</v>
      </c>
      <c r="D506" t="s">
        <v>50</v>
      </c>
      <c r="E506" t="s">
        <v>181</v>
      </c>
      <c r="F506" t="s">
        <v>81</v>
      </c>
      <c r="G506" t="s">
        <v>182</v>
      </c>
      <c r="H506" t="s">
        <v>109</v>
      </c>
      <c r="I506" t="s">
        <v>110</v>
      </c>
      <c r="J506" t="s">
        <v>2833</v>
      </c>
      <c r="K506" t="s">
        <v>187</v>
      </c>
      <c r="L506" t="s">
        <v>3067</v>
      </c>
      <c r="M506" t="s">
        <v>213</v>
      </c>
      <c r="N506" t="s">
        <v>96</v>
      </c>
      <c r="O506" s="27">
        <v>785000</v>
      </c>
      <c r="P506">
        <v>3</v>
      </c>
      <c r="Q506" t="s">
        <v>172</v>
      </c>
      <c r="R506">
        <v>40</v>
      </c>
      <c r="S506" t="s">
        <v>197</v>
      </c>
      <c r="T506" t="str">
        <f>IF(COUNTIF($A$2:A506,A506)&gt;1,"Duplicate","Unique")</f>
        <v>Unique</v>
      </c>
    </row>
    <row r="507" spans="1:20" x14ac:dyDescent="0.45">
      <c r="A507" t="s">
        <v>1378</v>
      </c>
      <c r="B507" t="s">
        <v>747</v>
      </c>
      <c r="C507" t="s">
        <v>57</v>
      </c>
      <c r="D507" t="s">
        <v>56</v>
      </c>
      <c r="E507" t="s">
        <v>222</v>
      </c>
      <c r="F507" t="s">
        <v>82</v>
      </c>
      <c r="G507" t="s">
        <v>223</v>
      </c>
      <c r="H507" t="s">
        <v>108</v>
      </c>
      <c r="I507" t="s">
        <v>107</v>
      </c>
      <c r="J507" t="s">
        <v>2861</v>
      </c>
      <c r="K507" t="s">
        <v>162</v>
      </c>
      <c r="M507" t="s">
        <v>163</v>
      </c>
      <c r="N507" t="s">
        <v>97</v>
      </c>
      <c r="O507" s="27">
        <v>969000</v>
      </c>
      <c r="P507">
        <v>3</v>
      </c>
      <c r="Q507" t="s">
        <v>164</v>
      </c>
      <c r="R507">
        <v>33</v>
      </c>
      <c r="S507" t="s">
        <v>224</v>
      </c>
      <c r="T507" t="str">
        <f>IF(COUNTIF($A$2:A507,A507)&gt;1,"Duplicate","Unique")</f>
        <v>Unique</v>
      </c>
    </row>
    <row r="508" spans="1:20" x14ac:dyDescent="0.45">
      <c r="A508" t="s">
        <v>1940</v>
      </c>
      <c r="B508" t="s">
        <v>3068</v>
      </c>
      <c r="C508" t="s">
        <v>51</v>
      </c>
      <c r="D508" t="s">
        <v>50</v>
      </c>
      <c r="E508" t="s">
        <v>176</v>
      </c>
      <c r="F508" t="s">
        <v>82</v>
      </c>
      <c r="G508" t="s">
        <v>177</v>
      </c>
      <c r="H508" t="s">
        <v>112</v>
      </c>
      <c r="I508" t="s">
        <v>113</v>
      </c>
      <c r="J508" t="s">
        <v>3069</v>
      </c>
      <c r="K508" t="s">
        <v>162</v>
      </c>
      <c r="M508" t="s">
        <v>163</v>
      </c>
      <c r="N508" t="s">
        <v>95</v>
      </c>
      <c r="O508" s="27">
        <v>1338000</v>
      </c>
      <c r="P508">
        <v>2</v>
      </c>
      <c r="Q508" t="s">
        <v>164</v>
      </c>
      <c r="R508">
        <v>10</v>
      </c>
      <c r="S508" t="s">
        <v>244</v>
      </c>
      <c r="T508" t="str">
        <f>IF(COUNTIF($A$2:A508,A508)&gt;1,"Duplicate","Unique")</f>
        <v>Unique</v>
      </c>
    </row>
    <row r="509" spans="1:20" x14ac:dyDescent="0.45">
      <c r="A509" t="s">
        <v>1356</v>
      </c>
      <c r="B509" t="s">
        <v>312</v>
      </c>
      <c r="C509" t="s">
        <v>55</v>
      </c>
      <c r="D509" t="s">
        <v>54</v>
      </c>
      <c r="E509" t="s">
        <v>168</v>
      </c>
      <c r="F509" t="s">
        <v>84</v>
      </c>
      <c r="G509" t="s">
        <v>169</v>
      </c>
      <c r="H509" t="s">
        <v>109</v>
      </c>
      <c r="I509" t="s">
        <v>110</v>
      </c>
      <c r="J509" t="s">
        <v>3070</v>
      </c>
      <c r="K509" t="s">
        <v>162</v>
      </c>
      <c r="M509" t="s">
        <v>163</v>
      </c>
      <c r="N509" t="s">
        <v>97</v>
      </c>
      <c r="O509" s="27">
        <v>3230000</v>
      </c>
      <c r="P509">
        <v>3</v>
      </c>
      <c r="Q509" t="s">
        <v>172</v>
      </c>
      <c r="R509">
        <v>33</v>
      </c>
      <c r="S509" t="s">
        <v>262</v>
      </c>
      <c r="T509" t="str">
        <f>IF(COUNTIF($A$2:A509,A509)&gt;1,"Duplicate","Unique")</f>
        <v>Unique</v>
      </c>
    </row>
    <row r="510" spans="1:20" x14ac:dyDescent="0.45">
      <c r="A510" t="s">
        <v>1380</v>
      </c>
      <c r="B510" t="s">
        <v>1111</v>
      </c>
      <c r="C510" t="s">
        <v>53</v>
      </c>
      <c r="D510" t="s">
        <v>52</v>
      </c>
      <c r="E510" t="s">
        <v>192</v>
      </c>
      <c r="F510" t="s">
        <v>83</v>
      </c>
      <c r="G510" t="s">
        <v>193</v>
      </c>
      <c r="H510" t="s">
        <v>109</v>
      </c>
      <c r="I510" t="s">
        <v>110</v>
      </c>
      <c r="J510" t="s">
        <v>3071</v>
      </c>
      <c r="K510" t="s">
        <v>162</v>
      </c>
      <c r="M510" t="s">
        <v>163</v>
      </c>
      <c r="N510" t="s">
        <v>95</v>
      </c>
      <c r="O510" s="27">
        <v>1916000</v>
      </c>
      <c r="P510">
        <v>3</v>
      </c>
      <c r="Q510" t="s">
        <v>164</v>
      </c>
      <c r="R510">
        <v>32</v>
      </c>
      <c r="S510" t="s">
        <v>237</v>
      </c>
      <c r="T510" t="str">
        <f>IF(COUNTIF($A$2:A510,A510)&gt;1,"Duplicate","Unique")</f>
        <v>Unique</v>
      </c>
    </row>
    <row r="511" spans="1:20" x14ac:dyDescent="0.45">
      <c r="A511" t="s">
        <v>1080</v>
      </c>
      <c r="B511" t="s">
        <v>765</v>
      </c>
      <c r="C511" t="s">
        <v>53</v>
      </c>
      <c r="D511" t="s">
        <v>52</v>
      </c>
      <c r="E511" t="s">
        <v>185</v>
      </c>
      <c r="F511" t="s">
        <v>82</v>
      </c>
      <c r="G511" t="s">
        <v>186</v>
      </c>
      <c r="H511" t="s">
        <v>109</v>
      </c>
      <c r="I511" t="s">
        <v>110</v>
      </c>
      <c r="J511" t="s">
        <v>3072</v>
      </c>
      <c r="K511" t="s">
        <v>170</v>
      </c>
      <c r="L511" t="s">
        <v>2619</v>
      </c>
      <c r="M511" t="s">
        <v>171</v>
      </c>
      <c r="N511" t="s">
        <v>97</v>
      </c>
      <c r="O511" s="27">
        <v>1342000</v>
      </c>
      <c r="P511">
        <v>3</v>
      </c>
      <c r="Q511" t="s">
        <v>172</v>
      </c>
      <c r="R511">
        <v>26</v>
      </c>
      <c r="S511" t="s">
        <v>237</v>
      </c>
      <c r="T511" t="str">
        <f>IF(COUNTIF($A$2:A511,A511)&gt;1,"Duplicate","Unique")</f>
        <v>Unique</v>
      </c>
    </row>
    <row r="512" spans="1:20" x14ac:dyDescent="0.45">
      <c r="A512" t="s">
        <v>2225</v>
      </c>
      <c r="B512" t="s">
        <v>2226</v>
      </c>
      <c r="C512" t="s">
        <v>61</v>
      </c>
      <c r="D512" t="s">
        <v>60</v>
      </c>
      <c r="E512" t="s">
        <v>356</v>
      </c>
      <c r="F512" t="s">
        <v>81</v>
      </c>
      <c r="G512" t="s">
        <v>357</v>
      </c>
      <c r="H512" t="s">
        <v>108</v>
      </c>
      <c r="I512" t="s">
        <v>107</v>
      </c>
      <c r="J512" t="s">
        <v>3073</v>
      </c>
      <c r="K512" t="s">
        <v>162</v>
      </c>
      <c r="M512" t="s">
        <v>163</v>
      </c>
      <c r="N512" t="s">
        <v>97</v>
      </c>
      <c r="O512" s="27">
        <v>589000</v>
      </c>
      <c r="P512">
        <v>3</v>
      </c>
      <c r="Q512" t="s">
        <v>2584</v>
      </c>
      <c r="R512">
        <v>36</v>
      </c>
      <c r="S512" t="s">
        <v>319</v>
      </c>
      <c r="T512" t="str">
        <f>IF(COUNTIF($A$2:A512,A512)&gt;1,"Duplicate","Unique")</f>
        <v>Unique</v>
      </c>
    </row>
    <row r="513" spans="1:20" x14ac:dyDescent="0.45">
      <c r="A513" t="s">
        <v>2261</v>
      </c>
      <c r="B513" t="s">
        <v>2262</v>
      </c>
      <c r="C513" t="s">
        <v>59</v>
      </c>
      <c r="D513" t="s">
        <v>58</v>
      </c>
      <c r="E513" t="s">
        <v>579</v>
      </c>
      <c r="F513" t="s">
        <v>84</v>
      </c>
      <c r="G513" t="s">
        <v>580</v>
      </c>
      <c r="H513" t="s">
        <v>106</v>
      </c>
      <c r="I513" t="s">
        <v>107</v>
      </c>
      <c r="J513" t="s">
        <v>2726</v>
      </c>
      <c r="K513" t="s">
        <v>162</v>
      </c>
      <c r="M513" t="s">
        <v>163</v>
      </c>
      <c r="N513" t="s">
        <v>96</v>
      </c>
      <c r="O513" s="27">
        <v>2152000</v>
      </c>
      <c r="P513">
        <v>5</v>
      </c>
      <c r="Q513" t="s">
        <v>164</v>
      </c>
      <c r="R513">
        <v>17</v>
      </c>
      <c r="S513" t="s">
        <v>214</v>
      </c>
      <c r="T513" t="str">
        <f>IF(COUNTIF($A$2:A513,A513)&gt;1,"Duplicate","Unique")</f>
        <v>Unique</v>
      </c>
    </row>
    <row r="514" spans="1:20" x14ac:dyDescent="0.45">
      <c r="A514" t="s">
        <v>1706</v>
      </c>
      <c r="B514" t="s">
        <v>587</v>
      </c>
      <c r="C514" t="s">
        <v>55</v>
      </c>
      <c r="D514" t="s">
        <v>54</v>
      </c>
      <c r="E514" t="s">
        <v>229</v>
      </c>
      <c r="F514" t="s">
        <v>82</v>
      </c>
      <c r="G514" t="s">
        <v>230</v>
      </c>
      <c r="H514" t="s">
        <v>108</v>
      </c>
      <c r="I514" t="s">
        <v>107</v>
      </c>
      <c r="J514" t="s">
        <v>3074</v>
      </c>
      <c r="K514" t="s">
        <v>162</v>
      </c>
      <c r="M514" t="s">
        <v>163</v>
      </c>
      <c r="N514" t="s">
        <v>98</v>
      </c>
      <c r="O514" s="27">
        <v>1095000</v>
      </c>
      <c r="P514">
        <v>4</v>
      </c>
      <c r="Q514" t="s">
        <v>164</v>
      </c>
      <c r="R514">
        <v>55</v>
      </c>
      <c r="S514" t="s">
        <v>274</v>
      </c>
      <c r="T514" t="str">
        <f>IF(COUNTIF($A$2:A514,A514)&gt;1,"Duplicate","Unique")</f>
        <v>Unique</v>
      </c>
    </row>
    <row r="515" spans="1:20" x14ac:dyDescent="0.45">
      <c r="A515" t="s">
        <v>1994</v>
      </c>
      <c r="B515" t="s">
        <v>556</v>
      </c>
      <c r="C515" t="s">
        <v>61</v>
      </c>
      <c r="D515" t="s">
        <v>60</v>
      </c>
      <c r="E515" t="s">
        <v>356</v>
      </c>
      <c r="F515" t="s">
        <v>81</v>
      </c>
      <c r="G515" t="s">
        <v>357</v>
      </c>
      <c r="H515" t="s">
        <v>109</v>
      </c>
      <c r="I515" t="s">
        <v>110</v>
      </c>
      <c r="J515" t="s">
        <v>3075</v>
      </c>
      <c r="K515" t="s">
        <v>162</v>
      </c>
      <c r="M515" t="s">
        <v>163</v>
      </c>
      <c r="N515" t="s">
        <v>95</v>
      </c>
      <c r="O515" s="27">
        <v>706000</v>
      </c>
      <c r="P515">
        <v>3</v>
      </c>
      <c r="Q515" t="s">
        <v>164</v>
      </c>
      <c r="R515">
        <v>29</v>
      </c>
      <c r="S515" t="s">
        <v>253</v>
      </c>
      <c r="T515" t="str">
        <f>IF(COUNTIF($A$2:A515,A515)&gt;1,"Duplicate","Unique")</f>
        <v>Unique</v>
      </c>
    </row>
    <row r="516" spans="1:20" x14ac:dyDescent="0.45">
      <c r="A516" t="s">
        <v>1275</v>
      </c>
      <c r="B516" t="s">
        <v>1276</v>
      </c>
      <c r="C516" t="s">
        <v>53</v>
      </c>
      <c r="D516" t="s">
        <v>52</v>
      </c>
      <c r="E516" t="s">
        <v>200</v>
      </c>
      <c r="F516" t="s">
        <v>84</v>
      </c>
      <c r="G516" t="s">
        <v>201</v>
      </c>
      <c r="H516" t="s">
        <v>106</v>
      </c>
      <c r="I516" t="s">
        <v>107</v>
      </c>
      <c r="J516" t="s">
        <v>3076</v>
      </c>
      <c r="K516" t="s">
        <v>187</v>
      </c>
      <c r="L516" t="s">
        <v>3077</v>
      </c>
      <c r="M516" t="s">
        <v>282</v>
      </c>
      <c r="N516" t="s">
        <v>96</v>
      </c>
      <c r="O516" s="27">
        <v>2388000</v>
      </c>
      <c r="P516">
        <v>3</v>
      </c>
      <c r="Q516" t="s">
        <v>172</v>
      </c>
      <c r="R516">
        <v>44</v>
      </c>
      <c r="S516" t="s">
        <v>237</v>
      </c>
      <c r="T516" t="str">
        <f>IF(COUNTIF($A$2:A516,A516)&gt;1,"Duplicate","Unique")</f>
        <v>Unique</v>
      </c>
    </row>
    <row r="517" spans="1:20" x14ac:dyDescent="0.45">
      <c r="A517" t="s">
        <v>2281</v>
      </c>
      <c r="B517" t="s">
        <v>248</v>
      </c>
      <c r="C517" t="s">
        <v>51</v>
      </c>
      <c r="D517" t="s">
        <v>50</v>
      </c>
      <c r="E517" t="s">
        <v>181</v>
      </c>
      <c r="F517" t="s">
        <v>81</v>
      </c>
      <c r="G517" t="s">
        <v>182</v>
      </c>
      <c r="H517" t="s">
        <v>106</v>
      </c>
      <c r="I517" t="s">
        <v>107</v>
      </c>
      <c r="J517" t="s">
        <v>3078</v>
      </c>
      <c r="K517" t="s">
        <v>162</v>
      </c>
      <c r="M517" t="s">
        <v>163</v>
      </c>
      <c r="N517" t="s">
        <v>96</v>
      </c>
      <c r="O517" s="27">
        <v>745000</v>
      </c>
      <c r="P517">
        <v>3</v>
      </c>
      <c r="Q517" t="s">
        <v>164</v>
      </c>
      <c r="R517">
        <v>14</v>
      </c>
      <c r="S517" t="s">
        <v>244</v>
      </c>
      <c r="T517" t="str">
        <f>IF(COUNTIF($A$2:A517,A517)&gt;1,"Duplicate","Unique")</f>
        <v>Unique</v>
      </c>
    </row>
    <row r="518" spans="1:20" x14ac:dyDescent="0.45">
      <c r="A518" t="s">
        <v>2327</v>
      </c>
      <c r="B518" t="s">
        <v>650</v>
      </c>
      <c r="C518" t="s">
        <v>59</v>
      </c>
      <c r="D518" t="s">
        <v>58</v>
      </c>
      <c r="E518" t="s">
        <v>206</v>
      </c>
      <c r="F518" t="s">
        <v>81</v>
      </c>
      <c r="G518" t="s">
        <v>207</v>
      </c>
      <c r="H518" t="s">
        <v>109</v>
      </c>
      <c r="I518" t="s">
        <v>110</v>
      </c>
      <c r="J518" t="s">
        <v>3079</v>
      </c>
      <c r="K518" t="s">
        <v>162</v>
      </c>
      <c r="M518" t="s">
        <v>163</v>
      </c>
      <c r="N518" t="s">
        <v>98</v>
      </c>
      <c r="O518" s="27">
        <v>623000</v>
      </c>
      <c r="P518">
        <v>3</v>
      </c>
      <c r="Q518" t="s">
        <v>164</v>
      </c>
      <c r="R518">
        <v>27</v>
      </c>
      <c r="S518" t="s">
        <v>208</v>
      </c>
      <c r="T518" t="str">
        <f>IF(COUNTIF($A$2:A518,A518)&gt;1,"Duplicate","Unique")</f>
        <v>Unique</v>
      </c>
    </row>
    <row r="519" spans="1:20" x14ac:dyDescent="0.45">
      <c r="A519" t="s">
        <v>1936</v>
      </c>
      <c r="B519" t="s">
        <v>3080</v>
      </c>
      <c r="C519" t="s">
        <v>57</v>
      </c>
      <c r="D519" t="s">
        <v>56</v>
      </c>
      <c r="E519" t="s">
        <v>160</v>
      </c>
      <c r="F519" t="s">
        <v>81</v>
      </c>
      <c r="G519" t="s">
        <v>161</v>
      </c>
      <c r="H519" t="s">
        <v>108</v>
      </c>
      <c r="I519" t="s">
        <v>107</v>
      </c>
      <c r="J519" t="s">
        <v>2443</v>
      </c>
      <c r="K519" t="s">
        <v>162</v>
      </c>
      <c r="M519" t="s">
        <v>163</v>
      </c>
      <c r="N519" t="s">
        <v>95</v>
      </c>
      <c r="O519" s="27">
        <v>635000</v>
      </c>
      <c r="P519">
        <v>2</v>
      </c>
      <c r="Q519" t="s">
        <v>164</v>
      </c>
      <c r="R519">
        <v>32</v>
      </c>
      <c r="S519" t="s">
        <v>224</v>
      </c>
      <c r="T519" t="str">
        <f>IF(COUNTIF($A$2:A519,A519)&gt;1,"Duplicate","Unique")</f>
        <v>Unique</v>
      </c>
    </row>
    <row r="520" spans="1:20" x14ac:dyDescent="0.45">
      <c r="A520" t="s">
        <v>1226</v>
      </c>
      <c r="B520" t="s">
        <v>1227</v>
      </c>
      <c r="C520" t="s">
        <v>57</v>
      </c>
      <c r="D520" t="s">
        <v>56</v>
      </c>
      <c r="E520" t="s">
        <v>160</v>
      </c>
      <c r="F520" t="s">
        <v>81</v>
      </c>
      <c r="G520" t="s">
        <v>161</v>
      </c>
      <c r="H520" t="s">
        <v>108</v>
      </c>
      <c r="I520" t="s">
        <v>107</v>
      </c>
      <c r="J520" t="s">
        <v>2933</v>
      </c>
      <c r="K520" t="s">
        <v>187</v>
      </c>
      <c r="L520" t="s">
        <v>3081</v>
      </c>
      <c r="M520" t="s">
        <v>213</v>
      </c>
      <c r="N520" t="s">
        <v>99</v>
      </c>
      <c r="O520" s="27">
        <v>745000</v>
      </c>
      <c r="P520">
        <v>3</v>
      </c>
      <c r="Q520" t="s">
        <v>172</v>
      </c>
      <c r="R520">
        <v>22</v>
      </c>
      <c r="S520" t="s">
        <v>165</v>
      </c>
      <c r="T520" t="str">
        <f>IF(COUNTIF($A$2:A520,A520)&gt;1,"Duplicate","Unique")</f>
        <v>Unique</v>
      </c>
    </row>
    <row r="521" spans="1:20" x14ac:dyDescent="0.45">
      <c r="A521" t="s">
        <v>981</v>
      </c>
      <c r="B521" t="s">
        <v>982</v>
      </c>
      <c r="C521" t="s">
        <v>53</v>
      </c>
      <c r="D521" t="s">
        <v>52</v>
      </c>
      <c r="E521" t="s">
        <v>192</v>
      </c>
      <c r="F521" t="s">
        <v>83</v>
      </c>
      <c r="G521" t="s">
        <v>193</v>
      </c>
      <c r="H521" t="s">
        <v>111</v>
      </c>
      <c r="I521" t="s">
        <v>110</v>
      </c>
      <c r="J521" t="s">
        <v>3082</v>
      </c>
      <c r="K521" t="s">
        <v>162</v>
      </c>
      <c r="M521" t="s">
        <v>163</v>
      </c>
      <c r="N521" t="s">
        <v>97</v>
      </c>
      <c r="O521" s="27">
        <v>1853000</v>
      </c>
      <c r="P521">
        <v>2</v>
      </c>
      <c r="Q521" t="s">
        <v>172</v>
      </c>
      <c r="R521">
        <v>18</v>
      </c>
      <c r="S521" t="s">
        <v>237</v>
      </c>
      <c r="T521" t="str">
        <f>IF(COUNTIF($A$2:A521,A521)&gt;1,"Duplicate","Unique")</f>
        <v>Unique</v>
      </c>
    </row>
    <row r="522" spans="1:20" x14ac:dyDescent="0.45">
      <c r="A522" t="s">
        <v>861</v>
      </c>
      <c r="B522" t="s">
        <v>619</v>
      </c>
      <c r="C522" t="s">
        <v>51</v>
      </c>
      <c r="D522" t="s">
        <v>50</v>
      </c>
      <c r="E522" t="s">
        <v>176</v>
      </c>
      <c r="F522" t="s">
        <v>82</v>
      </c>
      <c r="G522" t="s">
        <v>177</v>
      </c>
      <c r="H522" t="s">
        <v>108</v>
      </c>
      <c r="I522" t="s">
        <v>107</v>
      </c>
      <c r="J522" t="s">
        <v>3083</v>
      </c>
      <c r="K522" t="s">
        <v>162</v>
      </c>
      <c r="M522" t="s">
        <v>163</v>
      </c>
      <c r="N522" t="s">
        <v>97</v>
      </c>
      <c r="O522" s="27">
        <v>1338000</v>
      </c>
      <c r="P522">
        <v>1</v>
      </c>
      <c r="Q522" t="s">
        <v>164</v>
      </c>
      <c r="R522">
        <v>17</v>
      </c>
      <c r="S522" t="s">
        <v>219</v>
      </c>
      <c r="T522" t="str">
        <f>IF(COUNTIF($A$2:A522,A522)&gt;1,"Duplicate","Unique")</f>
        <v>Unique</v>
      </c>
    </row>
    <row r="523" spans="1:20" x14ac:dyDescent="0.45">
      <c r="A523" t="s">
        <v>340</v>
      </c>
      <c r="B523" t="s">
        <v>341</v>
      </c>
      <c r="C523" t="s">
        <v>61</v>
      </c>
      <c r="D523" t="s">
        <v>60</v>
      </c>
      <c r="E523" t="s">
        <v>317</v>
      </c>
      <c r="F523" t="s">
        <v>84</v>
      </c>
      <c r="G523" t="s">
        <v>318</v>
      </c>
      <c r="H523" t="s">
        <v>108</v>
      </c>
      <c r="I523" t="s">
        <v>107</v>
      </c>
      <c r="J523" t="s">
        <v>3084</v>
      </c>
      <c r="K523" t="s">
        <v>162</v>
      </c>
      <c r="M523" t="s">
        <v>163</v>
      </c>
      <c r="N523" t="s">
        <v>97</v>
      </c>
      <c r="O523" s="27">
        <v>2214000</v>
      </c>
      <c r="P523">
        <v>3</v>
      </c>
      <c r="Q523" t="s">
        <v>164</v>
      </c>
      <c r="R523">
        <v>29</v>
      </c>
      <c r="S523" t="s">
        <v>319</v>
      </c>
      <c r="T523" t="str">
        <f>IF(COUNTIF($A$2:A523,A523)&gt;1,"Duplicate","Unique")</f>
        <v>Unique</v>
      </c>
    </row>
    <row r="524" spans="1:20" x14ac:dyDescent="0.45">
      <c r="A524" t="s">
        <v>2041</v>
      </c>
      <c r="B524" t="s">
        <v>642</v>
      </c>
      <c r="C524" t="s">
        <v>53</v>
      </c>
      <c r="D524" t="s">
        <v>52</v>
      </c>
      <c r="E524" t="s">
        <v>322</v>
      </c>
      <c r="F524" t="s">
        <v>81</v>
      </c>
      <c r="G524" t="s">
        <v>323</v>
      </c>
      <c r="H524" t="s">
        <v>108</v>
      </c>
      <c r="I524" t="s">
        <v>107</v>
      </c>
      <c r="J524" t="s">
        <v>3085</v>
      </c>
      <c r="K524" t="s">
        <v>162</v>
      </c>
      <c r="M524" t="s">
        <v>163</v>
      </c>
      <c r="N524" t="s">
        <v>97</v>
      </c>
      <c r="O524" s="27">
        <v>628000</v>
      </c>
      <c r="P524">
        <v>3</v>
      </c>
      <c r="Q524" t="s">
        <v>172</v>
      </c>
      <c r="R524">
        <v>37</v>
      </c>
      <c r="S524" t="s">
        <v>194</v>
      </c>
      <c r="T524" t="str">
        <f>IF(COUNTIF($A$2:A524,A524)&gt;1,"Duplicate","Unique")</f>
        <v>Unique</v>
      </c>
    </row>
    <row r="525" spans="1:20" x14ac:dyDescent="0.45">
      <c r="A525" t="s">
        <v>1783</v>
      </c>
      <c r="B525" t="s">
        <v>1784</v>
      </c>
      <c r="C525" t="s">
        <v>53</v>
      </c>
      <c r="D525" t="s">
        <v>52</v>
      </c>
      <c r="E525" t="s">
        <v>280</v>
      </c>
      <c r="F525" t="s">
        <v>85</v>
      </c>
      <c r="G525" t="s">
        <v>281</v>
      </c>
      <c r="H525" t="s">
        <v>2963</v>
      </c>
      <c r="I525" t="s">
        <v>107</v>
      </c>
      <c r="J525" t="s">
        <v>2537</v>
      </c>
      <c r="K525" t="s">
        <v>162</v>
      </c>
      <c r="M525" t="s">
        <v>163</v>
      </c>
      <c r="N525" t="s">
        <v>99</v>
      </c>
      <c r="O525" s="27">
        <v>4363000</v>
      </c>
      <c r="P525">
        <v>3</v>
      </c>
      <c r="Q525" t="s">
        <v>164</v>
      </c>
      <c r="R525">
        <v>29</v>
      </c>
      <c r="S525" t="s">
        <v>189</v>
      </c>
      <c r="T525" t="str">
        <f>IF(COUNTIF($A$2:A525,A525)&gt;1,"Duplicate","Unique")</f>
        <v>Unique</v>
      </c>
    </row>
    <row r="526" spans="1:20" x14ac:dyDescent="0.45">
      <c r="A526" t="s">
        <v>1390</v>
      </c>
      <c r="B526" t="s">
        <v>1298</v>
      </c>
      <c r="C526" t="s">
        <v>57</v>
      </c>
      <c r="D526" t="s">
        <v>56</v>
      </c>
      <c r="E526" t="s">
        <v>160</v>
      </c>
      <c r="F526" t="s">
        <v>81</v>
      </c>
      <c r="G526" t="s">
        <v>161</v>
      </c>
      <c r="H526" t="s">
        <v>108</v>
      </c>
      <c r="I526" t="s">
        <v>107</v>
      </c>
      <c r="J526" t="s">
        <v>3086</v>
      </c>
      <c r="K526" t="s">
        <v>187</v>
      </c>
      <c r="L526" t="s">
        <v>3087</v>
      </c>
      <c r="M526" t="s">
        <v>213</v>
      </c>
      <c r="N526" t="s">
        <v>97</v>
      </c>
      <c r="O526" s="27">
        <v>828000</v>
      </c>
      <c r="P526">
        <v>4</v>
      </c>
      <c r="Q526" t="s">
        <v>172</v>
      </c>
      <c r="R526">
        <v>28</v>
      </c>
      <c r="S526" t="s">
        <v>224</v>
      </c>
      <c r="T526" t="str">
        <f>IF(COUNTIF($A$2:A526,A526)&gt;1,"Duplicate","Unique")</f>
        <v>Unique</v>
      </c>
    </row>
    <row r="527" spans="1:20" x14ac:dyDescent="0.45">
      <c r="A527" t="s">
        <v>1239</v>
      </c>
      <c r="B527" t="s">
        <v>1240</v>
      </c>
      <c r="C527" t="s">
        <v>61</v>
      </c>
      <c r="D527" t="s">
        <v>2682</v>
      </c>
      <c r="E527" t="s">
        <v>317</v>
      </c>
      <c r="F527" t="s">
        <v>84</v>
      </c>
      <c r="G527" t="s">
        <v>318</v>
      </c>
      <c r="H527" t="s">
        <v>106</v>
      </c>
      <c r="I527" t="s">
        <v>107</v>
      </c>
      <c r="J527" t="s">
        <v>3088</v>
      </c>
      <c r="K527" t="s">
        <v>162</v>
      </c>
      <c r="M527" t="s">
        <v>163</v>
      </c>
      <c r="N527" t="s">
        <v>99</v>
      </c>
      <c r="O527" s="27">
        <v>2959000</v>
      </c>
      <c r="P527">
        <v>4</v>
      </c>
      <c r="Q527" t="s">
        <v>164</v>
      </c>
      <c r="R527">
        <v>43</v>
      </c>
      <c r="S527" t="s">
        <v>253</v>
      </c>
      <c r="T527" t="str">
        <f>IF(COUNTIF($A$2:A527,A527)&gt;1,"Duplicate","Unique")</f>
        <v>Unique</v>
      </c>
    </row>
    <row r="528" spans="1:20" x14ac:dyDescent="0.45">
      <c r="A528" t="s">
        <v>1740</v>
      </c>
      <c r="B528" t="s">
        <v>671</v>
      </c>
      <c r="C528" t="s">
        <v>51</v>
      </c>
      <c r="D528" t="s">
        <v>50</v>
      </c>
      <c r="E528" t="s">
        <v>181</v>
      </c>
      <c r="F528" t="s">
        <v>81</v>
      </c>
      <c r="G528" t="s">
        <v>182</v>
      </c>
      <c r="H528" t="s">
        <v>109</v>
      </c>
      <c r="I528" t="s">
        <v>110</v>
      </c>
      <c r="J528" t="s">
        <v>3089</v>
      </c>
      <c r="K528" t="s">
        <v>162</v>
      </c>
      <c r="M528" t="s">
        <v>163</v>
      </c>
      <c r="N528" t="s">
        <v>97</v>
      </c>
      <c r="O528" s="27">
        <v>805000</v>
      </c>
      <c r="P528">
        <v>3</v>
      </c>
      <c r="Q528" t="s">
        <v>164</v>
      </c>
      <c r="R528">
        <v>23</v>
      </c>
      <c r="S528" t="s">
        <v>219</v>
      </c>
      <c r="T528" t="str">
        <f>IF(COUNTIF($A$2:A528,A528)&gt;1,"Duplicate","Unique")</f>
        <v>Unique</v>
      </c>
    </row>
    <row r="529" spans="1:20" x14ac:dyDescent="0.45">
      <c r="A529" t="s">
        <v>2087</v>
      </c>
      <c r="B529" t="s">
        <v>419</v>
      </c>
      <c r="C529" t="s">
        <v>55</v>
      </c>
      <c r="D529" t="s">
        <v>54</v>
      </c>
      <c r="E529" t="s">
        <v>277</v>
      </c>
      <c r="F529" t="s">
        <v>81</v>
      </c>
      <c r="G529" t="s">
        <v>278</v>
      </c>
      <c r="H529" t="s">
        <v>108</v>
      </c>
      <c r="I529" t="s">
        <v>107</v>
      </c>
      <c r="J529" t="s">
        <v>3090</v>
      </c>
      <c r="K529" t="s">
        <v>162</v>
      </c>
      <c r="M529" t="s">
        <v>163</v>
      </c>
      <c r="N529" t="s">
        <v>98</v>
      </c>
      <c r="O529" s="27">
        <v>835000</v>
      </c>
      <c r="P529">
        <v>2</v>
      </c>
      <c r="Q529" t="s">
        <v>172</v>
      </c>
      <c r="R529">
        <v>4</v>
      </c>
      <c r="S529" t="s">
        <v>274</v>
      </c>
      <c r="T529" t="str">
        <f>IF(COUNTIF($A$2:A529,A529)&gt;1,"Duplicate","Unique")</f>
        <v>Unique</v>
      </c>
    </row>
    <row r="530" spans="1:20" x14ac:dyDescent="0.45">
      <c r="A530" t="s">
        <v>1394</v>
      </c>
      <c r="B530" t="s">
        <v>1395</v>
      </c>
      <c r="C530" t="s">
        <v>51</v>
      </c>
      <c r="D530" t="s">
        <v>50</v>
      </c>
      <c r="E530" t="s">
        <v>181</v>
      </c>
      <c r="F530" t="s">
        <v>81</v>
      </c>
      <c r="G530" t="s">
        <v>182</v>
      </c>
      <c r="H530" t="s">
        <v>106</v>
      </c>
      <c r="I530" t="s">
        <v>107</v>
      </c>
      <c r="J530" t="s">
        <v>3038</v>
      </c>
      <c r="K530" t="s">
        <v>162</v>
      </c>
      <c r="M530" t="s">
        <v>163</v>
      </c>
      <c r="N530" t="s">
        <v>99</v>
      </c>
      <c r="O530" s="27">
        <v>668000</v>
      </c>
      <c r="P530">
        <v>2</v>
      </c>
      <c r="Q530" t="s">
        <v>164</v>
      </c>
      <c r="R530">
        <v>20</v>
      </c>
      <c r="S530" t="s">
        <v>178</v>
      </c>
      <c r="T530" t="str">
        <f>IF(COUNTIF($A$2:A530,A530)&gt;1,"Duplicate","Unique")</f>
        <v>Unique</v>
      </c>
    </row>
    <row r="531" spans="1:20" x14ac:dyDescent="0.45">
      <c r="A531" t="s">
        <v>2322</v>
      </c>
      <c r="B531" t="s">
        <v>2185</v>
      </c>
      <c r="C531" t="s">
        <v>55</v>
      </c>
      <c r="D531" t="s">
        <v>54</v>
      </c>
      <c r="E531" t="s">
        <v>277</v>
      </c>
      <c r="F531" t="s">
        <v>81</v>
      </c>
      <c r="G531" t="s">
        <v>278</v>
      </c>
      <c r="H531" t="s">
        <v>108</v>
      </c>
      <c r="I531" t="s">
        <v>107</v>
      </c>
      <c r="J531" t="s">
        <v>3091</v>
      </c>
      <c r="K531" t="s">
        <v>162</v>
      </c>
      <c r="M531" t="s">
        <v>163</v>
      </c>
      <c r="N531" t="s">
        <v>99</v>
      </c>
      <c r="O531" s="27">
        <v>822000</v>
      </c>
      <c r="Q531" t="s">
        <v>172</v>
      </c>
      <c r="R531">
        <v>31</v>
      </c>
      <c r="S531" t="s">
        <v>262</v>
      </c>
      <c r="T531" t="str">
        <f>IF(COUNTIF($A$2:A531,A531)&gt;1,"Duplicate","Unique")</f>
        <v>Unique</v>
      </c>
    </row>
    <row r="532" spans="1:20" x14ac:dyDescent="0.45">
      <c r="A532" t="s">
        <v>1516</v>
      </c>
      <c r="B532" t="s">
        <v>749</v>
      </c>
      <c r="C532" t="s">
        <v>51</v>
      </c>
      <c r="D532" t="s">
        <v>50</v>
      </c>
      <c r="E532" t="s">
        <v>181</v>
      </c>
      <c r="F532" t="s">
        <v>81</v>
      </c>
      <c r="G532" t="s">
        <v>182</v>
      </c>
      <c r="H532" t="s">
        <v>108</v>
      </c>
      <c r="I532" t="s">
        <v>107</v>
      </c>
      <c r="J532" t="s">
        <v>3077</v>
      </c>
      <c r="K532" t="s">
        <v>187</v>
      </c>
      <c r="L532" t="s">
        <v>3092</v>
      </c>
      <c r="M532" t="s">
        <v>282</v>
      </c>
      <c r="N532" t="s">
        <v>99</v>
      </c>
      <c r="O532" s="27">
        <v>608000</v>
      </c>
      <c r="P532">
        <v>4</v>
      </c>
      <c r="Q532" t="s">
        <v>164</v>
      </c>
      <c r="R532">
        <v>47</v>
      </c>
      <c r="S532" t="s">
        <v>219</v>
      </c>
      <c r="T532" t="str">
        <f>IF(COUNTIF($A$2:A532,A532)&gt;1,"Duplicate","Unique")</f>
        <v>Unique</v>
      </c>
    </row>
    <row r="533" spans="1:20" x14ac:dyDescent="0.45">
      <c r="A533" t="s">
        <v>910</v>
      </c>
      <c r="B533" t="s">
        <v>415</v>
      </c>
      <c r="C533" t="s">
        <v>51</v>
      </c>
      <c r="D533" t="s">
        <v>50</v>
      </c>
      <c r="E533" t="s">
        <v>176</v>
      </c>
      <c r="F533" t="s">
        <v>82</v>
      </c>
      <c r="G533" t="s">
        <v>177</v>
      </c>
      <c r="H533" t="s">
        <v>106</v>
      </c>
      <c r="I533" t="s">
        <v>107</v>
      </c>
      <c r="J533" t="s">
        <v>2473</v>
      </c>
      <c r="K533" t="s">
        <v>170</v>
      </c>
      <c r="L533" t="s">
        <v>3093</v>
      </c>
      <c r="M533" t="s">
        <v>171</v>
      </c>
      <c r="N533" t="s">
        <v>95</v>
      </c>
      <c r="O533" s="27">
        <v>1186000</v>
      </c>
      <c r="P533">
        <v>2</v>
      </c>
      <c r="Q533" t="s">
        <v>172</v>
      </c>
      <c r="R533">
        <v>28</v>
      </c>
      <c r="S533" t="s">
        <v>244</v>
      </c>
      <c r="T533" t="str">
        <f>IF(COUNTIF($A$2:A533,A533)&gt;1,"Duplicate","Unique")</f>
        <v>Unique</v>
      </c>
    </row>
    <row r="534" spans="1:20" x14ac:dyDescent="0.45">
      <c r="A534" t="s">
        <v>1496</v>
      </c>
      <c r="B534" t="s">
        <v>1497</v>
      </c>
      <c r="C534" t="s">
        <v>51</v>
      </c>
      <c r="D534" t="s">
        <v>50</v>
      </c>
      <c r="E534" t="s">
        <v>328</v>
      </c>
      <c r="F534" t="s">
        <v>85</v>
      </c>
      <c r="G534" t="s">
        <v>329</v>
      </c>
      <c r="H534" t="s">
        <v>112</v>
      </c>
      <c r="I534" t="s">
        <v>113</v>
      </c>
      <c r="J534" t="s">
        <v>3094</v>
      </c>
      <c r="K534" t="s">
        <v>162</v>
      </c>
      <c r="M534" t="s">
        <v>163</v>
      </c>
      <c r="N534" t="s">
        <v>98</v>
      </c>
      <c r="O534" s="27">
        <v>3580000</v>
      </c>
      <c r="P534">
        <v>3</v>
      </c>
      <c r="Q534" t="s">
        <v>164</v>
      </c>
      <c r="R534">
        <v>31</v>
      </c>
      <c r="S534" t="s">
        <v>197</v>
      </c>
      <c r="T534" t="str">
        <f>IF(COUNTIF($A$2:A534,A534)&gt;1,"Duplicate","Unique")</f>
        <v>Unique</v>
      </c>
    </row>
    <row r="535" spans="1:20" x14ac:dyDescent="0.45">
      <c r="A535" t="s">
        <v>1236</v>
      </c>
      <c r="B535" t="s">
        <v>912</v>
      </c>
      <c r="C535" t="s">
        <v>53</v>
      </c>
      <c r="D535" t="s">
        <v>52</v>
      </c>
      <c r="E535" t="s">
        <v>185</v>
      </c>
      <c r="F535" t="s">
        <v>82</v>
      </c>
      <c r="G535" t="s">
        <v>186</v>
      </c>
      <c r="H535" t="s">
        <v>108</v>
      </c>
      <c r="I535" t="s">
        <v>107</v>
      </c>
      <c r="J535" t="s">
        <v>3095</v>
      </c>
      <c r="K535" t="s">
        <v>162</v>
      </c>
      <c r="M535" t="s">
        <v>163</v>
      </c>
      <c r="N535" t="s">
        <v>99</v>
      </c>
      <c r="O535" s="27">
        <v>1003000</v>
      </c>
      <c r="P535">
        <v>3</v>
      </c>
      <c r="Q535" t="s">
        <v>164</v>
      </c>
      <c r="R535">
        <v>44</v>
      </c>
      <c r="S535" t="s">
        <v>189</v>
      </c>
      <c r="T535" t="str">
        <f>IF(COUNTIF($A$2:A535,A535)&gt;1,"Duplicate","Unique")</f>
        <v>Unique</v>
      </c>
    </row>
    <row r="536" spans="1:20" x14ac:dyDescent="0.45">
      <c r="A536" t="s">
        <v>1902</v>
      </c>
      <c r="B536" t="s">
        <v>3096</v>
      </c>
      <c r="C536" t="s">
        <v>61</v>
      </c>
      <c r="D536" t="s">
        <v>60</v>
      </c>
      <c r="E536" t="s">
        <v>356</v>
      </c>
      <c r="F536" t="s">
        <v>81</v>
      </c>
      <c r="G536" t="s">
        <v>357</v>
      </c>
      <c r="H536" t="s">
        <v>111</v>
      </c>
      <c r="I536" t="s">
        <v>110</v>
      </c>
      <c r="J536" t="s">
        <v>3097</v>
      </c>
      <c r="K536" t="s">
        <v>162</v>
      </c>
      <c r="M536" t="s">
        <v>163</v>
      </c>
      <c r="N536" t="s">
        <v>98</v>
      </c>
      <c r="O536" s="27">
        <v>644000</v>
      </c>
      <c r="P536">
        <v>3</v>
      </c>
      <c r="Q536" t="s">
        <v>172</v>
      </c>
      <c r="R536">
        <v>24</v>
      </c>
      <c r="S536" t="s">
        <v>253</v>
      </c>
      <c r="T536" t="str">
        <f>IF(COUNTIF($A$2:A536,A536)&gt;1,"Duplicate","Unique")</f>
        <v>Unique</v>
      </c>
    </row>
    <row r="537" spans="1:20" x14ac:dyDescent="0.45">
      <c r="A537" t="s">
        <v>448</v>
      </c>
      <c r="B537" t="s">
        <v>3098</v>
      </c>
      <c r="C537" t="s">
        <v>59</v>
      </c>
      <c r="D537" t="s">
        <v>58</v>
      </c>
      <c r="E537" t="s">
        <v>206</v>
      </c>
      <c r="F537" t="s">
        <v>81</v>
      </c>
      <c r="G537" t="s">
        <v>207</v>
      </c>
      <c r="H537" t="s">
        <v>111</v>
      </c>
      <c r="I537" t="s">
        <v>110</v>
      </c>
      <c r="J537" t="s">
        <v>3099</v>
      </c>
      <c r="K537" t="s">
        <v>162</v>
      </c>
      <c r="M537" t="s">
        <v>163</v>
      </c>
      <c r="N537" t="s">
        <v>97</v>
      </c>
      <c r="O537" s="27">
        <v>813000</v>
      </c>
      <c r="P537">
        <v>5</v>
      </c>
      <c r="Q537" t="s">
        <v>164</v>
      </c>
      <c r="R537">
        <v>27</v>
      </c>
      <c r="S537" t="s">
        <v>214</v>
      </c>
      <c r="T537" t="str">
        <f>IF(COUNTIF($A$2:A537,A537)&gt;1,"Duplicate","Unique")</f>
        <v>Unique</v>
      </c>
    </row>
    <row r="538" spans="1:20" x14ac:dyDescent="0.45">
      <c r="A538" t="s">
        <v>1666</v>
      </c>
      <c r="B538" t="s">
        <v>548</v>
      </c>
      <c r="C538" t="s">
        <v>55</v>
      </c>
      <c r="D538" t="s">
        <v>54</v>
      </c>
      <c r="E538" t="s">
        <v>240</v>
      </c>
      <c r="F538" t="s">
        <v>83</v>
      </c>
      <c r="G538" t="s">
        <v>241</v>
      </c>
      <c r="H538" t="s">
        <v>106</v>
      </c>
      <c r="I538" t="s">
        <v>107</v>
      </c>
      <c r="J538" t="s">
        <v>2736</v>
      </c>
      <c r="K538" t="s">
        <v>162</v>
      </c>
      <c r="M538" t="s">
        <v>163</v>
      </c>
      <c r="N538" t="s">
        <v>95</v>
      </c>
      <c r="O538" s="27">
        <v>1805000</v>
      </c>
      <c r="P538">
        <v>3</v>
      </c>
      <c r="Q538" t="s">
        <v>172</v>
      </c>
      <c r="R538">
        <v>44</v>
      </c>
      <c r="S538" t="s">
        <v>173</v>
      </c>
      <c r="T538" t="str">
        <f>IF(COUNTIF($A$2:A538,A538)&gt;1,"Duplicate","Unique")</f>
        <v>Unique</v>
      </c>
    </row>
    <row r="539" spans="1:20" x14ac:dyDescent="0.45">
      <c r="A539" t="s">
        <v>1887</v>
      </c>
      <c r="B539" t="s">
        <v>1039</v>
      </c>
      <c r="C539" t="s">
        <v>53</v>
      </c>
      <c r="D539" t="s">
        <v>2442</v>
      </c>
      <c r="E539" t="s">
        <v>322</v>
      </c>
      <c r="F539" t="s">
        <v>81</v>
      </c>
      <c r="G539" t="s">
        <v>323</v>
      </c>
      <c r="H539" t="s">
        <v>2580</v>
      </c>
      <c r="I539" t="s">
        <v>110</v>
      </c>
      <c r="J539" t="s">
        <v>2992</v>
      </c>
      <c r="K539" t="s">
        <v>187</v>
      </c>
      <c r="L539" t="s">
        <v>3100</v>
      </c>
      <c r="M539" t="s">
        <v>269</v>
      </c>
      <c r="N539" t="s">
        <v>99</v>
      </c>
      <c r="O539" s="27">
        <v>573000</v>
      </c>
      <c r="P539">
        <v>3</v>
      </c>
      <c r="Q539" t="s">
        <v>164</v>
      </c>
      <c r="R539">
        <v>57</v>
      </c>
      <c r="S539" t="s">
        <v>194</v>
      </c>
      <c r="T539" t="str">
        <f>IF(COUNTIF($A$2:A539,A539)&gt;1,"Duplicate","Unique")</f>
        <v>Unique</v>
      </c>
    </row>
    <row r="540" spans="1:20" x14ac:dyDescent="0.45">
      <c r="A540" t="s">
        <v>1692</v>
      </c>
      <c r="B540" t="s">
        <v>899</v>
      </c>
      <c r="C540" t="s">
        <v>59</v>
      </c>
      <c r="D540" t="s">
        <v>58</v>
      </c>
      <c r="E540" t="s">
        <v>206</v>
      </c>
      <c r="F540" t="s">
        <v>81</v>
      </c>
      <c r="G540" t="s">
        <v>207</v>
      </c>
      <c r="H540" t="s">
        <v>106</v>
      </c>
      <c r="I540" t="s">
        <v>107</v>
      </c>
      <c r="J540" t="s">
        <v>3035</v>
      </c>
      <c r="K540" t="s">
        <v>162</v>
      </c>
      <c r="M540" t="s">
        <v>163</v>
      </c>
      <c r="N540" t="s">
        <v>97</v>
      </c>
      <c r="O540" s="27">
        <v>715000</v>
      </c>
      <c r="P540">
        <v>4</v>
      </c>
      <c r="Q540" t="s">
        <v>164</v>
      </c>
      <c r="S540" t="s">
        <v>214</v>
      </c>
      <c r="T540" t="str">
        <f>IF(COUNTIF($A$2:A540,A540)&gt;1,"Duplicate","Unique")</f>
        <v>Unique</v>
      </c>
    </row>
    <row r="541" spans="1:20" x14ac:dyDescent="0.45">
      <c r="A541" t="s">
        <v>494</v>
      </c>
      <c r="B541" t="s">
        <v>495</v>
      </c>
      <c r="C541" t="s">
        <v>57</v>
      </c>
      <c r="D541" t="s">
        <v>56</v>
      </c>
      <c r="E541" t="s">
        <v>160</v>
      </c>
      <c r="F541" t="s">
        <v>81</v>
      </c>
      <c r="G541" t="s">
        <v>161</v>
      </c>
      <c r="H541" t="s">
        <v>108</v>
      </c>
      <c r="I541" t="s">
        <v>107</v>
      </c>
      <c r="J541" t="s">
        <v>3101</v>
      </c>
      <c r="K541" t="s">
        <v>162</v>
      </c>
      <c r="M541" t="s">
        <v>163</v>
      </c>
      <c r="N541" t="s">
        <v>97</v>
      </c>
      <c r="O541" s="27">
        <v>782000</v>
      </c>
      <c r="P541">
        <v>3</v>
      </c>
      <c r="Q541" t="s">
        <v>172</v>
      </c>
      <c r="R541">
        <v>10</v>
      </c>
      <c r="S541" t="s">
        <v>224</v>
      </c>
      <c r="T541" t="str">
        <f>IF(COUNTIF($A$2:A541,A541)&gt;1,"Duplicate","Unique")</f>
        <v>Unique</v>
      </c>
    </row>
    <row r="542" spans="1:20" x14ac:dyDescent="0.45">
      <c r="A542" t="s">
        <v>850</v>
      </c>
      <c r="B542" t="s">
        <v>851</v>
      </c>
      <c r="C542" t="s">
        <v>51</v>
      </c>
      <c r="D542" t="s">
        <v>50</v>
      </c>
      <c r="E542" t="s">
        <v>176</v>
      </c>
      <c r="F542" t="s">
        <v>82</v>
      </c>
      <c r="G542" t="s">
        <v>177</v>
      </c>
      <c r="H542" t="s">
        <v>108</v>
      </c>
      <c r="I542" t="s">
        <v>107</v>
      </c>
      <c r="J542" t="s">
        <v>3043</v>
      </c>
      <c r="K542" t="s">
        <v>187</v>
      </c>
      <c r="L542" t="s">
        <v>2501</v>
      </c>
      <c r="M542" t="s">
        <v>213</v>
      </c>
      <c r="N542" t="s">
        <v>95</v>
      </c>
      <c r="O542" s="27">
        <v>1032000</v>
      </c>
      <c r="P542">
        <v>3</v>
      </c>
      <c r="Q542" t="s">
        <v>172</v>
      </c>
      <c r="R542">
        <v>38</v>
      </c>
      <c r="S542" t="s">
        <v>244</v>
      </c>
      <c r="T542" t="str">
        <f>IF(COUNTIF($A$2:A542,A542)&gt;1,"Duplicate","Unique")</f>
        <v>Unique</v>
      </c>
    </row>
    <row r="543" spans="1:20" x14ac:dyDescent="0.45">
      <c r="A543" t="s">
        <v>332</v>
      </c>
      <c r="B543" t="s">
        <v>333</v>
      </c>
      <c r="C543" t="s">
        <v>57</v>
      </c>
      <c r="D543" t="s">
        <v>56</v>
      </c>
      <c r="E543" t="s">
        <v>222</v>
      </c>
      <c r="F543" t="s">
        <v>82</v>
      </c>
      <c r="G543" t="s">
        <v>223</v>
      </c>
      <c r="H543" t="s">
        <v>2963</v>
      </c>
      <c r="I543" t="s">
        <v>107</v>
      </c>
      <c r="J543" t="s">
        <v>3102</v>
      </c>
      <c r="K543" t="s">
        <v>162</v>
      </c>
      <c r="M543" t="s">
        <v>163</v>
      </c>
      <c r="N543" t="s">
        <v>99</v>
      </c>
      <c r="O543" s="27">
        <v>1324000</v>
      </c>
      <c r="P543">
        <v>2</v>
      </c>
      <c r="Q543" t="s">
        <v>172</v>
      </c>
      <c r="R543">
        <v>22</v>
      </c>
      <c r="S543" t="s">
        <v>224</v>
      </c>
      <c r="T543" t="str">
        <f>IF(COUNTIF($A$2:A543,A543)&gt;1,"Duplicate","Unique")</f>
        <v>Unique</v>
      </c>
    </row>
    <row r="544" spans="1:20" x14ac:dyDescent="0.45">
      <c r="A544" t="s">
        <v>403</v>
      </c>
      <c r="B544" t="s">
        <v>307</v>
      </c>
      <c r="C544" t="s">
        <v>55</v>
      </c>
      <c r="D544" t="s">
        <v>54</v>
      </c>
      <c r="E544" t="s">
        <v>277</v>
      </c>
      <c r="F544" t="s">
        <v>81</v>
      </c>
      <c r="G544" t="s">
        <v>278</v>
      </c>
      <c r="H544" t="s">
        <v>111</v>
      </c>
      <c r="I544" t="s">
        <v>110</v>
      </c>
      <c r="J544" t="s">
        <v>3103</v>
      </c>
      <c r="K544" t="s">
        <v>187</v>
      </c>
      <c r="L544" t="s">
        <v>3104</v>
      </c>
      <c r="M544" t="s">
        <v>269</v>
      </c>
      <c r="N544" t="s">
        <v>99</v>
      </c>
      <c r="O544" s="27">
        <v>620000</v>
      </c>
      <c r="P544">
        <v>4</v>
      </c>
      <c r="Q544" t="s">
        <v>164</v>
      </c>
      <c r="R544">
        <v>38</v>
      </c>
      <c r="S544" t="s">
        <v>173</v>
      </c>
      <c r="T544" t="str">
        <f>IF(COUNTIF($A$2:A544,A544)&gt;1,"Duplicate","Unique")</f>
        <v>Unique</v>
      </c>
    </row>
    <row r="545" spans="1:20" x14ac:dyDescent="0.45">
      <c r="A545" t="s">
        <v>2254</v>
      </c>
      <c r="B545" t="s">
        <v>1399</v>
      </c>
      <c r="C545" t="s">
        <v>57</v>
      </c>
      <c r="D545" t="s">
        <v>56</v>
      </c>
      <c r="E545" t="s">
        <v>391</v>
      </c>
      <c r="F545" t="s">
        <v>83</v>
      </c>
      <c r="G545" t="s">
        <v>392</v>
      </c>
      <c r="H545" t="s">
        <v>3105</v>
      </c>
      <c r="I545" t="s">
        <v>110</v>
      </c>
      <c r="J545" t="s">
        <v>2683</v>
      </c>
      <c r="K545" t="s">
        <v>162</v>
      </c>
      <c r="M545" t="s">
        <v>163</v>
      </c>
      <c r="N545" t="s">
        <v>95</v>
      </c>
      <c r="O545" s="27">
        <v>1380000</v>
      </c>
      <c r="P545">
        <v>3</v>
      </c>
      <c r="Q545" t="s">
        <v>164</v>
      </c>
      <c r="R545">
        <v>13</v>
      </c>
      <c r="S545" t="s">
        <v>165</v>
      </c>
      <c r="T545" t="str">
        <f>IF(COUNTIF($A$2:A545,A545)&gt;1,"Duplicate","Unique")</f>
        <v>Unique</v>
      </c>
    </row>
    <row r="546" spans="1:20" x14ac:dyDescent="0.45">
      <c r="A546" t="s">
        <v>1735</v>
      </c>
      <c r="B546" t="s">
        <v>1736</v>
      </c>
      <c r="C546" t="s">
        <v>51</v>
      </c>
      <c r="D546" t="s">
        <v>50</v>
      </c>
      <c r="E546" t="s">
        <v>181</v>
      </c>
      <c r="F546" t="s">
        <v>81</v>
      </c>
      <c r="G546" t="s">
        <v>182</v>
      </c>
      <c r="H546" t="s">
        <v>106</v>
      </c>
      <c r="I546" t="s">
        <v>107</v>
      </c>
      <c r="J546" t="s">
        <v>3106</v>
      </c>
      <c r="K546" t="s">
        <v>162</v>
      </c>
      <c r="M546" t="s">
        <v>163</v>
      </c>
      <c r="N546" t="s">
        <v>95</v>
      </c>
      <c r="O546" s="27">
        <v>721000</v>
      </c>
      <c r="P546">
        <v>3</v>
      </c>
      <c r="Q546" t="s">
        <v>164</v>
      </c>
      <c r="R546">
        <v>49</v>
      </c>
      <c r="S546" t="s">
        <v>197</v>
      </c>
      <c r="T546" t="str">
        <f>IF(COUNTIF($A$2:A546,A546)&gt;1,"Duplicate","Unique")</f>
        <v>Unique</v>
      </c>
    </row>
    <row r="547" spans="1:20" x14ac:dyDescent="0.45">
      <c r="A547" t="s">
        <v>2067</v>
      </c>
      <c r="B547" t="s">
        <v>679</v>
      </c>
      <c r="C547" t="s">
        <v>55</v>
      </c>
      <c r="D547" t="s">
        <v>54</v>
      </c>
      <c r="E547" t="s">
        <v>277</v>
      </c>
      <c r="F547" t="s">
        <v>81</v>
      </c>
      <c r="G547" t="s">
        <v>278</v>
      </c>
      <c r="H547" t="s">
        <v>2611</v>
      </c>
      <c r="I547" t="s">
        <v>107</v>
      </c>
      <c r="J547" t="s">
        <v>2978</v>
      </c>
      <c r="K547" t="s">
        <v>162</v>
      </c>
      <c r="M547" t="s">
        <v>163</v>
      </c>
      <c r="N547" t="s">
        <v>97</v>
      </c>
      <c r="O547" s="27">
        <v>625000</v>
      </c>
      <c r="P547">
        <v>5</v>
      </c>
      <c r="Q547" t="s">
        <v>172</v>
      </c>
      <c r="R547">
        <v>21</v>
      </c>
      <c r="S547" t="s">
        <v>274</v>
      </c>
      <c r="T547" t="str">
        <f>IF(COUNTIF($A$2:A547,A547)&gt;1,"Duplicate","Unique")</f>
        <v>Unique</v>
      </c>
    </row>
    <row r="548" spans="1:20" x14ac:dyDescent="0.45">
      <c r="A548" t="s">
        <v>1918</v>
      </c>
      <c r="B548" t="s">
        <v>462</v>
      </c>
      <c r="C548" t="s">
        <v>55</v>
      </c>
      <c r="D548" t="s">
        <v>54</v>
      </c>
      <c r="E548" t="s">
        <v>277</v>
      </c>
      <c r="F548" t="s">
        <v>81</v>
      </c>
      <c r="G548" t="s">
        <v>278</v>
      </c>
      <c r="H548" t="s">
        <v>108</v>
      </c>
      <c r="I548" t="s">
        <v>107</v>
      </c>
      <c r="J548" t="s">
        <v>3044</v>
      </c>
      <c r="K548" t="s">
        <v>162</v>
      </c>
      <c r="M548" t="s">
        <v>163</v>
      </c>
      <c r="N548" t="s">
        <v>98</v>
      </c>
      <c r="O548" s="27">
        <v>696000</v>
      </c>
      <c r="P548">
        <v>2</v>
      </c>
      <c r="Q548" t="s">
        <v>164</v>
      </c>
      <c r="R548">
        <v>6</v>
      </c>
      <c r="S548" t="s">
        <v>173</v>
      </c>
      <c r="T548" t="str">
        <f>IF(COUNTIF($A$2:A548,A548)&gt;1,"Duplicate","Unique")</f>
        <v>Unique</v>
      </c>
    </row>
    <row r="549" spans="1:20" x14ac:dyDescent="0.45">
      <c r="A549" t="s">
        <v>1626</v>
      </c>
      <c r="B549" t="s">
        <v>1627</v>
      </c>
      <c r="C549" t="s">
        <v>51</v>
      </c>
      <c r="D549" t="s">
        <v>50</v>
      </c>
      <c r="E549" t="s">
        <v>176</v>
      </c>
      <c r="F549" t="s">
        <v>82</v>
      </c>
      <c r="G549" t="s">
        <v>177</v>
      </c>
      <c r="H549" t="s">
        <v>2926</v>
      </c>
      <c r="I549" t="s">
        <v>110</v>
      </c>
      <c r="J549" t="s">
        <v>2598</v>
      </c>
      <c r="K549" t="s">
        <v>162</v>
      </c>
      <c r="M549" t="s">
        <v>163</v>
      </c>
      <c r="N549" t="s">
        <v>96</v>
      </c>
      <c r="O549" s="27">
        <v>1107000</v>
      </c>
      <c r="P549">
        <v>3</v>
      </c>
      <c r="Q549" t="s">
        <v>172</v>
      </c>
      <c r="R549">
        <v>26</v>
      </c>
      <c r="S549" t="s">
        <v>219</v>
      </c>
      <c r="T549" t="str">
        <f>IF(COUNTIF($A$2:A549,A549)&gt;1,"Duplicate","Unique")</f>
        <v>Unique</v>
      </c>
    </row>
    <row r="550" spans="1:20" x14ac:dyDescent="0.45">
      <c r="A550" t="s">
        <v>1157</v>
      </c>
      <c r="B550" t="s">
        <v>749</v>
      </c>
      <c r="C550" t="s">
        <v>51</v>
      </c>
      <c r="D550" t="s">
        <v>50</v>
      </c>
      <c r="E550" t="s">
        <v>176</v>
      </c>
      <c r="F550" t="s">
        <v>82</v>
      </c>
      <c r="G550" t="s">
        <v>177</v>
      </c>
      <c r="H550" t="s">
        <v>106</v>
      </c>
      <c r="I550" t="s">
        <v>107</v>
      </c>
      <c r="J550" t="s">
        <v>3107</v>
      </c>
      <c r="K550" t="s">
        <v>162</v>
      </c>
      <c r="M550" t="s">
        <v>163</v>
      </c>
      <c r="N550" t="s">
        <v>95</v>
      </c>
      <c r="O550" s="27">
        <v>909000</v>
      </c>
      <c r="P550">
        <v>3</v>
      </c>
      <c r="Q550" t="s">
        <v>164</v>
      </c>
      <c r="R550">
        <v>32</v>
      </c>
      <c r="S550" t="s">
        <v>219</v>
      </c>
      <c r="T550" t="str">
        <f>IF(COUNTIF($A$2:A550,A550)&gt;1,"Duplicate","Unique")</f>
        <v>Unique</v>
      </c>
    </row>
    <row r="551" spans="1:20" x14ac:dyDescent="0.45">
      <c r="A551" t="s">
        <v>1713</v>
      </c>
      <c r="B551" t="s">
        <v>1622</v>
      </c>
      <c r="C551" t="s">
        <v>51</v>
      </c>
      <c r="D551" t="s">
        <v>50</v>
      </c>
      <c r="E551" t="s">
        <v>181</v>
      </c>
      <c r="F551" t="s">
        <v>81</v>
      </c>
      <c r="G551" t="s">
        <v>182</v>
      </c>
      <c r="H551" t="s">
        <v>112</v>
      </c>
      <c r="I551" t="s">
        <v>113</v>
      </c>
      <c r="J551" t="s">
        <v>3108</v>
      </c>
      <c r="K551" t="s">
        <v>162</v>
      </c>
      <c r="M551" t="s">
        <v>163</v>
      </c>
      <c r="N551" t="s">
        <v>99</v>
      </c>
      <c r="O551" s="27">
        <v>727000</v>
      </c>
      <c r="P551">
        <v>4</v>
      </c>
      <c r="Q551" t="s">
        <v>164</v>
      </c>
      <c r="R551">
        <v>28</v>
      </c>
      <c r="S551" t="s">
        <v>244</v>
      </c>
      <c r="T551" t="str">
        <f>IF(COUNTIF($A$2:A551,A551)&gt;1,"Duplicate","Unique")</f>
        <v>Unique</v>
      </c>
    </row>
    <row r="552" spans="1:20" x14ac:dyDescent="0.45">
      <c r="A552" t="s">
        <v>958</v>
      </c>
      <c r="B552" t="s">
        <v>959</v>
      </c>
      <c r="C552" t="s">
        <v>57</v>
      </c>
      <c r="D552" t="s">
        <v>56</v>
      </c>
      <c r="E552" t="s">
        <v>222</v>
      </c>
      <c r="F552" t="s">
        <v>82</v>
      </c>
      <c r="G552" t="s">
        <v>223</v>
      </c>
      <c r="H552" t="s">
        <v>109</v>
      </c>
      <c r="I552" t="s">
        <v>110</v>
      </c>
      <c r="J552" t="s">
        <v>3109</v>
      </c>
      <c r="K552" t="s">
        <v>162</v>
      </c>
      <c r="M552" t="s">
        <v>163</v>
      </c>
      <c r="N552" t="s">
        <v>99</v>
      </c>
      <c r="O552" s="27">
        <v>931000</v>
      </c>
      <c r="P552">
        <v>3</v>
      </c>
      <c r="Q552" t="s">
        <v>164</v>
      </c>
      <c r="R552">
        <v>50</v>
      </c>
      <c r="S552" t="s">
        <v>224</v>
      </c>
      <c r="T552" t="str">
        <f>IF(COUNTIF($A$2:A552,A552)&gt;1,"Duplicate","Unique")</f>
        <v>Unique</v>
      </c>
    </row>
    <row r="553" spans="1:20" x14ac:dyDescent="0.45">
      <c r="A553" t="s">
        <v>1402</v>
      </c>
      <c r="B553" t="s">
        <v>1403</v>
      </c>
      <c r="C553" t="s">
        <v>51</v>
      </c>
      <c r="D553" t="s">
        <v>50</v>
      </c>
      <c r="E553" t="s">
        <v>181</v>
      </c>
      <c r="F553" t="s">
        <v>81</v>
      </c>
      <c r="G553" t="s">
        <v>182</v>
      </c>
      <c r="H553" t="s">
        <v>108</v>
      </c>
      <c r="I553" t="s">
        <v>107</v>
      </c>
      <c r="J553" t="s">
        <v>3110</v>
      </c>
      <c r="K553" t="s">
        <v>162</v>
      </c>
      <c r="M553" t="s">
        <v>163</v>
      </c>
      <c r="N553" t="s">
        <v>97</v>
      </c>
      <c r="O553" s="27">
        <v>604000</v>
      </c>
      <c r="P553">
        <v>4</v>
      </c>
      <c r="Q553" t="s">
        <v>172</v>
      </c>
      <c r="R553">
        <v>49</v>
      </c>
      <c r="S553" t="s">
        <v>219</v>
      </c>
      <c r="T553" t="str">
        <f>IF(COUNTIF($A$2:A553,A553)&gt;1,"Duplicate","Unique")</f>
        <v>Unique</v>
      </c>
    </row>
    <row r="554" spans="1:20" x14ac:dyDescent="0.45">
      <c r="A554" t="s">
        <v>2090</v>
      </c>
      <c r="B554" t="s">
        <v>1229</v>
      </c>
      <c r="C554" t="s">
        <v>59</v>
      </c>
      <c r="D554" t="s">
        <v>58</v>
      </c>
      <c r="E554" t="s">
        <v>287</v>
      </c>
      <c r="F554" t="s">
        <v>83</v>
      </c>
      <c r="G554" t="s">
        <v>288</v>
      </c>
      <c r="H554" t="s">
        <v>111</v>
      </c>
      <c r="I554" t="s">
        <v>110</v>
      </c>
      <c r="J554" t="s">
        <v>3111</v>
      </c>
      <c r="K554" t="s">
        <v>162</v>
      </c>
      <c r="M554" t="s">
        <v>163</v>
      </c>
      <c r="N554" t="s">
        <v>99</v>
      </c>
      <c r="O554" s="27">
        <v>1563000</v>
      </c>
      <c r="P554">
        <v>3</v>
      </c>
      <c r="Q554" t="s">
        <v>164</v>
      </c>
      <c r="R554">
        <v>30</v>
      </c>
      <c r="S554" t="s">
        <v>208</v>
      </c>
      <c r="T554" t="str">
        <f>IF(COUNTIF($A$2:A554,A554)&gt;1,"Duplicate","Unique")</f>
        <v>Unique</v>
      </c>
    </row>
    <row r="555" spans="1:20" x14ac:dyDescent="0.45">
      <c r="A555" t="s">
        <v>2247</v>
      </c>
      <c r="B555" t="s">
        <v>1172</v>
      </c>
      <c r="C555" t="s">
        <v>55</v>
      </c>
      <c r="D555" t="s">
        <v>54</v>
      </c>
      <c r="E555" t="s">
        <v>240</v>
      </c>
      <c r="F555" t="s">
        <v>83</v>
      </c>
      <c r="G555" t="s">
        <v>241</v>
      </c>
      <c r="H555" t="s">
        <v>106</v>
      </c>
      <c r="I555" t="s">
        <v>107</v>
      </c>
      <c r="J555" t="s">
        <v>3112</v>
      </c>
      <c r="K555" t="s">
        <v>162</v>
      </c>
      <c r="M555" t="s">
        <v>163</v>
      </c>
      <c r="N555" t="s">
        <v>97</v>
      </c>
      <c r="O555" s="27">
        <v>1658000</v>
      </c>
      <c r="P555">
        <v>2</v>
      </c>
      <c r="Q555" t="s">
        <v>172</v>
      </c>
      <c r="R555">
        <v>4</v>
      </c>
      <c r="S555" t="s">
        <v>173</v>
      </c>
      <c r="T555" t="str">
        <f>IF(COUNTIF($A$2:A555,A555)&gt;1,"Duplicate","Unique")</f>
        <v>Unique</v>
      </c>
    </row>
    <row r="556" spans="1:20" x14ac:dyDescent="0.45">
      <c r="A556" t="s">
        <v>377</v>
      </c>
      <c r="B556" t="s">
        <v>378</v>
      </c>
      <c r="C556" t="s">
        <v>53</v>
      </c>
      <c r="D556" t="s">
        <v>52</v>
      </c>
      <c r="E556" t="s">
        <v>185</v>
      </c>
      <c r="F556" t="s">
        <v>82</v>
      </c>
      <c r="G556" t="s">
        <v>186</v>
      </c>
      <c r="H556" t="s">
        <v>108</v>
      </c>
      <c r="I556" t="s">
        <v>107</v>
      </c>
      <c r="J556" t="s">
        <v>3113</v>
      </c>
      <c r="K556" t="s">
        <v>170</v>
      </c>
      <c r="L556" t="s">
        <v>3114</v>
      </c>
      <c r="M556" t="s">
        <v>171</v>
      </c>
      <c r="N556" t="s">
        <v>97</v>
      </c>
      <c r="O556" s="27">
        <v>1212000</v>
      </c>
      <c r="P556">
        <v>2</v>
      </c>
      <c r="Q556" t="s">
        <v>2631</v>
      </c>
      <c r="R556">
        <v>36</v>
      </c>
      <c r="S556" t="s">
        <v>237</v>
      </c>
      <c r="T556" t="str">
        <f>IF(COUNTIF($A$2:A556,A556)&gt;1,"Duplicate","Unique")</f>
        <v>Unique</v>
      </c>
    </row>
    <row r="557" spans="1:20" x14ac:dyDescent="0.45">
      <c r="A557" t="s">
        <v>1825</v>
      </c>
      <c r="B557" t="s">
        <v>3115</v>
      </c>
      <c r="C557" t="s">
        <v>55</v>
      </c>
      <c r="D557" t="s">
        <v>54</v>
      </c>
      <c r="E557" t="s">
        <v>240</v>
      </c>
      <c r="F557" t="s">
        <v>83</v>
      </c>
      <c r="G557" t="s">
        <v>241</v>
      </c>
      <c r="H557" t="s">
        <v>106</v>
      </c>
      <c r="I557" t="s">
        <v>107</v>
      </c>
      <c r="J557" t="s">
        <v>2757</v>
      </c>
      <c r="K557" t="s">
        <v>162</v>
      </c>
      <c r="M557" t="s">
        <v>163</v>
      </c>
      <c r="N557" t="s">
        <v>99</v>
      </c>
      <c r="O557" s="27">
        <v>1742000</v>
      </c>
      <c r="P557">
        <v>3</v>
      </c>
      <c r="Q557" t="s">
        <v>172</v>
      </c>
      <c r="R557">
        <v>63</v>
      </c>
      <c r="S557" t="s">
        <v>173</v>
      </c>
      <c r="T557" t="str">
        <f>IF(COUNTIF($A$2:A557,A557)&gt;1,"Duplicate","Unique")</f>
        <v>Unique</v>
      </c>
    </row>
    <row r="558" spans="1:20" x14ac:dyDescent="0.45">
      <c r="A558" t="s">
        <v>1480</v>
      </c>
      <c r="B558" t="s">
        <v>1481</v>
      </c>
      <c r="C558" t="s">
        <v>51</v>
      </c>
      <c r="D558" t="s">
        <v>50</v>
      </c>
      <c r="E558" t="s">
        <v>176</v>
      </c>
      <c r="F558" t="s">
        <v>82</v>
      </c>
      <c r="G558" t="s">
        <v>177</v>
      </c>
      <c r="H558" t="s">
        <v>111</v>
      </c>
      <c r="I558" t="s">
        <v>110</v>
      </c>
      <c r="J558" t="s">
        <v>3116</v>
      </c>
      <c r="K558" t="s">
        <v>162</v>
      </c>
      <c r="M558" t="s">
        <v>163</v>
      </c>
      <c r="N558" t="s">
        <v>98</v>
      </c>
      <c r="O558" s="27">
        <v>1150000</v>
      </c>
      <c r="P558">
        <v>4</v>
      </c>
      <c r="Q558" t="s">
        <v>164</v>
      </c>
      <c r="R558">
        <v>52</v>
      </c>
      <c r="S558" t="s">
        <v>178</v>
      </c>
      <c r="T558" t="str">
        <f>IF(COUNTIF($A$2:A558,A558)&gt;1,"Duplicate","Unique")</f>
        <v>Unique</v>
      </c>
    </row>
    <row r="559" spans="1:20" x14ac:dyDescent="0.45">
      <c r="A559" t="s">
        <v>1015</v>
      </c>
      <c r="B559" t="s">
        <v>3117</v>
      </c>
      <c r="C559" t="s">
        <v>53</v>
      </c>
      <c r="D559" t="s">
        <v>52</v>
      </c>
      <c r="E559" t="s">
        <v>322</v>
      </c>
      <c r="F559" t="s">
        <v>81</v>
      </c>
      <c r="G559" t="s">
        <v>323</v>
      </c>
      <c r="H559" t="s">
        <v>2788</v>
      </c>
      <c r="I559" t="s">
        <v>110</v>
      </c>
      <c r="J559" t="s">
        <v>3118</v>
      </c>
      <c r="K559" t="s">
        <v>162</v>
      </c>
      <c r="M559" t="s">
        <v>163</v>
      </c>
      <c r="N559" t="s">
        <v>95</v>
      </c>
      <c r="O559" s="27">
        <v>821000</v>
      </c>
      <c r="P559">
        <v>5</v>
      </c>
      <c r="Q559" t="s">
        <v>164</v>
      </c>
      <c r="R559">
        <v>19</v>
      </c>
      <c r="S559" t="s">
        <v>194</v>
      </c>
      <c r="T559" t="str">
        <f>IF(COUNTIF($A$2:A559,A559)&gt;1,"Duplicate","Unique")</f>
        <v>Unique</v>
      </c>
    </row>
    <row r="560" spans="1:20" x14ac:dyDescent="0.45">
      <c r="A560" t="s">
        <v>1921</v>
      </c>
      <c r="B560" t="s">
        <v>1922</v>
      </c>
      <c r="C560" t="s">
        <v>51</v>
      </c>
      <c r="D560" t="s">
        <v>50</v>
      </c>
      <c r="E560" t="s">
        <v>181</v>
      </c>
      <c r="F560" t="s">
        <v>81</v>
      </c>
      <c r="G560" t="s">
        <v>182</v>
      </c>
      <c r="H560" t="s">
        <v>106</v>
      </c>
      <c r="I560" t="s">
        <v>107</v>
      </c>
      <c r="J560" t="s">
        <v>2630</v>
      </c>
      <c r="K560" t="s">
        <v>187</v>
      </c>
      <c r="L560" t="s">
        <v>3119</v>
      </c>
      <c r="M560" t="s">
        <v>269</v>
      </c>
      <c r="N560" t="s">
        <v>98</v>
      </c>
      <c r="O560" s="27">
        <v>709000</v>
      </c>
      <c r="P560">
        <v>3</v>
      </c>
      <c r="Q560" t="s">
        <v>172</v>
      </c>
      <c r="R560">
        <v>24</v>
      </c>
      <c r="S560" t="s">
        <v>244</v>
      </c>
      <c r="T560" t="str">
        <f>IF(COUNTIF($A$2:A560,A560)&gt;1,"Duplicate","Unique")</f>
        <v>Unique</v>
      </c>
    </row>
    <row r="561" spans="1:20" x14ac:dyDescent="0.45">
      <c r="A561" t="s">
        <v>603</v>
      </c>
      <c r="B561" t="s">
        <v>310</v>
      </c>
      <c r="C561" t="s">
        <v>53</v>
      </c>
      <c r="D561" t="s">
        <v>52</v>
      </c>
      <c r="E561" t="s">
        <v>185</v>
      </c>
      <c r="F561" t="s">
        <v>82</v>
      </c>
      <c r="G561" t="s">
        <v>186</v>
      </c>
      <c r="H561" t="s">
        <v>111</v>
      </c>
      <c r="I561" t="s">
        <v>110</v>
      </c>
      <c r="J561" t="s">
        <v>3120</v>
      </c>
      <c r="K561" t="s">
        <v>187</v>
      </c>
      <c r="L561" t="s">
        <v>3121</v>
      </c>
      <c r="M561" t="s">
        <v>188</v>
      </c>
      <c r="N561" t="s">
        <v>99</v>
      </c>
      <c r="O561" s="27">
        <v>917000</v>
      </c>
      <c r="P561">
        <v>3</v>
      </c>
      <c r="Q561" t="s">
        <v>172</v>
      </c>
      <c r="R561">
        <v>55</v>
      </c>
      <c r="S561" t="s">
        <v>237</v>
      </c>
      <c r="T561" t="str">
        <f>IF(COUNTIF($A$2:A561,A561)&gt;1,"Duplicate","Unique")</f>
        <v>Unique</v>
      </c>
    </row>
    <row r="562" spans="1:20" x14ac:dyDescent="0.45">
      <c r="A562" t="s">
        <v>773</v>
      </c>
      <c r="B562" t="s">
        <v>774</v>
      </c>
      <c r="C562" t="s">
        <v>53</v>
      </c>
      <c r="D562" t="s">
        <v>52</v>
      </c>
      <c r="E562" t="s">
        <v>322</v>
      </c>
      <c r="F562" t="s">
        <v>81</v>
      </c>
      <c r="G562" t="s">
        <v>323</v>
      </c>
      <c r="H562" t="s">
        <v>106</v>
      </c>
      <c r="I562" t="s">
        <v>107</v>
      </c>
      <c r="J562" t="s">
        <v>3122</v>
      </c>
      <c r="K562" t="s">
        <v>162</v>
      </c>
      <c r="M562" t="s">
        <v>163</v>
      </c>
      <c r="N562" t="s">
        <v>99</v>
      </c>
      <c r="O562" s="27">
        <v>763000</v>
      </c>
      <c r="P562">
        <v>3</v>
      </c>
      <c r="Q562" t="s">
        <v>172</v>
      </c>
      <c r="R562">
        <v>22</v>
      </c>
      <c r="S562" t="s">
        <v>237</v>
      </c>
      <c r="T562" t="str">
        <f>IF(COUNTIF($A$2:A562,A562)&gt;1,"Duplicate","Unique")</f>
        <v>Unique</v>
      </c>
    </row>
    <row r="563" spans="1:20" x14ac:dyDescent="0.45">
      <c r="A563" t="s">
        <v>1660</v>
      </c>
      <c r="B563" t="s">
        <v>687</v>
      </c>
      <c r="C563" t="s">
        <v>51</v>
      </c>
      <c r="D563" t="s">
        <v>50</v>
      </c>
      <c r="E563" t="s">
        <v>217</v>
      </c>
      <c r="F563" t="s">
        <v>83</v>
      </c>
      <c r="G563" t="s">
        <v>218</v>
      </c>
      <c r="H563" t="s">
        <v>108</v>
      </c>
      <c r="I563" t="s">
        <v>107</v>
      </c>
      <c r="J563" t="s">
        <v>3123</v>
      </c>
      <c r="K563" t="s">
        <v>162</v>
      </c>
      <c r="M563" t="s">
        <v>163</v>
      </c>
      <c r="N563" t="s">
        <v>99</v>
      </c>
      <c r="O563" s="27">
        <v>1504000</v>
      </c>
      <c r="P563">
        <v>3</v>
      </c>
      <c r="Q563" t="s">
        <v>164</v>
      </c>
      <c r="R563">
        <v>15</v>
      </c>
      <c r="S563" t="s">
        <v>178</v>
      </c>
      <c r="T563" t="str">
        <f>IF(COUNTIF($A$2:A563,A563)&gt;1,"Duplicate","Unique")</f>
        <v>Unique</v>
      </c>
    </row>
    <row r="564" spans="1:20" x14ac:dyDescent="0.45">
      <c r="A564" t="s">
        <v>1476</v>
      </c>
      <c r="B564" t="s">
        <v>582</v>
      </c>
      <c r="C564" t="s">
        <v>55</v>
      </c>
      <c r="D564" t="s">
        <v>54</v>
      </c>
      <c r="E564" t="s">
        <v>277</v>
      </c>
      <c r="F564" t="s">
        <v>81</v>
      </c>
      <c r="G564" t="s">
        <v>278</v>
      </c>
      <c r="H564" t="s">
        <v>109</v>
      </c>
      <c r="I564" t="s">
        <v>110</v>
      </c>
      <c r="J564" t="s">
        <v>2853</v>
      </c>
      <c r="K564" t="s">
        <v>162</v>
      </c>
      <c r="M564" t="s">
        <v>163</v>
      </c>
      <c r="N564" t="s">
        <v>96</v>
      </c>
      <c r="O564" s="27">
        <v>626000</v>
      </c>
      <c r="P564">
        <v>5</v>
      </c>
      <c r="Q564" t="s">
        <v>164</v>
      </c>
      <c r="R564">
        <v>35</v>
      </c>
      <c r="S564" t="s">
        <v>262</v>
      </c>
      <c r="T564" t="str">
        <f>IF(COUNTIF($A$2:A564,A564)&gt;1,"Duplicate","Unique")</f>
        <v>Unique</v>
      </c>
    </row>
    <row r="565" spans="1:20" x14ac:dyDescent="0.45">
      <c r="A565" t="s">
        <v>551</v>
      </c>
      <c r="B565" t="s">
        <v>552</v>
      </c>
      <c r="C565" t="s">
        <v>55</v>
      </c>
      <c r="D565" t="s">
        <v>54</v>
      </c>
      <c r="E565" t="s">
        <v>229</v>
      </c>
      <c r="F565" t="s">
        <v>82</v>
      </c>
      <c r="G565" t="s">
        <v>230</v>
      </c>
      <c r="H565" t="s">
        <v>108</v>
      </c>
      <c r="I565" t="s">
        <v>107</v>
      </c>
      <c r="J565" t="s">
        <v>3124</v>
      </c>
      <c r="K565" t="s">
        <v>187</v>
      </c>
      <c r="L565" t="s">
        <v>3125</v>
      </c>
      <c r="M565" t="s">
        <v>213</v>
      </c>
      <c r="N565" t="s">
        <v>99</v>
      </c>
      <c r="O565" s="27">
        <v>1049000</v>
      </c>
      <c r="P565">
        <v>3</v>
      </c>
      <c r="Q565" t="s">
        <v>164</v>
      </c>
      <c r="R565">
        <v>21</v>
      </c>
      <c r="S565" t="s">
        <v>173</v>
      </c>
      <c r="T565" t="str">
        <f>IF(COUNTIF($A$2:A565,A565)&gt;1,"Duplicate","Unique")</f>
        <v>Unique</v>
      </c>
    </row>
    <row r="566" spans="1:20" x14ac:dyDescent="0.45">
      <c r="A566" t="s">
        <v>1678</v>
      </c>
      <c r="B566" t="s">
        <v>433</v>
      </c>
      <c r="C566" t="s">
        <v>59</v>
      </c>
      <c r="D566" t="s">
        <v>58</v>
      </c>
      <c r="E566" t="s">
        <v>206</v>
      </c>
      <c r="F566" t="s">
        <v>81</v>
      </c>
      <c r="G566" t="s">
        <v>207</v>
      </c>
      <c r="H566" t="s">
        <v>106</v>
      </c>
      <c r="I566" t="s">
        <v>107</v>
      </c>
      <c r="J566" t="s">
        <v>3126</v>
      </c>
      <c r="K566" t="s">
        <v>162</v>
      </c>
      <c r="M566" t="s">
        <v>163</v>
      </c>
      <c r="N566" t="s">
        <v>95</v>
      </c>
      <c r="O566" s="27">
        <v>847000</v>
      </c>
      <c r="P566">
        <v>4</v>
      </c>
      <c r="Q566" t="s">
        <v>164</v>
      </c>
      <c r="R566">
        <v>13</v>
      </c>
      <c r="S566" t="s">
        <v>214</v>
      </c>
      <c r="T566" t="str">
        <f>IF(COUNTIF($A$2:A566,A566)&gt;1,"Duplicate","Unique")</f>
        <v>Unique</v>
      </c>
    </row>
    <row r="567" spans="1:20" x14ac:dyDescent="0.45">
      <c r="A567" t="s">
        <v>2355</v>
      </c>
      <c r="B567" t="s">
        <v>264</v>
      </c>
      <c r="C567" t="s">
        <v>61</v>
      </c>
      <c r="D567" t="s">
        <v>60</v>
      </c>
      <c r="E567" t="s">
        <v>251</v>
      </c>
      <c r="F567" t="s">
        <v>82</v>
      </c>
      <c r="G567" t="s">
        <v>252</v>
      </c>
      <c r="H567" t="s">
        <v>106</v>
      </c>
      <c r="I567" t="s">
        <v>107</v>
      </c>
      <c r="J567" t="s">
        <v>3127</v>
      </c>
      <c r="K567" t="s">
        <v>162</v>
      </c>
      <c r="M567" t="s">
        <v>163</v>
      </c>
      <c r="N567" t="s">
        <v>95</v>
      </c>
      <c r="O567" s="27">
        <v>1200000</v>
      </c>
      <c r="P567">
        <v>3</v>
      </c>
      <c r="Q567" t="s">
        <v>164</v>
      </c>
      <c r="R567">
        <v>47</v>
      </c>
      <c r="S567" t="s">
        <v>319</v>
      </c>
      <c r="T567" t="str">
        <f>IF(COUNTIF($A$2:A567,A567)&gt;1,"Duplicate","Unique")</f>
        <v>Unique</v>
      </c>
    </row>
    <row r="568" spans="1:20" x14ac:dyDescent="0.45">
      <c r="A568" t="s">
        <v>1578</v>
      </c>
      <c r="B568" t="s">
        <v>1024</v>
      </c>
      <c r="C568" t="s">
        <v>51</v>
      </c>
      <c r="D568" t="s">
        <v>50</v>
      </c>
      <c r="E568" t="s">
        <v>181</v>
      </c>
      <c r="F568" t="s">
        <v>81</v>
      </c>
      <c r="G568" t="s">
        <v>182</v>
      </c>
      <c r="H568" t="s">
        <v>2465</v>
      </c>
      <c r="I568" t="s">
        <v>107</v>
      </c>
      <c r="J568" t="s">
        <v>3128</v>
      </c>
      <c r="K568" t="s">
        <v>162</v>
      </c>
      <c r="M568" t="s">
        <v>163</v>
      </c>
      <c r="N568" t="s">
        <v>99</v>
      </c>
      <c r="O568" s="27">
        <v>759000</v>
      </c>
      <c r="P568">
        <v>2</v>
      </c>
      <c r="Q568" t="s">
        <v>164</v>
      </c>
      <c r="R568">
        <v>36</v>
      </c>
      <c r="S568" t="s">
        <v>244</v>
      </c>
      <c r="T568" t="str">
        <f>IF(COUNTIF($A$2:A568,A568)&gt;1,"Duplicate","Unique")</f>
        <v>Unique</v>
      </c>
    </row>
    <row r="569" spans="1:20" x14ac:dyDescent="0.45">
      <c r="A569" t="s">
        <v>1816</v>
      </c>
      <c r="B569" t="s">
        <v>1817</v>
      </c>
      <c r="C569" t="s">
        <v>51</v>
      </c>
      <c r="D569" t="s">
        <v>50</v>
      </c>
      <c r="E569" t="s">
        <v>176</v>
      </c>
      <c r="F569" t="s">
        <v>82</v>
      </c>
      <c r="G569" t="s">
        <v>177</v>
      </c>
      <c r="H569" t="s">
        <v>108</v>
      </c>
      <c r="I569" t="s">
        <v>107</v>
      </c>
      <c r="J569" t="s">
        <v>3129</v>
      </c>
      <c r="K569" t="s">
        <v>162</v>
      </c>
      <c r="M569" t="s">
        <v>163</v>
      </c>
      <c r="N569" t="s">
        <v>96</v>
      </c>
      <c r="O569" s="27">
        <v>1313000</v>
      </c>
      <c r="P569">
        <v>3</v>
      </c>
      <c r="Q569" t="s">
        <v>172</v>
      </c>
      <c r="R569">
        <v>39</v>
      </c>
      <c r="S569" t="s">
        <v>178</v>
      </c>
      <c r="T569" t="str">
        <f>IF(COUNTIF($A$2:A569,A569)&gt;1,"Duplicate","Unique")</f>
        <v>Unique</v>
      </c>
    </row>
    <row r="570" spans="1:20" x14ac:dyDescent="0.45">
      <c r="A570" t="s">
        <v>741</v>
      </c>
      <c r="B570" t="s">
        <v>742</v>
      </c>
      <c r="C570" t="s">
        <v>57</v>
      </c>
      <c r="D570" t="s">
        <v>56</v>
      </c>
      <c r="E570" t="s">
        <v>160</v>
      </c>
      <c r="F570" t="s">
        <v>81</v>
      </c>
      <c r="G570" t="s">
        <v>161</v>
      </c>
      <c r="H570" t="s">
        <v>111</v>
      </c>
      <c r="I570" t="s">
        <v>110</v>
      </c>
      <c r="J570" t="s">
        <v>3130</v>
      </c>
      <c r="K570" t="s">
        <v>162</v>
      </c>
      <c r="M570" t="s">
        <v>163</v>
      </c>
      <c r="N570" t="s">
        <v>96</v>
      </c>
      <c r="O570" s="27">
        <v>767000</v>
      </c>
      <c r="P570">
        <v>4</v>
      </c>
      <c r="Q570" t="s">
        <v>164</v>
      </c>
      <c r="R570">
        <v>34</v>
      </c>
      <c r="S570" t="s">
        <v>224</v>
      </c>
      <c r="T570" t="str">
        <f>IF(COUNTIF($A$2:A570,A570)&gt;1,"Duplicate","Unique")</f>
        <v>Unique</v>
      </c>
    </row>
    <row r="571" spans="1:20" x14ac:dyDescent="0.45">
      <c r="A571" t="s">
        <v>1268</v>
      </c>
      <c r="B571" t="s">
        <v>466</v>
      </c>
      <c r="C571" t="s">
        <v>53</v>
      </c>
      <c r="D571" t="s">
        <v>52</v>
      </c>
      <c r="E571" t="s">
        <v>185</v>
      </c>
      <c r="F571" t="s">
        <v>82</v>
      </c>
      <c r="G571" t="s">
        <v>186</v>
      </c>
      <c r="H571" t="s">
        <v>111</v>
      </c>
      <c r="I571" t="s">
        <v>110</v>
      </c>
      <c r="J571" t="s">
        <v>3131</v>
      </c>
      <c r="K571" t="s">
        <v>162</v>
      </c>
      <c r="M571" t="s">
        <v>163</v>
      </c>
      <c r="N571" t="s">
        <v>95</v>
      </c>
      <c r="O571" s="27">
        <v>1149000</v>
      </c>
      <c r="P571">
        <v>4</v>
      </c>
      <c r="Q571" t="s">
        <v>164</v>
      </c>
      <c r="R571">
        <v>30</v>
      </c>
      <c r="S571" t="s">
        <v>237</v>
      </c>
      <c r="T571" t="str">
        <f>IF(COUNTIF($A$2:A571,A571)&gt;1,"Duplicate","Unique")</f>
        <v>Unique</v>
      </c>
    </row>
    <row r="572" spans="1:20" x14ac:dyDescent="0.45">
      <c r="A572" t="s">
        <v>1777</v>
      </c>
      <c r="B572" t="s">
        <v>1129</v>
      </c>
      <c r="C572" t="s">
        <v>57</v>
      </c>
      <c r="D572" t="s">
        <v>56</v>
      </c>
      <c r="E572" t="s">
        <v>160</v>
      </c>
      <c r="F572" t="s">
        <v>81</v>
      </c>
      <c r="G572" t="s">
        <v>161</v>
      </c>
      <c r="H572" t="s">
        <v>112</v>
      </c>
      <c r="I572" t="s">
        <v>113</v>
      </c>
      <c r="J572" t="s">
        <v>3132</v>
      </c>
      <c r="K572" t="s">
        <v>162</v>
      </c>
      <c r="M572" t="s">
        <v>163</v>
      </c>
      <c r="N572" t="s">
        <v>97</v>
      </c>
      <c r="O572" s="27">
        <v>829000</v>
      </c>
      <c r="P572">
        <v>3</v>
      </c>
      <c r="Q572" t="s">
        <v>164</v>
      </c>
      <c r="R572">
        <v>33</v>
      </c>
      <c r="S572" t="s">
        <v>165</v>
      </c>
      <c r="T572" t="str">
        <f>IF(COUNTIF($A$2:A572,A572)&gt;1,"Duplicate","Unique")</f>
        <v>Unique</v>
      </c>
    </row>
    <row r="573" spans="1:20" x14ac:dyDescent="0.45">
      <c r="A573" t="s">
        <v>2273</v>
      </c>
      <c r="B573" t="s">
        <v>2274</v>
      </c>
      <c r="C573" t="s">
        <v>55</v>
      </c>
      <c r="D573" t="s">
        <v>54</v>
      </c>
      <c r="E573" t="s">
        <v>277</v>
      </c>
      <c r="F573" t="s">
        <v>81</v>
      </c>
      <c r="G573" t="s">
        <v>278</v>
      </c>
      <c r="H573" t="s">
        <v>106</v>
      </c>
      <c r="I573" t="s">
        <v>107</v>
      </c>
      <c r="J573" t="s">
        <v>3133</v>
      </c>
      <c r="K573" t="s">
        <v>162</v>
      </c>
      <c r="M573" t="s">
        <v>163</v>
      </c>
      <c r="N573" t="s">
        <v>95</v>
      </c>
      <c r="O573" s="27">
        <v>735000</v>
      </c>
      <c r="P573">
        <v>3</v>
      </c>
      <c r="Q573" t="s">
        <v>164</v>
      </c>
      <c r="R573">
        <v>23</v>
      </c>
      <c r="S573" t="s">
        <v>274</v>
      </c>
      <c r="T573" t="str">
        <f>IF(COUNTIF($A$2:A573,A573)&gt;1,"Duplicate","Unique")</f>
        <v>Unique</v>
      </c>
    </row>
    <row r="574" spans="1:20" x14ac:dyDescent="0.45">
      <c r="A574" t="s">
        <v>1823</v>
      </c>
      <c r="B574" t="s">
        <v>1824</v>
      </c>
      <c r="C574" t="s">
        <v>51</v>
      </c>
      <c r="D574" t="s">
        <v>50</v>
      </c>
      <c r="E574" t="s">
        <v>176</v>
      </c>
      <c r="F574" t="s">
        <v>82</v>
      </c>
      <c r="G574" t="s">
        <v>177</v>
      </c>
      <c r="H574" t="s">
        <v>106</v>
      </c>
      <c r="I574" t="s">
        <v>107</v>
      </c>
      <c r="J574" t="s">
        <v>3027</v>
      </c>
      <c r="K574" t="s">
        <v>162</v>
      </c>
      <c r="M574" t="s">
        <v>163</v>
      </c>
      <c r="N574" t="s">
        <v>96</v>
      </c>
      <c r="O574" s="27">
        <v>1240000</v>
      </c>
      <c r="P574">
        <v>3</v>
      </c>
      <c r="Q574" t="s">
        <v>164</v>
      </c>
      <c r="R574">
        <v>49</v>
      </c>
      <c r="S574" t="s">
        <v>178</v>
      </c>
      <c r="T574" t="str">
        <f>IF(COUNTIF($A$2:A574,A574)&gt;1,"Duplicate","Unique")</f>
        <v>Unique</v>
      </c>
    </row>
    <row r="575" spans="1:20" x14ac:dyDescent="0.45">
      <c r="A575" t="s">
        <v>1510</v>
      </c>
      <c r="B575" t="s">
        <v>1511</v>
      </c>
      <c r="C575" t="s">
        <v>55</v>
      </c>
      <c r="D575" t="s">
        <v>54</v>
      </c>
      <c r="E575" t="s">
        <v>240</v>
      </c>
      <c r="F575" t="s">
        <v>83</v>
      </c>
      <c r="G575" t="s">
        <v>241</v>
      </c>
      <c r="H575" t="s">
        <v>108</v>
      </c>
      <c r="I575" t="s">
        <v>107</v>
      </c>
      <c r="J575" t="s">
        <v>3134</v>
      </c>
      <c r="K575" t="s">
        <v>162</v>
      </c>
      <c r="M575" t="s">
        <v>163</v>
      </c>
      <c r="N575" t="s">
        <v>98</v>
      </c>
      <c r="O575" s="27">
        <v>1878000</v>
      </c>
      <c r="P575">
        <v>3</v>
      </c>
      <c r="Q575" t="s">
        <v>172</v>
      </c>
      <c r="R575">
        <v>29</v>
      </c>
      <c r="S575" t="s">
        <v>274</v>
      </c>
      <c r="T575" t="str">
        <f>IF(COUNTIF($A$2:A575,A575)&gt;1,"Duplicate","Unique")</f>
        <v>Unique</v>
      </c>
    </row>
    <row r="576" spans="1:20" x14ac:dyDescent="0.45">
      <c r="A576" t="s">
        <v>1579</v>
      </c>
      <c r="B576" t="s">
        <v>868</v>
      </c>
      <c r="C576" t="s">
        <v>57</v>
      </c>
      <c r="D576" t="s">
        <v>56</v>
      </c>
      <c r="E576" t="s">
        <v>222</v>
      </c>
      <c r="F576" t="s">
        <v>82</v>
      </c>
      <c r="G576" t="s">
        <v>223</v>
      </c>
      <c r="H576" t="s">
        <v>108</v>
      </c>
      <c r="I576" t="s">
        <v>107</v>
      </c>
      <c r="J576" t="s">
        <v>3135</v>
      </c>
      <c r="K576" t="s">
        <v>187</v>
      </c>
      <c r="L576" t="s">
        <v>2957</v>
      </c>
      <c r="M576" t="s">
        <v>282</v>
      </c>
      <c r="N576" t="s">
        <v>99</v>
      </c>
      <c r="O576" s="27">
        <v>1153000</v>
      </c>
      <c r="P576">
        <v>3</v>
      </c>
      <c r="Q576" t="s">
        <v>172</v>
      </c>
      <c r="R576">
        <v>52</v>
      </c>
      <c r="S576" t="s">
        <v>165</v>
      </c>
      <c r="T576" t="str">
        <f>IF(COUNTIF($A$2:A576,A576)&gt;1,"Duplicate","Unique")</f>
        <v>Unique</v>
      </c>
    </row>
    <row r="577" spans="1:20" x14ac:dyDescent="0.45">
      <c r="A577" t="s">
        <v>787</v>
      </c>
      <c r="B577" t="s">
        <v>788</v>
      </c>
      <c r="C577" t="s">
        <v>51</v>
      </c>
      <c r="D577" t="s">
        <v>50</v>
      </c>
      <c r="E577" t="s">
        <v>176</v>
      </c>
      <c r="F577" t="s">
        <v>82</v>
      </c>
      <c r="G577" t="s">
        <v>177</v>
      </c>
      <c r="H577" t="s">
        <v>106</v>
      </c>
      <c r="I577" t="s">
        <v>107</v>
      </c>
      <c r="J577" t="s">
        <v>3136</v>
      </c>
      <c r="K577" t="s">
        <v>187</v>
      </c>
      <c r="L577" t="s">
        <v>2717</v>
      </c>
      <c r="M577" t="s">
        <v>213</v>
      </c>
      <c r="N577" t="s">
        <v>99</v>
      </c>
      <c r="O577" s="27">
        <v>886000</v>
      </c>
      <c r="P577">
        <v>3</v>
      </c>
      <c r="Q577" t="s">
        <v>172</v>
      </c>
      <c r="R577">
        <v>42</v>
      </c>
      <c r="S577" t="s">
        <v>219</v>
      </c>
      <c r="T577" t="str">
        <f>IF(COUNTIF($A$2:A577,A577)&gt;1,"Duplicate","Unique")</f>
        <v>Unique</v>
      </c>
    </row>
    <row r="578" spans="1:20" x14ac:dyDescent="0.45">
      <c r="A578" t="s">
        <v>1123</v>
      </c>
      <c r="B578" t="s">
        <v>642</v>
      </c>
      <c r="C578" t="s">
        <v>53</v>
      </c>
      <c r="D578" t="s">
        <v>52</v>
      </c>
      <c r="E578" t="s">
        <v>322</v>
      </c>
      <c r="F578" t="s">
        <v>81</v>
      </c>
      <c r="G578" t="s">
        <v>323</v>
      </c>
      <c r="H578" t="s">
        <v>106</v>
      </c>
      <c r="I578" t="s">
        <v>107</v>
      </c>
      <c r="J578" t="s">
        <v>3137</v>
      </c>
      <c r="K578" t="s">
        <v>170</v>
      </c>
      <c r="L578" t="s">
        <v>2858</v>
      </c>
      <c r="M578" t="s">
        <v>171</v>
      </c>
      <c r="N578" t="s">
        <v>99</v>
      </c>
      <c r="O578" s="27">
        <v>663000</v>
      </c>
      <c r="P578">
        <v>3</v>
      </c>
      <c r="Q578" t="s">
        <v>172</v>
      </c>
      <c r="R578">
        <v>33</v>
      </c>
      <c r="S578" t="s">
        <v>237</v>
      </c>
      <c r="T578" t="str">
        <f>IF(COUNTIF($A$2:A578,A578)&gt;1,"Duplicate","Unique")</f>
        <v>Unique</v>
      </c>
    </row>
    <row r="579" spans="1:20" x14ac:dyDescent="0.45">
      <c r="A579" t="s">
        <v>2245</v>
      </c>
      <c r="B579" t="s">
        <v>2246</v>
      </c>
      <c r="C579" t="s">
        <v>51</v>
      </c>
      <c r="D579" t="s">
        <v>50</v>
      </c>
      <c r="E579" t="s">
        <v>181</v>
      </c>
      <c r="F579" t="s">
        <v>81</v>
      </c>
      <c r="G579" t="s">
        <v>182</v>
      </c>
      <c r="H579" t="s">
        <v>108</v>
      </c>
      <c r="I579" t="s">
        <v>107</v>
      </c>
      <c r="J579" t="s">
        <v>3138</v>
      </c>
      <c r="K579" t="s">
        <v>162</v>
      </c>
      <c r="M579" t="s">
        <v>163</v>
      </c>
      <c r="N579" t="s">
        <v>95</v>
      </c>
      <c r="O579" s="27">
        <v>665000</v>
      </c>
      <c r="Q579" t="s">
        <v>172</v>
      </c>
      <c r="R579">
        <v>38</v>
      </c>
      <c r="S579" t="s">
        <v>178</v>
      </c>
      <c r="T579" t="str">
        <f>IF(COUNTIF($A$2:A579,A579)&gt;1,"Duplicate","Unique")</f>
        <v>Unique</v>
      </c>
    </row>
    <row r="580" spans="1:20" x14ac:dyDescent="0.45">
      <c r="A580" t="s">
        <v>778</v>
      </c>
      <c r="B580" t="s">
        <v>3139</v>
      </c>
      <c r="C580" t="s">
        <v>57</v>
      </c>
      <c r="D580" t="s">
        <v>56</v>
      </c>
      <c r="E580" t="s">
        <v>160</v>
      </c>
      <c r="F580" t="s">
        <v>81</v>
      </c>
      <c r="G580" t="s">
        <v>161</v>
      </c>
      <c r="H580" t="s">
        <v>106</v>
      </c>
      <c r="I580" t="s">
        <v>107</v>
      </c>
      <c r="J580" t="s">
        <v>2700</v>
      </c>
      <c r="K580" t="s">
        <v>162</v>
      </c>
      <c r="M580" t="s">
        <v>163</v>
      </c>
      <c r="N580" t="s">
        <v>97</v>
      </c>
      <c r="O580" s="27">
        <v>553000</v>
      </c>
      <c r="P580">
        <v>3</v>
      </c>
      <c r="Q580" t="s">
        <v>164</v>
      </c>
      <c r="S580" t="s">
        <v>165</v>
      </c>
      <c r="T580" t="str">
        <f>IF(COUNTIF($A$2:A580,A580)&gt;1,"Duplicate","Unique")</f>
        <v>Unique</v>
      </c>
    </row>
    <row r="581" spans="1:20" x14ac:dyDescent="0.45">
      <c r="A581" t="s">
        <v>794</v>
      </c>
      <c r="B581" t="s">
        <v>337</v>
      </c>
      <c r="C581" t="s">
        <v>57</v>
      </c>
      <c r="D581" t="s">
        <v>56</v>
      </c>
      <c r="E581" t="s">
        <v>391</v>
      </c>
      <c r="F581" t="s">
        <v>83</v>
      </c>
      <c r="G581" t="s">
        <v>392</v>
      </c>
      <c r="H581" t="s">
        <v>106</v>
      </c>
      <c r="I581" t="s">
        <v>107</v>
      </c>
      <c r="J581" t="s">
        <v>3140</v>
      </c>
      <c r="K581" t="s">
        <v>162</v>
      </c>
      <c r="M581" t="s">
        <v>163</v>
      </c>
      <c r="N581" t="s">
        <v>97</v>
      </c>
      <c r="O581" s="27">
        <v>1606000</v>
      </c>
      <c r="P581">
        <v>2</v>
      </c>
      <c r="Q581" t="s">
        <v>164</v>
      </c>
      <c r="R581">
        <v>23</v>
      </c>
      <c r="S581" t="s">
        <v>224</v>
      </c>
      <c r="T581" t="str">
        <f>IF(COUNTIF($A$2:A581,A581)&gt;1,"Duplicate","Unique")</f>
        <v>Unique</v>
      </c>
    </row>
    <row r="582" spans="1:20" x14ac:dyDescent="0.45">
      <c r="A582" t="s">
        <v>2208</v>
      </c>
      <c r="B582" t="s">
        <v>1129</v>
      </c>
      <c r="C582" t="s">
        <v>51</v>
      </c>
      <c r="D582" t="s">
        <v>50</v>
      </c>
      <c r="E582" t="s">
        <v>176</v>
      </c>
      <c r="F582" t="s">
        <v>82</v>
      </c>
      <c r="G582" t="s">
        <v>177</v>
      </c>
      <c r="H582" t="s">
        <v>106</v>
      </c>
      <c r="I582" t="s">
        <v>107</v>
      </c>
      <c r="J582" t="s">
        <v>3030</v>
      </c>
      <c r="K582" t="s">
        <v>162</v>
      </c>
      <c r="M582" t="s">
        <v>163</v>
      </c>
      <c r="N582" t="s">
        <v>99</v>
      </c>
      <c r="O582" s="27">
        <v>985000</v>
      </c>
      <c r="P582">
        <v>4</v>
      </c>
      <c r="Q582" t="s">
        <v>164</v>
      </c>
      <c r="R582">
        <v>47</v>
      </c>
      <c r="S582" t="s">
        <v>197</v>
      </c>
      <c r="T582" t="str">
        <f>IF(COUNTIF($A$2:A582,A582)&gt;1,"Duplicate","Unique")</f>
        <v>Unique</v>
      </c>
    </row>
    <row r="583" spans="1:20" x14ac:dyDescent="0.45">
      <c r="A583" t="s">
        <v>1090</v>
      </c>
      <c r="B583" t="s">
        <v>1091</v>
      </c>
      <c r="C583" t="s">
        <v>51</v>
      </c>
      <c r="D583" t="s">
        <v>50</v>
      </c>
      <c r="E583" t="s">
        <v>181</v>
      </c>
      <c r="F583" t="s">
        <v>81</v>
      </c>
      <c r="G583" t="s">
        <v>182</v>
      </c>
      <c r="H583" t="s">
        <v>109</v>
      </c>
      <c r="I583" t="s">
        <v>110</v>
      </c>
      <c r="J583" t="s">
        <v>3141</v>
      </c>
      <c r="K583" t="s">
        <v>187</v>
      </c>
      <c r="L583" t="s">
        <v>3079</v>
      </c>
      <c r="M583" t="s">
        <v>282</v>
      </c>
      <c r="N583" t="s">
        <v>95</v>
      </c>
      <c r="O583" s="27">
        <v>630000</v>
      </c>
      <c r="P583">
        <v>3</v>
      </c>
      <c r="Q583" t="s">
        <v>172</v>
      </c>
      <c r="R583">
        <v>10</v>
      </c>
      <c r="S583" t="s">
        <v>219</v>
      </c>
      <c r="T583" t="str">
        <f>IF(COUNTIF($A$2:A583,A583)&gt;1,"Duplicate","Unique")</f>
        <v>Unique</v>
      </c>
    </row>
    <row r="584" spans="1:20" x14ac:dyDescent="0.45">
      <c r="A584" t="s">
        <v>2120</v>
      </c>
      <c r="B584" t="s">
        <v>3142</v>
      </c>
      <c r="C584" t="s">
        <v>51</v>
      </c>
      <c r="D584" t="s">
        <v>50</v>
      </c>
      <c r="E584" t="s">
        <v>181</v>
      </c>
      <c r="F584" t="s">
        <v>81</v>
      </c>
      <c r="G584" t="s">
        <v>182</v>
      </c>
      <c r="H584" t="s">
        <v>106</v>
      </c>
      <c r="I584" t="s">
        <v>107</v>
      </c>
      <c r="J584" t="s">
        <v>3143</v>
      </c>
      <c r="K584" t="s">
        <v>162</v>
      </c>
      <c r="M584" t="s">
        <v>163</v>
      </c>
      <c r="N584" t="s">
        <v>97</v>
      </c>
      <c r="O584" s="27">
        <v>749000</v>
      </c>
      <c r="P584">
        <v>3</v>
      </c>
      <c r="Q584" t="s">
        <v>164</v>
      </c>
      <c r="R584">
        <v>25</v>
      </c>
      <c r="S584" t="s">
        <v>178</v>
      </c>
      <c r="T584" t="str">
        <f>IF(COUNTIF($A$2:A584,A584)&gt;1,"Duplicate","Unique")</f>
        <v>Unique</v>
      </c>
    </row>
    <row r="585" spans="1:20" x14ac:dyDescent="0.45">
      <c r="A585" t="s">
        <v>1907</v>
      </c>
      <c r="B585" t="s">
        <v>522</v>
      </c>
      <c r="C585" t="s">
        <v>53</v>
      </c>
      <c r="D585" t="s">
        <v>52</v>
      </c>
      <c r="E585" t="s">
        <v>322</v>
      </c>
      <c r="F585" t="s">
        <v>81</v>
      </c>
      <c r="G585" t="s">
        <v>323</v>
      </c>
      <c r="H585" t="s">
        <v>106</v>
      </c>
      <c r="I585" t="s">
        <v>107</v>
      </c>
      <c r="J585" t="s">
        <v>2687</v>
      </c>
      <c r="K585" t="s">
        <v>162</v>
      </c>
      <c r="M585" t="s">
        <v>163</v>
      </c>
      <c r="N585" t="s">
        <v>97</v>
      </c>
      <c r="O585" s="27">
        <v>819000</v>
      </c>
      <c r="P585">
        <v>4</v>
      </c>
      <c r="Q585" t="s">
        <v>172</v>
      </c>
      <c r="R585">
        <v>49</v>
      </c>
      <c r="S585" t="s">
        <v>189</v>
      </c>
      <c r="T585" t="str">
        <f>IF(COUNTIF($A$2:A585,A585)&gt;1,"Duplicate","Unique")</f>
        <v>Unique</v>
      </c>
    </row>
    <row r="586" spans="1:20" x14ac:dyDescent="0.45">
      <c r="A586" t="s">
        <v>690</v>
      </c>
      <c r="B586" t="s">
        <v>691</v>
      </c>
      <c r="C586" t="s">
        <v>55</v>
      </c>
      <c r="D586" t="s">
        <v>54</v>
      </c>
      <c r="E586" t="s">
        <v>229</v>
      </c>
      <c r="F586" t="s">
        <v>82</v>
      </c>
      <c r="G586" t="s">
        <v>230</v>
      </c>
      <c r="H586" t="s">
        <v>111</v>
      </c>
      <c r="I586" t="s">
        <v>110</v>
      </c>
      <c r="J586" t="s">
        <v>3144</v>
      </c>
      <c r="K586" t="s">
        <v>187</v>
      </c>
      <c r="L586" t="s">
        <v>3145</v>
      </c>
      <c r="M586" t="s">
        <v>308</v>
      </c>
      <c r="N586" t="s">
        <v>97</v>
      </c>
      <c r="O586" s="27">
        <v>990000</v>
      </c>
      <c r="P586">
        <v>3</v>
      </c>
      <c r="Q586" t="s">
        <v>164</v>
      </c>
      <c r="R586">
        <v>42</v>
      </c>
      <c r="S586" t="s">
        <v>173</v>
      </c>
      <c r="T586" t="str">
        <f>IF(COUNTIF($A$2:A586,A586)&gt;1,"Duplicate","Unique")</f>
        <v>Unique</v>
      </c>
    </row>
    <row r="587" spans="1:20" x14ac:dyDescent="0.45">
      <c r="A587" t="s">
        <v>833</v>
      </c>
      <c r="B587" t="s">
        <v>834</v>
      </c>
      <c r="C587" t="s">
        <v>51</v>
      </c>
      <c r="D587" t="s">
        <v>50</v>
      </c>
      <c r="E587" t="s">
        <v>181</v>
      </c>
      <c r="F587" t="s">
        <v>81</v>
      </c>
      <c r="G587" t="s">
        <v>182</v>
      </c>
      <c r="H587" t="s">
        <v>108</v>
      </c>
      <c r="I587" t="s">
        <v>107</v>
      </c>
      <c r="J587" t="s">
        <v>3146</v>
      </c>
      <c r="K587" t="s">
        <v>162</v>
      </c>
      <c r="M587" t="s">
        <v>163</v>
      </c>
      <c r="N587" t="s">
        <v>96</v>
      </c>
      <c r="O587" s="27">
        <v>668000</v>
      </c>
      <c r="P587">
        <v>4</v>
      </c>
      <c r="Q587" t="s">
        <v>164</v>
      </c>
      <c r="R587">
        <v>31</v>
      </c>
      <c r="S587" t="s">
        <v>244</v>
      </c>
      <c r="T587" t="str">
        <f>IF(COUNTIF($A$2:A587,A587)&gt;1,"Duplicate","Unique")</f>
        <v>Unique</v>
      </c>
    </row>
    <row r="588" spans="1:20" x14ac:dyDescent="0.45">
      <c r="A588" t="s">
        <v>2082</v>
      </c>
      <c r="B588" t="s">
        <v>1144</v>
      </c>
      <c r="C588" t="s">
        <v>53</v>
      </c>
      <c r="D588" t="s">
        <v>52</v>
      </c>
      <c r="E588" t="s">
        <v>185</v>
      </c>
      <c r="F588" t="s">
        <v>82</v>
      </c>
      <c r="G588" t="s">
        <v>186</v>
      </c>
      <c r="H588" t="s">
        <v>108</v>
      </c>
      <c r="I588" t="s">
        <v>107</v>
      </c>
      <c r="J588" t="s">
        <v>3147</v>
      </c>
      <c r="K588" t="s">
        <v>187</v>
      </c>
      <c r="L588" t="s">
        <v>3148</v>
      </c>
      <c r="M588" t="s">
        <v>282</v>
      </c>
      <c r="N588" t="s">
        <v>95</v>
      </c>
      <c r="O588" s="27">
        <v>1195000</v>
      </c>
      <c r="P588">
        <v>4</v>
      </c>
      <c r="Q588" t="s">
        <v>2525</v>
      </c>
      <c r="R588">
        <v>26</v>
      </c>
      <c r="S588" t="s">
        <v>194</v>
      </c>
      <c r="T588" t="str">
        <f>IF(COUNTIF($A$2:A588,A588)&gt;1,"Duplicate","Unique")</f>
        <v>Unique</v>
      </c>
    </row>
    <row r="589" spans="1:20" x14ac:dyDescent="0.45">
      <c r="A589" t="s">
        <v>569</v>
      </c>
      <c r="B589" t="s">
        <v>570</v>
      </c>
      <c r="C589" t="s">
        <v>55</v>
      </c>
      <c r="D589" t="s">
        <v>54</v>
      </c>
      <c r="E589" t="s">
        <v>229</v>
      </c>
      <c r="F589" t="s">
        <v>82</v>
      </c>
      <c r="G589" t="s">
        <v>230</v>
      </c>
      <c r="H589" t="s">
        <v>108</v>
      </c>
      <c r="I589" t="s">
        <v>107</v>
      </c>
      <c r="J589" t="s">
        <v>3149</v>
      </c>
      <c r="K589" t="s">
        <v>187</v>
      </c>
      <c r="L589" t="s">
        <v>2684</v>
      </c>
      <c r="M589" t="s">
        <v>282</v>
      </c>
      <c r="N589" t="s">
        <v>96</v>
      </c>
      <c r="O589" s="27">
        <v>1124000</v>
      </c>
      <c r="P589">
        <v>4</v>
      </c>
      <c r="Q589" t="s">
        <v>172</v>
      </c>
      <c r="R589">
        <v>41</v>
      </c>
      <c r="S589" t="s">
        <v>173</v>
      </c>
      <c r="T589" t="str">
        <f>IF(COUNTIF($A$2:A589,A589)&gt;1,"Duplicate","Unique")</f>
        <v>Unique</v>
      </c>
    </row>
    <row r="590" spans="1:20" x14ac:dyDescent="0.45">
      <c r="A590" t="s">
        <v>2252</v>
      </c>
      <c r="B590" t="s">
        <v>728</v>
      </c>
      <c r="C590" t="s">
        <v>51</v>
      </c>
      <c r="D590" t="s">
        <v>50</v>
      </c>
      <c r="E590" t="s">
        <v>181</v>
      </c>
      <c r="F590" t="s">
        <v>81</v>
      </c>
      <c r="G590" t="s">
        <v>182</v>
      </c>
      <c r="H590" t="s">
        <v>111</v>
      </c>
      <c r="I590" t="s">
        <v>110</v>
      </c>
      <c r="J590" t="s">
        <v>3150</v>
      </c>
      <c r="K590" t="s">
        <v>162</v>
      </c>
      <c r="M590" t="s">
        <v>163</v>
      </c>
      <c r="N590" t="s">
        <v>96</v>
      </c>
      <c r="O590" s="27">
        <v>760000</v>
      </c>
      <c r="P590">
        <v>5</v>
      </c>
      <c r="Q590" t="s">
        <v>2525</v>
      </c>
      <c r="R590">
        <v>29</v>
      </c>
      <c r="S590" t="s">
        <v>219</v>
      </c>
      <c r="T590" t="str">
        <f>IF(COUNTIF($A$2:A590,A590)&gt;1,"Duplicate","Unique")</f>
        <v>Unique</v>
      </c>
    </row>
    <row r="591" spans="1:20" x14ac:dyDescent="0.45">
      <c r="A591" t="s">
        <v>1487</v>
      </c>
      <c r="B591" t="s">
        <v>1488</v>
      </c>
      <c r="C591" t="s">
        <v>55</v>
      </c>
      <c r="D591" t="s">
        <v>54</v>
      </c>
      <c r="E591" t="s">
        <v>229</v>
      </c>
      <c r="F591" t="s">
        <v>82</v>
      </c>
      <c r="G591" t="s">
        <v>230</v>
      </c>
      <c r="H591" t="s">
        <v>108</v>
      </c>
      <c r="I591" t="s">
        <v>107</v>
      </c>
      <c r="J591" t="s">
        <v>3151</v>
      </c>
      <c r="K591" t="s">
        <v>170</v>
      </c>
      <c r="L591" t="s">
        <v>3152</v>
      </c>
      <c r="M591" t="s">
        <v>171</v>
      </c>
      <c r="N591" t="s">
        <v>99</v>
      </c>
      <c r="O591" s="27">
        <v>1138000</v>
      </c>
      <c r="P591">
        <v>3</v>
      </c>
      <c r="Q591" t="s">
        <v>172</v>
      </c>
      <c r="R591">
        <v>21</v>
      </c>
      <c r="S591" t="s">
        <v>173</v>
      </c>
      <c r="T591" t="str">
        <f>IF(COUNTIF($A$2:A591,A591)&gt;1,"Duplicate","Unique")</f>
        <v>Unique</v>
      </c>
    </row>
    <row r="592" spans="1:20" x14ac:dyDescent="0.45">
      <c r="A592" t="s">
        <v>1931</v>
      </c>
      <c r="B592" t="s">
        <v>1932</v>
      </c>
      <c r="C592" t="s">
        <v>53</v>
      </c>
      <c r="D592" t="s">
        <v>52</v>
      </c>
      <c r="E592" t="s">
        <v>185</v>
      </c>
      <c r="F592" t="s">
        <v>82</v>
      </c>
      <c r="G592" t="s">
        <v>186</v>
      </c>
      <c r="H592" t="s">
        <v>108</v>
      </c>
      <c r="I592" t="s">
        <v>107</v>
      </c>
      <c r="J592" t="s">
        <v>3153</v>
      </c>
      <c r="K592" t="s">
        <v>170</v>
      </c>
      <c r="L592" t="s">
        <v>3154</v>
      </c>
      <c r="M592" t="s">
        <v>171</v>
      </c>
      <c r="N592" t="s">
        <v>97</v>
      </c>
      <c r="O592" s="27">
        <v>1330000</v>
      </c>
      <c r="P592">
        <v>1</v>
      </c>
      <c r="Q592" t="s">
        <v>172</v>
      </c>
      <c r="R592">
        <v>36</v>
      </c>
      <c r="S592" t="s">
        <v>189</v>
      </c>
      <c r="T592" t="str">
        <f>IF(COUNTIF($A$2:A592,A592)&gt;1,"Duplicate","Unique")</f>
        <v>Unique</v>
      </c>
    </row>
    <row r="593" spans="1:20" x14ac:dyDescent="0.45">
      <c r="A593" t="s">
        <v>1977</v>
      </c>
      <c r="B593" t="s">
        <v>228</v>
      </c>
      <c r="C593" t="s">
        <v>51</v>
      </c>
      <c r="D593" t="s">
        <v>50</v>
      </c>
      <c r="E593" t="s">
        <v>176</v>
      </c>
      <c r="F593" t="s">
        <v>82</v>
      </c>
      <c r="G593" t="s">
        <v>177</v>
      </c>
      <c r="H593" t="s">
        <v>108</v>
      </c>
      <c r="I593" t="s">
        <v>107</v>
      </c>
      <c r="J593" t="s">
        <v>2572</v>
      </c>
      <c r="K593" t="s">
        <v>187</v>
      </c>
      <c r="L593" t="s">
        <v>3155</v>
      </c>
      <c r="M593" t="s">
        <v>282</v>
      </c>
      <c r="N593" t="s">
        <v>98</v>
      </c>
      <c r="O593" s="27">
        <v>1279000</v>
      </c>
      <c r="P593">
        <v>3</v>
      </c>
      <c r="Q593" t="s">
        <v>172</v>
      </c>
      <c r="R593">
        <v>28</v>
      </c>
      <c r="S593" t="s">
        <v>197</v>
      </c>
      <c r="T593" t="str">
        <f>IF(COUNTIF($A$2:A593,A593)&gt;1,"Duplicate","Unique")</f>
        <v>Unique</v>
      </c>
    </row>
    <row r="594" spans="1:20" x14ac:dyDescent="0.45">
      <c r="A594" t="s">
        <v>1658</v>
      </c>
      <c r="B594" t="s">
        <v>526</v>
      </c>
      <c r="C594" t="s">
        <v>51</v>
      </c>
      <c r="D594" t="s">
        <v>50</v>
      </c>
      <c r="E594" t="s">
        <v>181</v>
      </c>
      <c r="F594" t="s">
        <v>81</v>
      </c>
      <c r="G594" t="s">
        <v>182</v>
      </c>
      <c r="H594" t="s">
        <v>108</v>
      </c>
      <c r="I594" t="s">
        <v>107</v>
      </c>
      <c r="J594" t="s">
        <v>3156</v>
      </c>
      <c r="K594" t="s">
        <v>162</v>
      </c>
      <c r="M594" t="s">
        <v>163</v>
      </c>
      <c r="N594" t="s">
        <v>95</v>
      </c>
      <c r="O594" s="27">
        <v>685000</v>
      </c>
      <c r="P594">
        <v>3</v>
      </c>
      <c r="Q594" t="s">
        <v>164</v>
      </c>
      <c r="R594">
        <v>35</v>
      </c>
      <c r="S594" t="s">
        <v>197</v>
      </c>
      <c r="T594" t="str">
        <f>IF(COUNTIF($A$2:A594,A594)&gt;1,"Duplicate","Unique")</f>
        <v>Unique</v>
      </c>
    </row>
    <row r="595" spans="1:20" x14ac:dyDescent="0.45">
      <c r="A595" t="s">
        <v>2204</v>
      </c>
      <c r="B595" t="s">
        <v>1323</v>
      </c>
      <c r="C595" t="s">
        <v>51</v>
      </c>
      <c r="D595" t="s">
        <v>50</v>
      </c>
      <c r="E595" t="s">
        <v>176</v>
      </c>
      <c r="F595" t="s">
        <v>82</v>
      </c>
      <c r="G595" t="s">
        <v>177</v>
      </c>
      <c r="H595" t="s">
        <v>106</v>
      </c>
      <c r="I595" t="s">
        <v>107</v>
      </c>
      <c r="J595" t="s">
        <v>3157</v>
      </c>
      <c r="K595" t="s">
        <v>162</v>
      </c>
      <c r="M595" t="s">
        <v>163</v>
      </c>
      <c r="N595" t="s">
        <v>95</v>
      </c>
      <c r="O595" s="27">
        <v>1026000</v>
      </c>
      <c r="P595">
        <v>2</v>
      </c>
      <c r="Q595" t="s">
        <v>164</v>
      </c>
      <c r="R595">
        <v>19</v>
      </c>
      <c r="S595" t="s">
        <v>197</v>
      </c>
      <c r="T595" t="str">
        <f>IF(COUNTIF($A$2:A595,A595)&gt;1,"Duplicate","Unique")</f>
        <v>Unique</v>
      </c>
    </row>
    <row r="596" spans="1:20" x14ac:dyDescent="0.45">
      <c r="A596" t="s">
        <v>1309</v>
      </c>
      <c r="B596" t="s">
        <v>765</v>
      </c>
      <c r="C596" t="s">
        <v>53</v>
      </c>
      <c r="D596" t="s">
        <v>52</v>
      </c>
      <c r="E596" t="s">
        <v>322</v>
      </c>
      <c r="F596" t="s">
        <v>81</v>
      </c>
      <c r="G596" t="s">
        <v>323</v>
      </c>
      <c r="H596" t="s">
        <v>108</v>
      </c>
      <c r="I596" t="s">
        <v>107</v>
      </c>
      <c r="J596" t="s">
        <v>3158</v>
      </c>
      <c r="K596" t="s">
        <v>162</v>
      </c>
      <c r="M596" t="s">
        <v>163</v>
      </c>
      <c r="N596" t="s">
        <v>95</v>
      </c>
      <c r="O596" s="27">
        <v>602000</v>
      </c>
      <c r="P596">
        <v>3</v>
      </c>
      <c r="Q596" t="s">
        <v>164</v>
      </c>
      <c r="R596">
        <v>35</v>
      </c>
      <c r="S596" t="s">
        <v>237</v>
      </c>
      <c r="T596" t="str">
        <f>IF(COUNTIF($A$2:A596,A596)&gt;1,"Duplicate","Unique")</f>
        <v>Unique</v>
      </c>
    </row>
    <row r="597" spans="1:20" x14ac:dyDescent="0.45">
      <c r="A597" t="s">
        <v>1742</v>
      </c>
      <c r="B597" t="s">
        <v>3159</v>
      </c>
      <c r="C597" t="s">
        <v>51</v>
      </c>
      <c r="D597" t="s">
        <v>50</v>
      </c>
      <c r="E597" t="s">
        <v>217</v>
      </c>
      <c r="F597" t="s">
        <v>83</v>
      </c>
      <c r="G597" t="s">
        <v>218</v>
      </c>
      <c r="H597" t="s">
        <v>108</v>
      </c>
      <c r="I597" t="s">
        <v>107</v>
      </c>
      <c r="J597" t="s">
        <v>3160</v>
      </c>
      <c r="K597" t="s">
        <v>162</v>
      </c>
      <c r="M597" t="s">
        <v>163</v>
      </c>
      <c r="N597" t="s">
        <v>96</v>
      </c>
      <c r="O597" s="27">
        <v>1636000</v>
      </c>
      <c r="P597">
        <v>4</v>
      </c>
      <c r="Q597" t="s">
        <v>164</v>
      </c>
      <c r="R597">
        <v>36</v>
      </c>
      <c r="S597" t="s">
        <v>244</v>
      </c>
      <c r="T597" t="str">
        <f>IF(COUNTIF($A$2:A597,A597)&gt;1,"Duplicate","Unique")</f>
        <v>Unique</v>
      </c>
    </row>
    <row r="598" spans="1:20" x14ac:dyDescent="0.45">
      <c r="A598" t="s">
        <v>748</v>
      </c>
      <c r="B598" t="s">
        <v>749</v>
      </c>
      <c r="C598" t="s">
        <v>53</v>
      </c>
      <c r="D598" t="s">
        <v>2617</v>
      </c>
      <c r="E598" t="s">
        <v>192</v>
      </c>
      <c r="F598" t="s">
        <v>83</v>
      </c>
      <c r="G598" t="s">
        <v>193</v>
      </c>
      <c r="H598" t="s">
        <v>111</v>
      </c>
      <c r="I598" t="s">
        <v>110</v>
      </c>
      <c r="J598" t="s">
        <v>2826</v>
      </c>
      <c r="K598" t="s">
        <v>162</v>
      </c>
      <c r="M598" t="s">
        <v>163</v>
      </c>
      <c r="N598" t="s">
        <v>95</v>
      </c>
      <c r="O598" s="27">
        <v>1779000</v>
      </c>
      <c r="P598">
        <v>3</v>
      </c>
      <c r="Q598" t="s">
        <v>164</v>
      </c>
      <c r="R598">
        <v>28</v>
      </c>
      <c r="S598" t="s">
        <v>237</v>
      </c>
      <c r="T598" t="str">
        <f>IF(COUNTIF($A$2:A598,A598)&gt;1,"Duplicate","Unique")</f>
        <v>Unique</v>
      </c>
    </row>
    <row r="599" spans="1:20" x14ac:dyDescent="0.45">
      <c r="A599" t="s">
        <v>1559</v>
      </c>
      <c r="B599" t="s">
        <v>1560</v>
      </c>
      <c r="C599" t="s">
        <v>51</v>
      </c>
      <c r="D599" t="s">
        <v>50</v>
      </c>
      <c r="E599" t="s">
        <v>176</v>
      </c>
      <c r="F599" t="s">
        <v>82</v>
      </c>
      <c r="G599" t="s">
        <v>177</v>
      </c>
      <c r="H599" t="s">
        <v>108</v>
      </c>
      <c r="I599" t="s">
        <v>107</v>
      </c>
      <c r="J599" t="s">
        <v>3161</v>
      </c>
      <c r="K599" t="s">
        <v>162</v>
      </c>
      <c r="M599" t="s">
        <v>163</v>
      </c>
      <c r="N599" t="s">
        <v>99</v>
      </c>
      <c r="O599" s="27">
        <v>1177000</v>
      </c>
      <c r="P599">
        <v>2</v>
      </c>
      <c r="Q599" t="s">
        <v>172</v>
      </c>
      <c r="R599">
        <v>13</v>
      </c>
      <c r="S599" t="s">
        <v>219</v>
      </c>
      <c r="T599" t="str">
        <f>IF(COUNTIF($A$2:A599,A599)&gt;1,"Duplicate","Unique")</f>
        <v>Unique</v>
      </c>
    </row>
    <row r="600" spans="1:20" x14ac:dyDescent="0.45">
      <c r="A600" t="s">
        <v>827</v>
      </c>
      <c r="B600" t="s">
        <v>828</v>
      </c>
      <c r="C600" t="s">
        <v>51</v>
      </c>
      <c r="D600" t="s">
        <v>50</v>
      </c>
      <c r="E600" t="s">
        <v>181</v>
      </c>
      <c r="F600" t="s">
        <v>81</v>
      </c>
      <c r="G600" t="s">
        <v>182</v>
      </c>
      <c r="H600" t="s">
        <v>108</v>
      </c>
      <c r="I600" t="s">
        <v>107</v>
      </c>
      <c r="J600" t="s">
        <v>3162</v>
      </c>
      <c r="K600" t="s">
        <v>162</v>
      </c>
      <c r="M600" t="s">
        <v>163</v>
      </c>
      <c r="N600" t="s">
        <v>97</v>
      </c>
      <c r="O600" s="27">
        <v>659000</v>
      </c>
      <c r="P600">
        <v>3</v>
      </c>
      <c r="Q600" t="s">
        <v>164</v>
      </c>
      <c r="R600">
        <v>52</v>
      </c>
      <c r="S600" t="s">
        <v>197</v>
      </c>
      <c r="T600" t="str">
        <f>IF(COUNTIF($A$2:A600,A600)&gt;1,"Duplicate","Unique")</f>
        <v>Unique</v>
      </c>
    </row>
    <row r="601" spans="1:20" x14ac:dyDescent="0.45">
      <c r="A601" t="s">
        <v>2157</v>
      </c>
      <c r="B601" t="s">
        <v>1101</v>
      </c>
      <c r="C601" t="s">
        <v>59</v>
      </c>
      <c r="D601" t="s">
        <v>58</v>
      </c>
      <c r="E601" t="s">
        <v>579</v>
      </c>
      <c r="F601" t="s">
        <v>84</v>
      </c>
      <c r="G601" t="s">
        <v>580</v>
      </c>
      <c r="H601" t="s">
        <v>106</v>
      </c>
      <c r="I601" t="s">
        <v>107</v>
      </c>
      <c r="J601" t="s">
        <v>3163</v>
      </c>
      <c r="K601" t="s">
        <v>162</v>
      </c>
      <c r="M601" t="s">
        <v>163</v>
      </c>
      <c r="N601" t="s">
        <v>97</v>
      </c>
      <c r="O601" s="27">
        <v>3046000</v>
      </c>
      <c r="P601">
        <v>3</v>
      </c>
      <c r="Q601" t="s">
        <v>172</v>
      </c>
      <c r="R601">
        <v>50</v>
      </c>
      <c r="S601" t="s">
        <v>208</v>
      </c>
      <c r="T601" t="str">
        <f>IF(COUNTIF($A$2:A601,A601)&gt;1,"Duplicate","Unique")</f>
        <v>Unique</v>
      </c>
    </row>
    <row r="602" spans="1:20" x14ac:dyDescent="0.45">
      <c r="A602" t="s">
        <v>2221</v>
      </c>
      <c r="B602" t="s">
        <v>3164</v>
      </c>
      <c r="C602" t="s">
        <v>55</v>
      </c>
      <c r="D602" t="s">
        <v>54</v>
      </c>
      <c r="E602" t="s">
        <v>229</v>
      </c>
      <c r="F602" t="s">
        <v>82</v>
      </c>
      <c r="G602" t="s">
        <v>230</v>
      </c>
      <c r="H602" t="s">
        <v>109</v>
      </c>
      <c r="I602" t="s">
        <v>110</v>
      </c>
      <c r="J602" t="s">
        <v>3165</v>
      </c>
      <c r="K602" t="s">
        <v>162</v>
      </c>
      <c r="M602" t="s">
        <v>163</v>
      </c>
      <c r="N602" t="s">
        <v>96</v>
      </c>
      <c r="O602" s="27">
        <v>1318000</v>
      </c>
      <c r="Q602" t="s">
        <v>172</v>
      </c>
      <c r="R602">
        <v>43</v>
      </c>
      <c r="S602" t="s">
        <v>262</v>
      </c>
      <c r="T602" t="str">
        <f>IF(COUNTIF($A$2:A602,A602)&gt;1,"Duplicate","Unique")</f>
        <v>Unique</v>
      </c>
    </row>
    <row r="603" spans="1:20" x14ac:dyDescent="0.45">
      <c r="A603" t="s">
        <v>859</v>
      </c>
      <c r="B603" t="s">
        <v>860</v>
      </c>
      <c r="C603" t="s">
        <v>51</v>
      </c>
      <c r="D603" t="s">
        <v>50</v>
      </c>
      <c r="E603" t="s">
        <v>181</v>
      </c>
      <c r="F603" t="s">
        <v>81</v>
      </c>
      <c r="G603" t="s">
        <v>182</v>
      </c>
      <c r="H603" t="s">
        <v>111</v>
      </c>
      <c r="I603" t="s">
        <v>110</v>
      </c>
      <c r="J603" t="s">
        <v>3166</v>
      </c>
      <c r="K603" t="s">
        <v>162</v>
      </c>
      <c r="M603" t="s">
        <v>163</v>
      </c>
      <c r="N603" t="s">
        <v>99</v>
      </c>
      <c r="O603" s="27">
        <v>581000</v>
      </c>
      <c r="P603">
        <v>2</v>
      </c>
      <c r="Q603" t="s">
        <v>164</v>
      </c>
      <c r="R603">
        <v>17</v>
      </c>
      <c r="S603" t="s">
        <v>244</v>
      </c>
      <c r="T603" t="str">
        <f>IF(COUNTIF($A$2:A603,A603)&gt;1,"Duplicate","Unique")</f>
        <v>Unique</v>
      </c>
    </row>
    <row r="604" spans="1:20" x14ac:dyDescent="0.45">
      <c r="A604" t="s">
        <v>1862</v>
      </c>
      <c r="B604" t="s">
        <v>1617</v>
      </c>
      <c r="C604" t="s">
        <v>61</v>
      </c>
      <c r="D604" t="s">
        <v>60</v>
      </c>
      <c r="E604" t="s">
        <v>251</v>
      </c>
      <c r="F604" t="s">
        <v>82</v>
      </c>
      <c r="G604" t="s">
        <v>252</v>
      </c>
      <c r="H604" t="s">
        <v>109</v>
      </c>
      <c r="I604" t="s">
        <v>110</v>
      </c>
      <c r="J604" t="s">
        <v>3167</v>
      </c>
      <c r="K604" t="s">
        <v>162</v>
      </c>
      <c r="M604" t="s">
        <v>163</v>
      </c>
      <c r="N604" t="s">
        <v>99</v>
      </c>
      <c r="O604" s="27">
        <v>1072000</v>
      </c>
      <c r="P604">
        <v>4</v>
      </c>
      <c r="Q604" t="s">
        <v>164</v>
      </c>
      <c r="S604" t="s">
        <v>253</v>
      </c>
      <c r="T604" t="str">
        <f>IF(COUNTIF($A$2:A604,A604)&gt;1,"Duplicate","Unique")</f>
        <v>Unique</v>
      </c>
    </row>
    <row r="605" spans="1:20" x14ac:dyDescent="0.45">
      <c r="A605" t="s">
        <v>983</v>
      </c>
      <c r="B605" t="s">
        <v>984</v>
      </c>
      <c r="C605" t="s">
        <v>51</v>
      </c>
      <c r="D605" t="s">
        <v>50</v>
      </c>
      <c r="E605" t="s">
        <v>328</v>
      </c>
      <c r="F605" t="s">
        <v>85</v>
      </c>
      <c r="G605" t="s">
        <v>329</v>
      </c>
      <c r="H605" t="s">
        <v>108</v>
      </c>
      <c r="I605" t="s">
        <v>107</v>
      </c>
      <c r="J605" t="s">
        <v>3168</v>
      </c>
      <c r="K605" t="s">
        <v>162</v>
      </c>
      <c r="M605" t="s">
        <v>163</v>
      </c>
      <c r="N605" t="s">
        <v>96</v>
      </c>
      <c r="O605" s="27">
        <v>5047000</v>
      </c>
      <c r="P605">
        <v>4</v>
      </c>
      <c r="Q605" t="s">
        <v>164</v>
      </c>
      <c r="R605">
        <v>15</v>
      </c>
      <c r="S605" t="s">
        <v>178</v>
      </c>
      <c r="T605" t="str">
        <f>IF(COUNTIF($A$2:A605,A605)&gt;1,"Duplicate","Unique")</f>
        <v>Unique</v>
      </c>
    </row>
    <row r="606" spans="1:20" x14ac:dyDescent="0.45">
      <c r="A606" t="s">
        <v>543</v>
      </c>
      <c r="B606" t="s">
        <v>544</v>
      </c>
      <c r="C606" t="s">
        <v>59</v>
      </c>
      <c r="D606" t="s">
        <v>58</v>
      </c>
      <c r="E606" t="s">
        <v>211</v>
      </c>
      <c r="F606" t="s">
        <v>82</v>
      </c>
      <c r="G606" t="s">
        <v>212</v>
      </c>
      <c r="H606" t="s">
        <v>3169</v>
      </c>
      <c r="I606" t="s">
        <v>113</v>
      </c>
      <c r="J606" t="s">
        <v>3170</v>
      </c>
      <c r="K606" t="s">
        <v>162</v>
      </c>
      <c r="M606" t="s">
        <v>163</v>
      </c>
      <c r="N606" t="s">
        <v>99</v>
      </c>
      <c r="O606" s="27">
        <v>1324000</v>
      </c>
      <c r="P606">
        <v>4</v>
      </c>
      <c r="Q606" t="s">
        <v>172</v>
      </c>
      <c r="R606">
        <v>42</v>
      </c>
      <c r="S606" t="s">
        <v>214</v>
      </c>
      <c r="T606" t="str">
        <f>IF(COUNTIF($A$2:A606,A606)&gt;1,"Duplicate","Unique")</f>
        <v>Unique</v>
      </c>
    </row>
    <row r="607" spans="1:20" x14ac:dyDescent="0.45">
      <c r="A607" t="s">
        <v>1722</v>
      </c>
      <c r="B607" t="s">
        <v>1164</v>
      </c>
      <c r="C607" t="s">
        <v>51</v>
      </c>
      <c r="D607" t="s">
        <v>50</v>
      </c>
      <c r="E607" t="s">
        <v>176</v>
      </c>
      <c r="F607" t="s">
        <v>82</v>
      </c>
      <c r="G607" t="s">
        <v>177</v>
      </c>
      <c r="H607" t="s">
        <v>106</v>
      </c>
      <c r="I607" t="s">
        <v>107</v>
      </c>
      <c r="J607" t="s">
        <v>3171</v>
      </c>
      <c r="K607" t="s">
        <v>162</v>
      </c>
      <c r="M607" t="s">
        <v>163</v>
      </c>
      <c r="N607" t="s">
        <v>99</v>
      </c>
      <c r="O607" s="27">
        <v>1132000</v>
      </c>
      <c r="P607">
        <v>4</v>
      </c>
      <c r="Q607" t="s">
        <v>164</v>
      </c>
      <c r="R607">
        <v>55</v>
      </c>
      <c r="S607" t="s">
        <v>244</v>
      </c>
      <c r="T607" t="str">
        <f>IF(COUNTIF($A$2:A607,A607)&gt;1,"Duplicate","Unique")</f>
        <v>Unique</v>
      </c>
    </row>
    <row r="608" spans="1:20" x14ac:dyDescent="0.45">
      <c r="A608" t="s">
        <v>1981</v>
      </c>
      <c r="B608" t="s">
        <v>976</v>
      </c>
      <c r="C608" t="s">
        <v>51</v>
      </c>
      <c r="D608" t="s">
        <v>50</v>
      </c>
      <c r="E608" t="s">
        <v>176</v>
      </c>
      <c r="F608" t="s">
        <v>82</v>
      </c>
      <c r="G608" t="s">
        <v>177</v>
      </c>
      <c r="H608" t="s">
        <v>106</v>
      </c>
      <c r="I608" t="s">
        <v>107</v>
      </c>
      <c r="J608" t="s">
        <v>3172</v>
      </c>
      <c r="K608" t="s">
        <v>162</v>
      </c>
      <c r="M608" t="s">
        <v>163</v>
      </c>
      <c r="N608" t="s">
        <v>97</v>
      </c>
      <c r="O608" s="27">
        <v>895000</v>
      </c>
      <c r="P608">
        <v>4</v>
      </c>
      <c r="Q608" t="s">
        <v>172</v>
      </c>
      <c r="R608">
        <v>52</v>
      </c>
      <c r="S608" t="s">
        <v>197</v>
      </c>
      <c r="T608" t="str">
        <f>IF(COUNTIF($A$2:A608,A608)&gt;1,"Duplicate","Unique")</f>
        <v>Unique</v>
      </c>
    </row>
    <row r="609" spans="1:20" x14ac:dyDescent="0.45">
      <c r="A609" t="s">
        <v>1098</v>
      </c>
      <c r="B609" t="s">
        <v>1099</v>
      </c>
      <c r="C609" t="s">
        <v>57</v>
      </c>
      <c r="D609" t="s">
        <v>56</v>
      </c>
      <c r="E609" t="s">
        <v>391</v>
      </c>
      <c r="F609" t="s">
        <v>83</v>
      </c>
      <c r="G609" t="s">
        <v>392</v>
      </c>
      <c r="H609" t="s">
        <v>106</v>
      </c>
      <c r="I609" t="s">
        <v>107</v>
      </c>
      <c r="J609" t="s">
        <v>3173</v>
      </c>
      <c r="K609" t="s">
        <v>162</v>
      </c>
      <c r="M609" t="s">
        <v>163</v>
      </c>
      <c r="N609" t="s">
        <v>96</v>
      </c>
      <c r="O609" s="27">
        <v>1962000</v>
      </c>
      <c r="P609">
        <v>3</v>
      </c>
      <c r="Q609" t="s">
        <v>172</v>
      </c>
      <c r="R609">
        <v>27</v>
      </c>
      <c r="S609" t="s">
        <v>224</v>
      </c>
      <c r="T609" t="str">
        <f>IF(COUNTIF($A$2:A609,A609)&gt;1,"Duplicate","Unique")</f>
        <v>Unique</v>
      </c>
    </row>
    <row r="610" spans="1:20" x14ac:dyDescent="0.45">
      <c r="A610" t="s">
        <v>1261</v>
      </c>
      <c r="B610" t="s">
        <v>548</v>
      </c>
      <c r="C610" t="s">
        <v>51</v>
      </c>
      <c r="D610" t="s">
        <v>2464</v>
      </c>
      <c r="E610" t="s">
        <v>176</v>
      </c>
      <c r="F610" t="s">
        <v>82</v>
      </c>
      <c r="G610" t="s">
        <v>177</v>
      </c>
      <c r="H610" t="s">
        <v>106</v>
      </c>
      <c r="I610" t="s">
        <v>107</v>
      </c>
      <c r="J610" t="s">
        <v>2501</v>
      </c>
      <c r="K610" t="s">
        <v>162</v>
      </c>
      <c r="M610" t="s">
        <v>163</v>
      </c>
      <c r="N610" t="s">
        <v>99</v>
      </c>
      <c r="O610" s="27">
        <v>1096000</v>
      </c>
      <c r="P610">
        <v>4</v>
      </c>
      <c r="Q610" t="s">
        <v>164</v>
      </c>
      <c r="R610">
        <v>31</v>
      </c>
      <c r="S610" t="s">
        <v>244</v>
      </c>
      <c r="T610" t="str">
        <f>IF(COUNTIF($A$2:A610,A610)&gt;1,"Duplicate","Unique")</f>
        <v>Unique</v>
      </c>
    </row>
    <row r="611" spans="1:20" x14ac:dyDescent="0.45">
      <c r="A611" t="s">
        <v>1881</v>
      </c>
      <c r="B611" t="s">
        <v>1882</v>
      </c>
      <c r="C611" t="s">
        <v>61</v>
      </c>
      <c r="D611" t="s">
        <v>60</v>
      </c>
      <c r="E611" t="s">
        <v>484</v>
      </c>
      <c r="F611" t="s">
        <v>83</v>
      </c>
      <c r="G611" t="s">
        <v>485</v>
      </c>
      <c r="H611" t="s">
        <v>109</v>
      </c>
      <c r="I611" t="s">
        <v>110</v>
      </c>
      <c r="J611" t="s">
        <v>3174</v>
      </c>
      <c r="K611" t="s">
        <v>162</v>
      </c>
      <c r="M611" t="s">
        <v>163</v>
      </c>
      <c r="N611" t="s">
        <v>97</v>
      </c>
      <c r="O611" s="27">
        <v>1355000</v>
      </c>
      <c r="P611">
        <v>5</v>
      </c>
      <c r="Q611" t="s">
        <v>172</v>
      </c>
      <c r="R611">
        <v>44</v>
      </c>
      <c r="S611" t="s">
        <v>253</v>
      </c>
      <c r="T611" t="str">
        <f>IF(COUNTIF($A$2:A611,A611)&gt;1,"Duplicate","Unique")</f>
        <v>Unique</v>
      </c>
    </row>
    <row r="612" spans="1:20" x14ac:dyDescent="0.45">
      <c r="A612" t="s">
        <v>1583</v>
      </c>
      <c r="B612" t="s">
        <v>503</v>
      </c>
      <c r="C612" t="s">
        <v>55</v>
      </c>
      <c r="D612" t="s">
        <v>54</v>
      </c>
      <c r="E612" t="s">
        <v>277</v>
      </c>
      <c r="F612" t="s">
        <v>81</v>
      </c>
      <c r="G612" t="s">
        <v>278</v>
      </c>
      <c r="H612" t="s">
        <v>108</v>
      </c>
      <c r="I612" t="s">
        <v>107</v>
      </c>
      <c r="J612" t="s">
        <v>3175</v>
      </c>
      <c r="K612" t="s">
        <v>170</v>
      </c>
      <c r="L612" t="s">
        <v>3176</v>
      </c>
      <c r="M612" t="s">
        <v>171</v>
      </c>
      <c r="N612" t="s">
        <v>95</v>
      </c>
      <c r="O612" s="27">
        <v>771000</v>
      </c>
      <c r="P612">
        <v>2</v>
      </c>
      <c r="Q612" t="s">
        <v>172</v>
      </c>
      <c r="R612">
        <v>33</v>
      </c>
      <c r="S612" t="s">
        <v>173</v>
      </c>
      <c r="T612" t="str">
        <f>IF(COUNTIF($A$2:A612,A612)&gt;1,"Duplicate","Unique")</f>
        <v>Unique</v>
      </c>
    </row>
    <row r="613" spans="1:20" x14ac:dyDescent="0.45">
      <c r="A613" t="s">
        <v>2007</v>
      </c>
      <c r="B613" t="s">
        <v>2008</v>
      </c>
      <c r="C613" t="s">
        <v>51</v>
      </c>
      <c r="D613" t="s">
        <v>50</v>
      </c>
      <c r="E613" t="s">
        <v>397</v>
      </c>
      <c r="F613" t="s">
        <v>84</v>
      </c>
      <c r="G613" t="s">
        <v>398</v>
      </c>
      <c r="H613" t="s">
        <v>106</v>
      </c>
      <c r="I613" t="s">
        <v>107</v>
      </c>
      <c r="J613" t="s">
        <v>2459</v>
      </c>
      <c r="K613" t="s">
        <v>162</v>
      </c>
      <c r="M613" t="s">
        <v>163</v>
      </c>
      <c r="N613" t="s">
        <v>95</v>
      </c>
      <c r="O613" s="27">
        <v>2897000</v>
      </c>
      <c r="P613">
        <v>4</v>
      </c>
      <c r="Q613" t="s">
        <v>164</v>
      </c>
      <c r="R613">
        <v>28</v>
      </c>
      <c r="S613" t="s">
        <v>219</v>
      </c>
      <c r="T613" t="str">
        <f>IF(COUNTIF($A$2:A613,A613)&gt;1,"Duplicate","Unique")</f>
        <v>Unique</v>
      </c>
    </row>
    <row r="614" spans="1:20" x14ac:dyDescent="0.45">
      <c r="A614" t="s">
        <v>1933</v>
      </c>
      <c r="B614" t="s">
        <v>1179</v>
      </c>
      <c r="C614" t="s">
        <v>57</v>
      </c>
      <c r="D614" t="s">
        <v>56</v>
      </c>
      <c r="E614" t="s">
        <v>160</v>
      </c>
      <c r="F614" t="s">
        <v>81</v>
      </c>
      <c r="G614" t="s">
        <v>161</v>
      </c>
      <c r="H614" t="s">
        <v>111</v>
      </c>
      <c r="I614" t="s">
        <v>110</v>
      </c>
      <c r="J614" t="s">
        <v>3153</v>
      </c>
      <c r="K614" t="s">
        <v>162</v>
      </c>
      <c r="M614" t="s">
        <v>163</v>
      </c>
      <c r="N614" t="s">
        <v>97</v>
      </c>
      <c r="O614" s="27">
        <v>605000</v>
      </c>
      <c r="P614">
        <v>4</v>
      </c>
      <c r="Q614" t="s">
        <v>164</v>
      </c>
      <c r="R614">
        <v>22</v>
      </c>
      <c r="S614" t="s">
        <v>165</v>
      </c>
      <c r="T614" t="str">
        <f>IF(COUNTIF($A$2:A614,A614)&gt;1,"Duplicate","Unique")</f>
        <v>Unique</v>
      </c>
    </row>
    <row r="615" spans="1:20" x14ac:dyDescent="0.45">
      <c r="A615" t="s">
        <v>1125</v>
      </c>
      <c r="B615" t="s">
        <v>1126</v>
      </c>
      <c r="C615" t="s">
        <v>61</v>
      </c>
      <c r="D615" t="s">
        <v>60</v>
      </c>
      <c r="E615" t="s">
        <v>356</v>
      </c>
      <c r="F615" t="s">
        <v>81</v>
      </c>
      <c r="G615" t="s">
        <v>357</v>
      </c>
      <c r="H615" t="s">
        <v>106</v>
      </c>
      <c r="I615" t="s">
        <v>107</v>
      </c>
      <c r="J615" t="s">
        <v>3137</v>
      </c>
      <c r="K615" t="s">
        <v>170</v>
      </c>
      <c r="L615" t="s">
        <v>3177</v>
      </c>
      <c r="M615" t="s">
        <v>171</v>
      </c>
      <c r="N615" t="s">
        <v>98</v>
      </c>
      <c r="O615" s="27">
        <v>606000</v>
      </c>
      <c r="P615">
        <v>4</v>
      </c>
      <c r="Q615" t="s">
        <v>164</v>
      </c>
      <c r="R615">
        <v>45</v>
      </c>
      <c r="S615" t="s">
        <v>253</v>
      </c>
      <c r="T615" t="str">
        <f>IF(COUNTIF($A$2:A615,A615)&gt;1,"Duplicate","Unique")</f>
        <v>Unique</v>
      </c>
    </row>
    <row r="616" spans="1:20" x14ac:dyDescent="0.45">
      <c r="A616" t="s">
        <v>1876</v>
      </c>
      <c r="B616" t="s">
        <v>592</v>
      </c>
      <c r="C616" t="s">
        <v>51</v>
      </c>
      <c r="D616" t="s">
        <v>50</v>
      </c>
      <c r="E616" t="s">
        <v>217</v>
      </c>
      <c r="F616" t="s">
        <v>83</v>
      </c>
      <c r="G616" t="s">
        <v>218</v>
      </c>
      <c r="H616" t="s">
        <v>108</v>
      </c>
      <c r="I616" t="s">
        <v>107</v>
      </c>
      <c r="J616" t="s">
        <v>3067</v>
      </c>
      <c r="K616" t="s">
        <v>187</v>
      </c>
      <c r="L616" t="s">
        <v>2687</v>
      </c>
      <c r="M616" t="s">
        <v>308</v>
      </c>
      <c r="N616" t="s">
        <v>97</v>
      </c>
      <c r="O616" s="27">
        <v>1679000</v>
      </c>
      <c r="P616">
        <v>3</v>
      </c>
      <c r="Q616" t="s">
        <v>172</v>
      </c>
      <c r="S616" t="s">
        <v>178</v>
      </c>
      <c r="T616" t="str">
        <f>IF(COUNTIF($A$2:A616,A616)&gt;1,"Duplicate","Unique")</f>
        <v>Unique</v>
      </c>
    </row>
    <row r="617" spans="1:20" x14ac:dyDescent="0.45">
      <c r="A617" t="s">
        <v>1586</v>
      </c>
      <c r="B617" t="s">
        <v>1224</v>
      </c>
      <c r="C617" t="s">
        <v>61</v>
      </c>
      <c r="D617" t="s">
        <v>60</v>
      </c>
      <c r="E617" t="s">
        <v>251</v>
      </c>
      <c r="F617" t="s">
        <v>82</v>
      </c>
      <c r="G617" t="s">
        <v>252</v>
      </c>
      <c r="H617" t="s">
        <v>106</v>
      </c>
      <c r="I617" t="s">
        <v>107</v>
      </c>
      <c r="J617" t="s">
        <v>3178</v>
      </c>
      <c r="K617" t="s">
        <v>162</v>
      </c>
      <c r="M617" t="s">
        <v>163</v>
      </c>
      <c r="N617" t="s">
        <v>96</v>
      </c>
      <c r="O617" s="27">
        <v>1099000</v>
      </c>
      <c r="P617">
        <v>4</v>
      </c>
      <c r="Q617" t="s">
        <v>164</v>
      </c>
      <c r="R617">
        <v>63</v>
      </c>
      <c r="S617" t="s">
        <v>253</v>
      </c>
      <c r="T617" t="str">
        <f>IF(COUNTIF($A$2:A617,A617)&gt;1,"Duplicate","Unique")</f>
        <v>Unique</v>
      </c>
    </row>
    <row r="618" spans="1:20" x14ac:dyDescent="0.45">
      <c r="A618" t="s">
        <v>1042</v>
      </c>
      <c r="B618" t="s">
        <v>1043</v>
      </c>
      <c r="C618" t="s">
        <v>53</v>
      </c>
      <c r="D618" t="s">
        <v>52</v>
      </c>
      <c r="E618" t="s">
        <v>192</v>
      </c>
      <c r="F618" t="s">
        <v>83</v>
      </c>
      <c r="G618" t="s">
        <v>193</v>
      </c>
      <c r="H618" t="s">
        <v>109</v>
      </c>
      <c r="I618" t="s">
        <v>110</v>
      </c>
      <c r="J618" t="s">
        <v>2949</v>
      </c>
      <c r="K618" t="s">
        <v>162</v>
      </c>
      <c r="M618" t="s">
        <v>163</v>
      </c>
      <c r="N618" t="s">
        <v>97</v>
      </c>
      <c r="O618" s="27">
        <v>1644000</v>
      </c>
      <c r="P618">
        <v>4</v>
      </c>
      <c r="Q618" t="s">
        <v>172</v>
      </c>
      <c r="R618">
        <v>48</v>
      </c>
      <c r="S618" t="s">
        <v>194</v>
      </c>
      <c r="T618" t="str">
        <f>IF(COUNTIF($A$2:A618,A618)&gt;1,"Duplicate","Unique")</f>
        <v>Unique</v>
      </c>
    </row>
    <row r="619" spans="1:20" x14ac:dyDescent="0.45">
      <c r="A619" t="s">
        <v>1955</v>
      </c>
      <c r="B619" t="s">
        <v>1956</v>
      </c>
      <c r="C619" t="s">
        <v>51</v>
      </c>
      <c r="D619" t="s">
        <v>50</v>
      </c>
      <c r="E619" t="s">
        <v>181</v>
      </c>
      <c r="F619" t="s">
        <v>81</v>
      </c>
      <c r="G619" t="s">
        <v>182</v>
      </c>
      <c r="H619" t="s">
        <v>111</v>
      </c>
      <c r="I619" t="s">
        <v>110</v>
      </c>
      <c r="J619" t="s">
        <v>3179</v>
      </c>
      <c r="K619" t="s">
        <v>162</v>
      </c>
      <c r="M619" t="s">
        <v>163</v>
      </c>
      <c r="N619" t="s">
        <v>99</v>
      </c>
      <c r="O619" s="27">
        <v>842000</v>
      </c>
      <c r="P619">
        <v>3</v>
      </c>
      <c r="Q619" t="s">
        <v>172</v>
      </c>
      <c r="R619">
        <v>53</v>
      </c>
      <c r="S619" t="s">
        <v>197</v>
      </c>
      <c r="T619" t="str">
        <f>IF(COUNTIF($A$2:A619,A619)&gt;1,"Duplicate","Unique")</f>
        <v>Unique</v>
      </c>
    </row>
    <row r="620" spans="1:20" x14ac:dyDescent="0.45">
      <c r="A620" t="s">
        <v>1349</v>
      </c>
      <c r="B620" t="s">
        <v>402</v>
      </c>
      <c r="C620" t="s">
        <v>51</v>
      </c>
      <c r="D620" t="s">
        <v>50</v>
      </c>
      <c r="E620" t="s">
        <v>181</v>
      </c>
      <c r="F620" t="s">
        <v>81</v>
      </c>
      <c r="G620" t="s">
        <v>182</v>
      </c>
      <c r="H620" t="s">
        <v>108</v>
      </c>
      <c r="I620" t="s">
        <v>107</v>
      </c>
      <c r="J620" t="s">
        <v>3180</v>
      </c>
      <c r="K620" t="s">
        <v>187</v>
      </c>
      <c r="L620" t="s">
        <v>3181</v>
      </c>
      <c r="M620" t="s">
        <v>282</v>
      </c>
      <c r="N620" t="s">
        <v>96</v>
      </c>
      <c r="O620" s="27">
        <v>771000</v>
      </c>
      <c r="P620">
        <v>3</v>
      </c>
      <c r="Q620" t="s">
        <v>172</v>
      </c>
      <c r="R620">
        <v>39</v>
      </c>
      <c r="S620" t="s">
        <v>219</v>
      </c>
      <c r="T620" t="str">
        <f>IF(COUNTIF($A$2:A620,A620)&gt;1,"Duplicate","Unique")</f>
        <v>Unique</v>
      </c>
    </row>
    <row r="621" spans="1:20" x14ac:dyDescent="0.45">
      <c r="A621" t="s">
        <v>2207</v>
      </c>
      <c r="B621" t="s">
        <v>191</v>
      </c>
      <c r="C621" t="s">
        <v>61</v>
      </c>
      <c r="D621" t="s">
        <v>60</v>
      </c>
      <c r="E621" t="s">
        <v>251</v>
      </c>
      <c r="F621" t="s">
        <v>82</v>
      </c>
      <c r="G621" t="s">
        <v>252</v>
      </c>
      <c r="H621" t="s">
        <v>108</v>
      </c>
      <c r="I621" t="s">
        <v>107</v>
      </c>
      <c r="J621" t="s">
        <v>2732</v>
      </c>
      <c r="K621" t="s">
        <v>162</v>
      </c>
      <c r="M621" t="s">
        <v>163</v>
      </c>
      <c r="N621" t="s">
        <v>97</v>
      </c>
      <c r="O621" s="27">
        <v>871000</v>
      </c>
      <c r="P621">
        <v>3</v>
      </c>
      <c r="Q621" t="s">
        <v>164</v>
      </c>
      <c r="R621">
        <v>10</v>
      </c>
      <c r="S621" t="s">
        <v>253</v>
      </c>
      <c r="T621" t="str">
        <f>IF(COUNTIF($A$2:A621,A621)&gt;1,"Duplicate","Unique")</f>
        <v>Unique</v>
      </c>
    </row>
    <row r="622" spans="1:20" x14ac:dyDescent="0.45">
      <c r="A622" t="s">
        <v>1243</v>
      </c>
      <c r="B622" t="s">
        <v>1244</v>
      </c>
      <c r="C622" t="s">
        <v>51</v>
      </c>
      <c r="D622" t="s">
        <v>50</v>
      </c>
      <c r="E622" t="s">
        <v>176</v>
      </c>
      <c r="F622" t="s">
        <v>82</v>
      </c>
      <c r="G622" t="s">
        <v>177</v>
      </c>
      <c r="H622" t="s">
        <v>108</v>
      </c>
      <c r="I622" t="s">
        <v>107</v>
      </c>
      <c r="J622" t="s">
        <v>3182</v>
      </c>
      <c r="K622" t="s">
        <v>187</v>
      </c>
      <c r="L622" t="s">
        <v>2659</v>
      </c>
      <c r="M622" t="s">
        <v>269</v>
      </c>
      <c r="N622" t="s">
        <v>99</v>
      </c>
      <c r="O622" s="27">
        <v>1030000</v>
      </c>
      <c r="P622">
        <v>4</v>
      </c>
      <c r="Q622" t="s">
        <v>172</v>
      </c>
      <c r="R622">
        <v>42</v>
      </c>
      <c r="S622" t="s">
        <v>197</v>
      </c>
      <c r="T622" t="str">
        <f>IF(COUNTIF($A$2:A622,A622)&gt;1,"Duplicate","Unique")</f>
        <v>Unique</v>
      </c>
    </row>
    <row r="623" spans="1:20" x14ac:dyDescent="0.45">
      <c r="A623" t="s">
        <v>1404</v>
      </c>
      <c r="B623" t="s">
        <v>550</v>
      </c>
      <c r="C623" t="s">
        <v>53</v>
      </c>
      <c r="D623" t="s">
        <v>52</v>
      </c>
      <c r="E623" t="s">
        <v>185</v>
      </c>
      <c r="F623" t="s">
        <v>82</v>
      </c>
      <c r="G623" t="s">
        <v>186</v>
      </c>
      <c r="H623" t="s">
        <v>106</v>
      </c>
      <c r="I623" t="s">
        <v>107</v>
      </c>
      <c r="J623" t="s">
        <v>3110</v>
      </c>
      <c r="K623" t="s">
        <v>162</v>
      </c>
      <c r="M623" t="s">
        <v>163</v>
      </c>
      <c r="N623" t="s">
        <v>98</v>
      </c>
      <c r="O623" s="27">
        <v>1142000</v>
      </c>
      <c r="P623">
        <v>3</v>
      </c>
      <c r="Q623" t="s">
        <v>164</v>
      </c>
      <c r="R623">
        <v>30</v>
      </c>
      <c r="S623" t="s">
        <v>189</v>
      </c>
      <c r="T623" t="str">
        <f>IF(COUNTIF($A$2:A623,A623)&gt;1,"Duplicate","Unique")</f>
        <v>Unique</v>
      </c>
    </row>
    <row r="624" spans="1:20" x14ac:dyDescent="0.45">
      <c r="A624" t="s">
        <v>1312</v>
      </c>
      <c r="B624" t="s">
        <v>1313</v>
      </c>
      <c r="C624" t="s">
        <v>55</v>
      </c>
      <c r="D624" t="s">
        <v>54</v>
      </c>
      <c r="E624" t="s">
        <v>537</v>
      </c>
      <c r="F624" t="s">
        <v>85</v>
      </c>
      <c r="G624" t="s">
        <v>538</v>
      </c>
      <c r="H624" t="s">
        <v>108</v>
      </c>
      <c r="I624" t="s">
        <v>107</v>
      </c>
      <c r="J624" t="s">
        <v>3183</v>
      </c>
      <c r="K624" t="s">
        <v>170</v>
      </c>
      <c r="L624" t="s">
        <v>2941</v>
      </c>
      <c r="M624" t="s">
        <v>171</v>
      </c>
      <c r="N624" t="s">
        <v>96</v>
      </c>
      <c r="O624" s="27">
        <v>4639000</v>
      </c>
      <c r="P624">
        <v>2</v>
      </c>
      <c r="Q624" t="s">
        <v>164</v>
      </c>
      <c r="S624" t="s">
        <v>262</v>
      </c>
      <c r="T624" t="str">
        <f>IF(COUNTIF($A$2:A624,A624)&gt;1,"Duplicate","Unique")</f>
        <v>Unique</v>
      </c>
    </row>
    <row r="625" spans="1:20" x14ac:dyDescent="0.45">
      <c r="A625" t="s">
        <v>915</v>
      </c>
      <c r="B625" t="s">
        <v>681</v>
      </c>
      <c r="C625" t="s">
        <v>51</v>
      </c>
      <c r="D625" t="s">
        <v>50</v>
      </c>
      <c r="E625" t="s">
        <v>397</v>
      </c>
      <c r="F625" t="s">
        <v>84</v>
      </c>
      <c r="G625" t="s">
        <v>398</v>
      </c>
      <c r="H625" t="s">
        <v>109</v>
      </c>
      <c r="I625" t="s">
        <v>110</v>
      </c>
      <c r="J625" t="s">
        <v>3184</v>
      </c>
      <c r="K625" t="s">
        <v>162</v>
      </c>
      <c r="M625" t="s">
        <v>163</v>
      </c>
      <c r="N625" t="s">
        <v>98</v>
      </c>
      <c r="O625" s="27">
        <v>3361000</v>
      </c>
      <c r="P625">
        <v>2</v>
      </c>
      <c r="Q625" t="s">
        <v>2624</v>
      </c>
      <c r="R625">
        <v>5</v>
      </c>
      <c r="S625" t="s">
        <v>178</v>
      </c>
      <c r="T625" t="str">
        <f>IF(COUNTIF($A$2:A625,A625)&gt;1,"Duplicate","Unique")</f>
        <v>Unique</v>
      </c>
    </row>
    <row r="626" spans="1:20" x14ac:dyDescent="0.45">
      <c r="A626" t="s">
        <v>575</v>
      </c>
      <c r="B626" t="s">
        <v>576</v>
      </c>
      <c r="C626" t="s">
        <v>51</v>
      </c>
      <c r="D626" t="s">
        <v>50</v>
      </c>
      <c r="E626" t="s">
        <v>176</v>
      </c>
      <c r="F626" t="s">
        <v>82</v>
      </c>
      <c r="G626" t="s">
        <v>177</v>
      </c>
      <c r="H626" t="s">
        <v>111</v>
      </c>
      <c r="I626" t="s">
        <v>110</v>
      </c>
      <c r="J626" t="s">
        <v>2895</v>
      </c>
      <c r="K626" t="s">
        <v>187</v>
      </c>
      <c r="L626" t="s">
        <v>3185</v>
      </c>
      <c r="M626" t="s">
        <v>269</v>
      </c>
      <c r="N626" t="s">
        <v>99</v>
      </c>
      <c r="O626" s="27">
        <v>1246000</v>
      </c>
      <c r="P626">
        <v>3</v>
      </c>
      <c r="Q626" t="s">
        <v>164</v>
      </c>
      <c r="R626">
        <v>21</v>
      </c>
      <c r="S626" t="s">
        <v>197</v>
      </c>
      <c r="T626" t="str">
        <f>IF(COUNTIF($A$2:A626,A626)&gt;1,"Duplicate","Unique")</f>
        <v>Unique</v>
      </c>
    </row>
    <row r="627" spans="1:20" x14ac:dyDescent="0.45">
      <c r="A627" t="s">
        <v>649</v>
      </c>
      <c r="B627" t="s">
        <v>650</v>
      </c>
      <c r="C627" t="s">
        <v>59</v>
      </c>
      <c r="D627" t="s">
        <v>58</v>
      </c>
      <c r="E627" t="s">
        <v>206</v>
      </c>
      <c r="F627" t="s">
        <v>81</v>
      </c>
      <c r="G627" t="s">
        <v>207</v>
      </c>
      <c r="H627" t="s">
        <v>2465</v>
      </c>
      <c r="I627" t="s">
        <v>107</v>
      </c>
      <c r="J627" t="s">
        <v>3186</v>
      </c>
      <c r="K627" t="s">
        <v>170</v>
      </c>
      <c r="L627" t="s">
        <v>3187</v>
      </c>
      <c r="M627" t="s">
        <v>171</v>
      </c>
      <c r="N627" t="s">
        <v>96</v>
      </c>
      <c r="O627" s="27">
        <v>767000</v>
      </c>
      <c r="P627">
        <v>2</v>
      </c>
      <c r="Q627" t="s">
        <v>164</v>
      </c>
      <c r="R627">
        <v>4</v>
      </c>
      <c r="S627" t="s">
        <v>208</v>
      </c>
      <c r="T627" t="str">
        <f>IF(COUNTIF($A$2:A627,A627)&gt;1,"Duplicate","Unique")</f>
        <v>Unique</v>
      </c>
    </row>
    <row r="628" spans="1:20" x14ac:dyDescent="0.45">
      <c r="A628" t="s">
        <v>1086</v>
      </c>
      <c r="B628" t="s">
        <v>868</v>
      </c>
      <c r="C628" t="s">
        <v>51</v>
      </c>
      <c r="D628" t="s">
        <v>50</v>
      </c>
      <c r="E628" t="s">
        <v>181</v>
      </c>
      <c r="F628" t="s">
        <v>81</v>
      </c>
      <c r="G628" t="s">
        <v>182</v>
      </c>
      <c r="H628" t="s">
        <v>109</v>
      </c>
      <c r="I628" t="s">
        <v>110</v>
      </c>
      <c r="J628" t="s">
        <v>3188</v>
      </c>
      <c r="K628" t="s">
        <v>162</v>
      </c>
      <c r="M628" t="s">
        <v>163</v>
      </c>
      <c r="N628" t="s">
        <v>99</v>
      </c>
      <c r="O628" s="27">
        <v>654000</v>
      </c>
      <c r="P628">
        <v>4</v>
      </c>
      <c r="Q628" t="s">
        <v>172</v>
      </c>
      <c r="R628">
        <v>49</v>
      </c>
      <c r="S628" t="s">
        <v>244</v>
      </c>
      <c r="T628" t="str">
        <f>IF(COUNTIF($A$2:A628,A628)&gt;1,"Duplicate","Unique")</f>
        <v>Unique</v>
      </c>
    </row>
    <row r="629" spans="1:20" x14ac:dyDescent="0.45">
      <c r="A629" t="s">
        <v>2138</v>
      </c>
      <c r="B629" t="s">
        <v>740</v>
      </c>
      <c r="C629" t="s">
        <v>61</v>
      </c>
      <c r="D629" t="s">
        <v>60</v>
      </c>
      <c r="E629" t="s">
        <v>356</v>
      </c>
      <c r="F629" t="s">
        <v>81</v>
      </c>
      <c r="G629" t="s">
        <v>357</v>
      </c>
      <c r="H629" t="s">
        <v>109</v>
      </c>
      <c r="I629" t="s">
        <v>110</v>
      </c>
      <c r="J629" t="s">
        <v>3189</v>
      </c>
      <c r="K629" t="s">
        <v>162</v>
      </c>
      <c r="M629" t="s">
        <v>163</v>
      </c>
      <c r="N629" t="s">
        <v>99</v>
      </c>
      <c r="O629" s="27">
        <v>639000</v>
      </c>
      <c r="P629">
        <v>3</v>
      </c>
      <c r="Q629" t="s">
        <v>172</v>
      </c>
      <c r="R629">
        <v>36</v>
      </c>
      <c r="S629" t="s">
        <v>319</v>
      </c>
      <c r="T629" t="str">
        <f>IF(COUNTIF($A$2:A629,A629)&gt;1,"Duplicate","Unique")</f>
        <v>Unique</v>
      </c>
    </row>
    <row r="630" spans="1:20" x14ac:dyDescent="0.45">
      <c r="A630" t="s">
        <v>2321</v>
      </c>
      <c r="B630" t="s">
        <v>802</v>
      </c>
      <c r="C630" t="s">
        <v>57</v>
      </c>
      <c r="D630" t="s">
        <v>56</v>
      </c>
      <c r="E630" t="s">
        <v>391</v>
      </c>
      <c r="F630" t="s">
        <v>83</v>
      </c>
      <c r="G630" t="s">
        <v>392</v>
      </c>
      <c r="H630" t="s">
        <v>106</v>
      </c>
      <c r="I630" t="s">
        <v>107</v>
      </c>
      <c r="J630" t="s">
        <v>2526</v>
      </c>
      <c r="K630" t="s">
        <v>162</v>
      </c>
      <c r="M630" t="s">
        <v>163</v>
      </c>
      <c r="N630" t="s">
        <v>95</v>
      </c>
      <c r="O630" s="27">
        <v>1489000</v>
      </c>
      <c r="P630">
        <v>4</v>
      </c>
      <c r="Q630" t="s">
        <v>164</v>
      </c>
      <c r="R630">
        <v>39</v>
      </c>
      <c r="S630" t="s">
        <v>224</v>
      </c>
      <c r="T630" t="str">
        <f>IF(COUNTIF($A$2:A630,A630)&gt;1,"Duplicate","Unique")</f>
        <v>Unique</v>
      </c>
    </row>
    <row r="631" spans="1:20" x14ac:dyDescent="0.45">
      <c r="A631" t="s">
        <v>1915</v>
      </c>
      <c r="B631" t="s">
        <v>625</v>
      </c>
      <c r="C631" t="s">
        <v>53</v>
      </c>
      <c r="D631" t="s">
        <v>52</v>
      </c>
      <c r="E631" t="s">
        <v>322</v>
      </c>
      <c r="F631" t="s">
        <v>81</v>
      </c>
      <c r="G631" t="s">
        <v>323</v>
      </c>
      <c r="H631" t="s">
        <v>108</v>
      </c>
      <c r="I631" t="s">
        <v>107</v>
      </c>
      <c r="J631" t="s">
        <v>3190</v>
      </c>
      <c r="K631" t="s">
        <v>162</v>
      </c>
      <c r="M631" t="s">
        <v>163</v>
      </c>
      <c r="N631" t="s">
        <v>99</v>
      </c>
      <c r="O631" s="27">
        <v>840000</v>
      </c>
      <c r="P631">
        <v>3</v>
      </c>
      <c r="Q631" t="s">
        <v>172</v>
      </c>
      <c r="R631">
        <v>29</v>
      </c>
      <c r="S631" t="s">
        <v>194</v>
      </c>
      <c r="T631" t="str">
        <f>IF(COUNTIF($A$2:A631,A631)&gt;1,"Duplicate","Unique")</f>
        <v>Unique</v>
      </c>
    </row>
    <row r="632" spans="1:20" x14ac:dyDescent="0.45">
      <c r="A632" t="s">
        <v>838</v>
      </c>
      <c r="B632" t="s">
        <v>839</v>
      </c>
      <c r="C632" t="s">
        <v>61</v>
      </c>
      <c r="D632" t="s">
        <v>60</v>
      </c>
      <c r="E632" t="s">
        <v>356</v>
      </c>
      <c r="F632" t="s">
        <v>81</v>
      </c>
      <c r="G632" t="s">
        <v>357</v>
      </c>
      <c r="H632" t="s">
        <v>106</v>
      </c>
      <c r="I632" t="s">
        <v>107</v>
      </c>
      <c r="J632" t="s">
        <v>3191</v>
      </c>
      <c r="K632" t="s">
        <v>162</v>
      </c>
      <c r="M632" t="s">
        <v>163</v>
      </c>
      <c r="N632" t="s">
        <v>99</v>
      </c>
      <c r="O632" s="27">
        <v>647000</v>
      </c>
      <c r="P632">
        <v>2</v>
      </c>
      <c r="Q632" t="s">
        <v>164</v>
      </c>
      <c r="R632">
        <v>24</v>
      </c>
      <c r="S632" t="s">
        <v>253</v>
      </c>
      <c r="T632" t="str">
        <f>IF(COUNTIF($A$2:A632,A632)&gt;1,"Duplicate","Unique")</f>
        <v>Unique</v>
      </c>
    </row>
    <row r="633" spans="1:20" x14ac:dyDescent="0.45">
      <c r="A633" t="s">
        <v>2117</v>
      </c>
      <c r="B633" t="s">
        <v>351</v>
      </c>
      <c r="C633" t="s">
        <v>51</v>
      </c>
      <c r="D633" t="s">
        <v>50</v>
      </c>
      <c r="E633" t="s">
        <v>176</v>
      </c>
      <c r="F633" t="s">
        <v>82</v>
      </c>
      <c r="G633" t="s">
        <v>177</v>
      </c>
      <c r="H633" t="s">
        <v>106</v>
      </c>
      <c r="I633" t="s">
        <v>107</v>
      </c>
      <c r="J633" t="s">
        <v>3192</v>
      </c>
      <c r="K633" t="s">
        <v>170</v>
      </c>
      <c r="L633" t="s">
        <v>3193</v>
      </c>
      <c r="M633" t="s">
        <v>171</v>
      </c>
      <c r="N633" t="s">
        <v>96</v>
      </c>
      <c r="O633" s="27">
        <v>939000</v>
      </c>
      <c r="P633">
        <v>3</v>
      </c>
      <c r="Q633" t="s">
        <v>164</v>
      </c>
      <c r="R633">
        <v>20</v>
      </c>
      <c r="S633" t="s">
        <v>178</v>
      </c>
      <c r="T633" t="str">
        <f>IF(COUNTIF($A$2:A633,A633)&gt;1,"Duplicate","Unique")</f>
        <v>Unique</v>
      </c>
    </row>
    <row r="634" spans="1:20" x14ac:dyDescent="0.45">
      <c r="A634" t="s">
        <v>1332</v>
      </c>
      <c r="B634" t="s">
        <v>531</v>
      </c>
      <c r="C634" t="s">
        <v>51</v>
      </c>
      <c r="D634" t="s">
        <v>50</v>
      </c>
      <c r="E634" t="s">
        <v>397</v>
      </c>
      <c r="F634" t="s">
        <v>84</v>
      </c>
      <c r="G634" t="s">
        <v>398</v>
      </c>
      <c r="H634" t="s">
        <v>106</v>
      </c>
      <c r="I634" t="s">
        <v>107</v>
      </c>
      <c r="J634" t="s">
        <v>2445</v>
      </c>
      <c r="K634" t="s">
        <v>162</v>
      </c>
      <c r="M634" t="s">
        <v>163</v>
      </c>
      <c r="N634" t="s">
        <v>99</v>
      </c>
      <c r="O634" s="27">
        <v>3012000</v>
      </c>
      <c r="P634">
        <v>3</v>
      </c>
      <c r="Q634" t="s">
        <v>164</v>
      </c>
      <c r="R634">
        <v>41</v>
      </c>
      <c r="S634" t="s">
        <v>244</v>
      </c>
      <c r="T634" t="str">
        <f>IF(COUNTIF($A$2:A634,A634)&gt;1,"Duplicate","Unique")</f>
        <v>Unique</v>
      </c>
    </row>
    <row r="635" spans="1:20" x14ac:dyDescent="0.45">
      <c r="A635" t="s">
        <v>2099</v>
      </c>
      <c r="B635" t="s">
        <v>1824</v>
      </c>
      <c r="C635" t="s">
        <v>51</v>
      </c>
      <c r="D635" t="s">
        <v>50</v>
      </c>
      <c r="E635" t="s">
        <v>176</v>
      </c>
      <c r="F635" t="s">
        <v>82</v>
      </c>
      <c r="G635" t="s">
        <v>177</v>
      </c>
      <c r="H635" t="s">
        <v>106</v>
      </c>
      <c r="I635" t="s">
        <v>107</v>
      </c>
      <c r="J635" t="s">
        <v>3194</v>
      </c>
      <c r="K635" t="s">
        <v>162</v>
      </c>
      <c r="M635" t="s">
        <v>163</v>
      </c>
      <c r="N635" t="s">
        <v>97</v>
      </c>
      <c r="O635" s="27">
        <v>1314000</v>
      </c>
      <c r="P635">
        <v>3</v>
      </c>
      <c r="Q635" t="s">
        <v>164</v>
      </c>
      <c r="R635">
        <v>29</v>
      </c>
      <c r="S635" t="s">
        <v>178</v>
      </c>
      <c r="T635" t="str">
        <f>IF(COUNTIF($A$2:A635,A635)&gt;1,"Duplicate","Unique")</f>
        <v>Unique</v>
      </c>
    </row>
    <row r="636" spans="1:20" x14ac:dyDescent="0.45">
      <c r="A636" t="s">
        <v>857</v>
      </c>
      <c r="B636" t="s">
        <v>858</v>
      </c>
      <c r="C636" t="s">
        <v>61</v>
      </c>
      <c r="D636" t="s">
        <v>60</v>
      </c>
      <c r="E636" t="s">
        <v>251</v>
      </c>
      <c r="F636" t="s">
        <v>82</v>
      </c>
      <c r="G636" t="s">
        <v>252</v>
      </c>
      <c r="H636" t="s">
        <v>106</v>
      </c>
      <c r="I636" t="s">
        <v>107</v>
      </c>
      <c r="J636" t="s">
        <v>3195</v>
      </c>
      <c r="K636" t="s">
        <v>162</v>
      </c>
      <c r="M636" t="s">
        <v>163</v>
      </c>
      <c r="N636" t="s">
        <v>96</v>
      </c>
      <c r="O636" s="27">
        <v>1058000</v>
      </c>
      <c r="P636">
        <v>4</v>
      </c>
      <c r="Q636" t="s">
        <v>164</v>
      </c>
      <c r="R636">
        <v>39</v>
      </c>
      <c r="S636" t="s">
        <v>253</v>
      </c>
      <c r="T636" t="str">
        <f>IF(COUNTIF($A$2:A636,A636)&gt;1,"Duplicate","Unique")</f>
        <v>Unique</v>
      </c>
    </row>
    <row r="637" spans="1:20" x14ac:dyDescent="0.45">
      <c r="A637" t="s">
        <v>2266</v>
      </c>
      <c r="B637" t="s">
        <v>736</v>
      </c>
      <c r="C637" t="s">
        <v>51</v>
      </c>
      <c r="D637" t="s">
        <v>50</v>
      </c>
      <c r="E637" t="s">
        <v>176</v>
      </c>
      <c r="F637" t="s">
        <v>82</v>
      </c>
      <c r="G637" t="s">
        <v>177</v>
      </c>
      <c r="H637" t="s">
        <v>109</v>
      </c>
      <c r="I637" t="s">
        <v>110</v>
      </c>
      <c r="J637" t="s">
        <v>2831</v>
      </c>
      <c r="K637" t="s">
        <v>162</v>
      </c>
      <c r="M637" t="s">
        <v>163</v>
      </c>
      <c r="N637" t="s">
        <v>96</v>
      </c>
      <c r="O637" s="27">
        <v>1267000</v>
      </c>
      <c r="P637">
        <v>4</v>
      </c>
      <c r="Q637" t="s">
        <v>164</v>
      </c>
      <c r="R637">
        <v>33</v>
      </c>
      <c r="S637" t="s">
        <v>197</v>
      </c>
      <c r="T637" t="str">
        <f>IF(COUNTIF($A$2:A637,A637)&gt;1,"Duplicate","Unique")</f>
        <v>Unique</v>
      </c>
    </row>
    <row r="638" spans="1:20" x14ac:dyDescent="0.45">
      <c r="A638" t="s">
        <v>1023</v>
      </c>
      <c r="B638" t="s">
        <v>1024</v>
      </c>
      <c r="C638" t="s">
        <v>57</v>
      </c>
      <c r="D638" t="s">
        <v>56</v>
      </c>
      <c r="E638" t="s">
        <v>160</v>
      </c>
      <c r="F638" t="s">
        <v>81</v>
      </c>
      <c r="G638" t="s">
        <v>161</v>
      </c>
      <c r="H638" t="s">
        <v>106</v>
      </c>
      <c r="I638" t="s">
        <v>107</v>
      </c>
      <c r="J638" t="s">
        <v>3196</v>
      </c>
      <c r="K638" t="s">
        <v>187</v>
      </c>
      <c r="L638" t="s">
        <v>3197</v>
      </c>
      <c r="M638" t="s">
        <v>269</v>
      </c>
      <c r="N638" t="s">
        <v>99</v>
      </c>
      <c r="O638" s="27">
        <v>666000</v>
      </c>
      <c r="P638">
        <v>3</v>
      </c>
      <c r="Q638" t="s">
        <v>172</v>
      </c>
      <c r="R638">
        <v>21</v>
      </c>
      <c r="S638" t="s">
        <v>224</v>
      </c>
      <c r="T638" t="str">
        <f>IF(COUNTIF($A$2:A638,A638)&gt;1,"Duplicate","Unique")</f>
        <v>Unique</v>
      </c>
    </row>
    <row r="639" spans="1:20" x14ac:dyDescent="0.45">
      <c r="A639" t="s">
        <v>2072</v>
      </c>
      <c r="B639" t="s">
        <v>3198</v>
      </c>
      <c r="C639" t="s">
        <v>51</v>
      </c>
      <c r="D639" t="s">
        <v>50</v>
      </c>
      <c r="E639" t="s">
        <v>181</v>
      </c>
      <c r="F639" t="s">
        <v>81</v>
      </c>
      <c r="G639" t="s">
        <v>182</v>
      </c>
      <c r="H639" t="s">
        <v>108</v>
      </c>
      <c r="I639" t="s">
        <v>107</v>
      </c>
      <c r="J639" t="s">
        <v>3054</v>
      </c>
      <c r="K639" t="s">
        <v>162</v>
      </c>
      <c r="M639" t="s">
        <v>163</v>
      </c>
      <c r="N639" t="s">
        <v>98</v>
      </c>
      <c r="O639" s="27">
        <v>723000</v>
      </c>
      <c r="P639">
        <v>3</v>
      </c>
      <c r="Q639" t="s">
        <v>164</v>
      </c>
      <c r="R639">
        <v>37</v>
      </c>
      <c r="S639" t="s">
        <v>244</v>
      </c>
      <c r="T639" t="str">
        <f>IF(COUNTIF($A$2:A639,A639)&gt;1,"Duplicate","Unique")</f>
        <v>Unique</v>
      </c>
    </row>
    <row r="640" spans="1:20" x14ac:dyDescent="0.45">
      <c r="A640" t="s">
        <v>1058</v>
      </c>
      <c r="B640" t="s">
        <v>619</v>
      </c>
      <c r="C640" t="s">
        <v>51</v>
      </c>
      <c r="D640" t="s">
        <v>50</v>
      </c>
      <c r="E640" t="s">
        <v>176</v>
      </c>
      <c r="F640" t="s">
        <v>82</v>
      </c>
      <c r="G640" t="s">
        <v>177</v>
      </c>
      <c r="H640" t="s">
        <v>106</v>
      </c>
      <c r="I640" t="s">
        <v>107</v>
      </c>
      <c r="J640" t="s">
        <v>3199</v>
      </c>
      <c r="K640" t="s">
        <v>170</v>
      </c>
      <c r="L640" t="s">
        <v>3200</v>
      </c>
      <c r="M640" t="s">
        <v>171</v>
      </c>
      <c r="N640" t="s">
        <v>99</v>
      </c>
      <c r="O640" s="27">
        <v>1019000</v>
      </c>
      <c r="P640">
        <v>1</v>
      </c>
      <c r="Q640" t="s">
        <v>164</v>
      </c>
      <c r="R640">
        <v>20</v>
      </c>
      <c r="S640" t="s">
        <v>219</v>
      </c>
      <c r="T640" t="str">
        <f>IF(COUNTIF($A$2:A640,A640)&gt;1,"Duplicate","Unique")</f>
        <v>Unique</v>
      </c>
    </row>
    <row r="641" spans="1:20" x14ac:dyDescent="0.45">
      <c r="A641" t="s">
        <v>496</v>
      </c>
      <c r="B641" t="s">
        <v>3201</v>
      </c>
      <c r="C641" t="s">
        <v>51</v>
      </c>
      <c r="D641" t="s">
        <v>2464</v>
      </c>
      <c r="E641" t="s">
        <v>181</v>
      </c>
      <c r="F641" t="s">
        <v>81</v>
      </c>
      <c r="G641" t="s">
        <v>182</v>
      </c>
      <c r="H641" t="s">
        <v>106</v>
      </c>
      <c r="I641" t="s">
        <v>107</v>
      </c>
      <c r="J641" t="s">
        <v>3202</v>
      </c>
      <c r="K641" t="s">
        <v>162</v>
      </c>
      <c r="M641" t="s">
        <v>163</v>
      </c>
      <c r="N641" t="s">
        <v>96</v>
      </c>
      <c r="O641" s="27">
        <v>679000</v>
      </c>
      <c r="P641">
        <v>4</v>
      </c>
      <c r="Q641" t="s">
        <v>164</v>
      </c>
      <c r="R641">
        <v>40</v>
      </c>
      <c r="S641" t="s">
        <v>197</v>
      </c>
      <c r="T641" t="str">
        <f>IF(COUNTIF($A$2:A641,A641)&gt;1,"Duplicate","Unique")</f>
        <v>Unique</v>
      </c>
    </row>
    <row r="642" spans="1:20" x14ac:dyDescent="0.45">
      <c r="A642" t="s">
        <v>1211</v>
      </c>
      <c r="B642" t="s">
        <v>1212</v>
      </c>
      <c r="C642" t="s">
        <v>51</v>
      </c>
      <c r="D642" t="s">
        <v>2464</v>
      </c>
      <c r="E642" t="s">
        <v>328</v>
      </c>
      <c r="F642" t="s">
        <v>85</v>
      </c>
      <c r="G642" t="s">
        <v>329</v>
      </c>
      <c r="H642" t="s">
        <v>106</v>
      </c>
      <c r="I642" t="s">
        <v>107</v>
      </c>
      <c r="J642" t="s">
        <v>3203</v>
      </c>
      <c r="K642" t="s">
        <v>162</v>
      </c>
      <c r="M642" t="s">
        <v>163</v>
      </c>
      <c r="N642" t="s">
        <v>98</v>
      </c>
      <c r="O642" s="27">
        <v>4740000</v>
      </c>
      <c r="P642">
        <v>3</v>
      </c>
      <c r="Q642" t="s">
        <v>164</v>
      </c>
      <c r="R642">
        <v>31</v>
      </c>
      <c r="S642" t="s">
        <v>219</v>
      </c>
      <c r="T642" t="str">
        <f>IF(COUNTIF($A$2:A642,A642)&gt;1,"Duplicate","Unique")</f>
        <v>Unique</v>
      </c>
    </row>
    <row r="643" spans="1:20" x14ac:dyDescent="0.45">
      <c r="A643" t="s">
        <v>1792</v>
      </c>
      <c r="B643" t="s">
        <v>474</v>
      </c>
      <c r="C643" t="s">
        <v>57</v>
      </c>
      <c r="D643" t="s">
        <v>56</v>
      </c>
      <c r="E643" t="s">
        <v>455</v>
      </c>
      <c r="F643" t="s">
        <v>84</v>
      </c>
      <c r="G643" t="s">
        <v>456</v>
      </c>
      <c r="H643" t="s">
        <v>111</v>
      </c>
      <c r="I643" t="s">
        <v>110</v>
      </c>
      <c r="J643" t="s">
        <v>3204</v>
      </c>
      <c r="K643" t="s">
        <v>170</v>
      </c>
      <c r="L643" t="s">
        <v>2665</v>
      </c>
      <c r="M643" t="s">
        <v>171</v>
      </c>
      <c r="N643" t="s">
        <v>95</v>
      </c>
      <c r="O643" s="27">
        <v>2470000</v>
      </c>
      <c r="P643">
        <v>2</v>
      </c>
      <c r="Q643" t="s">
        <v>172</v>
      </c>
      <c r="R643">
        <v>18</v>
      </c>
      <c r="S643" t="s">
        <v>165</v>
      </c>
      <c r="T643" t="str">
        <f>IF(COUNTIF($A$2:A643,A643)&gt;1,"Duplicate","Unique")</f>
        <v>Unique</v>
      </c>
    </row>
    <row r="644" spans="1:20" x14ac:dyDescent="0.45">
      <c r="A644" t="s">
        <v>1527</v>
      </c>
      <c r="B644" t="s">
        <v>3205</v>
      </c>
      <c r="C644" t="s">
        <v>51</v>
      </c>
      <c r="D644" t="s">
        <v>50</v>
      </c>
      <c r="E644" t="s">
        <v>176</v>
      </c>
      <c r="F644" t="s">
        <v>82</v>
      </c>
      <c r="G644" t="s">
        <v>177</v>
      </c>
      <c r="H644" t="s">
        <v>106</v>
      </c>
      <c r="I644" t="s">
        <v>107</v>
      </c>
      <c r="J644" t="s">
        <v>3206</v>
      </c>
      <c r="K644" t="s">
        <v>162</v>
      </c>
      <c r="M644" t="s">
        <v>163</v>
      </c>
      <c r="N644" t="s">
        <v>97</v>
      </c>
      <c r="O644" s="27">
        <v>1236000</v>
      </c>
      <c r="P644">
        <v>4</v>
      </c>
      <c r="Q644" t="s">
        <v>172</v>
      </c>
      <c r="R644">
        <v>24</v>
      </c>
      <c r="S644" t="s">
        <v>219</v>
      </c>
      <c r="T644" t="str">
        <f>IF(COUNTIF($A$2:A644,A644)&gt;1,"Duplicate","Unique")</f>
        <v>Unique</v>
      </c>
    </row>
    <row r="645" spans="1:20" x14ac:dyDescent="0.45">
      <c r="A645" t="s">
        <v>1433</v>
      </c>
      <c r="B645" t="s">
        <v>1434</v>
      </c>
      <c r="C645" t="s">
        <v>51</v>
      </c>
      <c r="D645" t="s">
        <v>50</v>
      </c>
      <c r="E645" t="s">
        <v>181</v>
      </c>
      <c r="F645" t="s">
        <v>81</v>
      </c>
      <c r="G645" t="s">
        <v>182</v>
      </c>
      <c r="H645" t="s">
        <v>106</v>
      </c>
      <c r="I645" t="s">
        <v>107</v>
      </c>
      <c r="J645" t="s">
        <v>2752</v>
      </c>
      <c r="K645" t="s">
        <v>162</v>
      </c>
      <c r="M645" t="s">
        <v>163</v>
      </c>
      <c r="N645" t="s">
        <v>95</v>
      </c>
      <c r="O645" s="27">
        <v>597000</v>
      </c>
      <c r="P645">
        <v>4</v>
      </c>
      <c r="Q645" t="s">
        <v>164</v>
      </c>
      <c r="S645" t="s">
        <v>219</v>
      </c>
      <c r="T645" t="str">
        <f>IF(COUNTIF($A$2:A645,A645)&gt;1,"Duplicate","Unique")</f>
        <v>Unique</v>
      </c>
    </row>
    <row r="646" spans="1:20" x14ac:dyDescent="0.45">
      <c r="A646" t="s">
        <v>1889</v>
      </c>
      <c r="B646" t="s">
        <v>509</v>
      </c>
      <c r="C646" t="s">
        <v>53</v>
      </c>
      <c r="D646" t="s">
        <v>52</v>
      </c>
      <c r="E646" t="s">
        <v>192</v>
      </c>
      <c r="F646" t="s">
        <v>83</v>
      </c>
      <c r="G646" t="s">
        <v>193</v>
      </c>
      <c r="H646" t="s">
        <v>106</v>
      </c>
      <c r="I646" t="s">
        <v>107</v>
      </c>
      <c r="J646" t="s">
        <v>3207</v>
      </c>
      <c r="K646" t="s">
        <v>162</v>
      </c>
      <c r="M646" t="s">
        <v>163</v>
      </c>
      <c r="N646" t="s">
        <v>99</v>
      </c>
      <c r="O646" s="27">
        <v>1778000</v>
      </c>
      <c r="P646">
        <v>3</v>
      </c>
      <c r="Q646" t="s">
        <v>172</v>
      </c>
      <c r="R646">
        <v>51</v>
      </c>
      <c r="S646" t="s">
        <v>194</v>
      </c>
      <c r="T646" t="str">
        <f>IF(COUNTIF($A$2:A646,A646)&gt;1,"Duplicate","Unique")</f>
        <v>Unique</v>
      </c>
    </row>
    <row r="647" spans="1:20" x14ac:dyDescent="0.45">
      <c r="A647" t="s">
        <v>1628</v>
      </c>
      <c r="B647" t="s">
        <v>1629</v>
      </c>
      <c r="C647" t="s">
        <v>51</v>
      </c>
      <c r="D647" t="s">
        <v>50</v>
      </c>
      <c r="E647" t="s">
        <v>176</v>
      </c>
      <c r="F647" t="s">
        <v>82</v>
      </c>
      <c r="G647" t="s">
        <v>177</v>
      </c>
      <c r="H647" t="s">
        <v>106</v>
      </c>
      <c r="I647" t="s">
        <v>107</v>
      </c>
      <c r="J647" t="s">
        <v>2598</v>
      </c>
      <c r="K647" t="s">
        <v>162</v>
      </c>
      <c r="M647" t="s">
        <v>163</v>
      </c>
      <c r="N647" t="s">
        <v>97</v>
      </c>
      <c r="O647" s="27">
        <v>1300000</v>
      </c>
      <c r="P647">
        <v>3</v>
      </c>
      <c r="Q647" t="s">
        <v>164</v>
      </c>
      <c r="R647">
        <v>22</v>
      </c>
      <c r="S647" t="s">
        <v>197</v>
      </c>
      <c r="T647" t="str">
        <f>IF(COUNTIF($A$2:A647,A647)&gt;1,"Duplicate","Unique")</f>
        <v>Unique</v>
      </c>
    </row>
    <row r="648" spans="1:20" x14ac:dyDescent="0.45">
      <c r="A648" t="s">
        <v>480</v>
      </c>
      <c r="B648" t="s">
        <v>481</v>
      </c>
      <c r="C648" t="s">
        <v>53</v>
      </c>
      <c r="D648" t="s">
        <v>52</v>
      </c>
      <c r="E648" t="s">
        <v>322</v>
      </c>
      <c r="F648" t="s">
        <v>81</v>
      </c>
      <c r="G648" t="s">
        <v>323</v>
      </c>
      <c r="H648" t="s">
        <v>2550</v>
      </c>
      <c r="I648" t="s">
        <v>107</v>
      </c>
      <c r="J648" t="s">
        <v>3208</v>
      </c>
      <c r="K648" t="s">
        <v>187</v>
      </c>
      <c r="L648" t="s">
        <v>3209</v>
      </c>
      <c r="M648" t="s">
        <v>213</v>
      </c>
      <c r="N648" t="s">
        <v>99</v>
      </c>
      <c r="O648" s="27">
        <v>723000</v>
      </c>
      <c r="P648">
        <v>5</v>
      </c>
      <c r="Q648" t="s">
        <v>164</v>
      </c>
      <c r="R648">
        <v>35</v>
      </c>
      <c r="S648" t="s">
        <v>237</v>
      </c>
      <c r="T648" t="str">
        <f>IF(COUNTIF($A$2:A648,A648)&gt;1,"Duplicate","Unique")</f>
        <v>Unique</v>
      </c>
    </row>
    <row r="649" spans="1:20" x14ac:dyDescent="0.45">
      <c r="A649" t="s">
        <v>672</v>
      </c>
      <c r="B649" t="s">
        <v>673</v>
      </c>
      <c r="C649" t="s">
        <v>51</v>
      </c>
      <c r="D649" t="s">
        <v>50</v>
      </c>
      <c r="E649" t="s">
        <v>397</v>
      </c>
      <c r="F649" t="s">
        <v>84</v>
      </c>
      <c r="G649" t="s">
        <v>398</v>
      </c>
      <c r="H649" t="s">
        <v>106</v>
      </c>
      <c r="I649" t="s">
        <v>107</v>
      </c>
      <c r="J649" t="s">
        <v>3210</v>
      </c>
      <c r="K649" t="s">
        <v>162</v>
      </c>
      <c r="M649" t="s">
        <v>163</v>
      </c>
      <c r="N649" t="s">
        <v>96</v>
      </c>
      <c r="O649" s="27">
        <v>3072000</v>
      </c>
      <c r="P649">
        <v>4</v>
      </c>
      <c r="Q649" t="s">
        <v>164</v>
      </c>
      <c r="R649">
        <v>33</v>
      </c>
      <c r="S649" t="s">
        <v>244</v>
      </c>
      <c r="T649" t="str">
        <f>IF(COUNTIF($A$2:A649,A649)&gt;1,"Duplicate","Unique")</f>
        <v>Unique</v>
      </c>
    </row>
    <row r="650" spans="1:20" x14ac:dyDescent="0.45">
      <c r="A650" t="s">
        <v>729</v>
      </c>
      <c r="B650" t="s">
        <v>730</v>
      </c>
      <c r="C650" t="s">
        <v>55</v>
      </c>
      <c r="D650" t="s">
        <v>54</v>
      </c>
      <c r="E650" t="s">
        <v>240</v>
      </c>
      <c r="F650" t="s">
        <v>83</v>
      </c>
      <c r="G650" t="s">
        <v>241</v>
      </c>
      <c r="H650" t="s">
        <v>108</v>
      </c>
      <c r="I650" t="s">
        <v>107</v>
      </c>
      <c r="J650" t="s">
        <v>3211</v>
      </c>
      <c r="K650" t="s">
        <v>170</v>
      </c>
      <c r="L650" t="s">
        <v>2750</v>
      </c>
      <c r="M650" t="s">
        <v>171</v>
      </c>
      <c r="N650" t="s">
        <v>95</v>
      </c>
      <c r="O650" s="27">
        <v>1755000</v>
      </c>
      <c r="P650">
        <v>2</v>
      </c>
      <c r="Q650" t="s">
        <v>172</v>
      </c>
      <c r="R650">
        <v>19</v>
      </c>
      <c r="S650" t="s">
        <v>262</v>
      </c>
      <c r="T650" t="str">
        <f>IF(COUNTIF($A$2:A650,A650)&gt;1,"Duplicate","Unique")</f>
        <v>Unique</v>
      </c>
    </row>
    <row r="651" spans="1:20" x14ac:dyDescent="0.45">
      <c r="A651" t="s">
        <v>1656</v>
      </c>
      <c r="B651" t="s">
        <v>1657</v>
      </c>
      <c r="C651" t="s">
        <v>59</v>
      </c>
      <c r="D651" t="s">
        <v>58</v>
      </c>
      <c r="E651" t="s">
        <v>206</v>
      </c>
      <c r="F651" t="s">
        <v>81</v>
      </c>
      <c r="G651" t="s">
        <v>207</v>
      </c>
      <c r="H651" t="s">
        <v>112</v>
      </c>
      <c r="I651" t="s">
        <v>113</v>
      </c>
      <c r="J651" t="s">
        <v>2644</v>
      </c>
      <c r="K651" t="s">
        <v>170</v>
      </c>
      <c r="L651" t="s">
        <v>3212</v>
      </c>
      <c r="M651" t="s">
        <v>171</v>
      </c>
      <c r="N651" t="s">
        <v>98</v>
      </c>
      <c r="O651" s="27">
        <v>701000</v>
      </c>
      <c r="P651">
        <v>4</v>
      </c>
      <c r="Q651" t="s">
        <v>164</v>
      </c>
      <c r="R651">
        <v>43</v>
      </c>
      <c r="S651" t="s">
        <v>214</v>
      </c>
      <c r="T651" t="str">
        <f>IF(COUNTIF($A$2:A651,A651)&gt;1,"Duplicate","Unique")</f>
        <v>Unique</v>
      </c>
    </row>
    <row r="652" spans="1:20" x14ac:dyDescent="0.45">
      <c r="A652" t="s">
        <v>2136</v>
      </c>
      <c r="B652" t="s">
        <v>2137</v>
      </c>
      <c r="C652" t="s">
        <v>51</v>
      </c>
      <c r="D652" t="s">
        <v>50</v>
      </c>
      <c r="E652" t="s">
        <v>176</v>
      </c>
      <c r="F652" t="s">
        <v>82</v>
      </c>
      <c r="G652" t="s">
        <v>177</v>
      </c>
      <c r="H652" t="s">
        <v>106</v>
      </c>
      <c r="I652" t="s">
        <v>107</v>
      </c>
      <c r="J652" t="s">
        <v>3213</v>
      </c>
      <c r="K652" t="s">
        <v>162</v>
      </c>
      <c r="M652" t="s">
        <v>163</v>
      </c>
      <c r="N652" t="s">
        <v>98</v>
      </c>
      <c r="O652" s="27">
        <v>875000</v>
      </c>
      <c r="P652">
        <v>3</v>
      </c>
      <c r="Q652" t="s">
        <v>164</v>
      </c>
      <c r="R652">
        <v>39</v>
      </c>
      <c r="S652" t="s">
        <v>197</v>
      </c>
      <c r="T652" t="str">
        <f>IF(COUNTIF($A$2:A652,A652)&gt;1,"Duplicate","Unique")</f>
        <v>Unique</v>
      </c>
    </row>
    <row r="653" spans="1:20" x14ac:dyDescent="0.45">
      <c r="A653" t="s">
        <v>1616</v>
      </c>
      <c r="B653" t="s">
        <v>1617</v>
      </c>
      <c r="C653" t="s">
        <v>53</v>
      </c>
      <c r="D653" t="s">
        <v>52</v>
      </c>
      <c r="E653" t="s">
        <v>185</v>
      </c>
      <c r="F653" t="s">
        <v>82</v>
      </c>
      <c r="G653" t="s">
        <v>186</v>
      </c>
      <c r="H653" t="s">
        <v>106</v>
      </c>
      <c r="I653" t="s">
        <v>107</v>
      </c>
      <c r="J653" t="s">
        <v>3214</v>
      </c>
      <c r="K653" t="s">
        <v>162</v>
      </c>
      <c r="M653" t="s">
        <v>163</v>
      </c>
      <c r="N653" t="s">
        <v>96</v>
      </c>
      <c r="O653" s="27">
        <v>1231000</v>
      </c>
      <c r="P653">
        <v>4</v>
      </c>
      <c r="Q653" t="s">
        <v>164</v>
      </c>
      <c r="S653" t="s">
        <v>237</v>
      </c>
      <c r="T653" t="str">
        <f>IF(COUNTIF($A$2:A653,A653)&gt;1,"Duplicate","Unique")</f>
        <v>Unique</v>
      </c>
    </row>
    <row r="654" spans="1:20" x14ac:dyDescent="0.45">
      <c r="A654" t="s">
        <v>1338</v>
      </c>
      <c r="B654" t="s">
        <v>1091</v>
      </c>
      <c r="C654" t="s">
        <v>61</v>
      </c>
      <c r="D654" t="s">
        <v>60</v>
      </c>
      <c r="E654" t="s">
        <v>356</v>
      </c>
      <c r="F654" t="s">
        <v>81</v>
      </c>
      <c r="G654" t="s">
        <v>357</v>
      </c>
      <c r="H654" t="s">
        <v>108</v>
      </c>
      <c r="I654" t="s">
        <v>107</v>
      </c>
      <c r="J654" t="s">
        <v>3215</v>
      </c>
      <c r="K654" t="s">
        <v>162</v>
      </c>
      <c r="M654" t="s">
        <v>163</v>
      </c>
      <c r="N654" t="s">
        <v>96</v>
      </c>
      <c r="O654" s="27">
        <v>735000</v>
      </c>
      <c r="P654">
        <v>4</v>
      </c>
      <c r="Q654" t="s">
        <v>172</v>
      </c>
      <c r="R654">
        <v>37</v>
      </c>
      <c r="S654" t="s">
        <v>253</v>
      </c>
      <c r="T654" t="str">
        <f>IF(COUNTIF($A$2:A654,A654)&gt;1,"Duplicate","Unique")</f>
        <v>Unique</v>
      </c>
    </row>
    <row r="655" spans="1:20" x14ac:dyDescent="0.45">
      <c r="A655" t="s">
        <v>285</v>
      </c>
      <c r="B655" t="s">
        <v>286</v>
      </c>
      <c r="C655" t="s">
        <v>59</v>
      </c>
      <c r="D655" t="s">
        <v>58</v>
      </c>
      <c r="E655" t="s">
        <v>287</v>
      </c>
      <c r="F655" t="s">
        <v>83</v>
      </c>
      <c r="G655" t="s">
        <v>288</v>
      </c>
      <c r="H655" t="s">
        <v>109</v>
      </c>
      <c r="I655" t="s">
        <v>110</v>
      </c>
      <c r="J655" t="s">
        <v>3216</v>
      </c>
      <c r="K655" t="s">
        <v>162</v>
      </c>
      <c r="M655" t="s">
        <v>163</v>
      </c>
      <c r="N655" t="s">
        <v>99</v>
      </c>
      <c r="O655" s="27">
        <v>1864000</v>
      </c>
      <c r="P655">
        <v>3</v>
      </c>
      <c r="Q655" t="s">
        <v>164</v>
      </c>
      <c r="R655">
        <v>42</v>
      </c>
      <c r="S655" t="s">
        <v>208</v>
      </c>
      <c r="T655" t="str">
        <f>IF(COUNTIF($A$2:A655,A655)&gt;1,"Duplicate","Unique")</f>
        <v>Unique</v>
      </c>
    </row>
    <row r="656" spans="1:20" x14ac:dyDescent="0.45">
      <c r="A656" t="s">
        <v>1566</v>
      </c>
      <c r="B656" t="s">
        <v>1567</v>
      </c>
      <c r="C656" t="s">
        <v>55</v>
      </c>
      <c r="D656" t="s">
        <v>54</v>
      </c>
      <c r="E656" t="s">
        <v>229</v>
      </c>
      <c r="F656" t="s">
        <v>82</v>
      </c>
      <c r="G656" t="s">
        <v>230</v>
      </c>
      <c r="H656" t="s">
        <v>109</v>
      </c>
      <c r="I656" t="s">
        <v>110</v>
      </c>
      <c r="J656" t="s">
        <v>3217</v>
      </c>
      <c r="K656" t="s">
        <v>162</v>
      </c>
      <c r="M656" t="s">
        <v>163</v>
      </c>
      <c r="N656" t="s">
        <v>99</v>
      </c>
      <c r="O656" s="27">
        <v>1022000</v>
      </c>
      <c r="P656">
        <v>3</v>
      </c>
      <c r="Q656" t="s">
        <v>172</v>
      </c>
      <c r="R656">
        <v>39</v>
      </c>
      <c r="S656" t="s">
        <v>173</v>
      </c>
      <c r="T656" t="str">
        <f>IF(COUNTIF($A$2:A656,A656)&gt;1,"Duplicate","Unique")</f>
        <v>Unique</v>
      </c>
    </row>
    <row r="657" spans="1:20" x14ac:dyDescent="0.45">
      <c r="A657" t="s">
        <v>886</v>
      </c>
      <c r="B657" t="s">
        <v>751</v>
      </c>
      <c r="C657" t="s">
        <v>51</v>
      </c>
      <c r="D657" t="s">
        <v>50</v>
      </c>
      <c r="E657" t="s">
        <v>181</v>
      </c>
      <c r="F657" t="s">
        <v>81</v>
      </c>
      <c r="G657" t="s">
        <v>182</v>
      </c>
      <c r="H657" t="s">
        <v>109</v>
      </c>
      <c r="I657" t="s">
        <v>110</v>
      </c>
      <c r="J657" t="s">
        <v>3218</v>
      </c>
      <c r="K657" t="s">
        <v>187</v>
      </c>
      <c r="L657" t="s">
        <v>3219</v>
      </c>
      <c r="M657" t="s">
        <v>269</v>
      </c>
      <c r="N657" t="s">
        <v>99</v>
      </c>
      <c r="O657" s="27">
        <v>683000</v>
      </c>
      <c r="P657">
        <v>5</v>
      </c>
      <c r="Q657" t="s">
        <v>164</v>
      </c>
      <c r="R657">
        <v>55</v>
      </c>
      <c r="S657" t="s">
        <v>197</v>
      </c>
      <c r="T657" t="str">
        <f>IF(COUNTIF($A$2:A657,A657)&gt;1,"Duplicate","Unique")</f>
        <v>Unique</v>
      </c>
    </row>
    <row r="658" spans="1:20" x14ac:dyDescent="0.45">
      <c r="A658" t="s">
        <v>1765</v>
      </c>
      <c r="B658" t="s">
        <v>343</v>
      </c>
      <c r="C658" t="s">
        <v>57</v>
      </c>
      <c r="D658" t="s">
        <v>56</v>
      </c>
      <c r="E658" t="s">
        <v>222</v>
      </c>
      <c r="F658" t="s">
        <v>82</v>
      </c>
      <c r="G658" t="s">
        <v>223</v>
      </c>
      <c r="H658" t="s">
        <v>108</v>
      </c>
      <c r="I658" t="s">
        <v>107</v>
      </c>
      <c r="J658" t="s">
        <v>2785</v>
      </c>
      <c r="K658" t="s">
        <v>170</v>
      </c>
      <c r="L658" t="s">
        <v>3220</v>
      </c>
      <c r="M658" t="s">
        <v>171</v>
      </c>
      <c r="N658" t="s">
        <v>96</v>
      </c>
      <c r="O658" s="27">
        <v>1220000</v>
      </c>
      <c r="P658">
        <v>4</v>
      </c>
      <c r="Q658" t="s">
        <v>172</v>
      </c>
      <c r="R658">
        <v>31</v>
      </c>
      <c r="S658" t="s">
        <v>224</v>
      </c>
      <c r="T658" t="str">
        <f>IF(COUNTIF($A$2:A658,A658)&gt;1,"Duplicate","Unique")</f>
        <v>Unique</v>
      </c>
    </row>
    <row r="659" spans="1:20" x14ac:dyDescent="0.45">
      <c r="A659" t="s">
        <v>948</v>
      </c>
      <c r="B659" t="s">
        <v>949</v>
      </c>
      <c r="C659" t="s">
        <v>51</v>
      </c>
      <c r="D659" t="s">
        <v>50</v>
      </c>
      <c r="E659" t="s">
        <v>181</v>
      </c>
      <c r="F659" t="s">
        <v>81</v>
      </c>
      <c r="G659" t="s">
        <v>182</v>
      </c>
      <c r="H659" t="s">
        <v>106</v>
      </c>
      <c r="I659" t="s">
        <v>107</v>
      </c>
      <c r="J659" t="s">
        <v>3221</v>
      </c>
      <c r="K659" t="s">
        <v>187</v>
      </c>
      <c r="L659" t="s">
        <v>2843</v>
      </c>
      <c r="M659" t="s">
        <v>308</v>
      </c>
      <c r="N659" t="s">
        <v>96</v>
      </c>
      <c r="O659" s="27">
        <v>685000</v>
      </c>
      <c r="P659">
        <v>4</v>
      </c>
      <c r="Q659" t="s">
        <v>172</v>
      </c>
      <c r="R659">
        <v>16</v>
      </c>
      <c r="S659" t="s">
        <v>197</v>
      </c>
      <c r="T659" t="str">
        <f>IF(COUNTIF($A$2:A659,A659)&gt;1,"Duplicate","Unique")</f>
        <v>Unique</v>
      </c>
    </row>
    <row r="660" spans="1:20" x14ac:dyDescent="0.45">
      <c r="A660" t="s">
        <v>2004</v>
      </c>
      <c r="B660" t="s">
        <v>2005</v>
      </c>
      <c r="C660" t="s">
        <v>55</v>
      </c>
      <c r="D660" t="s">
        <v>54</v>
      </c>
      <c r="E660" t="s">
        <v>277</v>
      </c>
      <c r="F660" t="s">
        <v>81</v>
      </c>
      <c r="G660" t="s">
        <v>278</v>
      </c>
      <c r="H660" t="s">
        <v>109</v>
      </c>
      <c r="I660" t="s">
        <v>110</v>
      </c>
      <c r="J660" t="s">
        <v>2459</v>
      </c>
      <c r="K660" t="s">
        <v>162</v>
      </c>
      <c r="M660" t="s">
        <v>163</v>
      </c>
      <c r="N660" t="s">
        <v>95</v>
      </c>
      <c r="O660" s="27">
        <v>695000</v>
      </c>
      <c r="P660">
        <v>4</v>
      </c>
      <c r="Q660" t="s">
        <v>172</v>
      </c>
      <c r="R660">
        <v>36</v>
      </c>
      <c r="S660" t="s">
        <v>274</v>
      </c>
      <c r="T660" t="str">
        <f>IF(COUNTIF($A$2:A660,A660)&gt;1,"Duplicate","Unique")</f>
        <v>Unique</v>
      </c>
    </row>
    <row r="661" spans="1:20" x14ac:dyDescent="0.45">
      <c r="A661" t="s">
        <v>565</v>
      </c>
      <c r="B661" t="s">
        <v>566</v>
      </c>
      <c r="C661" t="s">
        <v>53</v>
      </c>
      <c r="D661" t="s">
        <v>52</v>
      </c>
      <c r="E661" t="s">
        <v>185</v>
      </c>
      <c r="F661" t="s">
        <v>82</v>
      </c>
      <c r="G661" t="s">
        <v>186</v>
      </c>
      <c r="H661" t="s">
        <v>106</v>
      </c>
      <c r="I661" t="s">
        <v>107</v>
      </c>
      <c r="J661" t="s">
        <v>2983</v>
      </c>
      <c r="K661" t="s">
        <v>187</v>
      </c>
      <c r="L661" t="s">
        <v>2954</v>
      </c>
      <c r="M661" t="s">
        <v>269</v>
      </c>
      <c r="N661" t="s">
        <v>96</v>
      </c>
      <c r="O661" s="27">
        <v>978000</v>
      </c>
      <c r="P661">
        <v>3</v>
      </c>
      <c r="Q661" t="s">
        <v>172</v>
      </c>
      <c r="R661">
        <v>40</v>
      </c>
      <c r="S661" t="s">
        <v>189</v>
      </c>
      <c r="T661" t="str">
        <f>IF(COUNTIF($A$2:A661,A661)&gt;1,"Duplicate","Unique")</f>
        <v>Unique</v>
      </c>
    </row>
    <row r="662" spans="1:20" x14ac:dyDescent="0.45">
      <c r="A662" t="s">
        <v>1316</v>
      </c>
      <c r="B662" t="s">
        <v>1037</v>
      </c>
      <c r="C662" t="s">
        <v>55</v>
      </c>
      <c r="D662" t="s">
        <v>54</v>
      </c>
      <c r="E662" t="s">
        <v>277</v>
      </c>
      <c r="F662" t="s">
        <v>81</v>
      </c>
      <c r="G662" t="s">
        <v>278</v>
      </c>
      <c r="H662" t="s">
        <v>108</v>
      </c>
      <c r="I662" t="s">
        <v>107</v>
      </c>
      <c r="J662" t="s">
        <v>2843</v>
      </c>
      <c r="K662" t="s">
        <v>162</v>
      </c>
      <c r="M662" t="s">
        <v>163</v>
      </c>
      <c r="N662" t="s">
        <v>96</v>
      </c>
      <c r="O662" s="27">
        <v>748000</v>
      </c>
      <c r="P662">
        <v>4</v>
      </c>
      <c r="Q662" t="s">
        <v>172</v>
      </c>
      <c r="R662">
        <v>37</v>
      </c>
      <c r="S662" t="s">
        <v>173</v>
      </c>
      <c r="T662" t="str">
        <f>IF(COUNTIF($A$2:A662,A662)&gt;1,"Duplicate","Unique")</f>
        <v>Unique</v>
      </c>
    </row>
    <row r="663" spans="1:20" x14ac:dyDescent="0.45">
      <c r="A663" t="s">
        <v>1893</v>
      </c>
      <c r="B663" t="s">
        <v>1894</v>
      </c>
      <c r="C663" t="s">
        <v>61</v>
      </c>
      <c r="D663" t="s">
        <v>60</v>
      </c>
      <c r="E663" t="s">
        <v>356</v>
      </c>
      <c r="F663" t="s">
        <v>81</v>
      </c>
      <c r="G663" t="s">
        <v>357</v>
      </c>
      <c r="H663" t="s">
        <v>108</v>
      </c>
      <c r="I663" t="s">
        <v>107</v>
      </c>
      <c r="J663" t="s">
        <v>3222</v>
      </c>
      <c r="K663" t="s">
        <v>162</v>
      </c>
      <c r="M663" t="s">
        <v>163</v>
      </c>
      <c r="N663" t="s">
        <v>97</v>
      </c>
      <c r="O663" s="27">
        <v>666000</v>
      </c>
      <c r="P663">
        <v>3</v>
      </c>
      <c r="Q663" t="s">
        <v>164</v>
      </c>
      <c r="R663">
        <v>34</v>
      </c>
      <c r="S663" t="s">
        <v>319</v>
      </c>
      <c r="T663" t="str">
        <f>IF(COUNTIF($A$2:A663,A663)&gt;1,"Duplicate","Unique")</f>
        <v>Unique</v>
      </c>
    </row>
    <row r="664" spans="1:20" x14ac:dyDescent="0.45">
      <c r="A664" t="s">
        <v>1252</v>
      </c>
      <c r="B664" t="s">
        <v>1253</v>
      </c>
      <c r="C664" t="s">
        <v>55</v>
      </c>
      <c r="D664" t="s">
        <v>54</v>
      </c>
      <c r="E664" t="s">
        <v>277</v>
      </c>
      <c r="F664" t="s">
        <v>81</v>
      </c>
      <c r="G664" t="s">
        <v>278</v>
      </c>
      <c r="H664" t="s">
        <v>106</v>
      </c>
      <c r="I664" t="s">
        <v>107</v>
      </c>
      <c r="J664" t="s">
        <v>2808</v>
      </c>
      <c r="K664" t="s">
        <v>170</v>
      </c>
      <c r="L664" t="s">
        <v>2588</v>
      </c>
      <c r="M664" t="s">
        <v>171</v>
      </c>
      <c r="N664" t="s">
        <v>97</v>
      </c>
      <c r="O664" s="27">
        <v>576000</v>
      </c>
      <c r="P664">
        <v>3</v>
      </c>
      <c r="Q664" t="s">
        <v>164</v>
      </c>
      <c r="R664">
        <v>40</v>
      </c>
      <c r="S664" t="s">
        <v>173</v>
      </c>
      <c r="T664" t="str">
        <f>IF(COUNTIF($A$2:A664,A664)&gt;1,"Duplicate","Unique")</f>
        <v>Unique</v>
      </c>
    </row>
    <row r="665" spans="1:20" x14ac:dyDescent="0.45">
      <c r="A665" t="s">
        <v>843</v>
      </c>
      <c r="B665" t="s">
        <v>844</v>
      </c>
      <c r="C665" t="s">
        <v>57</v>
      </c>
      <c r="D665" t="s">
        <v>56</v>
      </c>
      <c r="E665" t="s">
        <v>222</v>
      </c>
      <c r="F665" t="s">
        <v>82</v>
      </c>
      <c r="G665" t="s">
        <v>223</v>
      </c>
      <c r="H665" t="s">
        <v>111</v>
      </c>
      <c r="I665" t="s">
        <v>110</v>
      </c>
      <c r="J665" t="s">
        <v>3223</v>
      </c>
      <c r="K665" t="s">
        <v>170</v>
      </c>
      <c r="L665" t="s">
        <v>3224</v>
      </c>
      <c r="M665" t="s">
        <v>171</v>
      </c>
      <c r="N665" t="s">
        <v>95</v>
      </c>
      <c r="O665" s="27">
        <v>1047000</v>
      </c>
      <c r="P665">
        <v>2</v>
      </c>
      <c r="Q665" t="s">
        <v>172</v>
      </c>
      <c r="R665">
        <v>32</v>
      </c>
      <c r="S665" t="s">
        <v>224</v>
      </c>
      <c r="T665" t="str">
        <f>IF(COUNTIF($A$2:A665,A665)&gt;1,"Duplicate","Unique")</f>
        <v>Unique</v>
      </c>
    </row>
    <row r="666" spans="1:20" x14ac:dyDescent="0.45">
      <c r="A666" t="s">
        <v>1671</v>
      </c>
      <c r="B666" t="s">
        <v>548</v>
      </c>
      <c r="C666" t="s">
        <v>51</v>
      </c>
      <c r="D666" t="s">
        <v>50</v>
      </c>
      <c r="E666" t="s">
        <v>181</v>
      </c>
      <c r="F666" t="s">
        <v>81</v>
      </c>
      <c r="G666" t="s">
        <v>182</v>
      </c>
      <c r="H666" t="s">
        <v>108</v>
      </c>
      <c r="I666" t="s">
        <v>107</v>
      </c>
      <c r="J666" t="s">
        <v>3225</v>
      </c>
      <c r="K666" t="s">
        <v>162</v>
      </c>
      <c r="M666" t="s">
        <v>163</v>
      </c>
      <c r="N666" t="s">
        <v>95</v>
      </c>
      <c r="O666" s="27">
        <v>738000</v>
      </c>
      <c r="P666">
        <v>2</v>
      </c>
      <c r="Q666" t="s">
        <v>164</v>
      </c>
      <c r="S666" t="s">
        <v>219</v>
      </c>
      <c r="T666" t="str">
        <f>IF(COUNTIF($A$2:A666,A666)&gt;1,"Duplicate","Unique")</f>
        <v>Unique</v>
      </c>
    </row>
    <row r="667" spans="1:20" x14ac:dyDescent="0.45">
      <c r="A667" t="s">
        <v>1499</v>
      </c>
      <c r="B667" t="s">
        <v>1500</v>
      </c>
      <c r="C667" t="s">
        <v>57</v>
      </c>
      <c r="D667" t="s">
        <v>56</v>
      </c>
      <c r="E667" t="s">
        <v>222</v>
      </c>
      <c r="F667" t="s">
        <v>82</v>
      </c>
      <c r="G667" t="s">
        <v>223</v>
      </c>
      <c r="H667" t="s">
        <v>111</v>
      </c>
      <c r="I667" t="s">
        <v>110</v>
      </c>
      <c r="J667" t="s">
        <v>3226</v>
      </c>
      <c r="K667" t="s">
        <v>187</v>
      </c>
      <c r="L667" t="s">
        <v>3227</v>
      </c>
      <c r="M667" t="s">
        <v>269</v>
      </c>
      <c r="N667" t="s">
        <v>98</v>
      </c>
      <c r="O667" s="27">
        <v>1046000</v>
      </c>
      <c r="P667">
        <v>3</v>
      </c>
      <c r="Q667" t="s">
        <v>172</v>
      </c>
      <c r="R667">
        <v>18</v>
      </c>
      <c r="S667" t="s">
        <v>165</v>
      </c>
      <c r="T667" t="str">
        <f>IF(COUNTIF($A$2:A667,A667)&gt;1,"Duplicate","Unique")</f>
        <v>Unique</v>
      </c>
    </row>
    <row r="668" spans="1:20" x14ac:dyDescent="0.45">
      <c r="A668" t="s">
        <v>1085</v>
      </c>
      <c r="B668" t="s">
        <v>714</v>
      </c>
      <c r="C668" t="s">
        <v>55</v>
      </c>
      <c r="D668" t="s">
        <v>54</v>
      </c>
      <c r="E668" t="s">
        <v>229</v>
      </c>
      <c r="F668" t="s">
        <v>82</v>
      </c>
      <c r="G668" t="s">
        <v>230</v>
      </c>
      <c r="H668" t="s">
        <v>108</v>
      </c>
      <c r="I668" t="s">
        <v>107</v>
      </c>
      <c r="J668" t="s">
        <v>3188</v>
      </c>
      <c r="K668" t="s">
        <v>162</v>
      </c>
      <c r="M668" t="s">
        <v>163</v>
      </c>
      <c r="N668" t="s">
        <v>95</v>
      </c>
      <c r="O668" s="27">
        <v>1335000</v>
      </c>
      <c r="P668">
        <v>3</v>
      </c>
      <c r="Q668" t="s">
        <v>172</v>
      </c>
      <c r="R668">
        <v>42</v>
      </c>
      <c r="S668" t="s">
        <v>173</v>
      </c>
      <c r="T668" t="str">
        <f>IF(COUNTIF($A$2:A668,A668)&gt;1,"Duplicate","Unique")</f>
        <v>Unique</v>
      </c>
    </row>
    <row r="669" spans="1:20" x14ac:dyDescent="0.45">
      <c r="A669" t="s">
        <v>1087</v>
      </c>
      <c r="B669" t="s">
        <v>1088</v>
      </c>
      <c r="C669" t="s">
        <v>51</v>
      </c>
      <c r="D669" t="s">
        <v>50</v>
      </c>
      <c r="E669" t="s">
        <v>181</v>
      </c>
      <c r="F669" t="s">
        <v>81</v>
      </c>
      <c r="G669" t="s">
        <v>182</v>
      </c>
      <c r="H669" t="s">
        <v>108</v>
      </c>
      <c r="I669" t="s">
        <v>107</v>
      </c>
      <c r="J669" t="s">
        <v>3228</v>
      </c>
      <c r="K669" t="s">
        <v>162</v>
      </c>
      <c r="M669" t="s">
        <v>163</v>
      </c>
      <c r="N669" t="s">
        <v>95</v>
      </c>
      <c r="O669" s="27">
        <v>712000</v>
      </c>
      <c r="P669">
        <v>3</v>
      </c>
      <c r="Q669" t="s">
        <v>172</v>
      </c>
      <c r="R669">
        <v>29</v>
      </c>
      <c r="S669" t="s">
        <v>219</v>
      </c>
      <c r="T669" t="str">
        <f>IF(COUNTIF($A$2:A669,A669)&gt;1,"Duplicate","Unique")</f>
        <v>Unique</v>
      </c>
    </row>
    <row r="670" spans="1:20" x14ac:dyDescent="0.45">
      <c r="A670" t="s">
        <v>1744</v>
      </c>
      <c r="B670" t="s">
        <v>1745</v>
      </c>
      <c r="C670" t="s">
        <v>55</v>
      </c>
      <c r="D670" t="s">
        <v>54</v>
      </c>
      <c r="E670" t="s">
        <v>277</v>
      </c>
      <c r="F670" t="s">
        <v>81</v>
      </c>
      <c r="G670" t="s">
        <v>278</v>
      </c>
      <c r="H670" t="s">
        <v>111</v>
      </c>
      <c r="I670" t="s">
        <v>110</v>
      </c>
      <c r="J670" t="s">
        <v>3229</v>
      </c>
      <c r="K670" t="s">
        <v>162</v>
      </c>
      <c r="M670" t="s">
        <v>163</v>
      </c>
      <c r="N670" t="s">
        <v>96</v>
      </c>
      <c r="O670" s="27">
        <v>679000</v>
      </c>
      <c r="P670">
        <v>3</v>
      </c>
      <c r="Q670" t="s">
        <v>164</v>
      </c>
      <c r="R670">
        <v>11</v>
      </c>
      <c r="S670" t="s">
        <v>274</v>
      </c>
      <c r="T670" t="str">
        <f>IF(COUNTIF($A$2:A670,A670)&gt;1,"Duplicate","Unique")</f>
        <v>Unique</v>
      </c>
    </row>
    <row r="671" spans="1:20" x14ac:dyDescent="0.45">
      <c r="A671" t="s">
        <v>1138</v>
      </c>
      <c r="B671" t="s">
        <v>1139</v>
      </c>
      <c r="C671" t="s">
        <v>57</v>
      </c>
      <c r="D671" t="s">
        <v>56</v>
      </c>
      <c r="E671" t="s">
        <v>160</v>
      </c>
      <c r="F671" t="s">
        <v>81</v>
      </c>
      <c r="G671" t="s">
        <v>161</v>
      </c>
      <c r="H671" t="s">
        <v>108</v>
      </c>
      <c r="I671" t="s">
        <v>107</v>
      </c>
      <c r="J671" t="s">
        <v>3230</v>
      </c>
      <c r="K671" t="s">
        <v>170</v>
      </c>
      <c r="L671" t="s">
        <v>3231</v>
      </c>
      <c r="M671" t="s">
        <v>171</v>
      </c>
      <c r="N671" t="s">
        <v>98</v>
      </c>
      <c r="O671" s="27">
        <v>835000</v>
      </c>
      <c r="P671">
        <v>2</v>
      </c>
      <c r="Q671" t="s">
        <v>164</v>
      </c>
      <c r="R671">
        <v>18</v>
      </c>
      <c r="S671" t="s">
        <v>224</v>
      </c>
      <c r="T671" t="str">
        <f>IF(COUNTIF($A$2:A671,A671)&gt;1,"Duplicate","Unique")</f>
        <v>Unique</v>
      </c>
    </row>
    <row r="672" spans="1:20" x14ac:dyDescent="0.45">
      <c r="A672" t="s">
        <v>1194</v>
      </c>
      <c r="B672" t="s">
        <v>1195</v>
      </c>
      <c r="C672" t="s">
        <v>53</v>
      </c>
      <c r="D672" t="s">
        <v>52</v>
      </c>
      <c r="E672" t="s">
        <v>185</v>
      </c>
      <c r="F672" t="s">
        <v>82</v>
      </c>
      <c r="G672" t="s">
        <v>186</v>
      </c>
      <c r="H672" t="s">
        <v>106</v>
      </c>
      <c r="I672" t="s">
        <v>107</v>
      </c>
      <c r="J672" t="s">
        <v>2818</v>
      </c>
      <c r="K672" t="s">
        <v>162</v>
      </c>
      <c r="M672" t="s">
        <v>163</v>
      </c>
      <c r="N672" t="s">
        <v>99</v>
      </c>
      <c r="O672" s="27">
        <v>1317000</v>
      </c>
      <c r="P672">
        <v>2</v>
      </c>
      <c r="Q672" t="s">
        <v>172</v>
      </c>
      <c r="R672">
        <v>13</v>
      </c>
      <c r="S672" t="s">
        <v>189</v>
      </c>
      <c r="T672" t="str">
        <f>IF(COUNTIF($A$2:A672,A672)&gt;1,"Duplicate","Unique")</f>
        <v>Unique</v>
      </c>
    </row>
    <row r="673" spans="1:20" x14ac:dyDescent="0.45">
      <c r="A673" t="s">
        <v>428</v>
      </c>
      <c r="B673" t="s">
        <v>429</v>
      </c>
      <c r="C673" t="s">
        <v>53</v>
      </c>
      <c r="D673" t="s">
        <v>52</v>
      </c>
      <c r="E673" t="s">
        <v>192</v>
      </c>
      <c r="F673" t="s">
        <v>83</v>
      </c>
      <c r="G673" t="s">
        <v>193</v>
      </c>
      <c r="H673" t="s">
        <v>106</v>
      </c>
      <c r="I673" t="s">
        <v>107</v>
      </c>
      <c r="J673" t="s">
        <v>3232</v>
      </c>
      <c r="K673" t="s">
        <v>170</v>
      </c>
      <c r="L673" t="s">
        <v>2645</v>
      </c>
      <c r="M673" t="s">
        <v>171</v>
      </c>
      <c r="N673" t="s">
        <v>95</v>
      </c>
      <c r="O673" s="27">
        <v>1922000</v>
      </c>
      <c r="P673">
        <v>1</v>
      </c>
      <c r="Q673" t="s">
        <v>2467</v>
      </c>
      <c r="R673">
        <v>14</v>
      </c>
      <c r="S673" t="s">
        <v>194</v>
      </c>
      <c r="T673" t="str">
        <f>IF(COUNTIF($A$2:A673,A673)&gt;1,"Duplicate","Unique")</f>
        <v>Unique</v>
      </c>
    </row>
    <row r="674" spans="1:20" x14ac:dyDescent="0.45">
      <c r="A674" t="s">
        <v>2045</v>
      </c>
      <c r="B674" t="s">
        <v>1212</v>
      </c>
      <c r="C674" t="s">
        <v>61</v>
      </c>
      <c r="D674" t="s">
        <v>60</v>
      </c>
      <c r="E674" t="s">
        <v>356</v>
      </c>
      <c r="F674" t="s">
        <v>81</v>
      </c>
      <c r="G674" t="s">
        <v>357</v>
      </c>
      <c r="H674" t="s">
        <v>106</v>
      </c>
      <c r="I674" t="s">
        <v>107</v>
      </c>
      <c r="J674" t="s">
        <v>3233</v>
      </c>
      <c r="K674" t="s">
        <v>162</v>
      </c>
      <c r="M674" t="s">
        <v>163</v>
      </c>
      <c r="N674" t="s">
        <v>99</v>
      </c>
      <c r="O674" s="27">
        <v>756000</v>
      </c>
      <c r="P674">
        <v>3</v>
      </c>
      <c r="Q674" t="s">
        <v>172</v>
      </c>
      <c r="R674">
        <v>29</v>
      </c>
      <c r="S674" t="s">
        <v>319</v>
      </c>
      <c r="T674" t="str">
        <f>IF(COUNTIF($A$2:A674,A674)&gt;1,"Duplicate","Unique")</f>
        <v>Unique</v>
      </c>
    </row>
    <row r="675" spans="1:20" x14ac:dyDescent="0.45">
      <c r="A675" t="s">
        <v>1377</v>
      </c>
      <c r="B675" t="s">
        <v>694</v>
      </c>
      <c r="C675" t="s">
        <v>53</v>
      </c>
      <c r="D675" t="s">
        <v>52</v>
      </c>
      <c r="E675" t="s">
        <v>185</v>
      </c>
      <c r="F675" t="s">
        <v>82</v>
      </c>
      <c r="G675" t="s">
        <v>186</v>
      </c>
      <c r="H675" t="s">
        <v>108</v>
      </c>
      <c r="I675" t="s">
        <v>107</v>
      </c>
      <c r="J675" t="s">
        <v>2861</v>
      </c>
      <c r="K675" t="s">
        <v>170</v>
      </c>
      <c r="L675" t="s">
        <v>3234</v>
      </c>
      <c r="M675" t="s">
        <v>171</v>
      </c>
      <c r="N675" t="s">
        <v>99</v>
      </c>
      <c r="O675" s="27">
        <v>1276000</v>
      </c>
      <c r="P675">
        <v>2</v>
      </c>
      <c r="Q675" t="s">
        <v>172</v>
      </c>
      <c r="R675">
        <v>20</v>
      </c>
      <c r="S675" t="s">
        <v>189</v>
      </c>
      <c r="T675" t="str">
        <f>IF(COUNTIF($A$2:A675,A675)&gt;1,"Duplicate","Unique")</f>
        <v>Unique</v>
      </c>
    </row>
    <row r="676" spans="1:20" x14ac:dyDescent="0.45">
      <c r="A676" t="s">
        <v>2102</v>
      </c>
      <c r="B676" t="s">
        <v>1947</v>
      </c>
      <c r="C676" t="s">
        <v>51</v>
      </c>
      <c r="D676" t="s">
        <v>50</v>
      </c>
      <c r="E676" t="s">
        <v>217</v>
      </c>
      <c r="F676" t="s">
        <v>83</v>
      </c>
      <c r="G676" t="s">
        <v>218</v>
      </c>
      <c r="H676" t="s">
        <v>112</v>
      </c>
      <c r="I676" t="s">
        <v>113</v>
      </c>
      <c r="J676" t="s">
        <v>2796</v>
      </c>
      <c r="K676" t="s">
        <v>162</v>
      </c>
      <c r="M676" t="s">
        <v>163</v>
      </c>
      <c r="N676" t="s">
        <v>96</v>
      </c>
      <c r="O676" s="27">
        <v>1517000</v>
      </c>
      <c r="P676">
        <v>3</v>
      </c>
      <c r="Q676" t="s">
        <v>164</v>
      </c>
      <c r="R676">
        <v>23</v>
      </c>
      <c r="S676" t="s">
        <v>244</v>
      </c>
      <c r="T676" t="str">
        <f>IF(COUNTIF($A$2:A676,A676)&gt;1,"Duplicate","Unique")</f>
        <v>Unique</v>
      </c>
    </row>
    <row r="677" spans="1:20" x14ac:dyDescent="0.45">
      <c r="A677" t="s">
        <v>682</v>
      </c>
      <c r="B677" t="s">
        <v>683</v>
      </c>
      <c r="C677" t="s">
        <v>55</v>
      </c>
      <c r="D677" t="s">
        <v>54</v>
      </c>
      <c r="E677" t="s">
        <v>229</v>
      </c>
      <c r="F677" t="s">
        <v>82</v>
      </c>
      <c r="G677" t="s">
        <v>230</v>
      </c>
      <c r="H677" t="s">
        <v>108</v>
      </c>
      <c r="I677" t="s">
        <v>107</v>
      </c>
      <c r="J677" t="s">
        <v>3235</v>
      </c>
      <c r="K677" t="s">
        <v>187</v>
      </c>
      <c r="L677" t="s">
        <v>3236</v>
      </c>
      <c r="M677" t="s">
        <v>188</v>
      </c>
      <c r="N677" t="s">
        <v>98</v>
      </c>
      <c r="O677" s="27">
        <v>1095000</v>
      </c>
      <c r="P677">
        <v>3</v>
      </c>
      <c r="Q677" t="s">
        <v>164</v>
      </c>
      <c r="R677">
        <v>47</v>
      </c>
      <c r="S677" t="s">
        <v>262</v>
      </c>
      <c r="T677" t="str">
        <f>IF(COUNTIF($A$2:A677,A677)&gt;1,"Duplicate","Unique")</f>
        <v>Unique</v>
      </c>
    </row>
    <row r="678" spans="1:20" x14ac:dyDescent="0.45">
      <c r="A678" t="s">
        <v>1702</v>
      </c>
      <c r="B678" t="s">
        <v>1156</v>
      </c>
      <c r="C678" t="s">
        <v>51</v>
      </c>
      <c r="D678" t="s">
        <v>50</v>
      </c>
      <c r="E678" t="s">
        <v>176</v>
      </c>
      <c r="F678" t="s">
        <v>82</v>
      </c>
      <c r="G678" t="s">
        <v>177</v>
      </c>
      <c r="H678" t="s">
        <v>111</v>
      </c>
      <c r="I678" t="s">
        <v>110</v>
      </c>
      <c r="J678" t="s">
        <v>2718</v>
      </c>
      <c r="K678" t="s">
        <v>162</v>
      </c>
      <c r="M678" t="s">
        <v>163</v>
      </c>
      <c r="N678" t="s">
        <v>95</v>
      </c>
      <c r="O678" s="27">
        <v>1210000</v>
      </c>
      <c r="P678">
        <v>3</v>
      </c>
      <c r="Q678" t="s">
        <v>164</v>
      </c>
      <c r="R678">
        <v>47</v>
      </c>
      <c r="S678" t="s">
        <v>178</v>
      </c>
      <c r="T678" t="str">
        <f>IF(COUNTIF($A$2:A678,A678)&gt;1,"Duplicate","Unique")</f>
        <v>Unique</v>
      </c>
    </row>
    <row r="679" spans="1:20" x14ac:dyDescent="0.45">
      <c r="A679" t="s">
        <v>2276</v>
      </c>
      <c r="B679" t="s">
        <v>292</v>
      </c>
      <c r="C679" t="s">
        <v>55</v>
      </c>
      <c r="D679" t="s">
        <v>54</v>
      </c>
      <c r="E679" t="s">
        <v>229</v>
      </c>
      <c r="F679" t="s">
        <v>82</v>
      </c>
      <c r="G679" t="s">
        <v>230</v>
      </c>
      <c r="H679" t="s">
        <v>106</v>
      </c>
      <c r="I679" t="s">
        <v>107</v>
      </c>
      <c r="J679" t="s">
        <v>3237</v>
      </c>
      <c r="K679" t="s">
        <v>162</v>
      </c>
      <c r="M679" t="s">
        <v>163</v>
      </c>
      <c r="N679" t="s">
        <v>97</v>
      </c>
      <c r="O679" s="27">
        <v>1243000</v>
      </c>
      <c r="P679">
        <v>3</v>
      </c>
      <c r="Q679" t="s">
        <v>164</v>
      </c>
      <c r="R679">
        <v>31</v>
      </c>
      <c r="S679" t="s">
        <v>274</v>
      </c>
      <c r="T679" t="str">
        <f>IF(COUNTIF($A$2:A679,A679)&gt;1,"Duplicate","Unique")</f>
        <v>Unique</v>
      </c>
    </row>
    <row r="680" spans="1:20" x14ac:dyDescent="0.45">
      <c r="A680" t="s">
        <v>1512</v>
      </c>
      <c r="B680" t="s">
        <v>474</v>
      </c>
      <c r="C680" t="s">
        <v>55</v>
      </c>
      <c r="D680" t="s">
        <v>54</v>
      </c>
      <c r="E680" t="s">
        <v>277</v>
      </c>
      <c r="F680" t="s">
        <v>81</v>
      </c>
      <c r="G680" t="s">
        <v>278</v>
      </c>
      <c r="H680" t="s">
        <v>109</v>
      </c>
      <c r="I680" t="s">
        <v>110</v>
      </c>
      <c r="J680" t="s">
        <v>3134</v>
      </c>
      <c r="K680" t="s">
        <v>170</v>
      </c>
      <c r="L680" t="s">
        <v>3167</v>
      </c>
      <c r="M680" t="s">
        <v>171</v>
      </c>
      <c r="N680" t="s">
        <v>96</v>
      </c>
      <c r="O680" s="27">
        <v>845000</v>
      </c>
      <c r="P680">
        <v>2</v>
      </c>
      <c r="Q680" t="s">
        <v>172</v>
      </c>
      <c r="R680">
        <v>39</v>
      </c>
      <c r="S680" t="s">
        <v>262</v>
      </c>
      <c r="T680" t="str">
        <f>IF(COUNTIF($A$2:A680,A680)&gt;1,"Duplicate","Unique")</f>
        <v>Unique</v>
      </c>
    </row>
    <row r="681" spans="1:20" x14ac:dyDescent="0.45">
      <c r="A681" t="s">
        <v>525</v>
      </c>
      <c r="B681" t="s">
        <v>526</v>
      </c>
      <c r="C681" t="s">
        <v>61</v>
      </c>
      <c r="D681" t="s">
        <v>60</v>
      </c>
      <c r="E681" t="s">
        <v>251</v>
      </c>
      <c r="F681" t="s">
        <v>82</v>
      </c>
      <c r="G681" t="s">
        <v>252</v>
      </c>
      <c r="H681" t="s">
        <v>111</v>
      </c>
      <c r="I681" t="s">
        <v>110</v>
      </c>
      <c r="J681" t="s">
        <v>3238</v>
      </c>
      <c r="K681" t="s">
        <v>162</v>
      </c>
      <c r="M681" t="s">
        <v>163</v>
      </c>
      <c r="N681" t="s">
        <v>95</v>
      </c>
      <c r="O681" s="27">
        <v>1237000</v>
      </c>
      <c r="P681">
        <v>3</v>
      </c>
      <c r="Q681" t="s">
        <v>164</v>
      </c>
      <c r="R681">
        <v>41</v>
      </c>
      <c r="S681" t="s">
        <v>253</v>
      </c>
      <c r="T681" t="str">
        <f>IF(COUNTIF($A$2:A681,A681)&gt;1,"Duplicate","Unique")</f>
        <v>Unique</v>
      </c>
    </row>
    <row r="682" spans="1:20" x14ac:dyDescent="0.45">
      <c r="A682" t="s">
        <v>1293</v>
      </c>
      <c r="B682" t="s">
        <v>1276</v>
      </c>
      <c r="C682" t="s">
        <v>51</v>
      </c>
      <c r="D682" t="s">
        <v>50</v>
      </c>
      <c r="E682" t="s">
        <v>397</v>
      </c>
      <c r="F682" t="s">
        <v>84</v>
      </c>
      <c r="G682" t="s">
        <v>398</v>
      </c>
      <c r="H682" t="s">
        <v>109</v>
      </c>
      <c r="I682" t="s">
        <v>110</v>
      </c>
      <c r="J682" t="s">
        <v>3239</v>
      </c>
      <c r="K682" t="s">
        <v>162</v>
      </c>
      <c r="M682" t="s">
        <v>163</v>
      </c>
      <c r="N682" t="s">
        <v>95</v>
      </c>
      <c r="O682" s="27">
        <v>3275000</v>
      </c>
      <c r="P682">
        <v>3</v>
      </c>
      <c r="Q682" t="s">
        <v>164</v>
      </c>
      <c r="R682">
        <v>34</v>
      </c>
      <c r="S682" t="s">
        <v>197</v>
      </c>
      <c r="T682" t="str">
        <f>IF(COUNTIF($A$2:A682,A682)&gt;1,"Duplicate","Unique")</f>
        <v>Unique</v>
      </c>
    </row>
    <row r="683" spans="1:20" x14ac:dyDescent="0.45">
      <c r="A683" t="s">
        <v>1068</v>
      </c>
      <c r="B683" t="s">
        <v>1069</v>
      </c>
      <c r="C683" t="s">
        <v>51</v>
      </c>
      <c r="D683" t="s">
        <v>50</v>
      </c>
      <c r="E683" t="s">
        <v>176</v>
      </c>
      <c r="F683" t="s">
        <v>82</v>
      </c>
      <c r="G683" t="s">
        <v>177</v>
      </c>
      <c r="H683" t="s">
        <v>106</v>
      </c>
      <c r="I683" t="s">
        <v>107</v>
      </c>
      <c r="J683" t="s">
        <v>3240</v>
      </c>
      <c r="K683" t="s">
        <v>162</v>
      </c>
      <c r="M683" t="s">
        <v>163</v>
      </c>
      <c r="N683" t="s">
        <v>99</v>
      </c>
      <c r="O683" s="27">
        <v>1297000</v>
      </c>
      <c r="P683">
        <v>2</v>
      </c>
      <c r="Q683" t="s">
        <v>164</v>
      </c>
      <c r="R683">
        <v>41</v>
      </c>
      <c r="S683" t="s">
        <v>178</v>
      </c>
      <c r="T683" t="str">
        <f>IF(COUNTIF($A$2:A683,A683)&gt;1,"Duplicate","Unique")</f>
        <v>Unique</v>
      </c>
    </row>
    <row r="684" spans="1:20" x14ac:dyDescent="0.45">
      <c r="A684" t="s">
        <v>1959</v>
      </c>
      <c r="B684" t="s">
        <v>1784</v>
      </c>
      <c r="C684" t="s">
        <v>57</v>
      </c>
      <c r="D684" t="s">
        <v>56</v>
      </c>
      <c r="E684" t="s">
        <v>160</v>
      </c>
      <c r="F684" t="s">
        <v>81</v>
      </c>
      <c r="G684" t="s">
        <v>161</v>
      </c>
      <c r="H684" t="s">
        <v>106</v>
      </c>
      <c r="I684" t="s">
        <v>107</v>
      </c>
      <c r="J684" t="s">
        <v>3241</v>
      </c>
      <c r="K684" t="s">
        <v>162</v>
      </c>
      <c r="M684" t="s">
        <v>163</v>
      </c>
      <c r="N684" t="s">
        <v>97</v>
      </c>
      <c r="O684" s="27">
        <v>727000</v>
      </c>
      <c r="P684">
        <v>3</v>
      </c>
      <c r="Q684" t="s">
        <v>172</v>
      </c>
      <c r="R684">
        <v>31</v>
      </c>
      <c r="S684" t="s">
        <v>165</v>
      </c>
      <c r="T684" t="str">
        <f>IF(COUNTIF($A$2:A684,A684)&gt;1,"Duplicate","Unique")</f>
        <v>Unique</v>
      </c>
    </row>
    <row r="685" spans="1:20" x14ac:dyDescent="0.45">
      <c r="A685" t="s">
        <v>486</v>
      </c>
      <c r="B685" t="s">
        <v>487</v>
      </c>
      <c r="C685" t="s">
        <v>51</v>
      </c>
      <c r="D685" t="s">
        <v>2643</v>
      </c>
      <c r="E685" t="s">
        <v>176</v>
      </c>
      <c r="F685" t="s">
        <v>82</v>
      </c>
      <c r="G685" t="s">
        <v>177</v>
      </c>
      <c r="H685" t="s">
        <v>3105</v>
      </c>
      <c r="I685" t="s">
        <v>110</v>
      </c>
      <c r="J685" t="s">
        <v>3242</v>
      </c>
      <c r="K685" t="s">
        <v>162</v>
      </c>
      <c r="M685" t="s">
        <v>163</v>
      </c>
      <c r="N685" t="s">
        <v>96</v>
      </c>
      <c r="O685" s="27">
        <v>1304000</v>
      </c>
      <c r="P685">
        <v>3</v>
      </c>
      <c r="Q685" t="s">
        <v>164</v>
      </c>
      <c r="R685">
        <v>36</v>
      </c>
      <c r="S685" t="s">
        <v>178</v>
      </c>
      <c r="T685" t="str">
        <f>IF(COUNTIF($A$2:A685,A685)&gt;1,"Duplicate","Unique")</f>
        <v>Unique</v>
      </c>
    </row>
    <row r="686" spans="1:20" x14ac:dyDescent="0.45">
      <c r="A686" t="s">
        <v>2358</v>
      </c>
      <c r="B686" t="s">
        <v>799</v>
      </c>
      <c r="C686" t="s">
        <v>57</v>
      </c>
      <c r="D686" t="s">
        <v>56</v>
      </c>
      <c r="E686" t="s">
        <v>160</v>
      </c>
      <c r="F686" t="s">
        <v>81</v>
      </c>
      <c r="G686" t="s">
        <v>161</v>
      </c>
      <c r="H686" t="s">
        <v>109</v>
      </c>
      <c r="I686" t="s">
        <v>110</v>
      </c>
      <c r="J686" t="s">
        <v>3243</v>
      </c>
      <c r="K686" t="s">
        <v>162</v>
      </c>
      <c r="M686" t="s">
        <v>163</v>
      </c>
      <c r="N686" t="s">
        <v>97</v>
      </c>
      <c r="O686" s="27">
        <v>576000</v>
      </c>
      <c r="P686">
        <v>4</v>
      </c>
      <c r="Q686" t="s">
        <v>164</v>
      </c>
      <c r="R686">
        <v>38</v>
      </c>
      <c r="S686" t="s">
        <v>224</v>
      </c>
      <c r="T686" t="str">
        <f>IF(COUNTIF($A$2:A686,A686)&gt;1,"Duplicate","Unique")</f>
        <v>Unique</v>
      </c>
    </row>
    <row r="687" spans="1:20" x14ac:dyDescent="0.45">
      <c r="A687" t="s">
        <v>1944</v>
      </c>
      <c r="B687" t="s">
        <v>694</v>
      </c>
      <c r="C687" t="s">
        <v>53</v>
      </c>
      <c r="D687" t="s">
        <v>52</v>
      </c>
      <c r="E687" t="s">
        <v>200</v>
      </c>
      <c r="F687" t="s">
        <v>84</v>
      </c>
      <c r="G687" t="s">
        <v>201</v>
      </c>
      <c r="H687" t="s">
        <v>106</v>
      </c>
      <c r="I687" t="s">
        <v>107</v>
      </c>
      <c r="J687" t="s">
        <v>3244</v>
      </c>
      <c r="K687" t="s">
        <v>162</v>
      </c>
      <c r="M687" t="s">
        <v>163</v>
      </c>
      <c r="N687" t="s">
        <v>99</v>
      </c>
      <c r="O687" s="27">
        <v>3099000</v>
      </c>
      <c r="P687">
        <v>4</v>
      </c>
      <c r="Q687" t="s">
        <v>172</v>
      </c>
      <c r="R687">
        <v>41</v>
      </c>
      <c r="S687" t="s">
        <v>194</v>
      </c>
      <c r="T687" t="str">
        <f>IF(COUNTIF($A$2:A687,A687)&gt;1,"Duplicate","Unique")</f>
        <v>Unique</v>
      </c>
    </row>
    <row r="688" spans="1:20" x14ac:dyDescent="0.45">
      <c r="A688" t="s">
        <v>231</v>
      </c>
      <c r="B688" t="s">
        <v>232</v>
      </c>
      <c r="C688" t="s">
        <v>57</v>
      </c>
      <c r="D688" t="s">
        <v>56</v>
      </c>
      <c r="E688" t="s">
        <v>160</v>
      </c>
      <c r="F688" t="s">
        <v>81</v>
      </c>
      <c r="G688" t="s">
        <v>161</v>
      </c>
      <c r="H688" t="s">
        <v>109</v>
      </c>
      <c r="I688" t="s">
        <v>110</v>
      </c>
      <c r="J688" t="s">
        <v>3245</v>
      </c>
      <c r="K688" t="s">
        <v>187</v>
      </c>
      <c r="L688" t="s">
        <v>3246</v>
      </c>
      <c r="M688" t="s">
        <v>188</v>
      </c>
      <c r="N688" t="s">
        <v>98</v>
      </c>
      <c r="O688" s="27">
        <v>565000</v>
      </c>
      <c r="P688">
        <v>3</v>
      </c>
      <c r="Q688" t="s">
        <v>2584</v>
      </c>
      <c r="R688">
        <v>24</v>
      </c>
      <c r="S688" t="s">
        <v>224</v>
      </c>
      <c r="T688" t="str">
        <f>IF(COUNTIF($A$2:A688,A688)&gt;1,"Duplicate","Unique")</f>
        <v>Unique</v>
      </c>
    </row>
    <row r="689" spans="1:20" x14ac:dyDescent="0.45">
      <c r="A689" t="s">
        <v>1831</v>
      </c>
      <c r="B689" t="s">
        <v>1382</v>
      </c>
      <c r="C689" t="s">
        <v>55</v>
      </c>
      <c r="D689" t="s">
        <v>54</v>
      </c>
      <c r="E689" t="s">
        <v>229</v>
      </c>
      <c r="F689" t="s">
        <v>82</v>
      </c>
      <c r="G689" t="s">
        <v>230</v>
      </c>
      <c r="H689" t="s">
        <v>112</v>
      </c>
      <c r="I689" t="s">
        <v>113</v>
      </c>
      <c r="J689" t="s">
        <v>3247</v>
      </c>
      <c r="K689" t="s">
        <v>187</v>
      </c>
      <c r="L689" t="s">
        <v>2741</v>
      </c>
      <c r="M689" t="s">
        <v>308</v>
      </c>
      <c r="N689" t="s">
        <v>99</v>
      </c>
      <c r="O689" s="27">
        <v>1233000</v>
      </c>
      <c r="P689">
        <v>3</v>
      </c>
      <c r="Q689" t="s">
        <v>172</v>
      </c>
      <c r="R689">
        <v>22</v>
      </c>
      <c r="S689" t="s">
        <v>262</v>
      </c>
      <c r="T689" t="str">
        <f>IF(COUNTIF($A$2:A689,A689)&gt;1,"Duplicate","Unique")</f>
        <v>Unique</v>
      </c>
    </row>
    <row r="690" spans="1:20" x14ac:dyDescent="0.45">
      <c r="A690" t="s">
        <v>1861</v>
      </c>
      <c r="B690" t="s">
        <v>1682</v>
      </c>
      <c r="C690" t="s">
        <v>51</v>
      </c>
      <c r="D690" t="s">
        <v>50</v>
      </c>
      <c r="E690" t="s">
        <v>397</v>
      </c>
      <c r="F690" t="s">
        <v>84</v>
      </c>
      <c r="G690" t="s">
        <v>398</v>
      </c>
      <c r="H690" t="s">
        <v>106</v>
      </c>
      <c r="I690" t="s">
        <v>107</v>
      </c>
      <c r="J690" t="s">
        <v>3248</v>
      </c>
      <c r="K690" t="s">
        <v>162</v>
      </c>
      <c r="M690" t="s">
        <v>163</v>
      </c>
      <c r="N690" t="s">
        <v>99</v>
      </c>
      <c r="O690" s="27">
        <v>2718000</v>
      </c>
      <c r="P690">
        <v>3</v>
      </c>
      <c r="Q690" t="s">
        <v>164</v>
      </c>
      <c r="R690">
        <v>22</v>
      </c>
      <c r="S690" t="s">
        <v>244</v>
      </c>
      <c r="T690" t="str">
        <f>IF(COUNTIF($A$2:A690,A690)&gt;1,"Duplicate","Unique")</f>
        <v>Unique</v>
      </c>
    </row>
    <row r="691" spans="1:20" x14ac:dyDescent="0.45">
      <c r="A691" t="s">
        <v>1083</v>
      </c>
      <c r="B691" t="s">
        <v>1084</v>
      </c>
      <c r="C691" t="s">
        <v>59</v>
      </c>
      <c r="D691" t="s">
        <v>58</v>
      </c>
      <c r="E691" t="s">
        <v>206</v>
      </c>
      <c r="F691" t="s">
        <v>81</v>
      </c>
      <c r="G691" t="s">
        <v>207</v>
      </c>
      <c r="H691" t="s">
        <v>106</v>
      </c>
      <c r="I691" t="s">
        <v>107</v>
      </c>
      <c r="J691" t="s">
        <v>3249</v>
      </c>
      <c r="K691" t="s">
        <v>162</v>
      </c>
      <c r="M691" t="s">
        <v>163</v>
      </c>
      <c r="N691" t="s">
        <v>99</v>
      </c>
      <c r="O691" s="27">
        <v>739000</v>
      </c>
      <c r="P691">
        <v>2</v>
      </c>
      <c r="Q691" t="s">
        <v>172</v>
      </c>
      <c r="R691">
        <v>47</v>
      </c>
      <c r="S691" t="s">
        <v>208</v>
      </c>
      <c r="T691" t="str">
        <f>IF(COUNTIF($A$2:A691,A691)&gt;1,"Duplicate","Unique")</f>
        <v>Unique</v>
      </c>
    </row>
    <row r="692" spans="1:20" x14ac:dyDescent="0.45">
      <c r="A692" t="s">
        <v>2145</v>
      </c>
      <c r="B692" t="s">
        <v>1472</v>
      </c>
      <c r="C692" t="s">
        <v>53</v>
      </c>
      <c r="D692" t="s">
        <v>52</v>
      </c>
      <c r="E692" t="s">
        <v>322</v>
      </c>
      <c r="F692" t="s">
        <v>81</v>
      </c>
      <c r="G692" t="s">
        <v>323</v>
      </c>
      <c r="H692" t="s">
        <v>106</v>
      </c>
      <c r="I692" t="s">
        <v>107</v>
      </c>
      <c r="J692" t="s">
        <v>2610</v>
      </c>
      <c r="K692" t="s">
        <v>162</v>
      </c>
      <c r="M692" t="s">
        <v>163</v>
      </c>
      <c r="N692" t="s">
        <v>95</v>
      </c>
      <c r="O692" s="27">
        <v>561000</v>
      </c>
      <c r="P692">
        <v>2</v>
      </c>
      <c r="Q692" t="s">
        <v>164</v>
      </c>
      <c r="R692">
        <v>42</v>
      </c>
      <c r="S692" t="s">
        <v>194</v>
      </c>
      <c r="T692" t="str">
        <f>IF(COUNTIF($A$2:A692,A692)&gt;1,"Duplicate","Unique")</f>
        <v>Unique</v>
      </c>
    </row>
    <row r="693" spans="1:20" x14ac:dyDescent="0.45">
      <c r="A693" t="s">
        <v>291</v>
      </c>
      <c r="B693" t="s">
        <v>292</v>
      </c>
      <c r="C693" t="s">
        <v>53</v>
      </c>
      <c r="D693" t="s">
        <v>52</v>
      </c>
      <c r="E693" t="s">
        <v>185</v>
      </c>
      <c r="F693" t="s">
        <v>82</v>
      </c>
      <c r="G693" t="s">
        <v>186</v>
      </c>
      <c r="H693" t="s">
        <v>2535</v>
      </c>
      <c r="I693" t="s">
        <v>107</v>
      </c>
      <c r="J693" t="s">
        <v>3250</v>
      </c>
      <c r="K693" t="s">
        <v>187</v>
      </c>
      <c r="L693" t="s">
        <v>3251</v>
      </c>
      <c r="M693" t="s">
        <v>269</v>
      </c>
      <c r="N693" t="s">
        <v>99</v>
      </c>
      <c r="O693" s="27">
        <v>1058000</v>
      </c>
      <c r="P693">
        <v>4</v>
      </c>
      <c r="Q693" t="s">
        <v>172</v>
      </c>
      <c r="R693">
        <v>48</v>
      </c>
      <c r="S693" t="s">
        <v>189</v>
      </c>
      <c r="T693" t="str">
        <f>IF(COUNTIF($A$2:A693,A693)&gt;1,"Duplicate","Unique")</f>
        <v>Unique</v>
      </c>
    </row>
    <row r="694" spans="1:20" x14ac:dyDescent="0.45">
      <c r="A694" t="s">
        <v>1747</v>
      </c>
      <c r="B694" t="s">
        <v>942</v>
      </c>
      <c r="C694" t="s">
        <v>51</v>
      </c>
      <c r="D694" t="s">
        <v>50</v>
      </c>
      <c r="E694" t="s">
        <v>181</v>
      </c>
      <c r="F694" t="s">
        <v>81</v>
      </c>
      <c r="G694" t="s">
        <v>182</v>
      </c>
      <c r="H694" t="s">
        <v>112</v>
      </c>
      <c r="I694" t="s">
        <v>113</v>
      </c>
      <c r="J694" t="s">
        <v>3252</v>
      </c>
      <c r="K694" t="s">
        <v>162</v>
      </c>
      <c r="M694" t="s">
        <v>163</v>
      </c>
      <c r="N694" t="s">
        <v>99</v>
      </c>
      <c r="O694" s="27">
        <v>561000</v>
      </c>
      <c r="P694">
        <v>4</v>
      </c>
      <c r="Q694" t="s">
        <v>164</v>
      </c>
      <c r="R694">
        <v>43</v>
      </c>
      <c r="S694" t="s">
        <v>244</v>
      </c>
      <c r="T694" t="str">
        <f>IF(COUNTIF($A$2:A694,A694)&gt;1,"Duplicate","Unique")</f>
        <v>Unique</v>
      </c>
    </row>
    <row r="695" spans="1:20" x14ac:dyDescent="0.45">
      <c r="A695" t="s">
        <v>1028</v>
      </c>
      <c r="B695" t="s">
        <v>3253</v>
      </c>
      <c r="C695" t="s">
        <v>59</v>
      </c>
      <c r="D695" t="s">
        <v>58</v>
      </c>
      <c r="E695" t="s">
        <v>287</v>
      </c>
      <c r="F695" t="s">
        <v>83</v>
      </c>
      <c r="G695" t="s">
        <v>288</v>
      </c>
      <c r="H695" t="s">
        <v>108</v>
      </c>
      <c r="I695" t="s">
        <v>107</v>
      </c>
      <c r="J695" t="s">
        <v>2657</v>
      </c>
      <c r="K695" t="s">
        <v>162</v>
      </c>
      <c r="M695" t="s">
        <v>163</v>
      </c>
      <c r="N695" t="s">
        <v>99</v>
      </c>
      <c r="O695" s="27">
        <v>1763000</v>
      </c>
      <c r="P695">
        <v>5</v>
      </c>
      <c r="Q695" t="s">
        <v>164</v>
      </c>
      <c r="R695">
        <v>55</v>
      </c>
      <c r="S695" t="s">
        <v>214</v>
      </c>
      <c r="T695" t="str">
        <f>IF(COUNTIF($A$2:A695,A695)&gt;1,"Duplicate","Unique")</f>
        <v>Unique</v>
      </c>
    </row>
    <row r="696" spans="1:20" x14ac:dyDescent="0.45">
      <c r="A696" t="s">
        <v>275</v>
      </c>
      <c r="B696" t="s">
        <v>276</v>
      </c>
      <c r="C696" t="s">
        <v>55</v>
      </c>
      <c r="D696" t="s">
        <v>54</v>
      </c>
      <c r="E696" t="s">
        <v>277</v>
      </c>
      <c r="F696" t="s">
        <v>81</v>
      </c>
      <c r="G696" t="s">
        <v>278</v>
      </c>
      <c r="H696" t="s">
        <v>111</v>
      </c>
      <c r="I696" t="s">
        <v>110</v>
      </c>
      <c r="J696" t="s">
        <v>3254</v>
      </c>
      <c r="K696" t="s">
        <v>162</v>
      </c>
      <c r="M696" t="s">
        <v>163</v>
      </c>
      <c r="N696" t="s">
        <v>99</v>
      </c>
      <c r="O696" s="27">
        <v>707000</v>
      </c>
      <c r="P696">
        <v>3</v>
      </c>
      <c r="Q696" t="s">
        <v>172</v>
      </c>
      <c r="R696">
        <v>47</v>
      </c>
      <c r="S696" t="s">
        <v>274</v>
      </c>
      <c r="T696" t="str">
        <f>IF(COUNTIF($A$2:A696,A696)&gt;1,"Duplicate","Unique")</f>
        <v>Unique</v>
      </c>
    </row>
    <row r="697" spans="1:20" x14ac:dyDescent="0.45">
      <c r="A697" t="s">
        <v>2294</v>
      </c>
      <c r="B697" t="s">
        <v>1868</v>
      </c>
      <c r="C697" t="s">
        <v>51</v>
      </c>
      <c r="D697" t="s">
        <v>50</v>
      </c>
      <c r="E697" t="s">
        <v>217</v>
      </c>
      <c r="F697" t="s">
        <v>83</v>
      </c>
      <c r="G697" t="s">
        <v>218</v>
      </c>
      <c r="H697" t="s">
        <v>108</v>
      </c>
      <c r="I697" t="s">
        <v>107</v>
      </c>
      <c r="J697" t="s">
        <v>3255</v>
      </c>
      <c r="K697" t="s">
        <v>162</v>
      </c>
      <c r="M697" t="s">
        <v>163</v>
      </c>
      <c r="N697" t="s">
        <v>97</v>
      </c>
      <c r="O697" s="27">
        <v>1747000</v>
      </c>
      <c r="P697">
        <v>3</v>
      </c>
      <c r="Q697" t="s">
        <v>164</v>
      </c>
      <c r="R697">
        <v>33</v>
      </c>
      <c r="S697" t="s">
        <v>178</v>
      </c>
      <c r="T697" t="str">
        <f>IF(COUNTIF($A$2:A697,A697)&gt;1,"Duplicate","Unique")</f>
        <v>Unique</v>
      </c>
    </row>
    <row r="698" spans="1:20" x14ac:dyDescent="0.45">
      <c r="A698" t="s">
        <v>887</v>
      </c>
      <c r="B698" t="s">
        <v>203</v>
      </c>
      <c r="C698" t="s">
        <v>51</v>
      </c>
      <c r="D698" t="s">
        <v>50</v>
      </c>
      <c r="E698" t="s">
        <v>176</v>
      </c>
      <c r="F698" t="s">
        <v>82</v>
      </c>
      <c r="G698" t="s">
        <v>177</v>
      </c>
      <c r="H698" t="s">
        <v>111</v>
      </c>
      <c r="I698" t="s">
        <v>110</v>
      </c>
      <c r="J698" t="s">
        <v>3256</v>
      </c>
      <c r="K698" t="s">
        <v>162</v>
      </c>
      <c r="M698" t="s">
        <v>163</v>
      </c>
      <c r="N698" t="s">
        <v>99</v>
      </c>
      <c r="O698" s="27">
        <v>1113000</v>
      </c>
      <c r="P698">
        <v>2</v>
      </c>
      <c r="Q698" t="s">
        <v>172</v>
      </c>
      <c r="R698">
        <v>33</v>
      </c>
      <c r="S698" t="s">
        <v>244</v>
      </c>
      <c r="T698" t="str">
        <f>IF(COUNTIF($A$2:A698,A698)&gt;1,"Duplicate","Unique")</f>
        <v>Unique</v>
      </c>
    </row>
    <row r="699" spans="1:20" x14ac:dyDescent="0.45">
      <c r="A699" t="s">
        <v>2289</v>
      </c>
      <c r="B699" t="s">
        <v>599</v>
      </c>
      <c r="C699" t="s">
        <v>53</v>
      </c>
      <c r="D699" t="s">
        <v>52</v>
      </c>
      <c r="E699" t="s">
        <v>322</v>
      </c>
      <c r="F699" t="s">
        <v>81</v>
      </c>
      <c r="G699" t="s">
        <v>323</v>
      </c>
      <c r="H699" t="s">
        <v>106</v>
      </c>
      <c r="I699" t="s">
        <v>107</v>
      </c>
      <c r="J699" t="s">
        <v>3257</v>
      </c>
      <c r="K699" t="s">
        <v>162</v>
      </c>
      <c r="M699" t="s">
        <v>163</v>
      </c>
      <c r="N699" t="s">
        <v>99</v>
      </c>
      <c r="O699" s="27">
        <v>740000</v>
      </c>
      <c r="P699">
        <v>3</v>
      </c>
      <c r="Q699" t="s">
        <v>172</v>
      </c>
      <c r="R699">
        <v>27</v>
      </c>
      <c r="S699" t="s">
        <v>237</v>
      </c>
      <c r="T699" t="str">
        <f>IF(COUNTIF($A$2:A699,A699)&gt;1,"Duplicate","Unique")</f>
        <v>Unique</v>
      </c>
    </row>
    <row r="700" spans="1:20" x14ac:dyDescent="0.45">
      <c r="A700" t="s">
        <v>1360</v>
      </c>
      <c r="B700" t="s">
        <v>1219</v>
      </c>
      <c r="C700" t="s">
        <v>57</v>
      </c>
      <c r="D700" t="s">
        <v>56</v>
      </c>
      <c r="E700" t="s">
        <v>222</v>
      </c>
      <c r="F700" t="s">
        <v>82</v>
      </c>
      <c r="G700" t="s">
        <v>223</v>
      </c>
      <c r="H700" t="s">
        <v>106</v>
      </c>
      <c r="I700" t="s">
        <v>107</v>
      </c>
      <c r="J700" t="s">
        <v>3258</v>
      </c>
      <c r="K700" t="s">
        <v>187</v>
      </c>
      <c r="L700" t="s">
        <v>3259</v>
      </c>
      <c r="M700" t="s">
        <v>213</v>
      </c>
      <c r="N700" t="s">
        <v>96</v>
      </c>
      <c r="O700" s="27">
        <v>851000</v>
      </c>
      <c r="P700">
        <v>4</v>
      </c>
      <c r="Q700" t="s">
        <v>164</v>
      </c>
      <c r="R700">
        <v>39</v>
      </c>
      <c r="S700" t="s">
        <v>224</v>
      </c>
      <c r="T700" t="str">
        <f>IF(COUNTIF($A$2:A700,A700)&gt;1,"Duplicate","Unique")</f>
        <v>Unique</v>
      </c>
    </row>
    <row r="701" spans="1:20" x14ac:dyDescent="0.45">
      <c r="A701" t="s">
        <v>506</v>
      </c>
      <c r="B701" t="s">
        <v>507</v>
      </c>
      <c r="C701" t="s">
        <v>51</v>
      </c>
      <c r="D701" t="s">
        <v>50</v>
      </c>
      <c r="E701" t="s">
        <v>181</v>
      </c>
      <c r="F701" t="s">
        <v>81</v>
      </c>
      <c r="G701" t="s">
        <v>182</v>
      </c>
      <c r="H701" t="s">
        <v>106</v>
      </c>
      <c r="I701" t="s">
        <v>107</v>
      </c>
      <c r="J701" t="s">
        <v>3260</v>
      </c>
      <c r="K701" t="s">
        <v>162</v>
      </c>
      <c r="M701" t="s">
        <v>163</v>
      </c>
      <c r="N701" t="s">
        <v>98</v>
      </c>
      <c r="O701" s="27">
        <v>718000</v>
      </c>
      <c r="P701">
        <v>3</v>
      </c>
      <c r="Q701" t="s">
        <v>172</v>
      </c>
      <c r="R701">
        <v>29</v>
      </c>
      <c r="S701" t="s">
        <v>244</v>
      </c>
      <c r="T701" t="str">
        <f>IF(COUNTIF($A$2:A701,A701)&gt;1,"Duplicate","Unique")</f>
        <v>Unique</v>
      </c>
    </row>
    <row r="702" spans="1:20" x14ac:dyDescent="0.45">
      <c r="A702" t="s">
        <v>272</v>
      </c>
      <c r="B702" t="s">
        <v>273</v>
      </c>
      <c r="C702" t="s">
        <v>55</v>
      </c>
      <c r="D702" t="s">
        <v>54</v>
      </c>
      <c r="E702" t="s">
        <v>229</v>
      </c>
      <c r="F702" t="s">
        <v>82</v>
      </c>
      <c r="G702" t="s">
        <v>230</v>
      </c>
      <c r="H702" t="s">
        <v>2611</v>
      </c>
      <c r="I702" t="s">
        <v>107</v>
      </c>
      <c r="J702" t="s">
        <v>3261</v>
      </c>
      <c r="K702" t="s">
        <v>162</v>
      </c>
      <c r="M702" t="s">
        <v>163</v>
      </c>
      <c r="N702" t="s">
        <v>98</v>
      </c>
      <c r="O702" s="27">
        <v>1004000</v>
      </c>
      <c r="P702">
        <v>4</v>
      </c>
      <c r="Q702" t="s">
        <v>164</v>
      </c>
      <c r="R702">
        <v>34</v>
      </c>
      <c r="S702" t="s">
        <v>274</v>
      </c>
      <c r="T702" t="str">
        <f>IF(COUNTIF($A$2:A702,A702)&gt;1,"Duplicate","Unique")</f>
        <v>Unique</v>
      </c>
    </row>
    <row r="703" spans="1:20" x14ac:dyDescent="0.45">
      <c r="A703" t="s">
        <v>2308</v>
      </c>
      <c r="B703" t="s">
        <v>1968</v>
      </c>
      <c r="C703" t="s">
        <v>55</v>
      </c>
      <c r="D703" t="s">
        <v>54</v>
      </c>
      <c r="E703" t="s">
        <v>229</v>
      </c>
      <c r="F703" t="s">
        <v>82</v>
      </c>
      <c r="G703" t="s">
        <v>230</v>
      </c>
      <c r="H703" t="s">
        <v>106</v>
      </c>
      <c r="I703" t="s">
        <v>107</v>
      </c>
      <c r="J703" t="s">
        <v>2452</v>
      </c>
      <c r="K703" t="s">
        <v>162</v>
      </c>
      <c r="M703" t="s">
        <v>163</v>
      </c>
      <c r="N703" t="s">
        <v>96</v>
      </c>
      <c r="O703" s="27">
        <v>1212000</v>
      </c>
      <c r="P703">
        <v>3</v>
      </c>
      <c r="Q703" t="s">
        <v>172</v>
      </c>
      <c r="R703">
        <v>47</v>
      </c>
      <c r="S703" t="s">
        <v>262</v>
      </c>
      <c r="T703" t="str">
        <f>IF(COUNTIF($A$2:A703,A703)&gt;1,"Duplicate","Unique")</f>
        <v>Unique</v>
      </c>
    </row>
    <row r="704" spans="1:20" x14ac:dyDescent="0.45">
      <c r="A704" t="s">
        <v>1170</v>
      </c>
      <c r="B704" t="s">
        <v>592</v>
      </c>
      <c r="C704" t="s">
        <v>55</v>
      </c>
      <c r="D704" t="s">
        <v>54</v>
      </c>
      <c r="E704" t="s">
        <v>168</v>
      </c>
      <c r="F704" t="s">
        <v>84</v>
      </c>
      <c r="G704" t="s">
        <v>169</v>
      </c>
      <c r="H704" t="s">
        <v>112</v>
      </c>
      <c r="I704" t="s">
        <v>113</v>
      </c>
      <c r="J704" t="s">
        <v>3262</v>
      </c>
      <c r="K704" t="s">
        <v>162</v>
      </c>
      <c r="M704" t="s">
        <v>163</v>
      </c>
      <c r="N704" t="s">
        <v>99</v>
      </c>
      <c r="O704" s="27">
        <v>2974000</v>
      </c>
      <c r="P704">
        <v>3</v>
      </c>
      <c r="Q704" t="s">
        <v>172</v>
      </c>
      <c r="R704">
        <v>16</v>
      </c>
      <c r="S704" t="s">
        <v>262</v>
      </c>
      <c r="T704" t="str">
        <f>IF(COUNTIF($A$2:A704,A704)&gt;1,"Duplicate","Unique")</f>
        <v>Unique</v>
      </c>
    </row>
    <row r="705" spans="1:20" x14ac:dyDescent="0.45">
      <c r="A705" t="s">
        <v>1492</v>
      </c>
      <c r="B705" t="s">
        <v>1493</v>
      </c>
      <c r="C705" t="s">
        <v>51</v>
      </c>
      <c r="D705" t="s">
        <v>50</v>
      </c>
      <c r="E705" t="s">
        <v>176</v>
      </c>
      <c r="F705" t="s">
        <v>82</v>
      </c>
      <c r="G705" t="s">
        <v>177</v>
      </c>
      <c r="H705" t="s">
        <v>3169</v>
      </c>
      <c r="I705" t="s">
        <v>113</v>
      </c>
      <c r="J705" t="s">
        <v>3263</v>
      </c>
      <c r="K705" t="s">
        <v>162</v>
      </c>
      <c r="M705" t="s">
        <v>163</v>
      </c>
      <c r="N705" t="s">
        <v>97</v>
      </c>
      <c r="O705" s="27">
        <v>1283000</v>
      </c>
      <c r="P705">
        <v>2</v>
      </c>
      <c r="Q705" t="s">
        <v>164</v>
      </c>
      <c r="R705">
        <v>29</v>
      </c>
      <c r="S705" t="s">
        <v>244</v>
      </c>
      <c r="T705" t="str">
        <f>IF(COUNTIF($A$2:A705,A705)&gt;1,"Duplicate","Unique")</f>
        <v>Unique</v>
      </c>
    </row>
    <row r="706" spans="1:20" x14ac:dyDescent="0.45">
      <c r="A706" t="s">
        <v>1266</v>
      </c>
      <c r="B706" t="s">
        <v>1267</v>
      </c>
      <c r="C706" t="s">
        <v>51</v>
      </c>
      <c r="D706" t="s">
        <v>50</v>
      </c>
      <c r="E706" t="s">
        <v>176</v>
      </c>
      <c r="F706" t="s">
        <v>82</v>
      </c>
      <c r="G706" t="s">
        <v>177</v>
      </c>
      <c r="H706" t="s">
        <v>108</v>
      </c>
      <c r="I706" t="s">
        <v>107</v>
      </c>
      <c r="J706" t="s">
        <v>3131</v>
      </c>
      <c r="K706" t="s">
        <v>162</v>
      </c>
      <c r="M706" t="s">
        <v>163</v>
      </c>
      <c r="N706" t="s">
        <v>99</v>
      </c>
      <c r="O706" s="27">
        <v>1189000</v>
      </c>
      <c r="P706">
        <v>2</v>
      </c>
      <c r="Q706" t="s">
        <v>164</v>
      </c>
      <c r="R706">
        <v>20</v>
      </c>
      <c r="S706" t="s">
        <v>178</v>
      </c>
      <c r="T706" t="str">
        <f>IF(COUNTIF($A$2:A706,A706)&gt;1,"Duplicate","Unique")</f>
        <v>Unique</v>
      </c>
    </row>
    <row r="707" spans="1:20" x14ac:dyDescent="0.45">
      <c r="A707" t="s">
        <v>2309</v>
      </c>
      <c r="B707" t="s">
        <v>3264</v>
      </c>
      <c r="C707" t="s">
        <v>55</v>
      </c>
      <c r="D707" t="s">
        <v>54</v>
      </c>
      <c r="E707" t="s">
        <v>168</v>
      </c>
      <c r="F707" t="s">
        <v>84</v>
      </c>
      <c r="G707" t="s">
        <v>169</v>
      </c>
      <c r="H707" t="s">
        <v>106</v>
      </c>
      <c r="I707" t="s">
        <v>107</v>
      </c>
      <c r="J707" t="s">
        <v>2452</v>
      </c>
      <c r="K707" t="s">
        <v>162</v>
      </c>
      <c r="M707" t="s">
        <v>163</v>
      </c>
      <c r="N707" t="s">
        <v>98</v>
      </c>
      <c r="O707" s="27">
        <v>3254000</v>
      </c>
      <c r="P707">
        <v>2</v>
      </c>
      <c r="Q707" t="s">
        <v>164</v>
      </c>
      <c r="R707">
        <v>27</v>
      </c>
      <c r="S707" t="s">
        <v>274</v>
      </c>
      <c r="T707" t="str">
        <f>IF(COUNTIF($A$2:A707,A707)&gt;1,"Duplicate","Unique")</f>
        <v>Unique</v>
      </c>
    </row>
    <row r="708" spans="1:20" x14ac:dyDescent="0.45">
      <c r="A708" t="s">
        <v>744</v>
      </c>
      <c r="B708" t="s">
        <v>745</v>
      </c>
      <c r="C708" t="s">
        <v>51</v>
      </c>
      <c r="D708" t="s">
        <v>50</v>
      </c>
      <c r="E708" t="s">
        <v>397</v>
      </c>
      <c r="F708" t="s">
        <v>84</v>
      </c>
      <c r="G708" t="s">
        <v>398</v>
      </c>
      <c r="H708" t="s">
        <v>108</v>
      </c>
      <c r="I708" t="s">
        <v>107</v>
      </c>
      <c r="J708" t="s">
        <v>3265</v>
      </c>
      <c r="K708" t="s">
        <v>162</v>
      </c>
      <c r="M708" t="s">
        <v>163</v>
      </c>
      <c r="N708" t="s">
        <v>97</v>
      </c>
      <c r="O708" s="27">
        <v>3195000</v>
      </c>
      <c r="P708">
        <v>3</v>
      </c>
      <c r="Q708" t="s">
        <v>164</v>
      </c>
      <c r="R708">
        <v>49</v>
      </c>
      <c r="S708" t="s">
        <v>178</v>
      </c>
      <c r="T708" t="str">
        <f>IF(COUNTIF($A$2:A708,A708)&gt;1,"Duplicate","Unique")</f>
        <v>Unique</v>
      </c>
    </row>
    <row r="709" spans="1:20" x14ac:dyDescent="0.45">
      <c r="A709" t="s">
        <v>1124</v>
      </c>
      <c r="B709" t="s">
        <v>755</v>
      </c>
      <c r="C709" t="s">
        <v>57</v>
      </c>
      <c r="D709" t="s">
        <v>2484</v>
      </c>
      <c r="E709" t="s">
        <v>160</v>
      </c>
      <c r="F709" t="s">
        <v>81</v>
      </c>
      <c r="G709" t="s">
        <v>161</v>
      </c>
      <c r="H709" t="s">
        <v>108</v>
      </c>
      <c r="I709" t="s">
        <v>107</v>
      </c>
      <c r="J709" t="s">
        <v>3137</v>
      </c>
      <c r="K709" t="s">
        <v>170</v>
      </c>
      <c r="L709" t="s">
        <v>3183</v>
      </c>
      <c r="M709" t="s">
        <v>171</v>
      </c>
      <c r="N709" t="s">
        <v>95</v>
      </c>
      <c r="O709" s="27">
        <v>763000</v>
      </c>
      <c r="P709">
        <v>2</v>
      </c>
      <c r="Q709" t="s">
        <v>164</v>
      </c>
      <c r="R709">
        <v>32</v>
      </c>
      <c r="S709" t="s">
        <v>224</v>
      </c>
      <c r="T709" t="str">
        <f>IF(COUNTIF($A$2:A709,A709)&gt;1,"Duplicate","Unique")</f>
        <v>Unique</v>
      </c>
    </row>
    <row r="710" spans="1:20" x14ac:dyDescent="0.45">
      <c r="A710" t="s">
        <v>1513</v>
      </c>
      <c r="B710" t="s">
        <v>802</v>
      </c>
      <c r="C710" t="s">
        <v>61</v>
      </c>
      <c r="D710" t="s">
        <v>60</v>
      </c>
      <c r="E710" t="s">
        <v>251</v>
      </c>
      <c r="F710" t="s">
        <v>82</v>
      </c>
      <c r="G710" t="s">
        <v>252</v>
      </c>
      <c r="H710" t="s">
        <v>108</v>
      </c>
      <c r="I710" t="s">
        <v>107</v>
      </c>
      <c r="J710" t="s">
        <v>3134</v>
      </c>
      <c r="K710" t="s">
        <v>162</v>
      </c>
      <c r="M710" t="s">
        <v>163</v>
      </c>
      <c r="N710" t="s">
        <v>99</v>
      </c>
      <c r="O710" s="27">
        <v>906000</v>
      </c>
      <c r="P710">
        <v>4</v>
      </c>
      <c r="Q710" t="s">
        <v>172</v>
      </c>
      <c r="R710">
        <v>39</v>
      </c>
      <c r="S710" t="s">
        <v>253</v>
      </c>
      <c r="T710" t="str">
        <f>IF(COUNTIF($A$2:A710,A710)&gt;1,"Duplicate","Unique")</f>
        <v>Unique</v>
      </c>
    </row>
    <row r="711" spans="1:20" x14ac:dyDescent="0.45">
      <c r="A711" t="s">
        <v>1260</v>
      </c>
      <c r="B711" t="s">
        <v>804</v>
      </c>
      <c r="C711" t="s">
        <v>55</v>
      </c>
      <c r="D711" t="s">
        <v>54</v>
      </c>
      <c r="E711" t="s">
        <v>277</v>
      </c>
      <c r="F711" t="s">
        <v>81</v>
      </c>
      <c r="G711" t="s">
        <v>278</v>
      </c>
      <c r="H711" t="s">
        <v>109</v>
      </c>
      <c r="I711" t="s">
        <v>110</v>
      </c>
      <c r="J711" t="s">
        <v>2501</v>
      </c>
      <c r="K711" t="s">
        <v>187</v>
      </c>
      <c r="L711" t="s">
        <v>3266</v>
      </c>
      <c r="M711" t="s">
        <v>282</v>
      </c>
      <c r="N711" t="s">
        <v>97</v>
      </c>
      <c r="O711" s="27">
        <v>821000</v>
      </c>
      <c r="P711">
        <v>3</v>
      </c>
      <c r="Q711" t="s">
        <v>164</v>
      </c>
      <c r="R711">
        <v>36</v>
      </c>
      <c r="S711" t="s">
        <v>173</v>
      </c>
      <c r="T711" t="str">
        <f>IF(COUNTIF($A$2:A711,A711)&gt;1,"Duplicate","Unique")</f>
        <v>Unique</v>
      </c>
    </row>
    <row r="712" spans="1:20" x14ac:dyDescent="0.45">
      <c r="A712" t="s">
        <v>1070</v>
      </c>
      <c r="B712" t="s">
        <v>814</v>
      </c>
      <c r="C712" t="s">
        <v>59</v>
      </c>
      <c r="D712" t="s">
        <v>58</v>
      </c>
      <c r="E712" t="s">
        <v>211</v>
      </c>
      <c r="F712" t="s">
        <v>82</v>
      </c>
      <c r="G712" t="s">
        <v>212</v>
      </c>
      <c r="H712" t="s">
        <v>109</v>
      </c>
      <c r="I712" t="s">
        <v>110</v>
      </c>
      <c r="J712" t="s">
        <v>3240</v>
      </c>
      <c r="K712" t="s">
        <v>162</v>
      </c>
      <c r="M712" t="s">
        <v>163</v>
      </c>
      <c r="N712" t="s">
        <v>95</v>
      </c>
      <c r="O712" s="27">
        <v>1261000</v>
      </c>
      <c r="P712">
        <v>4</v>
      </c>
      <c r="Q712" t="s">
        <v>164</v>
      </c>
      <c r="R712">
        <v>26</v>
      </c>
      <c r="S712" t="s">
        <v>214</v>
      </c>
      <c r="T712" t="str">
        <f>IF(COUNTIF($A$2:A712,A712)&gt;1,"Duplicate","Unique")</f>
        <v>Unique</v>
      </c>
    </row>
    <row r="713" spans="1:20" x14ac:dyDescent="0.45">
      <c r="A713" t="s">
        <v>1415</v>
      </c>
      <c r="B713" t="s">
        <v>1416</v>
      </c>
      <c r="C713" t="s">
        <v>53</v>
      </c>
      <c r="D713" t="s">
        <v>2442</v>
      </c>
      <c r="E713" t="s">
        <v>322</v>
      </c>
      <c r="F713" t="s">
        <v>81</v>
      </c>
      <c r="G713" t="s">
        <v>323</v>
      </c>
      <c r="H713" t="s">
        <v>106</v>
      </c>
      <c r="I713" t="s">
        <v>107</v>
      </c>
      <c r="J713" t="s">
        <v>3267</v>
      </c>
      <c r="K713" t="s">
        <v>187</v>
      </c>
      <c r="L713" t="s">
        <v>3268</v>
      </c>
      <c r="M713" t="s">
        <v>188</v>
      </c>
      <c r="N713" t="s">
        <v>95</v>
      </c>
      <c r="O713" s="27">
        <v>809000</v>
      </c>
      <c r="P713">
        <v>3</v>
      </c>
      <c r="Q713" t="s">
        <v>172</v>
      </c>
      <c r="R713">
        <v>27</v>
      </c>
      <c r="S713" t="s">
        <v>237</v>
      </c>
      <c r="T713" t="str">
        <f>IF(COUNTIF($A$2:A713,A713)&gt;1,"Duplicate","Unique")</f>
        <v>Unique</v>
      </c>
    </row>
    <row r="714" spans="1:20" x14ac:dyDescent="0.45">
      <c r="A714" t="s">
        <v>2243</v>
      </c>
      <c r="B714" t="s">
        <v>1240</v>
      </c>
      <c r="C714" t="s">
        <v>55</v>
      </c>
      <c r="D714" t="s">
        <v>54</v>
      </c>
      <c r="E714" t="s">
        <v>240</v>
      </c>
      <c r="F714" t="s">
        <v>83</v>
      </c>
      <c r="G714" t="s">
        <v>241</v>
      </c>
      <c r="H714" t="s">
        <v>106</v>
      </c>
      <c r="I714" t="s">
        <v>107</v>
      </c>
      <c r="J714" t="s">
        <v>3269</v>
      </c>
      <c r="K714" t="s">
        <v>162</v>
      </c>
      <c r="M714" t="s">
        <v>163</v>
      </c>
      <c r="N714" t="s">
        <v>95</v>
      </c>
      <c r="O714" s="27">
        <v>1925000</v>
      </c>
      <c r="P714">
        <v>3</v>
      </c>
      <c r="Q714" t="s">
        <v>172</v>
      </c>
      <c r="R714">
        <v>25</v>
      </c>
      <c r="S714" t="s">
        <v>173</v>
      </c>
      <c r="T714" t="str">
        <f>IF(COUNTIF($A$2:A714,A714)&gt;1,"Duplicate","Unique")</f>
        <v>Unique</v>
      </c>
    </row>
    <row r="715" spans="1:20" x14ac:dyDescent="0.45">
      <c r="A715" t="s">
        <v>898</v>
      </c>
      <c r="B715" t="s">
        <v>899</v>
      </c>
      <c r="C715" t="s">
        <v>51</v>
      </c>
      <c r="D715" t="s">
        <v>50</v>
      </c>
      <c r="E715" t="s">
        <v>176</v>
      </c>
      <c r="F715" t="s">
        <v>82</v>
      </c>
      <c r="G715" t="s">
        <v>177</v>
      </c>
      <c r="H715" t="s">
        <v>106</v>
      </c>
      <c r="I715" t="s">
        <v>107</v>
      </c>
      <c r="J715" t="s">
        <v>3270</v>
      </c>
      <c r="K715" t="s">
        <v>187</v>
      </c>
      <c r="L715" t="s">
        <v>3203</v>
      </c>
      <c r="M715" t="s">
        <v>188</v>
      </c>
      <c r="N715" t="s">
        <v>96</v>
      </c>
      <c r="O715" s="27">
        <v>946000</v>
      </c>
      <c r="P715">
        <v>5</v>
      </c>
      <c r="Q715" t="s">
        <v>172</v>
      </c>
      <c r="R715">
        <v>53</v>
      </c>
      <c r="S715" t="s">
        <v>197</v>
      </c>
      <c r="T715" t="str">
        <f>IF(COUNTIF($A$2:A715,A715)&gt;1,"Duplicate","Unique")</f>
        <v>Unique</v>
      </c>
    </row>
    <row r="716" spans="1:20" x14ac:dyDescent="0.45">
      <c r="A716" t="s">
        <v>1047</v>
      </c>
      <c r="B716" t="s">
        <v>1048</v>
      </c>
      <c r="C716" t="s">
        <v>51</v>
      </c>
      <c r="D716" t="s">
        <v>50</v>
      </c>
      <c r="E716" t="s">
        <v>181</v>
      </c>
      <c r="F716" t="s">
        <v>81</v>
      </c>
      <c r="G716" t="s">
        <v>182</v>
      </c>
      <c r="H716" t="s">
        <v>111</v>
      </c>
      <c r="I716" t="s">
        <v>110</v>
      </c>
      <c r="J716" t="s">
        <v>3271</v>
      </c>
      <c r="K716" t="s">
        <v>162</v>
      </c>
      <c r="M716" t="s">
        <v>163</v>
      </c>
      <c r="N716" t="s">
        <v>96</v>
      </c>
      <c r="O716" s="27">
        <v>837000</v>
      </c>
      <c r="P716">
        <v>3</v>
      </c>
      <c r="Q716" t="s">
        <v>172</v>
      </c>
      <c r="R716">
        <v>59</v>
      </c>
      <c r="S716" t="s">
        <v>219</v>
      </c>
      <c r="T716" t="str">
        <f>IF(COUNTIF($A$2:A716,A716)&gt;1,"Duplicate","Unique")</f>
        <v>Unique</v>
      </c>
    </row>
    <row r="717" spans="1:20" x14ac:dyDescent="0.45">
      <c r="A717" t="s">
        <v>1270</v>
      </c>
      <c r="B717" t="s">
        <v>1271</v>
      </c>
      <c r="C717" t="s">
        <v>51</v>
      </c>
      <c r="D717" t="s">
        <v>50</v>
      </c>
      <c r="E717" t="s">
        <v>176</v>
      </c>
      <c r="F717" t="s">
        <v>82</v>
      </c>
      <c r="G717" t="s">
        <v>177</v>
      </c>
      <c r="H717" t="s">
        <v>106</v>
      </c>
      <c r="I717" t="s">
        <v>107</v>
      </c>
      <c r="J717" t="s">
        <v>3236</v>
      </c>
      <c r="K717" t="s">
        <v>162</v>
      </c>
      <c r="M717" t="s">
        <v>163</v>
      </c>
      <c r="N717" t="s">
        <v>97</v>
      </c>
      <c r="O717" s="27">
        <v>1322000</v>
      </c>
      <c r="P717">
        <v>3</v>
      </c>
      <c r="Q717" t="s">
        <v>172</v>
      </c>
      <c r="R717">
        <v>39</v>
      </c>
      <c r="S717" t="s">
        <v>197</v>
      </c>
      <c r="T717" t="str">
        <f>IF(COUNTIF($A$2:A717,A717)&gt;1,"Duplicate","Unique")</f>
        <v>Unique</v>
      </c>
    </row>
    <row r="718" spans="1:20" x14ac:dyDescent="0.45">
      <c r="A718" t="s">
        <v>1002</v>
      </c>
      <c r="B718" t="s">
        <v>1003</v>
      </c>
      <c r="C718" t="s">
        <v>51</v>
      </c>
      <c r="D718" t="s">
        <v>50</v>
      </c>
      <c r="E718" t="s">
        <v>176</v>
      </c>
      <c r="F718" t="s">
        <v>82</v>
      </c>
      <c r="G718" t="s">
        <v>177</v>
      </c>
      <c r="H718" t="s">
        <v>106</v>
      </c>
      <c r="I718" t="s">
        <v>107</v>
      </c>
      <c r="J718" t="s">
        <v>3272</v>
      </c>
      <c r="K718" t="s">
        <v>162</v>
      </c>
      <c r="M718" t="s">
        <v>163</v>
      </c>
      <c r="N718" t="s">
        <v>97</v>
      </c>
      <c r="O718" s="27">
        <v>1019000</v>
      </c>
      <c r="P718">
        <v>5</v>
      </c>
      <c r="Q718" t="s">
        <v>2624</v>
      </c>
      <c r="R718">
        <v>20</v>
      </c>
      <c r="S718" t="s">
        <v>219</v>
      </c>
      <c r="T718" t="str">
        <f>IF(COUNTIF($A$2:A718,A718)&gt;1,"Duplicate","Unique")</f>
        <v>Unique</v>
      </c>
    </row>
    <row r="719" spans="1:20" x14ac:dyDescent="0.45">
      <c r="A719" t="s">
        <v>2046</v>
      </c>
      <c r="B719" t="s">
        <v>2047</v>
      </c>
      <c r="C719" t="s">
        <v>55</v>
      </c>
      <c r="D719" t="s">
        <v>54</v>
      </c>
      <c r="E719" t="s">
        <v>537</v>
      </c>
      <c r="F719" t="s">
        <v>85</v>
      </c>
      <c r="G719" t="s">
        <v>538</v>
      </c>
      <c r="H719" t="s">
        <v>106</v>
      </c>
      <c r="I719" t="s">
        <v>107</v>
      </c>
      <c r="J719" t="s">
        <v>3273</v>
      </c>
      <c r="K719" t="s">
        <v>162</v>
      </c>
      <c r="M719" t="s">
        <v>163</v>
      </c>
      <c r="N719" t="s">
        <v>98</v>
      </c>
      <c r="O719" s="27">
        <v>3497000</v>
      </c>
      <c r="P719">
        <v>3</v>
      </c>
      <c r="Q719" t="s">
        <v>172</v>
      </c>
      <c r="R719">
        <v>10</v>
      </c>
      <c r="S719" t="s">
        <v>173</v>
      </c>
      <c r="T719" t="str">
        <f>IF(COUNTIF($A$2:A719,A719)&gt;1,"Duplicate","Unique")</f>
        <v>Unique</v>
      </c>
    </row>
    <row r="720" spans="1:20" x14ac:dyDescent="0.45">
      <c r="A720" t="s">
        <v>2026</v>
      </c>
      <c r="B720" t="s">
        <v>1219</v>
      </c>
      <c r="C720" t="s">
        <v>51</v>
      </c>
      <c r="D720" t="s">
        <v>50</v>
      </c>
      <c r="E720" t="s">
        <v>176</v>
      </c>
      <c r="F720" t="s">
        <v>82</v>
      </c>
      <c r="G720" t="s">
        <v>177</v>
      </c>
      <c r="H720" t="s">
        <v>106</v>
      </c>
      <c r="I720" t="s">
        <v>107</v>
      </c>
      <c r="J720" t="s">
        <v>3274</v>
      </c>
      <c r="K720" t="s">
        <v>162</v>
      </c>
      <c r="M720" t="s">
        <v>163</v>
      </c>
      <c r="N720" t="s">
        <v>95</v>
      </c>
      <c r="O720" s="27">
        <v>1259000</v>
      </c>
      <c r="P720">
        <v>3</v>
      </c>
      <c r="Q720" t="s">
        <v>172</v>
      </c>
      <c r="R720">
        <v>34</v>
      </c>
      <c r="S720" t="s">
        <v>244</v>
      </c>
      <c r="T720" t="str">
        <f>IF(COUNTIF($A$2:A720,A720)&gt;1,"Duplicate","Unique")</f>
        <v>Unique</v>
      </c>
    </row>
    <row r="721" spans="1:20" x14ac:dyDescent="0.45">
      <c r="A721" t="s">
        <v>866</v>
      </c>
      <c r="B721" t="s">
        <v>617</v>
      </c>
      <c r="C721" t="s">
        <v>51</v>
      </c>
      <c r="D721" t="s">
        <v>50</v>
      </c>
      <c r="E721" t="s">
        <v>181</v>
      </c>
      <c r="F721" t="s">
        <v>81</v>
      </c>
      <c r="G721" t="s">
        <v>182</v>
      </c>
      <c r="H721" t="s">
        <v>112</v>
      </c>
      <c r="I721" t="s">
        <v>113</v>
      </c>
      <c r="J721" t="s">
        <v>2733</v>
      </c>
      <c r="K721" t="s">
        <v>162</v>
      </c>
      <c r="M721" t="s">
        <v>163</v>
      </c>
      <c r="N721" t="s">
        <v>97</v>
      </c>
      <c r="O721" s="27">
        <v>791000</v>
      </c>
      <c r="P721">
        <v>3</v>
      </c>
      <c r="Q721" t="s">
        <v>172</v>
      </c>
      <c r="R721">
        <v>50</v>
      </c>
      <c r="S721" t="s">
        <v>244</v>
      </c>
      <c r="T721" t="str">
        <f>IF(COUNTIF($A$2:A721,A721)&gt;1,"Duplicate","Unique")</f>
        <v>Unique</v>
      </c>
    </row>
    <row r="722" spans="1:20" x14ac:dyDescent="0.45">
      <c r="A722" t="s">
        <v>916</v>
      </c>
      <c r="B722" t="s">
        <v>464</v>
      </c>
      <c r="C722" t="s">
        <v>55</v>
      </c>
      <c r="D722" t="s">
        <v>54</v>
      </c>
      <c r="E722" t="s">
        <v>229</v>
      </c>
      <c r="F722" t="s">
        <v>82</v>
      </c>
      <c r="G722" t="s">
        <v>230</v>
      </c>
      <c r="H722" t="s">
        <v>106</v>
      </c>
      <c r="I722" t="s">
        <v>107</v>
      </c>
      <c r="J722" t="s">
        <v>3275</v>
      </c>
      <c r="K722" t="s">
        <v>187</v>
      </c>
      <c r="L722" t="s">
        <v>3276</v>
      </c>
      <c r="M722" t="s">
        <v>213</v>
      </c>
      <c r="N722" t="s">
        <v>99</v>
      </c>
      <c r="O722" s="27">
        <v>1083000</v>
      </c>
      <c r="P722">
        <v>3</v>
      </c>
      <c r="Q722" t="s">
        <v>164</v>
      </c>
      <c r="R722">
        <v>55</v>
      </c>
      <c r="S722" t="s">
        <v>173</v>
      </c>
      <c r="T722" t="str">
        <f>IF(COUNTIF($A$2:A722,A722)&gt;1,"Duplicate","Unique")</f>
        <v>Unique</v>
      </c>
    </row>
    <row r="723" spans="1:20" x14ac:dyDescent="0.45">
      <c r="A723" t="s">
        <v>1846</v>
      </c>
      <c r="B723" t="s">
        <v>1847</v>
      </c>
      <c r="C723" t="s">
        <v>53</v>
      </c>
      <c r="D723" t="s">
        <v>52</v>
      </c>
      <c r="E723" t="s">
        <v>322</v>
      </c>
      <c r="F723" t="s">
        <v>81</v>
      </c>
      <c r="G723" t="s">
        <v>323</v>
      </c>
      <c r="H723" t="s">
        <v>112</v>
      </c>
      <c r="I723" t="s">
        <v>113</v>
      </c>
      <c r="J723" t="s">
        <v>3277</v>
      </c>
      <c r="K723" t="s">
        <v>162</v>
      </c>
      <c r="M723" t="s">
        <v>163</v>
      </c>
      <c r="N723" t="s">
        <v>96</v>
      </c>
      <c r="O723" s="27">
        <v>649000</v>
      </c>
      <c r="P723">
        <v>3</v>
      </c>
      <c r="Q723" t="s">
        <v>164</v>
      </c>
      <c r="R723">
        <v>27</v>
      </c>
      <c r="S723" t="s">
        <v>189</v>
      </c>
      <c r="T723" t="str">
        <f>IF(COUNTIF($A$2:A723,A723)&gt;1,"Duplicate","Unique")</f>
        <v>Unique</v>
      </c>
    </row>
    <row r="724" spans="1:20" x14ac:dyDescent="0.45">
      <c r="A724" t="s">
        <v>1769</v>
      </c>
      <c r="B724" t="s">
        <v>1452</v>
      </c>
      <c r="C724" t="s">
        <v>51</v>
      </c>
      <c r="D724" t="s">
        <v>50</v>
      </c>
      <c r="E724" t="s">
        <v>181</v>
      </c>
      <c r="F724" t="s">
        <v>81</v>
      </c>
      <c r="G724" t="s">
        <v>182</v>
      </c>
      <c r="H724" t="s">
        <v>106</v>
      </c>
      <c r="I724" t="s">
        <v>107</v>
      </c>
      <c r="J724" t="s">
        <v>3125</v>
      </c>
      <c r="K724" t="s">
        <v>162</v>
      </c>
      <c r="M724" t="s">
        <v>163</v>
      </c>
      <c r="N724" t="s">
        <v>99</v>
      </c>
      <c r="O724" s="27">
        <v>655000</v>
      </c>
      <c r="P724">
        <v>4</v>
      </c>
      <c r="Q724" t="s">
        <v>164</v>
      </c>
      <c r="R724">
        <v>31</v>
      </c>
      <c r="S724" t="s">
        <v>244</v>
      </c>
      <c r="T724" t="str">
        <f>IF(COUNTIF($A$2:A724,A724)&gt;1,"Duplicate","Unique")</f>
        <v>Unique</v>
      </c>
    </row>
    <row r="725" spans="1:20" x14ac:dyDescent="0.45">
      <c r="A725" t="s">
        <v>371</v>
      </c>
      <c r="B725" t="s">
        <v>3278</v>
      </c>
      <c r="C725" t="s">
        <v>55</v>
      </c>
      <c r="D725" t="s">
        <v>54</v>
      </c>
      <c r="E725" t="s">
        <v>277</v>
      </c>
      <c r="F725" t="s">
        <v>81</v>
      </c>
      <c r="G725" t="s">
        <v>278</v>
      </c>
      <c r="H725" t="s">
        <v>106</v>
      </c>
      <c r="I725" t="s">
        <v>107</v>
      </c>
      <c r="J725" t="s">
        <v>3279</v>
      </c>
      <c r="K725" t="s">
        <v>162</v>
      </c>
      <c r="M725" t="s">
        <v>163</v>
      </c>
      <c r="N725" t="s">
        <v>98</v>
      </c>
      <c r="O725" s="27">
        <v>581000</v>
      </c>
      <c r="P725">
        <v>3</v>
      </c>
      <c r="Q725" t="s">
        <v>172</v>
      </c>
      <c r="R725">
        <v>48</v>
      </c>
      <c r="S725" t="s">
        <v>173</v>
      </c>
      <c r="T725" t="str">
        <f>IF(COUNTIF($A$2:A725,A725)&gt;1,"Duplicate","Unique")</f>
        <v>Unique</v>
      </c>
    </row>
    <row r="726" spans="1:20" x14ac:dyDescent="0.45">
      <c r="A726" t="s">
        <v>2050</v>
      </c>
      <c r="B726" t="s">
        <v>570</v>
      </c>
      <c r="C726" t="s">
        <v>53</v>
      </c>
      <c r="D726" t="s">
        <v>52</v>
      </c>
      <c r="E726" t="s">
        <v>185</v>
      </c>
      <c r="F726" t="s">
        <v>82</v>
      </c>
      <c r="G726" t="s">
        <v>186</v>
      </c>
      <c r="H726" t="s">
        <v>109</v>
      </c>
      <c r="I726" t="s">
        <v>110</v>
      </c>
      <c r="J726" t="s">
        <v>2628</v>
      </c>
      <c r="K726" t="s">
        <v>162</v>
      </c>
      <c r="M726" t="s">
        <v>163</v>
      </c>
      <c r="N726" t="s">
        <v>99</v>
      </c>
      <c r="O726" s="27">
        <v>1116000</v>
      </c>
      <c r="P726">
        <v>3</v>
      </c>
      <c r="Q726" t="s">
        <v>164</v>
      </c>
      <c r="R726">
        <v>56</v>
      </c>
      <c r="S726" t="s">
        <v>237</v>
      </c>
      <c r="T726" t="str">
        <f>IF(COUNTIF($A$2:A726,A726)&gt;1,"Duplicate","Unique")</f>
        <v>Unique</v>
      </c>
    </row>
    <row r="727" spans="1:20" x14ac:dyDescent="0.45">
      <c r="A727" t="s">
        <v>1515</v>
      </c>
      <c r="B727" t="s">
        <v>1311</v>
      </c>
      <c r="C727" t="s">
        <v>55</v>
      </c>
      <c r="D727" t="s">
        <v>54</v>
      </c>
      <c r="E727" t="s">
        <v>537</v>
      </c>
      <c r="F727" t="s">
        <v>85</v>
      </c>
      <c r="G727" t="s">
        <v>538</v>
      </c>
      <c r="H727" t="s">
        <v>106</v>
      </c>
      <c r="I727" t="s">
        <v>107</v>
      </c>
      <c r="J727" t="s">
        <v>2815</v>
      </c>
      <c r="K727" t="s">
        <v>187</v>
      </c>
      <c r="L727" t="s">
        <v>3280</v>
      </c>
      <c r="M727" t="s">
        <v>213</v>
      </c>
      <c r="N727" t="s">
        <v>95</v>
      </c>
      <c r="O727" s="27">
        <v>4268000</v>
      </c>
      <c r="P727">
        <v>5</v>
      </c>
      <c r="Q727" t="s">
        <v>172</v>
      </c>
      <c r="R727">
        <v>31</v>
      </c>
      <c r="S727" t="s">
        <v>274</v>
      </c>
      <c r="T727" t="str">
        <f>IF(COUNTIF($A$2:A727,A727)&gt;1,"Duplicate","Unique")</f>
        <v>Unique</v>
      </c>
    </row>
    <row r="728" spans="1:20" x14ac:dyDescent="0.45">
      <c r="A728" t="s">
        <v>1285</v>
      </c>
      <c r="B728" t="s">
        <v>349</v>
      </c>
      <c r="C728" t="s">
        <v>59</v>
      </c>
      <c r="D728" t="s">
        <v>58</v>
      </c>
      <c r="E728" t="s">
        <v>211</v>
      </c>
      <c r="F728" t="s">
        <v>82</v>
      </c>
      <c r="G728" t="s">
        <v>212</v>
      </c>
      <c r="H728" t="s">
        <v>106</v>
      </c>
      <c r="I728" t="s">
        <v>107</v>
      </c>
      <c r="J728" t="s">
        <v>3281</v>
      </c>
      <c r="K728" t="s">
        <v>187</v>
      </c>
      <c r="L728" t="s">
        <v>3282</v>
      </c>
      <c r="M728" t="s">
        <v>269</v>
      </c>
      <c r="N728" t="s">
        <v>99</v>
      </c>
      <c r="O728" s="27">
        <v>1181000</v>
      </c>
      <c r="P728">
        <v>3</v>
      </c>
      <c r="Q728" t="s">
        <v>172</v>
      </c>
      <c r="R728">
        <v>38</v>
      </c>
      <c r="S728" t="s">
        <v>214</v>
      </c>
      <c r="T728" t="str">
        <f>IF(COUNTIF($A$2:A728,A728)&gt;1,"Duplicate","Unique")</f>
        <v>Unique</v>
      </c>
    </row>
    <row r="729" spans="1:20" x14ac:dyDescent="0.45">
      <c r="A729" t="s">
        <v>1237</v>
      </c>
      <c r="B729" t="s">
        <v>3283</v>
      </c>
      <c r="C729" t="s">
        <v>53</v>
      </c>
      <c r="D729" t="s">
        <v>52</v>
      </c>
      <c r="E729" t="s">
        <v>322</v>
      </c>
      <c r="F729" t="s">
        <v>81</v>
      </c>
      <c r="G729" t="s">
        <v>323</v>
      </c>
      <c r="H729" t="s">
        <v>106</v>
      </c>
      <c r="I729" t="s">
        <v>107</v>
      </c>
      <c r="J729" t="s">
        <v>3095</v>
      </c>
      <c r="K729" t="s">
        <v>187</v>
      </c>
      <c r="L729" t="s">
        <v>3284</v>
      </c>
      <c r="M729" t="s">
        <v>282</v>
      </c>
      <c r="N729" t="s">
        <v>99</v>
      </c>
      <c r="O729" s="27">
        <v>797000</v>
      </c>
      <c r="P729">
        <v>3</v>
      </c>
      <c r="Q729" t="s">
        <v>164</v>
      </c>
      <c r="R729">
        <v>47</v>
      </c>
      <c r="S729" t="s">
        <v>237</v>
      </c>
      <c r="T729" t="str">
        <f>IF(COUNTIF($A$2:A729,A729)&gt;1,"Duplicate","Unique")</f>
        <v>Unique</v>
      </c>
    </row>
    <row r="730" spans="1:20" x14ac:dyDescent="0.45">
      <c r="A730" t="s">
        <v>2297</v>
      </c>
      <c r="B730" t="s">
        <v>2298</v>
      </c>
      <c r="C730" t="s">
        <v>53</v>
      </c>
      <c r="D730" t="s">
        <v>52</v>
      </c>
      <c r="E730" t="s">
        <v>322</v>
      </c>
      <c r="F730" t="s">
        <v>81</v>
      </c>
      <c r="G730" t="s">
        <v>323</v>
      </c>
      <c r="H730" t="s">
        <v>108</v>
      </c>
      <c r="I730" t="s">
        <v>107</v>
      </c>
      <c r="J730" t="s">
        <v>3285</v>
      </c>
      <c r="K730" t="s">
        <v>162</v>
      </c>
      <c r="M730" t="s">
        <v>163</v>
      </c>
      <c r="N730" t="s">
        <v>97</v>
      </c>
      <c r="O730" s="27">
        <v>648000</v>
      </c>
      <c r="P730">
        <v>4</v>
      </c>
      <c r="Q730" t="s">
        <v>164</v>
      </c>
      <c r="R730">
        <v>28</v>
      </c>
      <c r="S730" t="s">
        <v>237</v>
      </c>
      <c r="T730" t="str">
        <f>IF(COUNTIF($A$2:A730,A730)&gt;1,"Duplicate","Unique")</f>
        <v>Unique</v>
      </c>
    </row>
    <row r="731" spans="1:20" x14ac:dyDescent="0.45">
      <c r="A731" t="s">
        <v>1489</v>
      </c>
      <c r="B731" t="s">
        <v>296</v>
      </c>
      <c r="C731" t="s">
        <v>59</v>
      </c>
      <c r="D731" t="s">
        <v>58</v>
      </c>
      <c r="E731" t="s">
        <v>287</v>
      </c>
      <c r="F731" t="s">
        <v>83</v>
      </c>
      <c r="G731" t="s">
        <v>288</v>
      </c>
      <c r="H731" t="s">
        <v>109</v>
      </c>
      <c r="I731" t="s">
        <v>110</v>
      </c>
      <c r="J731" t="s">
        <v>3151</v>
      </c>
      <c r="K731" t="s">
        <v>187</v>
      </c>
      <c r="L731" t="s">
        <v>3175</v>
      </c>
      <c r="M731" t="s">
        <v>282</v>
      </c>
      <c r="N731" t="s">
        <v>97</v>
      </c>
      <c r="O731" s="27">
        <v>1827000</v>
      </c>
      <c r="P731">
        <v>4</v>
      </c>
      <c r="Q731" t="s">
        <v>164</v>
      </c>
      <c r="R731">
        <v>39</v>
      </c>
      <c r="S731" t="s">
        <v>208</v>
      </c>
      <c r="T731" t="str">
        <f>IF(COUNTIF($A$2:A731,A731)&gt;1,"Duplicate","Unique")</f>
        <v>Unique</v>
      </c>
    </row>
    <row r="732" spans="1:20" x14ac:dyDescent="0.45">
      <c r="A732" t="s">
        <v>1603</v>
      </c>
      <c r="B732" t="s">
        <v>1604</v>
      </c>
      <c r="C732" t="s">
        <v>55</v>
      </c>
      <c r="D732" t="s">
        <v>54</v>
      </c>
      <c r="E732" t="s">
        <v>229</v>
      </c>
      <c r="F732" t="s">
        <v>82</v>
      </c>
      <c r="G732" t="s">
        <v>230</v>
      </c>
      <c r="H732" t="s">
        <v>108</v>
      </c>
      <c r="I732" t="s">
        <v>107</v>
      </c>
      <c r="J732" t="s">
        <v>3286</v>
      </c>
      <c r="K732" t="s">
        <v>162</v>
      </c>
      <c r="M732" t="s">
        <v>163</v>
      </c>
      <c r="N732" t="s">
        <v>97</v>
      </c>
      <c r="O732" s="27">
        <v>948000</v>
      </c>
      <c r="P732">
        <v>2</v>
      </c>
      <c r="Q732" t="s">
        <v>164</v>
      </c>
      <c r="R732">
        <v>4</v>
      </c>
      <c r="S732" t="s">
        <v>173</v>
      </c>
      <c r="T732" t="str">
        <f>IF(COUNTIF($A$2:A732,A732)&gt;1,"Duplicate","Unique")</f>
        <v>Unique</v>
      </c>
    </row>
    <row r="733" spans="1:20" x14ac:dyDescent="0.45">
      <c r="A733" t="s">
        <v>902</v>
      </c>
      <c r="B733" t="s">
        <v>903</v>
      </c>
      <c r="C733" t="s">
        <v>55</v>
      </c>
      <c r="D733" t="s">
        <v>54</v>
      </c>
      <c r="E733" t="s">
        <v>277</v>
      </c>
      <c r="F733" t="s">
        <v>81</v>
      </c>
      <c r="G733" t="s">
        <v>278</v>
      </c>
      <c r="H733" t="s">
        <v>109</v>
      </c>
      <c r="I733" t="s">
        <v>110</v>
      </c>
      <c r="J733" t="s">
        <v>3287</v>
      </c>
      <c r="K733" t="s">
        <v>162</v>
      </c>
      <c r="M733" t="s">
        <v>163</v>
      </c>
      <c r="N733" t="s">
        <v>98</v>
      </c>
      <c r="O733" s="27">
        <v>831000</v>
      </c>
      <c r="P733">
        <v>2</v>
      </c>
      <c r="Q733" t="s">
        <v>164</v>
      </c>
      <c r="R733">
        <v>15</v>
      </c>
      <c r="S733" t="s">
        <v>274</v>
      </c>
      <c r="T733" t="str">
        <f>IF(COUNTIF($A$2:A733,A733)&gt;1,"Duplicate","Unique")</f>
        <v>Unique</v>
      </c>
    </row>
    <row r="734" spans="1:20" x14ac:dyDescent="0.45">
      <c r="A734" t="s">
        <v>555</v>
      </c>
      <c r="B734" t="s">
        <v>556</v>
      </c>
      <c r="C734" t="s">
        <v>51</v>
      </c>
      <c r="D734" t="s">
        <v>50</v>
      </c>
      <c r="E734" t="s">
        <v>217</v>
      </c>
      <c r="F734" t="s">
        <v>83</v>
      </c>
      <c r="G734" t="s">
        <v>218</v>
      </c>
      <c r="H734" t="s">
        <v>108</v>
      </c>
      <c r="I734" t="s">
        <v>107</v>
      </c>
      <c r="J734" t="s">
        <v>3288</v>
      </c>
      <c r="K734" t="s">
        <v>162</v>
      </c>
      <c r="M734" t="s">
        <v>163</v>
      </c>
      <c r="N734" t="s">
        <v>99</v>
      </c>
      <c r="O734" s="27">
        <v>1446000</v>
      </c>
      <c r="P734">
        <v>3</v>
      </c>
      <c r="Q734" t="s">
        <v>164</v>
      </c>
      <c r="R734">
        <v>37</v>
      </c>
      <c r="S734" t="s">
        <v>178</v>
      </c>
      <c r="T734" t="str">
        <f>IF(COUNTIF($A$2:A734,A734)&gt;1,"Duplicate","Unique")</f>
        <v>Unique</v>
      </c>
    </row>
    <row r="735" spans="1:20" x14ac:dyDescent="0.45">
      <c r="A735" t="s">
        <v>646</v>
      </c>
      <c r="B735" t="s">
        <v>647</v>
      </c>
      <c r="C735" t="s">
        <v>55</v>
      </c>
      <c r="D735" t="s">
        <v>54</v>
      </c>
      <c r="E735" t="s">
        <v>277</v>
      </c>
      <c r="F735" t="s">
        <v>81</v>
      </c>
      <c r="G735" t="s">
        <v>278</v>
      </c>
      <c r="H735" t="s">
        <v>106</v>
      </c>
      <c r="I735" t="s">
        <v>107</v>
      </c>
      <c r="J735" t="s">
        <v>3186</v>
      </c>
      <c r="K735" t="s">
        <v>170</v>
      </c>
      <c r="L735" t="s">
        <v>3289</v>
      </c>
      <c r="M735" t="s">
        <v>171</v>
      </c>
      <c r="N735" t="s">
        <v>97</v>
      </c>
      <c r="O735" s="27">
        <v>844000</v>
      </c>
      <c r="P735">
        <v>2</v>
      </c>
      <c r="Q735" t="s">
        <v>164</v>
      </c>
      <c r="R735">
        <v>24</v>
      </c>
      <c r="S735" t="s">
        <v>262</v>
      </c>
      <c r="T735" t="str">
        <f>IF(COUNTIF($A$2:A735,A735)&gt;1,"Duplicate","Unique")</f>
        <v>Unique</v>
      </c>
    </row>
    <row r="736" spans="1:20" x14ac:dyDescent="0.45">
      <c r="A736" t="s">
        <v>2027</v>
      </c>
      <c r="B736" t="s">
        <v>550</v>
      </c>
      <c r="C736" t="s">
        <v>53</v>
      </c>
      <c r="D736" t="s">
        <v>52</v>
      </c>
      <c r="E736" t="s">
        <v>200</v>
      </c>
      <c r="F736" t="s">
        <v>84</v>
      </c>
      <c r="G736" t="s">
        <v>201</v>
      </c>
      <c r="H736" t="s">
        <v>108</v>
      </c>
      <c r="I736" t="s">
        <v>107</v>
      </c>
      <c r="J736" t="s">
        <v>2807</v>
      </c>
      <c r="K736" t="s">
        <v>162</v>
      </c>
      <c r="M736" t="s">
        <v>163</v>
      </c>
      <c r="N736" t="s">
        <v>96</v>
      </c>
      <c r="O736" s="27">
        <v>3025000</v>
      </c>
      <c r="P736">
        <v>2</v>
      </c>
      <c r="Q736" t="s">
        <v>164</v>
      </c>
      <c r="R736">
        <v>11</v>
      </c>
      <c r="S736" t="s">
        <v>237</v>
      </c>
      <c r="T736" t="str">
        <f>IF(COUNTIF($A$2:A736,A736)&gt;1,"Duplicate","Unique")</f>
        <v>Unique</v>
      </c>
    </row>
    <row r="737" spans="1:20" x14ac:dyDescent="0.45">
      <c r="A737" t="s">
        <v>896</v>
      </c>
      <c r="B737" t="s">
        <v>897</v>
      </c>
      <c r="C737" t="s">
        <v>55</v>
      </c>
      <c r="D737" t="s">
        <v>54</v>
      </c>
      <c r="E737" t="s">
        <v>277</v>
      </c>
      <c r="F737" t="s">
        <v>81</v>
      </c>
      <c r="G737" t="s">
        <v>278</v>
      </c>
      <c r="H737" t="s">
        <v>112</v>
      </c>
      <c r="I737" t="s">
        <v>113</v>
      </c>
      <c r="J737" t="s">
        <v>3290</v>
      </c>
      <c r="K737" t="s">
        <v>170</v>
      </c>
      <c r="L737" t="s">
        <v>2886</v>
      </c>
      <c r="M737" t="s">
        <v>171</v>
      </c>
      <c r="N737" t="s">
        <v>99</v>
      </c>
      <c r="O737" s="27">
        <v>606000</v>
      </c>
      <c r="P737">
        <v>5</v>
      </c>
      <c r="Q737" t="s">
        <v>172</v>
      </c>
      <c r="R737">
        <v>47</v>
      </c>
      <c r="S737" t="s">
        <v>262</v>
      </c>
      <c r="T737" t="str">
        <f>IF(COUNTIF($A$2:A737,A737)&gt;1,"Duplicate","Unique")</f>
        <v>Unique</v>
      </c>
    </row>
    <row r="738" spans="1:20" x14ac:dyDescent="0.45">
      <c r="A738" t="s">
        <v>2147</v>
      </c>
      <c r="B738" t="s">
        <v>419</v>
      </c>
      <c r="C738" t="s">
        <v>55</v>
      </c>
      <c r="D738" t="s">
        <v>54</v>
      </c>
      <c r="E738" t="s">
        <v>229</v>
      </c>
      <c r="F738" t="s">
        <v>82</v>
      </c>
      <c r="G738" t="s">
        <v>230</v>
      </c>
      <c r="H738" t="s">
        <v>109</v>
      </c>
      <c r="I738" t="s">
        <v>110</v>
      </c>
      <c r="J738" t="s">
        <v>3019</v>
      </c>
      <c r="K738" t="s">
        <v>170</v>
      </c>
      <c r="L738" t="s">
        <v>2562</v>
      </c>
      <c r="M738" t="s">
        <v>171</v>
      </c>
      <c r="N738" t="s">
        <v>96</v>
      </c>
      <c r="O738" s="27">
        <v>1174000</v>
      </c>
      <c r="P738">
        <v>2</v>
      </c>
      <c r="Q738" t="s">
        <v>172</v>
      </c>
      <c r="R738">
        <v>27</v>
      </c>
      <c r="S738" t="s">
        <v>274</v>
      </c>
      <c r="T738" t="str">
        <f>IF(COUNTIF($A$2:A738,A738)&gt;1,"Duplicate","Unique")</f>
        <v>Unique</v>
      </c>
    </row>
    <row r="739" spans="1:20" x14ac:dyDescent="0.45">
      <c r="A739" t="s">
        <v>1344</v>
      </c>
      <c r="B739" t="s">
        <v>1345</v>
      </c>
      <c r="C739" t="s">
        <v>51</v>
      </c>
      <c r="D739" t="s">
        <v>50</v>
      </c>
      <c r="E739" t="s">
        <v>176</v>
      </c>
      <c r="F739" t="s">
        <v>82</v>
      </c>
      <c r="G739" t="s">
        <v>177</v>
      </c>
      <c r="H739" t="s">
        <v>112</v>
      </c>
      <c r="I739" t="s">
        <v>113</v>
      </c>
      <c r="J739" t="s">
        <v>2896</v>
      </c>
      <c r="K739" t="s">
        <v>162</v>
      </c>
      <c r="M739" t="s">
        <v>163</v>
      </c>
      <c r="N739" t="s">
        <v>96</v>
      </c>
      <c r="O739" s="27">
        <v>1078000</v>
      </c>
      <c r="P739">
        <v>1</v>
      </c>
      <c r="Q739" t="s">
        <v>164</v>
      </c>
      <c r="R739">
        <v>34</v>
      </c>
      <c r="S739" t="s">
        <v>219</v>
      </c>
      <c r="T739" t="str">
        <f>IF(COUNTIF($A$2:A739,A739)&gt;1,"Duplicate","Unique")</f>
        <v>Unique</v>
      </c>
    </row>
    <row r="740" spans="1:20" x14ac:dyDescent="0.45">
      <c r="A740" t="s">
        <v>245</v>
      </c>
      <c r="B740" t="s">
        <v>3291</v>
      </c>
      <c r="C740" t="s">
        <v>53</v>
      </c>
      <c r="D740" t="s">
        <v>52</v>
      </c>
      <c r="E740" t="s">
        <v>192</v>
      </c>
      <c r="F740" t="s">
        <v>83</v>
      </c>
      <c r="G740" t="s">
        <v>193</v>
      </c>
      <c r="H740" t="s">
        <v>109</v>
      </c>
      <c r="I740" t="s">
        <v>110</v>
      </c>
      <c r="J740" t="s">
        <v>3292</v>
      </c>
      <c r="K740" t="s">
        <v>162</v>
      </c>
      <c r="M740" t="s">
        <v>163</v>
      </c>
      <c r="N740" t="s">
        <v>99</v>
      </c>
      <c r="O740" s="27">
        <v>1764000</v>
      </c>
      <c r="P740">
        <v>3</v>
      </c>
      <c r="Q740" t="s">
        <v>2584</v>
      </c>
      <c r="R740">
        <v>45</v>
      </c>
      <c r="S740" t="s">
        <v>237</v>
      </c>
      <c r="T740" t="str">
        <f>IF(COUNTIF($A$2:A740,A740)&gt;1,"Duplicate","Unique")</f>
        <v>Unique</v>
      </c>
    </row>
    <row r="741" spans="1:20" x14ac:dyDescent="0.45">
      <c r="A741" t="s">
        <v>2230</v>
      </c>
      <c r="B741" t="s">
        <v>261</v>
      </c>
      <c r="C741" t="s">
        <v>55</v>
      </c>
      <c r="D741" t="s">
        <v>54</v>
      </c>
      <c r="E741" t="s">
        <v>277</v>
      </c>
      <c r="F741" t="s">
        <v>81</v>
      </c>
      <c r="G741" t="s">
        <v>278</v>
      </c>
      <c r="H741" t="s">
        <v>108</v>
      </c>
      <c r="I741" t="s">
        <v>107</v>
      </c>
      <c r="J741" t="s">
        <v>2727</v>
      </c>
      <c r="K741" t="s">
        <v>162</v>
      </c>
      <c r="M741" t="s">
        <v>163</v>
      </c>
      <c r="N741" t="s">
        <v>97</v>
      </c>
      <c r="O741" s="27">
        <v>699000</v>
      </c>
      <c r="P741">
        <v>3</v>
      </c>
      <c r="Q741" t="s">
        <v>172</v>
      </c>
      <c r="R741">
        <v>35</v>
      </c>
      <c r="S741" t="s">
        <v>262</v>
      </c>
      <c r="T741" t="str">
        <f>IF(COUNTIF($A$2:A741,A741)&gt;1,"Duplicate","Unique")</f>
        <v>Unique</v>
      </c>
    </row>
    <row r="742" spans="1:20" x14ac:dyDescent="0.45">
      <c r="A742" t="s">
        <v>1999</v>
      </c>
      <c r="B742" t="s">
        <v>2000</v>
      </c>
      <c r="C742" t="s">
        <v>53</v>
      </c>
      <c r="D742" t="s">
        <v>52</v>
      </c>
      <c r="E742" t="s">
        <v>322</v>
      </c>
      <c r="F742" t="s">
        <v>81</v>
      </c>
      <c r="G742" t="s">
        <v>323</v>
      </c>
      <c r="H742" t="s">
        <v>109</v>
      </c>
      <c r="I742" t="s">
        <v>110</v>
      </c>
      <c r="J742" t="s">
        <v>3293</v>
      </c>
      <c r="K742" t="s">
        <v>162</v>
      </c>
      <c r="M742" t="s">
        <v>163</v>
      </c>
      <c r="N742" t="s">
        <v>95</v>
      </c>
      <c r="O742" s="27">
        <v>843000</v>
      </c>
      <c r="P742">
        <v>3</v>
      </c>
      <c r="Q742" t="s">
        <v>172</v>
      </c>
      <c r="R742">
        <v>26</v>
      </c>
      <c r="S742" t="s">
        <v>189</v>
      </c>
      <c r="T742" t="str">
        <f>IF(COUNTIF($A$2:A742,A742)&gt;1,"Duplicate","Unique")</f>
        <v>Unique</v>
      </c>
    </row>
    <row r="743" spans="1:20" x14ac:dyDescent="0.45">
      <c r="A743" t="s">
        <v>2259</v>
      </c>
      <c r="B743" t="s">
        <v>1894</v>
      </c>
      <c r="C743" t="s">
        <v>55</v>
      </c>
      <c r="D743" t="s">
        <v>54</v>
      </c>
      <c r="E743" t="s">
        <v>277</v>
      </c>
      <c r="F743" t="s">
        <v>81</v>
      </c>
      <c r="G743" t="s">
        <v>278</v>
      </c>
      <c r="H743" t="s">
        <v>108</v>
      </c>
      <c r="I743" t="s">
        <v>107</v>
      </c>
      <c r="J743" t="s">
        <v>2726</v>
      </c>
      <c r="K743" t="s">
        <v>162</v>
      </c>
      <c r="M743" t="s">
        <v>163</v>
      </c>
      <c r="N743" t="s">
        <v>96</v>
      </c>
      <c r="O743" s="27">
        <v>769000</v>
      </c>
      <c r="P743">
        <v>3</v>
      </c>
      <c r="Q743" t="s">
        <v>172</v>
      </c>
      <c r="R743">
        <v>31</v>
      </c>
      <c r="S743" t="s">
        <v>274</v>
      </c>
      <c r="T743" t="str">
        <f>IF(COUNTIF($A$2:A743,A743)&gt;1,"Duplicate","Unique")</f>
        <v>Unique</v>
      </c>
    </row>
    <row r="744" spans="1:20" x14ac:dyDescent="0.45">
      <c r="A744" t="s">
        <v>667</v>
      </c>
      <c r="B744" t="s">
        <v>668</v>
      </c>
      <c r="C744" t="s">
        <v>53</v>
      </c>
      <c r="D744" t="s">
        <v>52</v>
      </c>
      <c r="E744" t="s">
        <v>322</v>
      </c>
      <c r="F744" t="s">
        <v>81</v>
      </c>
      <c r="G744" t="s">
        <v>323</v>
      </c>
      <c r="H744" t="s">
        <v>109</v>
      </c>
      <c r="I744" t="s">
        <v>110</v>
      </c>
      <c r="J744" t="s">
        <v>3294</v>
      </c>
      <c r="K744" t="s">
        <v>162</v>
      </c>
      <c r="M744" t="s">
        <v>163</v>
      </c>
      <c r="N744" t="s">
        <v>96</v>
      </c>
      <c r="O744" s="27">
        <v>577000</v>
      </c>
      <c r="P744">
        <v>3</v>
      </c>
      <c r="Q744" t="s">
        <v>164</v>
      </c>
      <c r="R744">
        <v>39</v>
      </c>
      <c r="S744" t="s">
        <v>237</v>
      </c>
      <c r="T744" t="str">
        <f>IF(COUNTIF($A$2:A744,A744)&gt;1,"Duplicate","Unique")</f>
        <v>Unique</v>
      </c>
    </row>
    <row r="745" spans="1:20" x14ac:dyDescent="0.45">
      <c r="A745" t="s">
        <v>2012</v>
      </c>
      <c r="B745" t="s">
        <v>1066</v>
      </c>
      <c r="C745" t="s">
        <v>51</v>
      </c>
      <c r="D745" t="s">
        <v>50</v>
      </c>
      <c r="E745" t="s">
        <v>181</v>
      </c>
      <c r="F745" t="s">
        <v>81</v>
      </c>
      <c r="G745" t="s">
        <v>182</v>
      </c>
      <c r="H745" t="s">
        <v>111</v>
      </c>
      <c r="I745" t="s">
        <v>110</v>
      </c>
      <c r="J745" t="s">
        <v>3049</v>
      </c>
      <c r="K745" t="s">
        <v>170</v>
      </c>
      <c r="L745" t="s">
        <v>3073</v>
      </c>
      <c r="M745" t="s">
        <v>171</v>
      </c>
      <c r="N745" t="s">
        <v>96</v>
      </c>
      <c r="O745" s="27">
        <v>711000</v>
      </c>
      <c r="P745">
        <v>2</v>
      </c>
      <c r="Q745" t="s">
        <v>164</v>
      </c>
      <c r="R745">
        <v>4</v>
      </c>
      <c r="S745" t="s">
        <v>197</v>
      </c>
      <c r="T745" t="str">
        <f>IF(COUNTIF($A$2:A745,A745)&gt;1,"Duplicate","Unique")</f>
        <v>Unique</v>
      </c>
    </row>
    <row r="746" spans="1:20" x14ac:dyDescent="0.45">
      <c r="A746" t="s">
        <v>1917</v>
      </c>
      <c r="B746" t="s">
        <v>1331</v>
      </c>
      <c r="C746" t="s">
        <v>53</v>
      </c>
      <c r="D746" t="s">
        <v>52</v>
      </c>
      <c r="E746" t="s">
        <v>322</v>
      </c>
      <c r="F746" t="s">
        <v>81</v>
      </c>
      <c r="G746" t="s">
        <v>323</v>
      </c>
      <c r="H746" t="s">
        <v>108</v>
      </c>
      <c r="I746" t="s">
        <v>107</v>
      </c>
      <c r="J746" t="s">
        <v>2669</v>
      </c>
      <c r="K746" t="s">
        <v>162</v>
      </c>
      <c r="M746" t="s">
        <v>163</v>
      </c>
      <c r="N746" t="s">
        <v>97</v>
      </c>
      <c r="O746" s="27">
        <v>600000</v>
      </c>
      <c r="P746">
        <v>3</v>
      </c>
      <c r="Q746" t="s">
        <v>172</v>
      </c>
      <c r="R746">
        <v>30</v>
      </c>
      <c r="S746" t="s">
        <v>189</v>
      </c>
      <c r="T746" t="str">
        <f>IF(COUNTIF($A$2:A746,A746)&gt;1,"Duplicate","Unique")</f>
        <v>Unique</v>
      </c>
    </row>
    <row r="747" spans="1:20" x14ac:dyDescent="0.45">
      <c r="A747" t="s">
        <v>202</v>
      </c>
      <c r="B747" t="s">
        <v>203</v>
      </c>
      <c r="C747" t="s">
        <v>51</v>
      </c>
      <c r="D747" t="s">
        <v>2620</v>
      </c>
      <c r="E747" t="s">
        <v>181</v>
      </c>
      <c r="F747" t="s">
        <v>81</v>
      </c>
      <c r="G747" t="s">
        <v>182</v>
      </c>
      <c r="H747" t="s">
        <v>108</v>
      </c>
      <c r="I747" t="s">
        <v>107</v>
      </c>
      <c r="J747" t="s">
        <v>3295</v>
      </c>
      <c r="K747" t="s">
        <v>170</v>
      </c>
      <c r="L747" t="s">
        <v>3296</v>
      </c>
      <c r="M747" t="s">
        <v>171</v>
      </c>
      <c r="N747" t="s">
        <v>96</v>
      </c>
      <c r="O747" s="27">
        <v>601000</v>
      </c>
      <c r="P747">
        <v>2</v>
      </c>
      <c r="Q747" t="s">
        <v>164</v>
      </c>
      <c r="R747">
        <v>16</v>
      </c>
      <c r="S747" t="s">
        <v>197</v>
      </c>
      <c r="T747" t="str">
        <f>IF(COUNTIF($A$2:A747,A747)&gt;1,"Duplicate","Unique")</f>
        <v>Unique</v>
      </c>
    </row>
    <row r="748" spans="1:20" x14ac:dyDescent="0.45">
      <c r="A748" t="s">
        <v>688</v>
      </c>
      <c r="B748" t="s">
        <v>689</v>
      </c>
      <c r="C748" t="s">
        <v>61</v>
      </c>
      <c r="D748" t="s">
        <v>60</v>
      </c>
      <c r="E748" t="s">
        <v>356</v>
      </c>
      <c r="F748" t="s">
        <v>81</v>
      </c>
      <c r="G748" t="s">
        <v>357</v>
      </c>
      <c r="H748" t="s">
        <v>106</v>
      </c>
      <c r="I748" t="s">
        <v>107</v>
      </c>
      <c r="J748" t="s">
        <v>3297</v>
      </c>
      <c r="K748" t="s">
        <v>170</v>
      </c>
      <c r="L748" t="s">
        <v>2795</v>
      </c>
      <c r="M748" t="s">
        <v>171</v>
      </c>
      <c r="N748" t="s">
        <v>95</v>
      </c>
      <c r="O748" s="27">
        <v>785000</v>
      </c>
      <c r="P748">
        <v>1</v>
      </c>
      <c r="Q748" t="s">
        <v>172</v>
      </c>
      <c r="S748" t="s">
        <v>319</v>
      </c>
      <c r="T748" t="str">
        <f>IF(COUNTIF($A$2:A748,A748)&gt;1,"Duplicate","Unique")</f>
        <v>Unique</v>
      </c>
    </row>
    <row r="749" spans="1:20" x14ac:dyDescent="0.45">
      <c r="A749" t="s">
        <v>1059</v>
      </c>
      <c r="B749" t="s">
        <v>1060</v>
      </c>
      <c r="C749" t="s">
        <v>55</v>
      </c>
      <c r="D749" t="s">
        <v>54</v>
      </c>
      <c r="E749" t="s">
        <v>240</v>
      </c>
      <c r="F749" t="s">
        <v>83</v>
      </c>
      <c r="G749" t="s">
        <v>241</v>
      </c>
      <c r="H749" t="s">
        <v>109</v>
      </c>
      <c r="I749" t="s">
        <v>110</v>
      </c>
      <c r="J749" t="s">
        <v>3298</v>
      </c>
      <c r="K749" t="s">
        <v>170</v>
      </c>
      <c r="L749" t="s">
        <v>3182</v>
      </c>
      <c r="M749" t="s">
        <v>171</v>
      </c>
      <c r="N749" t="s">
        <v>97</v>
      </c>
      <c r="O749" s="27">
        <v>1844000</v>
      </c>
      <c r="P749">
        <v>2</v>
      </c>
      <c r="Q749" t="s">
        <v>164</v>
      </c>
      <c r="R749">
        <v>38</v>
      </c>
      <c r="S749" t="s">
        <v>274</v>
      </c>
      <c r="T749" t="str">
        <f>IF(COUNTIF($A$2:A749,A749)&gt;1,"Duplicate","Unique")</f>
        <v>Unique</v>
      </c>
    </row>
    <row r="750" spans="1:20" x14ac:dyDescent="0.45">
      <c r="A750" t="s">
        <v>626</v>
      </c>
      <c r="B750" t="s">
        <v>627</v>
      </c>
      <c r="C750" t="s">
        <v>55</v>
      </c>
      <c r="D750" t="s">
        <v>54</v>
      </c>
      <c r="E750" t="s">
        <v>240</v>
      </c>
      <c r="F750" t="s">
        <v>83</v>
      </c>
      <c r="G750" t="s">
        <v>241</v>
      </c>
      <c r="H750" t="s">
        <v>112</v>
      </c>
      <c r="I750" t="s">
        <v>113</v>
      </c>
      <c r="J750" t="s">
        <v>3299</v>
      </c>
      <c r="K750" t="s">
        <v>162</v>
      </c>
      <c r="M750" t="s">
        <v>163</v>
      </c>
      <c r="N750" t="s">
        <v>95</v>
      </c>
      <c r="O750" s="27">
        <v>2076000</v>
      </c>
      <c r="P750">
        <v>2</v>
      </c>
      <c r="Q750" t="s">
        <v>164</v>
      </c>
      <c r="R750">
        <v>25</v>
      </c>
      <c r="S750" t="s">
        <v>274</v>
      </c>
      <c r="T750" t="str">
        <f>IF(COUNTIF($A$2:A750,A750)&gt;1,"Duplicate","Unique")</f>
        <v>Unique</v>
      </c>
    </row>
    <row r="751" spans="1:20" x14ac:dyDescent="0.45">
      <c r="A751" t="s">
        <v>306</v>
      </c>
      <c r="B751" t="s">
        <v>307</v>
      </c>
      <c r="C751" t="s">
        <v>55</v>
      </c>
      <c r="D751" t="s">
        <v>54</v>
      </c>
      <c r="E751" t="s">
        <v>240</v>
      </c>
      <c r="F751" t="s">
        <v>83</v>
      </c>
      <c r="G751" t="s">
        <v>241</v>
      </c>
      <c r="H751" t="s">
        <v>109</v>
      </c>
      <c r="I751" t="s">
        <v>110</v>
      </c>
      <c r="J751" t="s">
        <v>3300</v>
      </c>
      <c r="K751" t="s">
        <v>187</v>
      </c>
      <c r="L751" t="s">
        <v>3301</v>
      </c>
      <c r="M751" t="s">
        <v>308</v>
      </c>
      <c r="N751" t="s">
        <v>96</v>
      </c>
      <c r="O751" s="27">
        <v>1894000</v>
      </c>
      <c r="P751">
        <v>4</v>
      </c>
      <c r="Q751" t="s">
        <v>164</v>
      </c>
      <c r="R751">
        <v>51</v>
      </c>
      <c r="S751" t="s">
        <v>173</v>
      </c>
      <c r="T751" t="str">
        <f>IF(COUNTIF($A$2:A751,A751)&gt;1,"Duplicate","Unique")</f>
        <v>Unique</v>
      </c>
    </row>
    <row r="752" spans="1:20" x14ac:dyDescent="0.45">
      <c r="A752" t="s">
        <v>174</v>
      </c>
      <c r="B752" t="s">
        <v>175</v>
      </c>
      <c r="C752" t="s">
        <v>51</v>
      </c>
      <c r="D752" t="s">
        <v>50</v>
      </c>
      <c r="E752" t="s">
        <v>176</v>
      </c>
      <c r="F752" t="s">
        <v>82</v>
      </c>
      <c r="G752" t="s">
        <v>177</v>
      </c>
      <c r="H752" t="s">
        <v>106</v>
      </c>
      <c r="I752" t="s">
        <v>107</v>
      </c>
      <c r="J752" t="s">
        <v>3302</v>
      </c>
      <c r="K752" t="s">
        <v>162</v>
      </c>
      <c r="M752" t="s">
        <v>163</v>
      </c>
      <c r="N752" t="s">
        <v>96</v>
      </c>
      <c r="O752" s="27">
        <v>1088000</v>
      </c>
      <c r="P752">
        <v>3</v>
      </c>
      <c r="Q752" t="s">
        <v>164</v>
      </c>
      <c r="R752">
        <v>42</v>
      </c>
      <c r="S752" t="s">
        <v>178</v>
      </c>
      <c r="T752" t="str">
        <f>IF(COUNTIF($A$2:A752,A752)&gt;1,"Duplicate","Unique")</f>
        <v>Unique</v>
      </c>
    </row>
    <row r="753" spans="1:20" x14ac:dyDescent="0.45">
      <c r="A753" t="s">
        <v>919</v>
      </c>
      <c r="B753" t="s">
        <v>671</v>
      </c>
      <c r="C753" t="s">
        <v>51</v>
      </c>
      <c r="D753" t="s">
        <v>50</v>
      </c>
      <c r="E753" t="s">
        <v>181</v>
      </c>
      <c r="F753" t="s">
        <v>81</v>
      </c>
      <c r="G753" t="s">
        <v>182</v>
      </c>
      <c r="H753" t="s">
        <v>108</v>
      </c>
      <c r="I753" t="s">
        <v>107</v>
      </c>
      <c r="J753" t="s">
        <v>3303</v>
      </c>
      <c r="K753" t="s">
        <v>162</v>
      </c>
      <c r="M753" t="s">
        <v>163</v>
      </c>
      <c r="N753" t="s">
        <v>96</v>
      </c>
      <c r="O753" s="27">
        <v>629000</v>
      </c>
      <c r="P753">
        <v>2</v>
      </c>
      <c r="Q753" t="s">
        <v>164</v>
      </c>
      <c r="R753">
        <v>12</v>
      </c>
      <c r="S753" t="s">
        <v>244</v>
      </c>
      <c r="T753" t="str">
        <f>IF(COUNTIF($A$2:A753,A753)&gt;1,"Duplicate","Unique")</f>
        <v>Unique</v>
      </c>
    </row>
    <row r="754" spans="1:20" x14ac:dyDescent="0.45">
      <c r="A754" t="s">
        <v>1637</v>
      </c>
      <c r="B754" t="s">
        <v>1638</v>
      </c>
      <c r="C754" t="s">
        <v>59</v>
      </c>
      <c r="D754" t="s">
        <v>58</v>
      </c>
      <c r="E754" t="s">
        <v>211</v>
      </c>
      <c r="F754" t="s">
        <v>82</v>
      </c>
      <c r="G754" t="s">
        <v>212</v>
      </c>
      <c r="H754" t="s">
        <v>111</v>
      </c>
      <c r="I754" t="s">
        <v>110</v>
      </c>
      <c r="J754" t="s">
        <v>3304</v>
      </c>
      <c r="K754" t="s">
        <v>162</v>
      </c>
      <c r="M754" t="s">
        <v>163</v>
      </c>
      <c r="N754" t="s">
        <v>97</v>
      </c>
      <c r="O754" s="27">
        <v>1331000</v>
      </c>
      <c r="P754">
        <v>3</v>
      </c>
      <c r="Q754" t="s">
        <v>164</v>
      </c>
      <c r="R754">
        <v>41</v>
      </c>
      <c r="S754" t="s">
        <v>214</v>
      </c>
      <c r="T754" t="str">
        <f>IF(COUNTIF($A$2:A754,A754)&gt;1,"Duplicate","Unique")</f>
        <v>Unique</v>
      </c>
    </row>
    <row r="755" spans="1:20" x14ac:dyDescent="0.45">
      <c r="A755" t="s">
        <v>1325</v>
      </c>
      <c r="B755" t="s">
        <v>1326</v>
      </c>
      <c r="C755" t="s">
        <v>55</v>
      </c>
      <c r="D755" t="s">
        <v>54</v>
      </c>
      <c r="E755" t="s">
        <v>240</v>
      </c>
      <c r="F755" t="s">
        <v>83</v>
      </c>
      <c r="G755" t="s">
        <v>241</v>
      </c>
      <c r="H755" t="s">
        <v>106</v>
      </c>
      <c r="I755" t="s">
        <v>107</v>
      </c>
      <c r="J755" t="s">
        <v>3305</v>
      </c>
      <c r="K755" t="s">
        <v>162</v>
      </c>
      <c r="M755" t="s">
        <v>163</v>
      </c>
      <c r="N755" t="s">
        <v>99</v>
      </c>
      <c r="O755" s="27">
        <v>1674000</v>
      </c>
      <c r="P755">
        <v>5</v>
      </c>
      <c r="Q755" t="s">
        <v>164</v>
      </c>
      <c r="R755">
        <v>25</v>
      </c>
      <c r="S755" t="s">
        <v>274</v>
      </c>
      <c r="T755" t="str">
        <f>IF(COUNTIF($A$2:A755,A755)&gt;1,"Duplicate","Unique")</f>
        <v>Unique</v>
      </c>
    </row>
    <row r="756" spans="1:20" x14ac:dyDescent="0.45">
      <c r="A756" t="s">
        <v>737</v>
      </c>
      <c r="B756" t="s">
        <v>738</v>
      </c>
      <c r="C756" t="s">
        <v>51</v>
      </c>
      <c r="D756" t="s">
        <v>50</v>
      </c>
      <c r="E756" t="s">
        <v>181</v>
      </c>
      <c r="F756" t="s">
        <v>81</v>
      </c>
      <c r="G756" t="s">
        <v>182</v>
      </c>
      <c r="H756" t="s">
        <v>106</v>
      </c>
      <c r="I756" t="s">
        <v>107</v>
      </c>
      <c r="J756" t="s">
        <v>3306</v>
      </c>
      <c r="K756" t="s">
        <v>187</v>
      </c>
      <c r="L756" t="s">
        <v>3307</v>
      </c>
      <c r="M756" t="s">
        <v>213</v>
      </c>
      <c r="N756" t="s">
        <v>95</v>
      </c>
      <c r="O756" s="27">
        <v>746000</v>
      </c>
      <c r="P756">
        <v>5</v>
      </c>
      <c r="Q756" t="s">
        <v>172</v>
      </c>
      <c r="S756" t="s">
        <v>197</v>
      </c>
      <c r="T756" t="str">
        <f>IF(COUNTIF($A$2:A756,A756)&gt;1,"Duplicate","Unique")</f>
        <v>Unique</v>
      </c>
    </row>
    <row r="757" spans="1:20" x14ac:dyDescent="0.45">
      <c r="A757" t="s">
        <v>1269</v>
      </c>
      <c r="B757" t="s">
        <v>479</v>
      </c>
      <c r="C757" t="s">
        <v>55</v>
      </c>
      <c r="D757" t="s">
        <v>54</v>
      </c>
      <c r="E757" t="s">
        <v>168</v>
      </c>
      <c r="F757" t="s">
        <v>84</v>
      </c>
      <c r="G757" t="s">
        <v>169</v>
      </c>
      <c r="H757" t="s">
        <v>106</v>
      </c>
      <c r="I757" t="s">
        <v>107</v>
      </c>
      <c r="J757" t="s">
        <v>3236</v>
      </c>
      <c r="K757" t="s">
        <v>162</v>
      </c>
      <c r="M757" t="s">
        <v>163</v>
      </c>
      <c r="N757" t="s">
        <v>96</v>
      </c>
      <c r="O757" s="27">
        <v>3391000</v>
      </c>
      <c r="P757">
        <v>5</v>
      </c>
      <c r="Q757" t="s">
        <v>164</v>
      </c>
      <c r="R757">
        <v>32</v>
      </c>
      <c r="S757" t="s">
        <v>262</v>
      </c>
      <c r="T757" t="str">
        <f>IF(COUNTIF($A$2:A757,A757)&gt;1,"Duplicate","Unique")</f>
        <v>Unique</v>
      </c>
    </row>
    <row r="758" spans="1:20" x14ac:dyDescent="0.45">
      <c r="A758" t="s">
        <v>409</v>
      </c>
      <c r="B758" t="s">
        <v>410</v>
      </c>
      <c r="C758" t="s">
        <v>55</v>
      </c>
      <c r="D758" t="s">
        <v>54</v>
      </c>
      <c r="E758" t="s">
        <v>277</v>
      </c>
      <c r="F758" t="s">
        <v>81</v>
      </c>
      <c r="G758" t="s">
        <v>278</v>
      </c>
      <c r="H758" t="s">
        <v>106</v>
      </c>
      <c r="I758" t="s">
        <v>107</v>
      </c>
      <c r="J758" t="s">
        <v>3308</v>
      </c>
      <c r="K758" t="s">
        <v>170</v>
      </c>
      <c r="L758" t="s">
        <v>3309</v>
      </c>
      <c r="M758" t="s">
        <v>171</v>
      </c>
      <c r="N758" t="s">
        <v>99</v>
      </c>
      <c r="O758" s="27">
        <v>581000</v>
      </c>
      <c r="P758">
        <v>2</v>
      </c>
      <c r="Q758" t="s">
        <v>172</v>
      </c>
      <c r="R758">
        <v>19</v>
      </c>
      <c r="S758" t="s">
        <v>262</v>
      </c>
      <c r="T758" t="str">
        <f>IF(COUNTIF($A$2:A758,A758)&gt;1,"Duplicate","Unique")</f>
        <v>Unique</v>
      </c>
    </row>
    <row r="759" spans="1:20" x14ac:dyDescent="0.45">
      <c r="A759" t="s">
        <v>416</v>
      </c>
      <c r="B759" t="s">
        <v>417</v>
      </c>
      <c r="C759" t="s">
        <v>51</v>
      </c>
      <c r="D759" t="s">
        <v>50</v>
      </c>
      <c r="E759" t="s">
        <v>181</v>
      </c>
      <c r="F759" t="s">
        <v>81</v>
      </c>
      <c r="G759" t="s">
        <v>182</v>
      </c>
      <c r="H759" t="s">
        <v>108</v>
      </c>
      <c r="I759" t="s">
        <v>107</v>
      </c>
      <c r="J759" t="s">
        <v>2714</v>
      </c>
      <c r="K759" t="s">
        <v>162</v>
      </c>
      <c r="M759" t="s">
        <v>163</v>
      </c>
      <c r="N759" t="s">
        <v>97</v>
      </c>
      <c r="O759" s="27">
        <v>832000</v>
      </c>
      <c r="P759">
        <v>2</v>
      </c>
      <c r="Q759" t="s">
        <v>2525</v>
      </c>
      <c r="R759">
        <v>11</v>
      </c>
      <c r="S759" t="s">
        <v>178</v>
      </c>
      <c r="T759" t="str">
        <f>IF(COUNTIF($A$2:A759,A759)&gt;1,"Duplicate","Unique")</f>
        <v>Unique</v>
      </c>
    </row>
    <row r="760" spans="1:20" x14ac:dyDescent="0.45">
      <c r="A760" t="s">
        <v>1730</v>
      </c>
      <c r="B760" t="s">
        <v>507</v>
      </c>
      <c r="C760" t="s">
        <v>57</v>
      </c>
      <c r="D760" t="s">
        <v>56</v>
      </c>
      <c r="E760" t="s">
        <v>391</v>
      </c>
      <c r="F760" t="s">
        <v>83</v>
      </c>
      <c r="G760" t="s">
        <v>392</v>
      </c>
      <c r="H760" t="s">
        <v>106</v>
      </c>
      <c r="I760" t="s">
        <v>107</v>
      </c>
      <c r="J760" t="s">
        <v>3310</v>
      </c>
      <c r="K760" t="s">
        <v>162</v>
      </c>
      <c r="M760" t="s">
        <v>163</v>
      </c>
      <c r="N760" t="s">
        <v>95</v>
      </c>
      <c r="O760" s="27">
        <v>1804000</v>
      </c>
      <c r="P760">
        <v>4</v>
      </c>
      <c r="Q760" t="s">
        <v>172</v>
      </c>
      <c r="R760">
        <v>48</v>
      </c>
      <c r="S760" t="s">
        <v>224</v>
      </c>
      <c r="T760" t="str">
        <f>IF(COUNTIF($A$2:A760,A760)&gt;1,"Duplicate","Unique")</f>
        <v>Unique</v>
      </c>
    </row>
    <row r="761" spans="1:20" x14ac:dyDescent="0.45">
      <c r="A761" t="s">
        <v>1733</v>
      </c>
      <c r="B761" t="s">
        <v>1441</v>
      </c>
      <c r="C761" t="s">
        <v>51</v>
      </c>
      <c r="D761" t="s">
        <v>50</v>
      </c>
      <c r="E761" t="s">
        <v>181</v>
      </c>
      <c r="F761" t="s">
        <v>81</v>
      </c>
      <c r="G761" t="s">
        <v>182</v>
      </c>
      <c r="H761" t="s">
        <v>2535</v>
      </c>
      <c r="I761" t="s">
        <v>107</v>
      </c>
      <c r="J761" t="s">
        <v>3020</v>
      </c>
      <c r="K761" t="s">
        <v>162</v>
      </c>
      <c r="M761" t="s">
        <v>163</v>
      </c>
      <c r="N761" t="s">
        <v>96</v>
      </c>
      <c r="O761" s="27">
        <v>690000</v>
      </c>
      <c r="P761">
        <v>4</v>
      </c>
      <c r="Q761" t="s">
        <v>172</v>
      </c>
      <c r="R761">
        <v>53</v>
      </c>
      <c r="S761" t="s">
        <v>178</v>
      </c>
      <c r="T761" t="str">
        <f>IF(COUNTIF($A$2:A761,A761)&gt;1,"Duplicate","Unique")</f>
        <v>Unique</v>
      </c>
    </row>
    <row r="762" spans="1:20" x14ac:dyDescent="0.45">
      <c r="A762" t="s">
        <v>2328</v>
      </c>
      <c r="B762" t="s">
        <v>2296</v>
      </c>
      <c r="C762" t="s">
        <v>57</v>
      </c>
      <c r="D762" t="s">
        <v>56</v>
      </c>
      <c r="E762" t="s">
        <v>160</v>
      </c>
      <c r="F762" t="s">
        <v>81</v>
      </c>
      <c r="G762" t="s">
        <v>161</v>
      </c>
      <c r="H762" t="s">
        <v>109</v>
      </c>
      <c r="I762" t="s">
        <v>110</v>
      </c>
      <c r="J762" t="s">
        <v>3079</v>
      </c>
      <c r="K762" t="s">
        <v>162</v>
      </c>
      <c r="M762" t="s">
        <v>163</v>
      </c>
      <c r="N762" t="s">
        <v>95</v>
      </c>
      <c r="O762" s="27">
        <v>784000</v>
      </c>
      <c r="Q762" t="s">
        <v>172</v>
      </c>
      <c r="R762">
        <v>22</v>
      </c>
      <c r="S762" t="s">
        <v>165</v>
      </c>
      <c r="T762" t="str">
        <f>IF(COUNTIF($A$2:A762,A762)&gt;1,"Duplicate","Unique")</f>
        <v>Unique</v>
      </c>
    </row>
    <row r="763" spans="1:20" x14ac:dyDescent="0.45">
      <c r="A763" t="s">
        <v>1137</v>
      </c>
      <c r="B763" t="s">
        <v>698</v>
      </c>
      <c r="C763" t="s">
        <v>59</v>
      </c>
      <c r="D763" t="s">
        <v>58</v>
      </c>
      <c r="E763" t="s">
        <v>206</v>
      </c>
      <c r="F763" t="s">
        <v>81</v>
      </c>
      <c r="G763" t="s">
        <v>207</v>
      </c>
      <c r="H763" t="s">
        <v>109</v>
      </c>
      <c r="I763" t="s">
        <v>110</v>
      </c>
      <c r="J763" t="s">
        <v>3311</v>
      </c>
      <c r="K763" t="s">
        <v>187</v>
      </c>
      <c r="L763" t="s">
        <v>3312</v>
      </c>
      <c r="M763" t="s">
        <v>282</v>
      </c>
      <c r="N763" t="s">
        <v>96</v>
      </c>
      <c r="O763" s="27">
        <v>794000</v>
      </c>
      <c r="P763">
        <v>3</v>
      </c>
      <c r="Q763" t="s">
        <v>172</v>
      </c>
      <c r="R763">
        <v>45</v>
      </c>
      <c r="S763" t="s">
        <v>214</v>
      </c>
      <c r="T763" t="str">
        <f>IF(COUNTIF($A$2:A763,A763)&gt;1,"Duplicate","Unique")</f>
        <v>Unique</v>
      </c>
    </row>
    <row r="764" spans="1:20" x14ac:dyDescent="0.45">
      <c r="A764" t="s">
        <v>2318</v>
      </c>
      <c r="B764" t="s">
        <v>2106</v>
      </c>
      <c r="C764" t="s">
        <v>53</v>
      </c>
      <c r="D764" t="s">
        <v>52</v>
      </c>
      <c r="E764" t="s">
        <v>322</v>
      </c>
      <c r="F764" t="s">
        <v>81</v>
      </c>
      <c r="G764" t="s">
        <v>323</v>
      </c>
      <c r="H764" t="s">
        <v>109</v>
      </c>
      <c r="I764" t="s">
        <v>110</v>
      </c>
      <c r="J764" t="s">
        <v>2835</v>
      </c>
      <c r="K764" t="s">
        <v>162</v>
      </c>
      <c r="M764" t="s">
        <v>163</v>
      </c>
      <c r="N764" t="s">
        <v>96</v>
      </c>
      <c r="O764" s="27">
        <v>712000</v>
      </c>
      <c r="P764">
        <v>2</v>
      </c>
      <c r="Q764" t="s">
        <v>172</v>
      </c>
      <c r="R764">
        <v>26</v>
      </c>
      <c r="S764" t="s">
        <v>194</v>
      </c>
      <c r="T764" t="str">
        <f>IF(COUNTIF($A$2:A764,A764)&gt;1,"Duplicate","Unique")</f>
        <v>Unique</v>
      </c>
    </row>
    <row r="765" spans="1:20" x14ac:dyDescent="0.45">
      <c r="A765" t="s">
        <v>1737</v>
      </c>
      <c r="B765" t="s">
        <v>1418</v>
      </c>
      <c r="C765" t="s">
        <v>51</v>
      </c>
      <c r="D765" t="s">
        <v>50</v>
      </c>
      <c r="E765" t="s">
        <v>181</v>
      </c>
      <c r="F765" t="s">
        <v>81</v>
      </c>
      <c r="G765" t="s">
        <v>182</v>
      </c>
      <c r="H765" t="s">
        <v>106</v>
      </c>
      <c r="I765" t="s">
        <v>107</v>
      </c>
      <c r="J765" t="s">
        <v>3106</v>
      </c>
      <c r="K765" t="s">
        <v>162</v>
      </c>
      <c r="M765" t="s">
        <v>163</v>
      </c>
      <c r="N765" t="s">
        <v>96</v>
      </c>
      <c r="O765" s="27">
        <v>572000</v>
      </c>
      <c r="P765">
        <v>4</v>
      </c>
      <c r="Q765" t="s">
        <v>172</v>
      </c>
      <c r="R765">
        <v>43</v>
      </c>
      <c r="S765" t="s">
        <v>244</v>
      </c>
      <c r="T765" t="str">
        <f>IF(COUNTIF($A$2:A765,A765)&gt;1,"Duplicate","Unique")</f>
        <v>Unique</v>
      </c>
    </row>
    <row r="766" spans="1:20" x14ac:dyDescent="0.45">
      <c r="A766" t="s">
        <v>1625</v>
      </c>
      <c r="B766" t="s">
        <v>472</v>
      </c>
      <c r="C766" t="s">
        <v>51</v>
      </c>
      <c r="D766" t="s">
        <v>2464</v>
      </c>
      <c r="E766" t="s">
        <v>176</v>
      </c>
      <c r="F766" t="s">
        <v>82</v>
      </c>
      <c r="G766" t="s">
        <v>177</v>
      </c>
      <c r="H766" t="s">
        <v>106</v>
      </c>
      <c r="I766" t="s">
        <v>107</v>
      </c>
      <c r="J766" t="s">
        <v>3313</v>
      </c>
      <c r="K766" t="s">
        <v>170</v>
      </c>
      <c r="L766" t="s">
        <v>3314</v>
      </c>
      <c r="M766" t="s">
        <v>171</v>
      </c>
      <c r="N766" t="s">
        <v>99</v>
      </c>
      <c r="O766" s="27">
        <v>850000</v>
      </c>
      <c r="P766">
        <v>2</v>
      </c>
      <c r="Q766" t="s">
        <v>164</v>
      </c>
      <c r="S766" t="s">
        <v>178</v>
      </c>
      <c r="T766" t="str">
        <f>IF(COUNTIF($A$2:A766,A766)&gt;1,"Duplicate","Unique")</f>
        <v>Unique</v>
      </c>
    </row>
    <row r="767" spans="1:20" x14ac:dyDescent="0.45">
      <c r="A767" t="s">
        <v>2107</v>
      </c>
      <c r="B767" t="s">
        <v>2108</v>
      </c>
      <c r="C767" t="s">
        <v>53</v>
      </c>
      <c r="D767" t="s">
        <v>52</v>
      </c>
      <c r="E767" t="s">
        <v>185</v>
      </c>
      <c r="F767" t="s">
        <v>82</v>
      </c>
      <c r="G767" t="s">
        <v>186</v>
      </c>
      <c r="H767" t="s">
        <v>106</v>
      </c>
      <c r="I767" t="s">
        <v>107</v>
      </c>
      <c r="J767" t="s">
        <v>2480</v>
      </c>
      <c r="K767" t="s">
        <v>162</v>
      </c>
      <c r="M767" t="s">
        <v>163</v>
      </c>
      <c r="N767" t="s">
        <v>97</v>
      </c>
      <c r="O767" s="27">
        <v>1235000</v>
      </c>
      <c r="P767">
        <v>3</v>
      </c>
      <c r="Q767" t="s">
        <v>164</v>
      </c>
      <c r="R767">
        <v>43</v>
      </c>
      <c r="S767" t="s">
        <v>237</v>
      </c>
      <c r="T767" t="str">
        <f>IF(COUNTIF($A$2:A767,A767)&gt;1,"Duplicate","Unique")</f>
        <v>Unique</v>
      </c>
    </row>
    <row r="768" spans="1:20" x14ac:dyDescent="0.45">
      <c r="A768" t="s">
        <v>1412</v>
      </c>
      <c r="B768" t="s">
        <v>1413</v>
      </c>
      <c r="C768" t="s">
        <v>61</v>
      </c>
      <c r="D768" t="s">
        <v>60</v>
      </c>
      <c r="E768" t="s">
        <v>923</v>
      </c>
      <c r="F768" t="s">
        <v>85</v>
      </c>
      <c r="G768" t="s">
        <v>924</v>
      </c>
      <c r="H768" t="s">
        <v>106</v>
      </c>
      <c r="I768" t="s">
        <v>107</v>
      </c>
      <c r="J768" t="s">
        <v>3315</v>
      </c>
      <c r="K768" t="s">
        <v>162</v>
      </c>
      <c r="M768" t="s">
        <v>163</v>
      </c>
      <c r="N768" t="s">
        <v>99</v>
      </c>
      <c r="O768" s="27">
        <v>4872000</v>
      </c>
      <c r="P768">
        <v>5</v>
      </c>
      <c r="Q768" t="s">
        <v>164</v>
      </c>
      <c r="R768">
        <v>36</v>
      </c>
      <c r="S768" t="s">
        <v>319</v>
      </c>
      <c r="T768" t="str">
        <f>IF(COUNTIF($A$2:A768,A768)&gt;1,"Duplicate","Unique")</f>
        <v>Unique</v>
      </c>
    </row>
    <row r="769" spans="1:20" x14ac:dyDescent="0.45">
      <c r="A769" t="s">
        <v>760</v>
      </c>
      <c r="B769" t="s">
        <v>761</v>
      </c>
      <c r="C769" t="s">
        <v>59</v>
      </c>
      <c r="D769" t="s">
        <v>58</v>
      </c>
      <c r="E769" t="s">
        <v>206</v>
      </c>
      <c r="F769" t="s">
        <v>81</v>
      </c>
      <c r="G769" t="s">
        <v>207</v>
      </c>
      <c r="H769" t="s">
        <v>112</v>
      </c>
      <c r="I769" t="s">
        <v>113</v>
      </c>
      <c r="J769" t="s">
        <v>3316</v>
      </c>
      <c r="K769" t="s">
        <v>162</v>
      </c>
      <c r="M769" t="s">
        <v>163</v>
      </c>
      <c r="N769" t="s">
        <v>96</v>
      </c>
      <c r="O769" s="27">
        <v>567000</v>
      </c>
      <c r="P769">
        <v>3</v>
      </c>
      <c r="Q769" t="s">
        <v>172</v>
      </c>
      <c r="R769">
        <v>46</v>
      </c>
      <c r="S769" t="s">
        <v>214</v>
      </c>
      <c r="T769" t="str">
        <f>IF(COUNTIF($A$2:A769,A769)&gt;1,"Duplicate","Unique")</f>
        <v>Unique</v>
      </c>
    </row>
    <row r="770" spans="1:20" x14ac:dyDescent="0.45">
      <c r="A770" t="s">
        <v>439</v>
      </c>
      <c r="B770" t="s">
        <v>440</v>
      </c>
      <c r="C770" t="s">
        <v>51</v>
      </c>
      <c r="D770" t="s">
        <v>50</v>
      </c>
      <c r="E770" t="s">
        <v>181</v>
      </c>
      <c r="F770" t="s">
        <v>81</v>
      </c>
      <c r="G770" t="s">
        <v>182</v>
      </c>
      <c r="H770" t="s">
        <v>109</v>
      </c>
      <c r="I770" t="s">
        <v>110</v>
      </c>
      <c r="J770" t="s">
        <v>3317</v>
      </c>
      <c r="K770" t="s">
        <v>162</v>
      </c>
      <c r="M770" t="s">
        <v>163</v>
      </c>
      <c r="N770" t="s">
        <v>99</v>
      </c>
      <c r="O770" s="27">
        <v>780000</v>
      </c>
      <c r="P770">
        <v>3</v>
      </c>
      <c r="Q770" t="s">
        <v>164</v>
      </c>
      <c r="R770">
        <v>36</v>
      </c>
      <c r="S770" t="s">
        <v>197</v>
      </c>
      <c r="T770" t="str">
        <f>IF(COUNTIF($A$2:A770,A770)&gt;1,"Duplicate","Unique")</f>
        <v>Unique</v>
      </c>
    </row>
    <row r="771" spans="1:20" x14ac:dyDescent="0.45">
      <c r="A771" t="s">
        <v>792</v>
      </c>
      <c r="B771" t="s">
        <v>793</v>
      </c>
      <c r="C771" t="s">
        <v>53</v>
      </c>
      <c r="D771" t="s">
        <v>52</v>
      </c>
      <c r="E771" t="s">
        <v>322</v>
      </c>
      <c r="F771" t="s">
        <v>81</v>
      </c>
      <c r="G771" t="s">
        <v>323</v>
      </c>
      <c r="H771" t="s">
        <v>112</v>
      </c>
      <c r="I771" t="s">
        <v>113</v>
      </c>
      <c r="J771" t="s">
        <v>3140</v>
      </c>
      <c r="K771" t="s">
        <v>162</v>
      </c>
      <c r="M771" t="s">
        <v>163</v>
      </c>
      <c r="N771" t="s">
        <v>96</v>
      </c>
      <c r="O771" s="27">
        <v>759000</v>
      </c>
      <c r="P771">
        <v>2</v>
      </c>
      <c r="Q771" t="s">
        <v>172</v>
      </c>
      <c r="R771">
        <v>23</v>
      </c>
      <c r="S771" t="s">
        <v>194</v>
      </c>
      <c r="T771" t="str">
        <f>IF(COUNTIF($A$2:A771,A771)&gt;1,"Duplicate","Unique")</f>
        <v>Unique</v>
      </c>
    </row>
    <row r="772" spans="1:20" x14ac:dyDescent="0.45">
      <c r="A772" t="s">
        <v>1710</v>
      </c>
      <c r="B772" t="s">
        <v>1711</v>
      </c>
      <c r="C772" t="s">
        <v>51</v>
      </c>
      <c r="D772" t="s">
        <v>50</v>
      </c>
      <c r="E772" t="s">
        <v>181</v>
      </c>
      <c r="F772" t="s">
        <v>81</v>
      </c>
      <c r="G772" t="s">
        <v>182</v>
      </c>
      <c r="H772" t="s">
        <v>108</v>
      </c>
      <c r="I772" t="s">
        <v>107</v>
      </c>
      <c r="J772" t="s">
        <v>3318</v>
      </c>
      <c r="K772" t="s">
        <v>162</v>
      </c>
      <c r="M772" t="s">
        <v>163</v>
      </c>
      <c r="N772" t="s">
        <v>96</v>
      </c>
      <c r="O772" s="27">
        <v>592000</v>
      </c>
      <c r="P772">
        <v>4</v>
      </c>
      <c r="Q772" t="s">
        <v>164</v>
      </c>
      <c r="R772">
        <v>57</v>
      </c>
      <c r="S772" t="s">
        <v>178</v>
      </c>
      <c r="T772" t="str">
        <f>IF(COUNTIF($A$2:A772,A772)&gt;1,"Duplicate","Unique")</f>
        <v>Unique</v>
      </c>
    </row>
    <row r="773" spans="1:20" x14ac:dyDescent="0.45">
      <c r="A773" t="s">
        <v>508</v>
      </c>
      <c r="B773" t="s">
        <v>3319</v>
      </c>
      <c r="C773" t="s">
        <v>59</v>
      </c>
      <c r="D773" t="s">
        <v>58</v>
      </c>
      <c r="E773" t="s">
        <v>206</v>
      </c>
      <c r="F773" t="s">
        <v>81</v>
      </c>
      <c r="G773" t="s">
        <v>207</v>
      </c>
      <c r="H773" t="s">
        <v>106</v>
      </c>
      <c r="I773" t="s">
        <v>107</v>
      </c>
      <c r="J773" t="s">
        <v>3320</v>
      </c>
      <c r="K773" t="s">
        <v>162</v>
      </c>
      <c r="M773" t="s">
        <v>163</v>
      </c>
      <c r="N773" t="s">
        <v>95</v>
      </c>
      <c r="O773" s="27">
        <v>743000</v>
      </c>
      <c r="P773">
        <v>3</v>
      </c>
      <c r="Q773" t="s">
        <v>164</v>
      </c>
      <c r="R773">
        <v>30</v>
      </c>
      <c r="S773" t="s">
        <v>214</v>
      </c>
      <c r="T773" t="str">
        <f>IF(COUNTIF($A$2:A773,A773)&gt;1,"Duplicate","Unique")</f>
        <v>Unique</v>
      </c>
    </row>
    <row r="774" spans="1:20" x14ac:dyDescent="0.45">
      <c r="A774" t="s">
        <v>1135</v>
      </c>
      <c r="B774" t="s">
        <v>1136</v>
      </c>
      <c r="C774" t="s">
        <v>55</v>
      </c>
      <c r="D774" t="s">
        <v>54</v>
      </c>
      <c r="E774" t="s">
        <v>537</v>
      </c>
      <c r="F774" t="s">
        <v>85</v>
      </c>
      <c r="G774" t="s">
        <v>538</v>
      </c>
      <c r="H774" t="s">
        <v>108</v>
      </c>
      <c r="I774" t="s">
        <v>107</v>
      </c>
      <c r="J774" t="s">
        <v>3311</v>
      </c>
      <c r="K774" t="s">
        <v>187</v>
      </c>
      <c r="L774" t="s">
        <v>3321</v>
      </c>
      <c r="M774" t="s">
        <v>282</v>
      </c>
      <c r="N774" t="s">
        <v>98</v>
      </c>
      <c r="O774" s="27">
        <v>4698000</v>
      </c>
      <c r="P774">
        <v>4</v>
      </c>
      <c r="Q774" t="s">
        <v>172</v>
      </c>
      <c r="R774">
        <v>47</v>
      </c>
      <c r="S774" t="s">
        <v>262</v>
      </c>
      <c r="T774" t="str">
        <f>IF(COUNTIF($A$2:A774,A774)&gt;1,"Duplicate","Unique")</f>
        <v>Unique</v>
      </c>
    </row>
    <row r="775" spans="1:20" x14ac:dyDescent="0.45">
      <c r="A775" t="s">
        <v>602</v>
      </c>
      <c r="B775" t="s">
        <v>544</v>
      </c>
      <c r="C775" t="s">
        <v>55</v>
      </c>
      <c r="D775" t="s">
        <v>54</v>
      </c>
      <c r="E775" t="s">
        <v>229</v>
      </c>
      <c r="F775" t="s">
        <v>82</v>
      </c>
      <c r="G775" t="s">
        <v>230</v>
      </c>
      <c r="H775" t="s">
        <v>108</v>
      </c>
      <c r="I775" t="s">
        <v>107</v>
      </c>
      <c r="J775" t="s">
        <v>3120</v>
      </c>
      <c r="K775" t="s">
        <v>162</v>
      </c>
      <c r="M775" t="s">
        <v>163</v>
      </c>
      <c r="N775" t="s">
        <v>97</v>
      </c>
      <c r="O775" s="27">
        <v>886000</v>
      </c>
      <c r="P775">
        <v>1</v>
      </c>
      <c r="Q775" t="s">
        <v>172</v>
      </c>
      <c r="R775">
        <v>24</v>
      </c>
      <c r="S775" t="s">
        <v>262</v>
      </c>
      <c r="T775" t="str">
        <f>IF(COUNTIF($A$2:A775,A775)&gt;1,"Duplicate","Unique")</f>
        <v>Unique</v>
      </c>
    </row>
    <row r="776" spans="1:20" x14ac:dyDescent="0.45">
      <c r="A776" t="s">
        <v>1294</v>
      </c>
      <c r="B776" t="s">
        <v>546</v>
      </c>
      <c r="C776" t="s">
        <v>61</v>
      </c>
      <c r="D776" t="s">
        <v>60</v>
      </c>
      <c r="E776" t="s">
        <v>356</v>
      </c>
      <c r="F776" t="s">
        <v>81</v>
      </c>
      <c r="G776" t="s">
        <v>357</v>
      </c>
      <c r="H776" t="s">
        <v>2550</v>
      </c>
      <c r="I776" t="s">
        <v>107</v>
      </c>
      <c r="J776" t="s">
        <v>3239</v>
      </c>
      <c r="K776" t="s">
        <v>187</v>
      </c>
      <c r="L776" t="s">
        <v>3241</v>
      </c>
      <c r="M776" t="s">
        <v>213</v>
      </c>
      <c r="N776" t="s">
        <v>98</v>
      </c>
      <c r="O776" s="27">
        <v>745000</v>
      </c>
      <c r="P776">
        <v>3</v>
      </c>
      <c r="Q776" t="s">
        <v>172</v>
      </c>
      <c r="R776">
        <v>53</v>
      </c>
      <c r="S776" t="s">
        <v>253</v>
      </c>
      <c r="T776" t="str">
        <f>IF(COUNTIF($A$2:A776,A776)&gt;1,"Duplicate","Unique")</f>
        <v>Unique</v>
      </c>
    </row>
    <row r="777" spans="1:20" x14ac:dyDescent="0.45">
      <c r="A777" t="s">
        <v>1687</v>
      </c>
      <c r="B777" t="s">
        <v>464</v>
      </c>
      <c r="C777" t="s">
        <v>51</v>
      </c>
      <c r="D777" t="s">
        <v>50</v>
      </c>
      <c r="E777" t="s">
        <v>181</v>
      </c>
      <c r="F777" t="s">
        <v>81</v>
      </c>
      <c r="G777" t="s">
        <v>182</v>
      </c>
      <c r="H777" t="s">
        <v>108</v>
      </c>
      <c r="I777" t="s">
        <v>107</v>
      </c>
      <c r="J777" t="s">
        <v>3322</v>
      </c>
      <c r="K777" t="s">
        <v>162</v>
      </c>
      <c r="M777" t="s">
        <v>163</v>
      </c>
      <c r="N777" t="s">
        <v>99</v>
      </c>
      <c r="O777" s="27">
        <v>582000</v>
      </c>
      <c r="P777">
        <v>1</v>
      </c>
      <c r="Q777" t="s">
        <v>164</v>
      </c>
      <c r="R777">
        <v>15</v>
      </c>
      <c r="S777" t="s">
        <v>219</v>
      </c>
      <c r="T777" t="str">
        <f>IF(COUNTIF($A$2:A777,A777)&gt;1,"Duplicate","Unique")</f>
        <v>Unique</v>
      </c>
    </row>
    <row r="778" spans="1:20" x14ac:dyDescent="0.45">
      <c r="A778" t="s">
        <v>713</v>
      </c>
      <c r="B778" t="s">
        <v>3323</v>
      </c>
      <c r="C778" t="s">
        <v>53</v>
      </c>
      <c r="D778" t="s">
        <v>52</v>
      </c>
      <c r="E778" t="s">
        <v>185</v>
      </c>
      <c r="F778" t="s">
        <v>82</v>
      </c>
      <c r="G778" t="s">
        <v>186</v>
      </c>
      <c r="H778" t="s">
        <v>108</v>
      </c>
      <c r="I778" t="s">
        <v>107</v>
      </c>
      <c r="J778" t="s">
        <v>3324</v>
      </c>
      <c r="K778" t="s">
        <v>162</v>
      </c>
      <c r="M778" t="s">
        <v>163</v>
      </c>
      <c r="N778" t="s">
        <v>98</v>
      </c>
      <c r="O778" s="27">
        <v>1268000</v>
      </c>
      <c r="P778">
        <v>4</v>
      </c>
      <c r="Q778" t="s">
        <v>172</v>
      </c>
      <c r="R778">
        <v>19</v>
      </c>
      <c r="S778" t="s">
        <v>194</v>
      </c>
      <c r="T778" t="str">
        <f>IF(COUNTIF($A$2:A778,A778)&gt;1,"Duplicate","Unique")</f>
        <v>Unique</v>
      </c>
    </row>
    <row r="779" spans="1:20" x14ac:dyDescent="0.45">
      <c r="A779" t="s">
        <v>913</v>
      </c>
      <c r="B779" t="s">
        <v>914</v>
      </c>
      <c r="C779" t="s">
        <v>51</v>
      </c>
      <c r="D779" t="s">
        <v>50</v>
      </c>
      <c r="E779" t="s">
        <v>176</v>
      </c>
      <c r="F779" t="s">
        <v>82</v>
      </c>
      <c r="G779" t="s">
        <v>177</v>
      </c>
      <c r="H779" t="s">
        <v>109</v>
      </c>
      <c r="I779" t="s">
        <v>110</v>
      </c>
      <c r="J779" t="s">
        <v>3325</v>
      </c>
      <c r="K779" t="s">
        <v>162</v>
      </c>
      <c r="M779" t="s">
        <v>163</v>
      </c>
      <c r="N779" t="s">
        <v>99</v>
      </c>
      <c r="O779" s="27">
        <v>1011000</v>
      </c>
      <c r="P779">
        <v>4</v>
      </c>
      <c r="Q779" t="s">
        <v>164</v>
      </c>
      <c r="R779">
        <v>40</v>
      </c>
      <c r="S779" t="s">
        <v>178</v>
      </c>
      <c r="T779" t="str">
        <f>IF(COUNTIF($A$2:A779,A779)&gt;1,"Duplicate","Unique")</f>
        <v>Unique</v>
      </c>
    </row>
    <row r="780" spans="1:20" x14ac:dyDescent="0.45">
      <c r="A780" t="s">
        <v>1471</v>
      </c>
      <c r="B780" t="s">
        <v>1472</v>
      </c>
      <c r="C780" t="s">
        <v>55</v>
      </c>
      <c r="D780" t="s">
        <v>54</v>
      </c>
      <c r="E780" t="s">
        <v>229</v>
      </c>
      <c r="F780" t="s">
        <v>82</v>
      </c>
      <c r="G780" t="s">
        <v>230</v>
      </c>
      <c r="H780" t="s">
        <v>108</v>
      </c>
      <c r="I780" t="s">
        <v>107</v>
      </c>
      <c r="J780" t="s">
        <v>3326</v>
      </c>
      <c r="K780" t="s">
        <v>162</v>
      </c>
      <c r="M780" t="s">
        <v>163</v>
      </c>
      <c r="N780" t="s">
        <v>97</v>
      </c>
      <c r="O780" s="27">
        <v>987000</v>
      </c>
      <c r="P780">
        <v>3</v>
      </c>
      <c r="Q780" t="s">
        <v>172</v>
      </c>
      <c r="R780">
        <v>35</v>
      </c>
      <c r="S780" t="s">
        <v>274</v>
      </c>
      <c r="T780" t="str">
        <f>IF(COUNTIF($A$2:A780,A780)&gt;1,"Duplicate","Unique")</f>
        <v>Unique</v>
      </c>
    </row>
    <row r="781" spans="1:20" x14ac:dyDescent="0.45">
      <c r="A781" t="s">
        <v>1051</v>
      </c>
      <c r="B781" t="s">
        <v>1052</v>
      </c>
      <c r="C781" t="s">
        <v>53</v>
      </c>
      <c r="D781" t="s">
        <v>52</v>
      </c>
      <c r="E781" t="s">
        <v>185</v>
      </c>
      <c r="F781" t="s">
        <v>82</v>
      </c>
      <c r="G781" t="s">
        <v>186</v>
      </c>
      <c r="H781" t="s">
        <v>111</v>
      </c>
      <c r="I781" t="s">
        <v>110</v>
      </c>
      <c r="J781" t="s">
        <v>2561</v>
      </c>
      <c r="K781" t="s">
        <v>170</v>
      </c>
      <c r="L781" t="s">
        <v>3327</v>
      </c>
      <c r="M781" t="s">
        <v>171</v>
      </c>
      <c r="N781" t="s">
        <v>98</v>
      </c>
      <c r="O781" s="27">
        <v>1141000</v>
      </c>
      <c r="P781">
        <v>4</v>
      </c>
      <c r="Q781" t="s">
        <v>172</v>
      </c>
      <c r="R781">
        <v>38</v>
      </c>
      <c r="S781" t="s">
        <v>237</v>
      </c>
      <c r="T781" t="str">
        <f>IF(COUNTIF($A$2:A781,A781)&gt;1,"Duplicate","Unique")</f>
        <v>Unique</v>
      </c>
    </row>
    <row r="782" spans="1:20" x14ac:dyDescent="0.45">
      <c r="A782" t="s">
        <v>2105</v>
      </c>
      <c r="B782" t="s">
        <v>2106</v>
      </c>
      <c r="C782" t="s">
        <v>53</v>
      </c>
      <c r="D782" t="s">
        <v>52</v>
      </c>
      <c r="E782" t="s">
        <v>322</v>
      </c>
      <c r="F782" t="s">
        <v>81</v>
      </c>
      <c r="G782" t="s">
        <v>323</v>
      </c>
      <c r="H782" t="s">
        <v>108</v>
      </c>
      <c r="I782" t="s">
        <v>107</v>
      </c>
      <c r="J782" t="s">
        <v>2688</v>
      </c>
      <c r="K782" t="s">
        <v>162</v>
      </c>
      <c r="M782" t="s">
        <v>163</v>
      </c>
      <c r="N782" t="s">
        <v>99</v>
      </c>
      <c r="O782" s="27">
        <v>552000</v>
      </c>
      <c r="P782">
        <v>3</v>
      </c>
      <c r="Q782" t="s">
        <v>172</v>
      </c>
      <c r="R782">
        <v>36</v>
      </c>
      <c r="S782" t="s">
        <v>194</v>
      </c>
      <c r="T782" t="str">
        <f>IF(COUNTIF($A$2:A782,A782)&gt;1,"Duplicate","Unique")</f>
        <v>Unique</v>
      </c>
    </row>
    <row r="783" spans="1:20" x14ac:dyDescent="0.45">
      <c r="A783" t="s">
        <v>611</v>
      </c>
      <c r="B783" t="s">
        <v>612</v>
      </c>
      <c r="C783" t="s">
        <v>55</v>
      </c>
      <c r="D783" t="s">
        <v>54</v>
      </c>
      <c r="E783" t="s">
        <v>229</v>
      </c>
      <c r="F783" t="s">
        <v>82</v>
      </c>
      <c r="G783" t="s">
        <v>230</v>
      </c>
      <c r="H783" t="s">
        <v>106</v>
      </c>
      <c r="I783" t="s">
        <v>107</v>
      </c>
      <c r="J783" t="s">
        <v>2645</v>
      </c>
      <c r="K783" t="s">
        <v>187</v>
      </c>
      <c r="L783" t="s">
        <v>3328</v>
      </c>
      <c r="M783" t="s">
        <v>282</v>
      </c>
      <c r="N783" t="s">
        <v>99</v>
      </c>
      <c r="O783" s="27">
        <v>1088000</v>
      </c>
      <c r="P783">
        <v>3</v>
      </c>
      <c r="Q783" t="s">
        <v>164</v>
      </c>
      <c r="R783">
        <v>43</v>
      </c>
      <c r="S783" t="s">
        <v>173</v>
      </c>
      <c r="T783" t="str">
        <f>IF(COUNTIF($A$2:A783,A783)&gt;1,"Duplicate","Unique")</f>
        <v>Unique</v>
      </c>
    </row>
    <row r="784" spans="1:20" x14ac:dyDescent="0.45">
      <c r="A784" t="s">
        <v>2162</v>
      </c>
      <c r="B784" t="s">
        <v>1355</v>
      </c>
      <c r="C784" t="s">
        <v>59</v>
      </c>
      <c r="D784" t="s">
        <v>58</v>
      </c>
      <c r="E784" t="s">
        <v>206</v>
      </c>
      <c r="F784" t="s">
        <v>81</v>
      </c>
      <c r="G784" t="s">
        <v>207</v>
      </c>
      <c r="H784" t="s">
        <v>106</v>
      </c>
      <c r="I784" t="s">
        <v>107</v>
      </c>
      <c r="J784" t="s">
        <v>2619</v>
      </c>
      <c r="K784" t="s">
        <v>162</v>
      </c>
      <c r="M784" t="s">
        <v>163</v>
      </c>
      <c r="N784" t="s">
        <v>99</v>
      </c>
      <c r="O784" s="27">
        <v>561000</v>
      </c>
      <c r="P784">
        <v>4</v>
      </c>
      <c r="Q784" t="s">
        <v>164</v>
      </c>
      <c r="R784">
        <v>42</v>
      </c>
      <c r="S784" t="s">
        <v>214</v>
      </c>
      <c r="T784" t="str">
        <f>IF(COUNTIF($A$2:A784,A784)&gt;1,"Duplicate","Unique")</f>
        <v>Unique</v>
      </c>
    </row>
    <row r="785" spans="1:20" x14ac:dyDescent="0.45">
      <c r="A785" t="s">
        <v>1723</v>
      </c>
      <c r="B785" t="s">
        <v>1231</v>
      </c>
      <c r="C785" t="s">
        <v>51</v>
      </c>
      <c r="D785" t="s">
        <v>50</v>
      </c>
      <c r="E785" t="s">
        <v>328</v>
      </c>
      <c r="F785" t="s">
        <v>85</v>
      </c>
      <c r="G785" t="s">
        <v>329</v>
      </c>
      <c r="H785" t="s">
        <v>109</v>
      </c>
      <c r="I785" t="s">
        <v>110</v>
      </c>
      <c r="J785" t="s">
        <v>3329</v>
      </c>
      <c r="K785" t="s">
        <v>170</v>
      </c>
      <c r="L785" t="s">
        <v>3330</v>
      </c>
      <c r="M785" t="s">
        <v>171</v>
      </c>
      <c r="N785" t="s">
        <v>99</v>
      </c>
      <c r="O785" s="27">
        <v>4026000</v>
      </c>
      <c r="P785">
        <v>2</v>
      </c>
      <c r="Q785" t="s">
        <v>164</v>
      </c>
      <c r="R785">
        <v>4</v>
      </c>
      <c r="S785" t="s">
        <v>178</v>
      </c>
      <c r="T785" t="str">
        <f>IF(COUNTIF($A$2:A785,A785)&gt;1,"Duplicate","Unique")</f>
        <v>Unique</v>
      </c>
    </row>
    <row r="786" spans="1:20" x14ac:dyDescent="0.45">
      <c r="A786" t="s">
        <v>1998</v>
      </c>
      <c r="B786" t="s">
        <v>1244</v>
      </c>
      <c r="C786" t="s">
        <v>51</v>
      </c>
      <c r="D786" t="s">
        <v>50</v>
      </c>
      <c r="E786" t="s">
        <v>176</v>
      </c>
      <c r="F786" t="s">
        <v>82</v>
      </c>
      <c r="G786" t="s">
        <v>177</v>
      </c>
      <c r="H786" t="s">
        <v>106</v>
      </c>
      <c r="I786" t="s">
        <v>107</v>
      </c>
      <c r="J786" t="s">
        <v>3331</v>
      </c>
      <c r="K786" t="s">
        <v>162</v>
      </c>
      <c r="M786" t="s">
        <v>163</v>
      </c>
      <c r="N786" t="s">
        <v>98</v>
      </c>
      <c r="O786" s="27">
        <v>1235000</v>
      </c>
      <c r="P786">
        <v>4</v>
      </c>
      <c r="Q786" t="s">
        <v>172</v>
      </c>
      <c r="R786">
        <v>46</v>
      </c>
      <c r="S786" t="s">
        <v>197</v>
      </c>
      <c r="T786" t="str">
        <f>IF(COUNTIF($A$2:A786,A786)&gt;1,"Duplicate","Unique")</f>
        <v>Unique</v>
      </c>
    </row>
    <row r="787" spans="1:20" x14ac:dyDescent="0.45">
      <c r="A787" t="s">
        <v>1036</v>
      </c>
      <c r="B787" t="s">
        <v>3332</v>
      </c>
      <c r="C787" t="s">
        <v>51</v>
      </c>
      <c r="D787" t="s">
        <v>50</v>
      </c>
      <c r="E787" t="s">
        <v>181</v>
      </c>
      <c r="F787" t="s">
        <v>81</v>
      </c>
      <c r="G787" t="s">
        <v>182</v>
      </c>
      <c r="H787" t="s">
        <v>106</v>
      </c>
      <c r="I787" t="s">
        <v>107</v>
      </c>
      <c r="J787" t="s">
        <v>2898</v>
      </c>
      <c r="K787" t="s">
        <v>162</v>
      </c>
      <c r="M787" t="s">
        <v>163</v>
      </c>
      <c r="N787" t="s">
        <v>96</v>
      </c>
      <c r="O787" s="27">
        <v>803000</v>
      </c>
      <c r="P787">
        <v>4</v>
      </c>
      <c r="Q787" t="s">
        <v>172</v>
      </c>
      <c r="R787">
        <v>39</v>
      </c>
      <c r="S787" t="s">
        <v>219</v>
      </c>
      <c r="T787" t="str">
        <f>IF(COUNTIF($A$2:A787,A787)&gt;1,"Duplicate","Unique")</f>
        <v>Unique</v>
      </c>
    </row>
    <row r="788" spans="1:20" x14ac:dyDescent="0.45">
      <c r="A788" t="s">
        <v>1320</v>
      </c>
      <c r="B788" t="s">
        <v>627</v>
      </c>
      <c r="C788" t="s">
        <v>55</v>
      </c>
      <c r="D788" t="s">
        <v>54</v>
      </c>
      <c r="E788" t="s">
        <v>277</v>
      </c>
      <c r="F788" t="s">
        <v>81</v>
      </c>
      <c r="G788" t="s">
        <v>278</v>
      </c>
      <c r="H788" t="s">
        <v>106</v>
      </c>
      <c r="I788" t="s">
        <v>107</v>
      </c>
      <c r="J788" t="s">
        <v>3333</v>
      </c>
      <c r="K788" t="s">
        <v>187</v>
      </c>
      <c r="L788" t="s">
        <v>2538</v>
      </c>
      <c r="M788" t="s">
        <v>282</v>
      </c>
      <c r="N788" t="s">
        <v>99</v>
      </c>
      <c r="O788" s="27">
        <v>659000</v>
      </c>
      <c r="P788">
        <v>3</v>
      </c>
      <c r="Q788" t="s">
        <v>172</v>
      </c>
      <c r="R788">
        <v>35</v>
      </c>
      <c r="S788" t="s">
        <v>262</v>
      </c>
      <c r="T788" t="str">
        <f>IF(COUNTIF($A$2:A788,A788)&gt;1,"Duplicate","Unique")</f>
        <v>Unique</v>
      </c>
    </row>
    <row r="789" spans="1:20" x14ac:dyDescent="0.45">
      <c r="A789" t="s">
        <v>925</v>
      </c>
      <c r="B789" t="s">
        <v>858</v>
      </c>
      <c r="C789" t="s">
        <v>51</v>
      </c>
      <c r="D789" t="s">
        <v>50</v>
      </c>
      <c r="E789" t="s">
        <v>176</v>
      </c>
      <c r="F789" t="s">
        <v>82</v>
      </c>
      <c r="G789" t="s">
        <v>177</v>
      </c>
      <c r="H789" t="s">
        <v>109</v>
      </c>
      <c r="I789" t="s">
        <v>110</v>
      </c>
      <c r="J789" t="s">
        <v>3334</v>
      </c>
      <c r="K789" t="s">
        <v>162</v>
      </c>
      <c r="M789" t="s">
        <v>163</v>
      </c>
      <c r="N789" t="s">
        <v>97</v>
      </c>
      <c r="O789" s="27">
        <v>938000</v>
      </c>
      <c r="P789">
        <v>4</v>
      </c>
      <c r="Q789" t="s">
        <v>164</v>
      </c>
      <c r="S789" t="s">
        <v>178</v>
      </c>
      <c r="T789" t="str">
        <f>IF(COUNTIF($A$2:A789,A789)&gt;1,"Duplicate","Unique")</f>
        <v>Unique</v>
      </c>
    </row>
    <row r="790" spans="1:20" x14ac:dyDescent="0.45">
      <c r="A790" t="s">
        <v>995</v>
      </c>
      <c r="B790" t="s">
        <v>996</v>
      </c>
      <c r="C790" t="s">
        <v>55</v>
      </c>
      <c r="D790" t="s">
        <v>54</v>
      </c>
      <c r="E790" t="s">
        <v>277</v>
      </c>
      <c r="F790" t="s">
        <v>81</v>
      </c>
      <c r="G790" t="s">
        <v>278</v>
      </c>
      <c r="H790" t="s">
        <v>108</v>
      </c>
      <c r="I790" t="s">
        <v>107</v>
      </c>
      <c r="J790" t="s">
        <v>3335</v>
      </c>
      <c r="K790" t="s">
        <v>187</v>
      </c>
      <c r="L790" t="s">
        <v>2808</v>
      </c>
      <c r="M790" t="s">
        <v>188</v>
      </c>
      <c r="N790" t="s">
        <v>99</v>
      </c>
      <c r="O790" s="27">
        <v>728000</v>
      </c>
      <c r="P790">
        <v>4</v>
      </c>
      <c r="Q790" t="s">
        <v>164</v>
      </c>
      <c r="R790">
        <v>31</v>
      </c>
      <c r="S790" t="s">
        <v>262</v>
      </c>
      <c r="T790" t="str">
        <f>IF(COUNTIF($A$2:A790,A790)&gt;1,"Duplicate","Unique")</f>
        <v>Unique</v>
      </c>
    </row>
    <row r="791" spans="1:20" x14ac:dyDescent="0.45">
      <c r="A791" t="s">
        <v>2159</v>
      </c>
      <c r="B791" t="s">
        <v>2160</v>
      </c>
      <c r="C791" t="s">
        <v>53</v>
      </c>
      <c r="D791" t="s">
        <v>52</v>
      </c>
      <c r="E791" t="s">
        <v>192</v>
      </c>
      <c r="F791" t="s">
        <v>83</v>
      </c>
      <c r="G791" t="s">
        <v>193</v>
      </c>
      <c r="H791" t="s">
        <v>108</v>
      </c>
      <c r="I791" t="s">
        <v>107</v>
      </c>
      <c r="J791" t="s">
        <v>3336</v>
      </c>
      <c r="K791" t="s">
        <v>162</v>
      </c>
      <c r="M791" t="s">
        <v>163</v>
      </c>
      <c r="N791" t="s">
        <v>96</v>
      </c>
      <c r="O791" s="27">
        <v>1659000</v>
      </c>
      <c r="P791">
        <v>2</v>
      </c>
      <c r="Q791" t="s">
        <v>172</v>
      </c>
      <c r="R791">
        <v>36</v>
      </c>
      <c r="S791" t="s">
        <v>189</v>
      </c>
      <c r="T791" t="str">
        <f>IF(COUNTIF($A$2:A791,A791)&gt;1,"Duplicate","Unique")</f>
        <v>Unique</v>
      </c>
    </row>
    <row r="792" spans="1:20" x14ac:dyDescent="0.45">
      <c r="A792" t="s">
        <v>2033</v>
      </c>
      <c r="B792" t="s">
        <v>969</v>
      </c>
      <c r="C792" t="s">
        <v>57</v>
      </c>
      <c r="D792" t="s">
        <v>56</v>
      </c>
      <c r="E792" t="s">
        <v>391</v>
      </c>
      <c r="F792" t="s">
        <v>83</v>
      </c>
      <c r="G792" t="s">
        <v>392</v>
      </c>
      <c r="H792" t="s">
        <v>109</v>
      </c>
      <c r="I792" t="s">
        <v>110</v>
      </c>
      <c r="J792" t="s">
        <v>3337</v>
      </c>
      <c r="K792" t="s">
        <v>162</v>
      </c>
      <c r="M792" t="s">
        <v>163</v>
      </c>
      <c r="N792" t="s">
        <v>97</v>
      </c>
      <c r="O792" s="27">
        <v>1677000</v>
      </c>
      <c r="P792">
        <v>4</v>
      </c>
      <c r="Q792" t="s">
        <v>172</v>
      </c>
      <c r="R792">
        <v>36</v>
      </c>
      <c r="S792" t="s">
        <v>165</v>
      </c>
      <c r="T792" t="str">
        <f>IF(COUNTIF($A$2:A792,A792)&gt;1,"Duplicate","Unique")</f>
        <v>Unique</v>
      </c>
    </row>
    <row r="793" spans="1:20" x14ac:dyDescent="0.45">
      <c r="A793" t="s">
        <v>1590</v>
      </c>
      <c r="B793" t="s">
        <v>1591</v>
      </c>
      <c r="C793" t="s">
        <v>51</v>
      </c>
      <c r="D793" t="s">
        <v>50</v>
      </c>
      <c r="E793" t="s">
        <v>181</v>
      </c>
      <c r="F793" t="s">
        <v>81</v>
      </c>
      <c r="G793" t="s">
        <v>182</v>
      </c>
      <c r="H793" t="s">
        <v>108</v>
      </c>
      <c r="I793" t="s">
        <v>107</v>
      </c>
      <c r="J793" t="s">
        <v>3338</v>
      </c>
      <c r="K793" t="s">
        <v>162</v>
      </c>
      <c r="M793" t="s">
        <v>163</v>
      </c>
      <c r="N793" t="s">
        <v>95</v>
      </c>
      <c r="O793" s="27">
        <v>766000</v>
      </c>
      <c r="P793">
        <v>1</v>
      </c>
      <c r="Q793" t="s">
        <v>172</v>
      </c>
      <c r="R793">
        <v>21</v>
      </c>
      <c r="S793" t="s">
        <v>219</v>
      </c>
      <c r="T793" t="str">
        <f>IF(COUNTIF($A$2:A793,A793)&gt;1,"Duplicate","Unique")</f>
        <v>Unique</v>
      </c>
    </row>
    <row r="794" spans="1:20" x14ac:dyDescent="0.45">
      <c r="A794" t="s">
        <v>1465</v>
      </c>
      <c r="B794" t="s">
        <v>1466</v>
      </c>
      <c r="C794" t="s">
        <v>57</v>
      </c>
      <c r="D794" t="s">
        <v>56</v>
      </c>
      <c r="E794" t="s">
        <v>160</v>
      </c>
      <c r="F794" t="s">
        <v>81</v>
      </c>
      <c r="G794" t="s">
        <v>161</v>
      </c>
      <c r="H794" t="s">
        <v>106</v>
      </c>
      <c r="I794" t="s">
        <v>107</v>
      </c>
      <c r="J794" t="s">
        <v>2973</v>
      </c>
      <c r="K794" t="s">
        <v>187</v>
      </c>
      <c r="L794" t="s">
        <v>2477</v>
      </c>
      <c r="M794" t="s">
        <v>213</v>
      </c>
      <c r="N794" t="s">
        <v>97</v>
      </c>
      <c r="O794" s="27">
        <v>568000</v>
      </c>
      <c r="P794">
        <v>5</v>
      </c>
      <c r="Q794" t="s">
        <v>164</v>
      </c>
      <c r="R794">
        <v>48</v>
      </c>
      <c r="S794" t="s">
        <v>165</v>
      </c>
      <c r="T794" t="str">
        <f>IF(COUNTIF($A$2:A794,A794)&gt;1,"Duplicate","Unique")</f>
        <v>Unique</v>
      </c>
    </row>
    <row r="795" spans="1:20" x14ac:dyDescent="0.45">
      <c r="A795" t="s">
        <v>1863</v>
      </c>
      <c r="B795" t="s">
        <v>837</v>
      </c>
      <c r="C795" t="s">
        <v>55</v>
      </c>
      <c r="D795" t="s">
        <v>54</v>
      </c>
      <c r="E795" t="s">
        <v>229</v>
      </c>
      <c r="F795" t="s">
        <v>82</v>
      </c>
      <c r="G795" t="s">
        <v>230</v>
      </c>
      <c r="H795" t="s">
        <v>108</v>
      </c>
      <c r="I795" t="s">
        <v>107</v>
      </c>
      <c r="J795" t="s">
        <v>3339</v>
      </c>
      <c r="K795" t="s">
        <v>162</v>
      </c>
      <c r="M795" t="s">
        <v>163</v>
      </c>
      <c r="N795" t="s">
        <v>97</v>
      </c>
      <c r="O795" s="27">
        <v>1245000</v>
      </c>
      <c r="P795">
        <v>3</v>
      </c>
      <c r="Q795" t="s">
        <v>164</v>
      </c>
      <c r="S795" t="s">
        <v>173</v>
      </c>
      <c r="T795" t="str">
        <f>IF(COUNTIF($A$2:A795,A795)&gt;1,"Duplicate","Unique")</f>
        <v>Unique</v>
      </c>
    </row>
    <row r="796" spans="1:20" x14ac:dyDescent="0.45">
      <c r="A796" t="s">
        <v>663</v>
      </c>
      <c r="B796" t="s">
        <v>664</v>
      </c>
      <c r="C796" t="s">
        <v>59</v>
      </c>
      <c r="D796" t="s">
        <v>58</v>
      </c>
      <c r="E796" t="s">
        <v>211</v>
      </c>
      <c r="F796" t="s">
        <v>82</v>
      </c>
      <c r="G796" t="s">
        <v>212</v>
      </c>
      <c r="H796" t="s">
        <v>106</v>
      </c>
      <c r="I796" t="s">
        <v>107</v>
      </c>
      <c r="J796" t="s">
        <v>3340</v>
      </c>
      <c r="K796" t="s">
        <v>162</v>
      </c>
      <c r="M796" t="s">
        <v>163</v>
      </c>
      <c r="N796" t="s">
        <v>95</v>
      </c>
      <c r="O796" s="27">
        <v>1095000</v>
      </c>
      <c r="P796">
        <v>4</v>
      </c>
      <c r="Q796" t="s">
        <v>164</v>
      </c>
      <c r="R796">
        <v>22</v>
      </c>
      <c r="S796" t="s">
        <v>208</v>
      </c>
      <c r="T796" t="str">
        <f>IF(COUNTIF($A$2:A796,A796)&gt;1,"Duplicate","Unique")</f>
        <v>Unique</v>
      </c>
    </row>
    <row r="797" spans="1:20" x14ac:dyDescent="0.45">
      <c r="A797" t="s">
        <v>721</v>
      </c>
      <c r="B797" t="s">
        <v>722</v>
      </c>
      <c r="C797" t="s">
        <v>57</v>
      </c>
      <c r="D797" t="s">
        <v>56</v>
      </c>
      <c r="E797" t="s">
        <v>222</v>
      </c>
      <c r="F797" t="s">
        <v>82</v>
      </c>
      <c r="G797" t="s">
        <v>223</v>
      </c>
      <c r="H797" t="s">
        <v>106</v>
      </c>
      <c r="I797" t="s">
        <v>107</v>
      </c>
      <c r="J797" t="s">
        <v>3341</v>
      </c>
      <c r="K797" t="s">
        <v>162</v>
      </c>
      <c r="M797" t="s">
        <v>163</v>
      </c>
      <c r="N797" t="s">
        <v>95</v>
      </c>
      <c r="O797" s="27">
        <v>1218000</v>
      </c>
      <c r="P797">
        <v>4</v>
      </c>
      <c r="Q797" t="s">
        <v>164</v>
      </c>
      <c r="R797">
        <v>40</v>
      </c>
      <c r="S797" t="s">
        <v>165</v>
      </c>
      <c r="T797" t="str">
        <f>IF(COUNTIF($A$2:A797,A797)&gt;1,"Duplicate","Unique")</f>
        <v>Unique</v>
      </c>
    </row>
    <row r="798" spans="1:20" x14ac:dyDescent="0.45">
      <c r="A798" t="s">
        <v>2018</v>
      </c>
      <c r="B798" t="s">
        <v>1131</v>
      </c>
      <c r="C798" t="s">
        <v>61</v>
      </c>
      <c r="D798" t="s">
        <v>60</v>
      </c>
      <c r="E798" t="s">
        <v>923</v>
      </c>
      <c r="F798" t="s">
        <v>85</v>
      </c>
      <c r="G798" t="s">
        <v>924</v>
      </c>
      <c r="H798" t="s">
        <v>108</v>
      </c>
      <c r="I798" t="s">
        <v>107</v>
      </c>
      <c r="J798" t="s">
        <v>3342</v>
      </c>
      <c r="K798" t="s">
        <v>162</v>
      </c>
      <c r="M798" t="s">
        <v>163</v>
      </c>
      <c r="N798" t="s">
        <v>99</v>
      </c>
      <c r="O798" s="27">
        <v>5017000</v>
      </c>
      <c r="P798">
        <v>2</v>
      </c>
      <c r="Q798" t="s">
        <v>164</v>
      </c>
      <c r="R798">
        <v>45</v>
      </c>
      <c r="S798" t="s">
        <v>319</v>
      </c>
      <c r="T798" t="str">
        <f>IF(COUNTIF($A$2:A798,A798)&gt;1,"Duplicate","Unique")</f>
        <v>Unique</v>
      </c>
    </row>
    <row r="799" spans="1:20" x14ac:dyDescent="0.45">
      <c r="A799" t="s">
        <v>607</v>
      </c>
      <c r="B799" t="s">
        <v>608</v>
      </c>
      <c r="C799" t="s">
        <v>51</v>
      </c>
      <c r="D799" t="s">
        <v>50</v>
      </c>
      <c r="E799" t="s">
        <v>176</v>
      </c>
      <c r="F799" t="s">
        <v>82</v>
      </c>
      <c r="G799" t="s">
        <v>177</v>
      </c>
      <c r="H799" t="s">
        <v>111</v>
      </c>
      <c r="I799" t="s">
        <v>110</v>
      </c>
      <c r="J799" t="s">
        <v>3343</v>
      </c>
      <c r="K799" t="s">
        <v>162</v>
      </c>
      <c r="M799" t="s">
        <v>163</v>
      </c>
      <c r="N799" t="s">
        <v>96</v>
      </c>
      <c r="O799" s="27">
        <v>1063000</v>
      </c>
      <c r="P799">
        <v>2</v>
      </c>
      <c r="Q799" t="s">
        <v>2584</v>
      </c>
      <c r="R799">
        <v>46</v>
      </c>
      <c r="S799" t="s">
        <v>244</v>
      </c>
      <c r="T799" t="str">
        <f>IF(COUNTIF($A$2:A799,A799)&gt;1,"Duplicate","Unique")</f>
        <v>Unique</v>
      </c>
    </row>
    <row r="800" spans="1:20" x14ac:dyDescent="0.45">
      <c r="A800" t="s">
        <v>463</v>
      </c>
      <c r="B800" t="s">
        <v>464</v>
      </c>
      <c r="C800" t="s">
        <v>51</v>
      </c>
      <c r="D800" t="s">
        <v>50</v>
      </c>
      <c r="E800" t="s">
        <v>217</v>
      </c>
      <c r="F800" t="s">
        <v>83</v>
      </c>
      <c r="G800" t="s">
        <v>218</v>
      </c>
      <c r="H800" t="s">
        <v>106</v>
      </c>
      <c r="I800" t="s">
        <v>107</v>
      </c>
      <c r="J800" t="s">
        <v>3344</v>
      </c>
      <c r="K800" t="s">
        <v>162</v>
      </c>
      <c r="M800" t="s">
        <v>163</v>
      </c>
      <c r="N800" t="s">
        <v>98</v>
      </c>
      <c r="O800" s="27">
        <v>1359000</v>
      </c>
      <c r="P800">
        <v>3</v>
      </c>
      <c r="Q800" t="s">
        <v>164</v>
      </c>
      <c r="R800">
        <v>50</v>
      </c>
      <c r="S800" t="s">
        <v>244</v>
      </c>
      <c r="T800" t="str">
        <f>IF(COUNTIF($A$2:A800,A800)&gt;1,"Duplicate","Unique")</f>
        <v>Unique</v>
      </c>
    </row>
    <row r="801" spans="1:20" x14ac:dyDescent="0.45">
      <c r="A801" t="s">
        <v>2182</v>
      </c>
      <c r="B801" t="s">
        <v>2183</v>
      </c>
      <c r="C801" t="s">
        <v>51</v>
      </c>
      <c r="D801" t="s">
        <v>50</v>
      </c>
      <c r="E801" t="s">
        <v>176</v>
      </c>
      <c r="F801" t="s">
        <v>82</v>
      </c>
      <c r="G801" t="s">
        <v>177</v>
      </c>
      <c r="H801" t="s">
        <v>106</v>
      </c>
      <c r="I801" t="s">
        <v>107</v>
      </c>
      <c r="J801" t="s">
        <v>2434</v>
      </c>
      <c r="K801" t="s">
        <v>162</v>
      </c>
      <c r="M801" t="s">
        <v>163</v>
      </c>
      <c r="N801" t="s">
        <v>98</v>
      </c>
      <c r="O801" s="27">
        <v>895000</v>
      </c>
      <c r="P801">
        <v>2</v>
      </c>
      <c r="Q801" t="s">
        <v>164</v>
      </c>
      <c r="R801">
        <v>14</v>
      </c>
      <c r="S801" t="s">
        <v>197</v>
      </c>
      <c r="T801" t="str">
        <f>IF(COUNTIF($A$2:A801,A801)&gt;1,"Duplicate","Unique")</f>
        <v>Unique</v>
      </c>
    </row>
    <row r="802" spans="1:20" x14ac:dyDescent="0.45">
      <c r="A802" t="s">
        <v>884</v>
      </c>
      <c r="B802" t="s">
        <v>751</v>
      </c>
      <c r="C802" t="s">
        <v>61</v>
      </c>
      <c r="D802" t="s">
        <v>60</v>
      </c>
      <c r="E802" t="s">
        <v>251</v>
      </c>
      <c r="F802" t="s">
        <v>82</v>
      </c>
      <c r="G802" t="s">
        <v>252</v>
      </c>
      <c r="H802" t="s">
        <v>106</v>
      </c>
      <c r="I802" t="s">
        <v>107</v>
      </c>
      <c r="J802" t="s">
        <v>3345</v>
      </c>
      <c r="K802" t="s">
        <v>162</v>
      </c>
      <c r="M802" t="s">
        <v>163</v>
      </c>
      <c r="N802" t="s">
        <v>99</v>
      </c>
      <c r="O802" s="27">
        <v>1338000</v>
      </c>
      <c r="P802">
        <v>4</v>
      </c>
      <c r="Q802" t="s">
        <v>164</v>
      </c>
      <c r="R802">
        <v>31</v>
      </c>
      <c r="S802" t="s">
        <v>253</v>
      </c>
      <c r="T802" t="str">
        <f>IF(COUNTIF($A$2:A802,A802)&gt;1,"Duplicate","Unique")</f>
        <v>Unique</v>
      </c>
    </row>
    <row r="803" spans="1:20" x14ac:dyDescent="0.45">
      <c r="A803" t="s">
        <v>2215</v>
      </c>
      <c r="B803" t="s">
        <v>1107</v>
      </c>
      <c r="C803" t="s">
        <v>53</v>
      </c>
      <c r="D803" t="s">
        <v>52</v>
      </c>
      <c r="E803" t="s">
        <v>192</v>
      </c>
      <c r="F803" t="s">
        <v>83</v>
      </c>
      <c r="G803" t="s">
        <v>193</v>
      </c>
      <c r="H803" t="s">
        <v>111</v>
      </c>
      <c r="I803" t="s">
        <v>110</v>
      </c>
      <c r="J803" t="s">
        <v>3346</v>
      </c>
      <c r="K803" t="s">
        <v>162</v>
      </c>
      <c r="M803" t="s">
        <v>163</v>
      </c>
      <c r="N803" t="s">
        <v>99</v>
      </c>
      <c r="O803" s="27">
        <v>1825000</v>
      </c>
      <c r="P803">
        <v>3</v>
      </c>
      <c r="Q803" t="s">
        <v>164</v>
      </c>
      <c r="R803">
        <v>39</v>
      </c>
      <c r="S803" t="s">
        <v>194</v>
      </c>
      <c r="T803" t="str">
        <f>IF(COUNTIF($A$2:A803,A803)&gt;1,"Duplicate","Unique")</f>
        <v>Unique</v>
      </c>
    </row>
    <row r="804" spans="1:20" x14ac:dyDescent="0.45">
      <c r="A804" t="s">
        <v>1569</v>
      </c>
      <c r="B804" t="s">
        <v>696</v>
      </c>
      <c r="C804" t="s">
        <v>53</v>
      </c>
      <c r="D804" t="s">
        <v>52</v>
      </c>
      <c r="E804" t="s">
        <v>192</v>
      </c>
      <c r="F804" t="s">
        <v>83</v>
      </c>
      <c r="G804" t="s">
        <v>193</v>
      </c>
      <c r="H804" t="s">
        <v>108</v>
      </c>
      <c r="I804" t="s">
        <v>107</v>
      </c>
      <c r="J804" t="s">
        <v>2756</v>
      </c>
      <c r="K804" t="s">
        <v>170</v>
      </c>
      <c r="L804" t="s">
        <v>3347</v>
      </c>
      <c r="M804" t="s">
        <v>171</v>
      </c>
      <c r="N804" t="s">
        <v>99</v>
      </c>
      <c r="O804" s="27">
        <v>1669000</v>
      </c>
      <c r="P804">
        <v>4</v>
      </c>
      <c r="Q804" t="s">
        <v>172</v>
      </c>
      <c r="R804">
        <v>31</v>
      </c>
      <c r="S804" t="s">
        <v>237</v>
      </c>
      <c r="T804" t="str">
        <f>IF(COUNTIF($A$2:A804,A804)&gt;1,"Duplicate","Unique")</f>
        <v>Unique</v>
      </c>
    </row>
    <row r="805" spans="1:20" x14ac:dyDescent="0.45">
      <c r="A805" t="s">
        <v>1018</v>
      </c>
      <c r="B805" t="s">
        <v>932</v>
      </c>
      <c r="C805" t="s">
        <v>53</v>
      </c>
      <c r="D805" t="s">
        <v>52</v>
      </c>
      <c r="E805" t="s">
        <v>185</v>
      </c>
      <c r="F805" t="s">
        <v>82</v>
      </c>
      <c r="G805" t="s">
        <v>186</v>
      </c>
      <c r="H805" t="s">
        <v>106</v>
      </c>
      <c r="I805" t="s">
        <v>107</v>
      </c>
      <c r="J805" t="s">
        <v>3348</v>
      </c>
      <c r="K805" t="s">
        <v>187</v>
      </c>
      <c r="L805" t="s">
        <v>3246</v>
      </c>
      <c r="M805" t="s">
        <v>213</v>
      </c>
      <c r="N805" t="s">
        <v>98</v>
      </c>
      <c r="O805" s="27">
        <v>1218000</v>
      </c>
      <c r="P805">
        <v>3</v>
      </c>
      <c r="Q805" t="s">
        <v>164</v>
      </c>
      <c r="R805">
        <v>50</v>
      </c>
      <c r="S805" t="s">
        <v>237</v>
      </c>
      <c r="T805" t="str">
        <f>IF(COUNTIF($A$2:A805,A805)&gt;1,"Duplicate","Unique")</f>
        <v>Unique</v>
      </c>
    </row>
    <row r="806" spans="1:20" x14ac:dyDescent="0.45">
      <c r="A806" t="s">
        <v>1152</v>
      </c>
      <c r="B806" t="s">
        <v>1094</v>
      </c>
      <c r="C806" t="s">
        <v>51</v>
      </c>
      <c r="D806" t="s">
        <v>50</v>
      </c>
      <c r="E806" t="s">
        <v>397</v>
      </c>
      <c r="F806" t="s">
        <v>84</v>
      </c>
      <c r="G806" t="s">
        <v>398</v>
      </c>
      <c r="H806" t="s">
        <v>106</v>
      </c>
      <c r="I806" t="s">
        <v>107</v>
      </c>
      <c r="J806" t="s">
        <v>3349</v>
      </c>
      <c r="K806" t="s">
        <v>162</v>
      </c>
      <c r="M806" t="s">
        <v>163</v>
      </c>
      <c r="N806" t="s">
        <v>97</v>
      </c>
      <c r="O806" s="27">
        <v>2575000</v>
      </c>
      <c r="P806">
        <v>3</v>
      </c>
      <c r="Q806" t="s">
        <v>164</v>
      </c>
      <c r="R806">
        <v>35</v>
      </c>
      <c r="S806" t="s">
        <v>244</v>
      </c>
      <c r="T806" t="str">
        <f>IF(COUNTIF($A$2:A806,A806)&gt;1,"Duplicate","Unique")</f>
        <v>Unique</v>
      </c>
    </row>
    <row r="807" spans="1:20" x14ac:dyDescent="0.45">
      <c r="A807" t="s">
        <v>2342</v>
      </c>
      <c r="B807" t="s">
        <v>2343</v>
      </c>
      <c r="C807" t="s">
        <v>55</v>
      </c>
      <c r="D807" t="s">
        <v>54</v>
      </c>
      <c r="E807" t="s">
        <v>229</v>
      </c>
      <c r="F807" t="s">
        <v>82</v>
      </c>
      <c r="G807" t="s">
        <v>230</v>
      </c>
      <c r="H807" t="s">
        <v>2611</v>
      </c>
      <c r="I807" t="s">
        <v>107</v>
      </c>
      <c r="J807" t="s">
        <v>3350</v>
      </c>
      <c r="K807" t="s">
        <v>162</v>
      </c>
      <c r="M807" t="s">
        <v>163</v>
      </c>
      <c r="N807" t="s">
        <v>99</v>
      </c>
      <c r="O807" s="27">
        <v>1017000</v>
      </c>
      <c r="P807">
        <v>3</v>
      </c>
      <c r="Q807" t="s">
        <v>172</v>
      </c>
      <c r="R807">
        <v>34</v>
      </c>
      <c r="S807" t="s">
        <v>274</v>
      </c>
      <c r="T807" t="str">
        <f>IF(COUNTIF($A$2:A807,A807)&gt;1,"Duplicate","Unique")</f>
        <v>Unique</v>
      </c>
    </row>
    <row r="808" spans="1:20" x14ac:dyDescent="0.45">
      <c r="A808" t="s">
        <v>944</v>
      </c>
      <c r="B808" t="s">
        <v>945</v>
      </c>
      <c r="C808" t="s">
        <v>51</v>
      </c>
      <c r="D808" t="s">
        <v>2643</v>
      </c>
      <c r="E808" t="s">
        <v>181</v>
      </c>
      <c r="F808" t="s">
        <v>81</v>
      </c>
      <c r="G808" t="s">
        <v>182</v>
      </c>
      <c r="H808" t="s">
        <v>108</v>
      </c>
      <c r="I808" t="s">
        <v>107</v>
      </c>
      <c r="J808" t="s">
        <v>2601</v>
      </c>
      <c r="K808" t="s">
        <v>187</v>
      </c>
      <c r="L808" t="s">
        <v>3351</v>
      </c>
      <c r="M808" t="s">
        <v>269</v>
      </c>
      <c r="N808" t="s">
        <v>98</v>
      </c>
      <c r="O808" s="27">
        <v>656000</v>
      </c>
      <c r="P808">
        <v>4</v>
      </c>
      <c r="Q808" t="s">
        <v>172</v>
      </c>
      <c r="R808">
        <v>35</v>
      </c>
      <c r="S808" t="s">
        <v>219</v>
      </c>
      <c r="T808" t="str">
        <f>IF(COUNTIF($A$2:A808,A808)&gt;1,"Duplicate","Unique")</f>
        <v>Unique</v>
      </c>
    </row>
    <row r="809" spans="1:20" x14ac:dyDescent="0.45">
      <c r="A809" t="s">
        <v>295</v>
      </c>
      <c r="B809" t="s">
        <v>296</v>
      </c>
      <c r="C809" t="s">
        <v>53</v>
      </c>
      <c r="D809" t="s">
        <v>52</v>
      </c>
      <c r="E809" t="s">
        <v>185</v>
      </c>
      <c r="F809" t="s">
        <v>82</v>
      </c>
      <c r="G809" t="s">
        <v>186</v>
      </c>
      <c r="H809" t="s">
        <v>106</v>
      </c>
      <c r="I809" t="s">
        <v>107</v>
      </c>
      <c r="J809" t="s">
        <v>3352</v>
      </c>
      <c r="K809" t="s">
        <v>187</v>
      </c>
      <c r="L809" t="s">
        <v>3353</v>
      </c>
      <c r="M809" t="s">
        <v>213</v>
      </c>
      <c r="N809" t="s">
        <v>98</v>
      </c>
      <c r="O809" s="27">
        <v>1113000</v>
      </c>
      <c r="P809">
        <v>4</v>
      </c>
      <c r="Q809" t="s">
        <v>172</v>
      </c>
      <c r="R809">
        <v>31</v>
      </c>
      <c r="S809" t="s">
        <v>189</v>
      </c>
      <c r="T809" t="str">
        <f>IF(COUNTIF($A$2:A809,A809)&gt;1,"Duplicate","Unique")</f>
        <v>Unique</v>
      </c>
    </row>
    <row r="810" spans="1:20" x14ac:dyDescent="0.45">
      <c r="A810" t="s">
        <v>2339</v>
      </c>
      <c r="B810" t="s">
        <v>991</v>
      </c>
      <c r="C810" t="s">
        <v>61</v>
      </c>
      <c r="D810" t="s">
        <v>2510</v>
      </c>
      <c r="E810" t="s">
        <v>356</v>
      </c>
      <c r="F810" t="s">
        <v>81</v>
      </c>
      <c r="G810" t="s">
        <v>357</v>
      </c>
      <c r="H810" t="s">
        <v>109</v>
      </c>
      <c r="I810" t="s">
        <v>110</v>
      </c>
      <c r="J810" t="s">
        <v>2562</v>
      </c>
      <c r="K810" t="s">
        <v>162</v>
      </c>
      <c r="M810" t="s">
        <v>163</v>
      </c>
      <c r="N810" t="s">
        <v>99</v>
      </c>
      <c r="O810" s="27">
        <v>832000</v>
      </c>
      <c r="P810">
        <v>2</v>
      </c>
      <c r="Q810" t="s">
        <v>164</v>
      </c>
      <c r="R810">
        <v>21</v>
      </c>
      <c r="S810" t="s">
        <v>253</v>
      </c>
      <c r="T810" t="str">
        <f>IF(COUNTIF($A$2:A810,A810)&gt;1,"Duplicate","Unique")</f>
        <v>Unique</v>
      </c>
    </row>
    <row r="811" spans="1:20" x14ac:dyDescent="0.45">
      <c r="A811" t="s">
        <v>1182</v>
      </c>
      <c r="B811" t="s">
        <v>1183</v>
      </c>
      <c r="C811" t="s">
        <v>51</v>
      </c>
      <c r="D811" t="s">
        <v>50</v>
      </c>
      <c r="E811" t="s">
        <v>181</v>
      </c>
      <c r="F811" t="s">
        <v>81</v>
      </c>
      <c r="G811" t="s">
        <v>182</v>
      </c>
      <c r="H811" t="s">
        <v>111</v>
      </c>
      <c r="I811" t="s">
        <v>110</v>
      </c>
      <c r="J811" t="s">
        <v>2851</v>
      </c>
      <c r="K811" t="s">
        <v>170</v>
      </c>
      <c r="L811" t="s">
        <v>3354</v>
      </c>
      <c r="M811" t="s">
        <v>171</v>
      </c>
      <c r="N811" t="s">
        <v>96</v>
      </c>
      <c r="O811" s="27">
        <v>837000</v>
      </c>
      <c r="P811">
        <v>5</v>
      </c>
      <c r="Q811" t="s">
        <v>172</v>
      </c>
      <c r="S811" t="s">
        <v>178</v>
      </c>
      <c r="T811" t="str">
        <f>IF(COUNTIF($A$2:A811,A811)&gt;1,"Duplicate","Unique")</f>
        <v>Unique</v>
      </c>
    </row>
    <row r="812" spans="1:20" x14ac:dyDescent="0.45">
      <c r="A812" t="s">
        <v>856</v>
      </c>
      <c r="B812" t="s">
        <v>724</v>
      </c>
      <c r="C812" t="s">
        <v>51</v>
      </c>
      <c r="D812" t="s">
        <v>50</v>
      </c>
      <c r="E812" t="s">
        <v>176</v>
      </c>
      <c r="F812" t="s">
        <v>82</v>
      </c>
      <c r="G812" t="s">
        <v>177</v>
      </c>
      <c r="H812" t="s">
        <v>109</v>
      </c>
      <c r="I812" t="s">
        <v>110</v>
      </c>
      <c r="J812" t="s">
        <v>3185</v>
      </c>
      <c r="K812" t="s">
        <v>162</v>
      </c>
      <c r="M812" t="s">
        <v>163</v>
      </c>
      <c r="N812" t="s">
        <v>96</v>
      </c>
      <c r="O812" s="27">
        <v>1058000</v>
      </c>
      <c r="P812">
        <v>4</v>
      </c>
      <c r="Q812" t="s">
        <v>172</v>
      </c>
      <c r="R812">
        <v>43</v>
      </c>
      <c r="S812" t="s">
        <v>219</v>
      </c>
      <c r="T812" t="str">
        <f>IF(COUNTIF($A$2:A812,A812)&gt;1,"Duplicate","Unique")</f>
        <v>Unique</v>
      </c>
    </row>
    <row r="813" spans="1:20" x14ac:dyDescent="0.45">
      <c r="A813" t="s">
        <v>1200</v>
      </c>
      <c r="B813" t="s">
        <v>1201</v>
      </c>
      <c r="C813" t="s">
        <v>53</v>
      </c>
      <c r="D813" t="s">
        <v>52</v>
      </c>
      <c r="E813" t="s">
        <v>322</v>
      </c>
      <c r="F813" t="s">
        <v>81</v>
      </c>
      <c r="G813" t="s">
        <v>323</v>
      </c>
      <c r="H813" t="s">
        <v>106</v>
      </c>
      <c r="I813" t="s">
        <v>107</v>
      </c>
      <c r="J813" t="s">
        <v>3033</v>
      </c>
      <c r="K813" t="s">
        <v>187</v>
      </c>
      <c r="L813" t="s">
        <v>2437</v>
      </c>
      <c r="M813" t="s">
        <v>282</v>
      </c>
      <c r="N813" t="s">
        <v>99</v>
      </c>
      <c r="O813" s="27">
        <v>556000</v>
      </c>
      <c r="P813">
        <v>4</v>
      </c>
      <c r="Q813" t="s">
        <v>164</v>
      </c>
      <c r="R813">
        <v>43</v>
      </c>
      <c r="S813" t="s">
        <v>189</v>
      </c>
      <c r="T813" t="str">
        <f>IF(COUNTIF($A$2:A813,A813)&gt;1,"Duplicate","Unique")</f>
        <v>Unique</v>
      </c>
    </row>
    <row r="814" spans="1:20" x14ac:dyDescent="0.45">
      <c r="A814" t="s">
        <v>2285</v>
      </c>
      <c r="B814" t="s">
        <v>2029</v>
      </c>
      <c r="C814" t="s">
        <v>51</v>
      </c>
      <c r="D814" t="s">
        <v>50</v>
      </c>
      <c r="E814" t="s">
        <v>181</v>
      </c>
      <c r="F814" t="s">
        <v>81</v>
      </c>
      <c r="G814" t="s">
        <v>182</v>
      </c>
      <c r="H814" t="s">
        <v>2465</v>
      </c>
      <c r="I814" t="s">
        <v>107</v>
      </c>
      <c r="J814" t="s">
        <v>3355</v>
      </c>
      <c r="K814" t="s">
        <v>162</v>
      </c>
      <c r="M814" t="s">
        <v>163</v>
      </c>
      <c r="N814" t="s">
        <v>99</v>
      </c>
      <c r="O814" s="27">
        <v>786000</v>
      </c>
      <c r="P814">
        <v>3</v>
      </c>
      <c r="Q814" t="s">
        <v>164</v>
      </c>
      <c r="R814">
        <v>34</v>
      </c>
      <c r="S814" t="s">
        <v>244</v>
      </c>
      <c r="T814" t="str">
        <f>IF(COUNTIF($A$2:A814,A814)&gt;1,"Duplicate","Unique")</f>
        <v>Unique</v>
      </c>
    </row>
    <row r="815" spans="1:20" x14ac:dyDescent="0.45">
      <c r="A815" t="s">
        <v>808</v>
      </c>
      <c r="B815" t="s">
        <v>809</v>
      </c>
      <c r="C815" t="s">
        <v>53</v>
      </c>
      <c r="D815" t="s">
        <v>2442</v>
      </c>
      <c r="E815" t="s">
        <v>322</v>
      </c>
      <c r="F815" t="s">
        <v>81</v>
      </c>
      <c r="G815" t="s">
        <v>323</v>
      </c>
      <c r="H815" t="s">
        <v>111</v>
      </c>
      <c r="I815" t="s">
        <v>110</v>
      </c>
      <c r="J815" t="s">
        <v>3356</v>
      </c>
      <c r="K815" t="s">
        <v>187</v>
      </c>
      <c r="L815" t="s">
        <v>3357</v>
      </c>
      <c r="M815" t="s">
        <v>282</v>
      </c>
      <c r="N815" t="s">
        <v>98</v>
      </c>
      <c r="O815" s="27">
        <v>819000</v>
      </c>
      <c r="P815">
        <v>3</v>
      </c>
      <c r="Q815" t="s">
        <v>164</v>
      </c>
      <c r="R815">
        <v>52</v>
      </c>
      <c r="S815" t="s">
        <v>189</v>
      </c>
      <c r="T815" t="str">
        <f>IF(COUNTIF($A$2:A815,A815)&gt;1,"Duplicate","Unique")</f>
        <v>Unique</v>
      </c>
    </row>
    <row r="816" spans="1:20" x14ac:dyDescent="0.45">
      <c r="A816" t="s">
        <v>166</v>
      </c>
      <c r="B816" t="s">
        <v>167</v>
      </c>
      <c r="C816" t="s">
        <v>55</v>
      </c>
      <c r="D816" t="s">
        <v>54</v>
      </c>
      <c r="E816" t="s">
        <v>168</v>
      </c>
      <c r="F816" t="s">
        <v>84</v>
      </c>
      <c r="G816" t="s">
        <v>169</v>
      </c>
      <c r="H816" t="s">
        <v>108</v>
      </c>
      <c r="I816" t="s">
        <v>107</v>
      </c>
      <c r="J816" t="s">
        <v>3358</v>
      </c>
      <c r="K816" t="s">
        <v>170</v>
      </c>
      <c r="L816" t="s">
        <v>3359</v>
      </c>
      <c r="M816" t="s">
        <v>171</v>
      </c>
      <c r="N816" t="s">
        <v>95</v>
      </c>
      <c r="O816" s="27">
        <v>2693000</v>
      </c>
      <c r="P816">
        <v>2</v>
      </c>
      <c r="Q816" t="s">
        <v>172</v>
      </c>
      <c r="R816">
        <v>32</v>
      </c>
      <c r="S816" t="s">
        <v>173</v>
      </c>
      <c r="T816" t="str">
        <f>IF(COUNTIF($A$2:A816,A816)&gt;1,"Duplicate","Unique")</f>
        <v>Unique</v>
      </c>
    </row>
    <row r="817" spans="1:20" x14ac:dyDescent="0.45">
      <c r="A817" t="s">
        <v>1381</v>
      </c>
      <c r="B817" t="s">
        <v>1382</v>
      </c>
      <c r="C817" t="s">
        <v>61</v>
      </c>
      <c r="D817" t="s">
        <v>60</v>
      </c>
      <c r="E817" t="s">
        <v>356</v>
      </c>
      <c r="F817" t="s">
        <v>81</v>
      </c>
      <c r="G817" t="s">
        <v>357</v>
      </c>
      <c r="H817" t="s">
        <v>106</v>
      </c>
      <c r="I817" t="s">
        <v>107</v>
      </c>
      <c r="J817" t="s">
        <v>3071</v>
      </c>
      <c r="K817" t="s">
        <v>187</v>
      </c>
      <c r="L817" t="s">
        <v>3175</v>
      </c>
      <c r="M817" t="s">
        <v>282</v>
      </c>
      <c r="N817" t="s">
        <v>99</v>
      </c>
      <c r="O817" s="27">
        <v>788000</v>
      </c>
      <c r="P817">
        <v>3</v>
      </c>
      <c r="Q817" t="s">
        <v>164</v>
      </c>
      <c r="R817">
        <v>47</v>
      </c>
      <c r="S817" t="s">
        <v>319</v>
      </c>
      <c r="T817" t="str">
        <f>IF(COUNTIF($A$2:A817,A817)&gt;1,"Duplicate","Unique")</f>
        <v>Unique</v>
      </c>
    </row>
    <row r="818" spans="1:20" x14ac:dyDescent="0.45">
      <c r="A818" t="s">
        <v>279</v>
      </c>
      <c r="B818" t="s">
        <v>232</v>
      </c>
      <c r="C818" t="s">
        <v>53</v>
      </c>
      <c r="D818" t="s">
        <v>52</v>
      </c>
      <c r="E818" t="s">
        <v>280</v>
      </c>
      <c r="F818" t="s">
        <v>85</v>
      </c>
      <c r="G818" t="s">
        <v>281</v>
      </c>
      <c r="H818" t="s">
        <v>106</v>
      </c>
      <c r="I818" t="s">
        <v>107</v>
      </c>
      <c r="J818" t="s">
        <v>3360</v>
      </c>
      <c r="K818" t="s">
        <v>187</v>
      </c>
      <c r="L818" t="s">
        <v>3361</v>
      </c>
      <c r="M818" t="s">
        <v>282</v>
      </c>
      <c r="N818" t="s">
        <v>97</v>
      </c>
      <c r="O818" s="27">
        <v>4412000</v>
      </c>
      <c r="P818">
        <v>3</v>
      </c>
      <c r="Q818" t="s">
        <v>172</v>
      </c>
      <c r="R818">
        <v>72</v>
      </c>
      <c r="S818" t="s">
        <v>189</v>
      </c>
      <c r="T818" t="str">
        <f>IF(COUNTIF($A$2:A818,A818)&gt;1,"Duplicate","Unique")</f>
        <v>Unique</v>
      </c>
    </row>
    <row r="819" spans="1:20" x14ac:dyDescent="0.45">
      <c r="A819" t="s">
        <v>840</v>
      </c>
      <c r="B819" t="s">
        <v>597</v>
      </c>
      <c r="C819" t="s">
        <v>51</v>
      </c>
      <c r="D819" t="s">
        <v>50</v>
      </c>
      <c r="E819" t="s">
        <v>181</v>
      </c>
      <c r="F819" t="s">
        <v>81</v>
      </c>
      <c r="G819" t="s">
        <v>182</v>
      </c>
      <c r="H819" t="s">
        <v>106</v>
      </c>
      <c r="I819" t="s">
        <v>107</v>
      </c>
      <c r="J819" t="s">
        <v>3362</v>
      </c>
      <c r="K819" t="s">
        <v>170</v>
      </c>
      <c r="L819" t="s">
        <v>3363</v>
      </c>
      <c r="M819" t="s">
        <v>171</v>
      </c>
      <c r="N819" t="s">
        <v>95</v>
      </c>
      <c r="O819" s="27">
        <v>586000</v>
      </c>
      <c r="P819">
        <v>2</v>
      </c>
      <c r="Q819" t="s">
        <v>164</v>
      </c>
      <c r="R819">
        <v>38</v>
      </c>
      <c r="S819" t="s">
        <v>244</v>
      </c>
      <c r="T819" t="str">
        <f>IF(COUNTIF($A$2:A819,A819)&gt;1,"Duplicate","Unique")</f>
        <v>Unique</v>
      </c>
    </row>
    <row r="820" spans="1:20" x14ac:dyDescent="0.45">
      <c r="A820" t="s">
        <v>422</v>
      </c>
      <c r="B820" t="s">
        <v>423</v>
      </c>
      <c r="C820" t="s">
        <v>51</v>
      </c>
      <c r="D820" t="s">
        <v>50</v>
      </c>
      <c r="E820" t="s">
        <v>217</v>
      </c>
      <c r="F820" t="s">
        <v>83</v>
      </c>
      <c r="G820" t="s">
        <v>218</v>
      </c>
      <c r="H820" t="s">
        <v>109</v>
      </c>
      <c r="I820" t="s">
        <v>110</v>
      </c>
      <c r="J820" t="s">
        <v>3364</v>
      </c>
      <c r="K820" t="s">
        <v>162</v>
      </c>
      <c r="M820" t="s">
        <v>163</v>
      </c>
      <c r="N820" t="s">
        <v>99</v>
      </c>
      <c r="O820" s="27">
        <v>1731000</v>
      </c>
      <c r="P820">
        <v>2</v>
      </c>
      <c r="Q820" t="s">
        <v>164</v>
      </c>
      <c r="R820">
        <v>33</v>
      </c>
      <c r="S820" t="s">
        <v>219</v>
      </c>
      <c r="T820" t="str">
        <f>IF(COUNTIF($A$2:A820,A820)&gt;1,"Duplicate","Unique")</f>
        <v>Unique</v>
      </c>
    </row>
    <row r="821" spans="1:20" x14ac:dyDescent="0.45">
      <c r="A821" t="s">
        <v>878</v>
      </c>
      <c r="B821" t="s">
        <v>689</v>
      </c>
      <c r="C821" t="s">
        <v>59</v>
      </c>
      <c r="D821" t="s">
        <v>58</v>
      </c>
      <c r="E821" t="s">
        <v>579</v>
      </c>
      <c r="F821" t="s">
        <v>84</v>
      </c>
      <c r="G821" t="s">
        <v>580</v>
      </c>
      <c r="H821" t="s">
        <v>109</v>
      </c>
      <c r="I821" t="s">
        <v>110</v>
      </c>
      <c r="J821" t="s">
        <v>3365</v>
      </c>
      <c r="K821" t="s">
        <v>162</v>
      </c>
      <c r="M821" t="s">
        <v>163</v>
      </c>
      <c r="N821" t="s">
        <v>97</v>
      </c>
      <c r="O821" s="27">
        <v>2835000</v>
      </c>
      <c r="P821">
        <v>4</v>
      </c>
      <c r="Q821" t="s">
        <v>172</v>
      </c>
      <c r="R821">
        <v>52</v>
      </c>
      <c r="S821" t="s">
        <v>214</v>
      </c>
      <c r="T821" t="str">
        <f>IF(COUNTIF($A$2:A821,A821)&gt;1,"Duplicate","Unique")</f>
        <v>Unique</v>
      </c>
    </row>
    <row r="822" spans="1:20" x14ac:dyDescent="0.45">
      <c r="A822" t="s">
        <v>2352</v>
      </c>
      <c r="B822" t="s">
        <v>2353</v>
      </c>
      <c r="C822" t="s">
        <v>51</v>
      </c>
      <c r="D822" t="s">
        <v>50</v>
      </c>
      <c r="E822" t="s">
        <v>181</v>
      </c>
      <c r="F822" t="s">
        <v>81</v>
      </c>
      <c r="G822" t="s">
        <v>182</v>
      </c>
      <c r="H822" t="s">
        <v>109</v>
      </c>
      <c r="I822" t="s">
        <v>110</v>
      </c>
      <c r="J822" t="s">
        <v>3127</v>
      </c>
      <c r="K822" t="s">
        <v>162</v>
      </c>
      <c r="M822" t="s">
        <v>163</v>
      </c>
      <c r="N822" t="s">
        <v>99</v>
      </c>
      <c r="O822" s="27">
        <v>715000</v>
      </c>
      <c r="P822">
        <v>3</v>
      </c>
      <c r="Q822" t="s">
        <v>172</v>
      </c>
      <c r="R822">
        <v>26</v>
      </c>
      <c r="S822" t="s">
        <v>178</v>
      </c>
      <c r="T822" t="str">
        <f>IF(COUNTIF($A$2:A822,A822)&gt;1,"Duplicate","Unique")</f>
        <v>Unique</v>
      </c>
    </row>
    <row r="823" spans="1:20" x14ac:dyDescent="0.45">
      <c r="A823" t="s">
        <v>1238</v>
      </c>
      <c r="B823" t="s">
        <v>466</v>
      </c>
      <c r="C823" t="s">
        <v>53</v>
      </c>
      <c r="D823" t="s">
        <v>52</v>
      </c>
      <c r="E823" t="s">
        <v>322</v>
      </c>
      <c r="F823" t="s">
        <v>81</v>
      </c>
      <c r="G823" t="s">
        <v>323</v>
      </c>
      <c r="H823" t="s">
        <v>108</v>
      </c>
      <c r="I823" t="s">
        <v>107</v>
      </c>
      <c r="J823" t="s">
        <v>3366</v>
      </c>
      <c r="K823" t="s">
        <v>162</v>
      </c>
      <c r="M823" t="s">
        <v>163</v>
      </c>
      <c r="N823" t="s">
        <v>97</v>
      </c>
      <c r="O823" s="27">
        <v>567000</v>
      </c>
      <c r="P823">
        <v>3</v>
      </c>
      <c r="Q823" t="s">
        <v>172</v>
      </c>
      <c r="R823">
        <v>21</v>
      </c>
      <c r="S823" t="s">
        <v>194</v>
      </c>
      <c r="T823" t="str">
        <f>IF(COUNTIF($A$2:A823,A823)&gt;1,"Duplicate","Unique")</f>
        <v>Unique</v>
      </c>
    </row>
    <row r="824" spans="1:20" x14ac:dyDescent="0.45">
      <c r="A824" t="s">
        <v>1108</v>
      </c>
      <c r="B824" t="s">
        <v>1109</v>
      </c>
      <c r="C824" t="s">
        <v>59</v>
      </c>
      <c r="D824" t="s">
        <v>58</v>
      </c>
      <c r="E824" t="s">
        <v>287</v>
      </c>
      <c r="F824" t="s">
        <v>83</v>
      </c>
      <c r="G824" t="s">
        <v>288</v>
      </c>
      <c r="H824" t="s">
        <v>106</v>
      </c>
      <c r="I824" t="s">
        <v>107</v>
      </c>
      <c r="J824" t="s">
        <v>2821</v>
      </c>
      <c r="K824" t="s">
        <v>170</v>
      </c>
      <c r="L824" t="s">
        <v>2792</v>
      </c>
      <c r="M824" t="s">
        <v>171</v>
      </c>
      <c r="N824" t="s">
        <v>99</v>
      </c>
      <c r="O824" s="27">
        <v>1754000</v>
      </c>
      <c r="P824">
        <v>2</v>
      </c>
      <c r="Q824" t="s">
        <v>172</v>
      </c>
      <c r="R824">
        <v>29</v>
      </c>
      <c r="S824" t="s">
        <v>208</v>
      </c>
      <c r="T824" t="str">
        <f>IF(COUNTIF($A$2:A824,A824)&gt;1,"Duplicate","Unique")</f>
        <v>Unique</v>
      </c>
    </row>
    <row r="825" spans="1:20" x14ac:dyDescent="0.45">
      <c r="A825" t="s">
        <v>2249</v>
      </c>
      <c r="B825" t="s">
        <v>621</v>
      </c>
      <c r="C825" t="s">
        <v>53</v>
      </c>
      <c r="D825" t="s">
        <v>52</v>
      </c>
      <c r="E825" t="s">
        <v>322</v>
      </c>
      <c r="F825" t="s">
        <v>81</v>
      </c>
      <c r="G825" t="s">
        <v>323</v>
      </c>
      <c r="H825" t="s">
        <v>108</v>
      </c>
      <c r="I825" t="s">
        <v>107</v>
      </c>
      <c r="J825" t="s">
        <v>2547</v>
      </c>
      <c r="K825" t="s">
        <v>187</v>
      </c>
      <c r="L825" t="s">
        <v>3367</v>
      </c>
      <c r="M825" t="s">
        <v>282</v>
      </c>
      <c r="N825" t="s">
        <v>97</v>
      </c>
      <c r="O825" s="27">
        <v>703000</v>
      </c>
      <c r="P825">
        <v>4</v>
      </c>
      <c r="Q825" t="s">
        <v>164</v>
      </c>
      <c r="R825">
        <v>47</v>
      </c>
      <c r="S825" t="s">
        <v>194</v>
      </c>
      <c r="T825" t="str">
        <f>IF(COUNTIF($A$2:A825,A825)&gt;1,"Duplicate","Unique")</f>
        <v>Unique</v>
      </c>
    </row>
    <row r="826" spans="1:20" x14ac:dyDescent="0.45">
      <c r="A826" t="s">
        <v>1197</v>
      </c>
      <c r="B826" t="s">
        <v>1198</v>
      </c>
      <c r="C826" t="s">
        <v>55</v>
      </c>
      <c r="D826" t="s">
        <v>54</v>
      </c>
      <c r="E826" t="s">
        <v>168</v>
      </c>
      <c r="F826" t="s">
        <v>84</v>
      </c>
      <c r="G826" t="s">
        <v>169</v>
      </c>
      <c r="H826" t="s">
        <v>108</v>
      </c>
      <c r="I826" t="s">
        <v>107</v>
      </c>
      <c r="J826" t="s">
        <v>3368</v>
      </c>
      <c r="K826" t="s">
        <v>187</v>
      </c>
      <c r="L826" t="s">
        <v>3369</v>
      </c>
      <c r="M826" t="s">
        <v>308</v>
      </c>
      <c r="N826" t="s">
        <v>97</v>
      </c>
      <c r="O826" s="27">
        <v>2548000</v>
      </c>
      <c r="P826">
        <v>4</v>
      </c>
      <c r="Q826" t="s">
        <v>172</v>
      </c>
      <c r="R826">
        <v>52</v>
      </c>
      <c r="S826" t="s">
        <v>173</v>
      </c>
      <c r="T826" t="str">
        <f>IF(COUNTIF($A$2:A826,A826)&gt;1,"Duplicate","Unique")</f>
        <v>Unique</v>
      </c>
    </row>
    <row r="827" spans="1:20" x14ac:dyDescent="0.45">
      <c r="A827" t="s">
        <v>2081</v>
      </c>
      <c r="B827" t="s">
        <v>303</v>
      </c>
      <c r="C827" t="s">
        <v>57</v>
      </c>
      <c r="D827" t="s">
        <v>56</v>
      </c>
      <c r="E827" t="s">
        <v>455</v>
      </c>
      <c r="F827" t="s">
        <v>84</v>
      </c>
      <c r="G827" t="s">
        <v>456</v>
      </c>
      <c r="H827" t="s">
        <v>106</v>
      </c>
      <c r="I827" t="s">
        <v>107</v>
      </c>
      <c r="J827" t="s">
        <v>3370</v>
      </c>
      <c r="K827" t="s">
        <v>162</v>
      </c>
      <c r="M827" t="s">
        <v>163</v>
      </c>
      <c r="N827" t="s">
        <v>95</v>
      </c>
      <c r="O827" s="27">
        <v>2475000</v>
      </c>
      <c r="P827">
        <v>4</v>
      </c>
      <c r="Q827" t="s">
        <v>164</v>
      </c>
      <c r="R827">
        <v>51</v>
      </c>
      <c r="S827" t="s">
        <v>165</v>
      </c>
      <c r="T827" t="str">
        <f>IF(COUNTIF($A$2:A827,A827)&gt;1,"Duplicate","Unique")</f>
        <v>Unique</v>
      </c>
    </row>
    <row r="828" spans="1:20" x14ac:dyDescent="0.45">
      <c r="A828" t="s">
        <v>559</v>
      </c>
      <c r="B828" t="s">
        <v>349</v>
      </c>
      <c r="C828" t="s">
        <v>55</v>
      </c>
      <c r="D828" t="s">
        <v>2602</v>
      </c>
      <c r="E828" t="s">
        <v>277</v>
      </c>
      <c r="F828" t="s">
        <v>81</v>
      </c>
      <c r="G828" t="s">
        <v>278</v>
      </c>
      <c r="H828" t="s">
        <v>109</v>
      </c>
      <c r="I828" t="s">
        <v>110</v>
      </c>
      <c r="J828" t="s">
        <v>2817</v>
      </c>
      <c r="K828" t="s">
        <v>170</v>
      </c>
      <c r="L828" t="s">
        <v>3093</v>
      </c>
      <c r="M828" t="s">
        <v>171</v>
      </c>
      <c r="N828" t="s">
        <v>98</v>
      </c>
      <c r="O828" s="27">
        <v>612000</v>
      </c>
      <c r="P828">
        <v>3</v>
      </c>
      <c r="Q828" t="s">
        <v>172</v>
      </c>
      <c r="R828">
        <v>29</v>
      </c>
      <c r="S828" t="s">
        <v>262</v>
      </c>
      <c r="T828" t="str">
        <f>IF(COUNTIF($A$2:A828,A828)&gt;1,"Duplicate","Unique")</f>
        <v>Unique</v>
      </c>
    </row>
    <row r="829" spans="1:20" x14ac:dyDescent="0.45">
      <c r="A829" t="s">
        <v>1796</v>
      </c>
      <c r="B829" t="s">
        <v>359</v>
      </c>
      <c r="C829" t="s">
        <v>53</v>
      </c>
      <c r="D829" t="s">
        <v>52</v>
      </c>
      <c r="E829" t="s">
        <v>185</v>
      </c>
      <c r="F829" t="s">
        <v>82</v>
      </c>
      <c r="G829" t="s">
        <v>186</v>
      </c>
      <c r="H829" t="s">
        <v>108</v>
      </c>
      <c r="I829" t="s">
        <v>107</v>
      </c>
      <c r="J829" t="s">
        <v>2976</v>
      </c>
      <c r="K829" t="s">
        <v>162</v>
      </c>
      <c r="M829" t="s">
        <v>163</v>
      </c>
      <c r="N829" t="s">
        <v>95</v>
      </c>
      <c r="O829" s="27">
        <v>1307000</v>
      </c>
      <c r="P829">
        <v>3</v>
      </c>
      <c r="Q829" t="s">
        <v>172</v>
      </c>
      <c r="R829">
        <v>23</v>
      </c>
      <c r="S829" t="s">
        <v>189</v>
      </c>
      <c r="T829" t="str">
        <f>IF(COUNTIF($A$2:A829,A829)&gt;1,"Duplicate","Unique")</f>
        <v>Unique</v>
      </c>
    </row>
    <row r="830" spans="1:20" x14ac:dyDescent="0.45">
      <c r="A830" t="s">
        <v>1860</v>
      </c>
      <c r="B830" t="s">
        <v>327</v>
      </c>
      <c r="C830" t="s">
        <v>51</v>
      </c>
      <c r="D830" t="s">
        <v>2643</v>
      </c>
      <c r="E830" t="s">
        <v>217</v>
      </c>
      <c r="F830" t="s">
        <v>83</v>
      </c>
      <c r="G830" t="s">
        <v>218</v>
      </c>
      <c r="H830" t="s">
        <v>106</v>
      </c>
      <c r="I830" t="s">
        <v>107</v>
      </c>
      <c r="J830" t="s">
        <v>2475</v>
      </c>
      <c r="K830" t="s">
        <v>162</v>
      </c>
      <c r="M830" t="s">
        <v>163</v>
      </c>
      <c r="N830" t="s">
        <v>96</v>
      </c>
      <c r="O830" s="27">
        <v>1567000</v>
      </c>
      <c r="P830">
        <v>3</v>
      </c>
      <c r="Q830" t="s">
        <v>164</v>
      </c>
      <c r="R830">
        <v>47</v>
      </c>
      <c r="S830" t="s">
        <v>219</v>
      </c>
      <c r="T830" t="str">
        <f>IF(COUNTIF($A$2:A830,A830)&gt;1,"Duplicate","Unique")</f>
        <v>Unique</v>
      </c>
    </row>
    <row r="831" spans="1:20" x14ac:dyDescent="0.45">
      <c r="A831" t="s">
        <v>1648</v>
      </c>
      <c r="B831" t="s">
        <v>528</v>
      </c>
      <c r="C831" t="s">
        <v>53</v>
      </c>
      <c r="D831" t="s">
        <v>52</v>
      </c>
      <c r="E831" t="s">
        <v>200</v>
      </c>
      <c r="F831" t="s">
        <v>84</v>
      </c>
      <c r="G831" t="s">
        <v>201</v>
      </c>
      <c r="H831" t="s">
        <v>106</v>
      </c>
      <c r="I831" t="s">
        <v>107</v>
      </c>
      <c r="J831" t="s">
        <v>2882</v>
      </c>
      <c r="K831" t="s">
        <v>162</v>
      </c>
      <c r="M831" t="s">
        <v>163</v>
      </c>
      <c r="N831" t="s">
        <v>95</v>
      </c>
      <c r="O831" s="27">
        <v>2392000</v>
      </c>
      <c r="P831">
        <v>3</v>
      </c>
      <c r="Q831" t="s">
        <v>164</v>
      </c>
      <c r="R831">
        <v>19</v>
      </c>
      <c r="S831" t="s">
        <v>189</v>
      </c>
      <c r="T831" t="str">
        <f>IF(COUNTIF($A$2:A831,A831)&gt;1,"Duplicate","Unique")</f>
        <v>Unique</v>
      </c>
    </row>
    <row r="832" spans="1:20" x14ac:dyDescent="0.45">
      <c r="A832" t="s">
        <v>2068</v>
      </c>
      <c r="B832" t="s">
        <v>745</v>
      </c>
      <c r="C832" t="s">
        <v>51</v>
      </c>
      <c r="D832" t="s">
        <v>50</v>
      </c>
      <c r="E832" t="s">
        <v>181</v>
      </c>
      <c r="F832" t="s">
        <v>81</v>
      </c>
      <c r="G832" t="s">
        <v>182</v>
      </c>
      <c r="H832" t="s">
        <v>109</v>
      </c>
      <c r="I832" t="s">
        <v>110</v>
      </c>
      <c r="J832" t="s">
        <v>2978</v>
      </c>
      <c r="K832" t="s">
        <v>162</v>
      </c>
      <c r="M832" t="s">
        <v>163</v>
      </c>
      <c r="N832" t="s">
        <v>97</v>
      </c>
      <c r="O832" s="27">
        <v>587000</v>
      </c>
      <c r="P832">
        <v>3</v>
      </c>
      <c r="Q832" t="s">
        <v>164</v>
      </c>
      <c r="R832">
        <v>45</v>
      </c>
      <c r="S832" t="s">
        <v>197</v>
      </c>
      <c r="T832" t="str">
        <f>IF(COUNTIF($A$2:A832,A832)&gt;1,"Duplicate","Unique")</f>
        <v>Unique</v>
      </c>
    </row>
    <row r="833" spans="1:20" x14ac:dyDescent="0.45">
      <c r="A833" t="s">
        <v>2260</v>
      </c>
      <c r="B833" t="s">
        <v>940</v>
      </c>
      <c r="C833" t="s">
        <v>51</v>
      </c>
      <c r="D833" t="s">
        <v>50</v>
      </c>
      <c r="E833" t="s">
        <v>176</v>
      </c>
      <c r="F833" t="s">
        <v>82</v>
      </c>
      <c r="G833" t="s">
        <v>177</v>
      </c>
      <c r="H833" t="s">
        <v>111</v>
      </c>
      <c r="I833" t="s">
        <v>110</v>
      </c>
      <c r="J833" t="s">
        <v>2726</v>
      </c>
      <c r="K833" t="s">
        <v>162</v>
      </c>
      <c r="M833" t="s">
        <v>163</v>
      </c>
      <c r="N833" t="s">
        <v>99</v>
      </c>
      <c r="O833" s="27">
        <v>864000</v>
      </c>
      <c r="P833">
        <v>3</v>
      </c>
      <c r="Q833" t="s">
        <v>164</v>
      </c>
      <c r="R833">
        <v>47</v>
      </c>
      <c r="S833" t="s">
        <v>219</v>
      </c>
      <c r="T833" t="str">
        <f>IF(COUNTIF($A$2:A833,A833)&gt;1,"Duplicate","Unique")</f>
        <v>Unique</v>
      </c>
    </row>
    <row r="834" spans="1:20" x14ac:dyDescent="0.45">
      <c r="A834" t="s">
        <v>2287</v>
      </c>
      <c r="B834" t="s">
        <v>2288</v>
      </c>
      <c r="C834" t="s">
        <v>51</v>
      </c>
      <c r="D834" t="s">
        <v>50</v>
      </c>
      <c r="E834" t="s">
        <v>181</v>
      </c>
      <c r="F834" t="s">
        <v>81</v>
      </c>
      <c r="G834" t="s">
        <v>182</v>
      </c>
      <c r="H834" t="s">
        <v>112</v>
      </c>
      <c r="I834" t="s">
        <v>113</v>
      </c>
      <c r="J834" t="s">
        <v>3257</v>
      </c>
      <c r="K834" t="s">
        <v>162</v>
      </c>
      <c r="M834" t="s">
        <v>163</v>
      </c>
      <c r="N834" t="s">
        <v>99</v>
      </c>
      <c r="O834" s="27">
        <v>811000</v>
      </c>
      <c r="P834">
        <v>4</v>
      </c>
      <c r="Q834" t="s">
        <v>164</v>
      </c>
      <c r="R834">
        <v>28</v>
      </c>
      <c r="S834" t="s">
        <v>197</v>
      </c>
      <c r="T834" t="str">
        <f>IF(COUNTIF($A$2:A834,A834)&gt;1,"Duplicate","Unique")</f>
        <v>Unique</v>
      </c>
    </row>
    <row r="835" spans="1:20" x14ac:dyDescent="0.45">
      <c r="A835" t="s">
        <v>1290</v>
      </c>
      <c r="B835" t="s">
        <v>205</v>
      </c>
      <c r="C835" t="s">
        <v>59</v>
      </c>
      <c r="D835" t="s">
        <v>58</v>
      </c>
      <c r="E835" t="s">
        <v>206</v>
      </c>
      <c r="F835" t="s">
        <v>81</v>
      </c>
      <c r="G835" t="s">
        <v>207</v>
      </c>
      <c r="H835" t="s">
        <v>109</v>
      </c>
      <c r="I835" t="s">
        <v>110</v>
      </c>
      <c r="J835" t="s">
        <v>3371</v>
      </c>
      <c r="K835" t="s">
        <v>187</v>
      </c>
      <c r="L835" t="s">
        <v>3372</v>
      </c>
      <c r="M835" t="s">
        <v>282</v>
      </c>
      <c r="N835" t="s">
        <v>99</v>
      </c>
      <c r="O835" s="27">
        <v>804000</v>
      </c>
      <c r="P835">
        <v>4</v>
      </c>
      <c r="Q835" t="s">
        <v>164</v>
      </c>
      <c r="R835">
        <v>33</v>
      </c>
      <c r="S835" t="s">
        <v>214</v>
      </c>
      <c r="T835" t="str">
        <f>IF(COUNTIF($A$2:A835,A835)&gt;1,"Duplicate","Unique")</f>
        <v>Unique</v>
      </c>
    </row>
    <row r="836" spans="1:20" x14ac:dyDescent="0.45">
      <c r="A836" t="s">
        <v>1818</v>
      </c>
      <c r="B836" t="s">
        <v>499</v>
      </c>
      <c r="C836" t="s">
        <v>53</v>
      </c>
      <c r="D836" t="s">
        <v>2617</v>
      </c>
      <c r="E836" t="s">
        <v>322</v>
      </c>
      <c r="F836" t="s">
        <v>81</v>
      </c>
      <c r="G836" t="s">
        <v>323</v>
      </c>
      <c r="H836" t="s">
        <v>106</v>
      </c>
      <c r="I836" t="s">
        <v>107</v>
      </c>
      <c r="J836" t="s">
        <v>3373</v>
      </c>
      <c r="K836" t="s">
        <v>162</v>
      </c>
      <c r="M836" t="s">
        <v>163</v>
      </c>
      <c r="N836" t="s">
        <v>95</v>
      </c>
      <c r="O836" s="27">
        <v>676000</v>
      </c>
      <c r="P836">
        <v>3</v>
      </c>
      <c r="Q836" t="s">
        <v>172</v>
      </c>
      <c r="R836">
        <v>60</v>
      </c>
      <c r="S836" t="s">
        <v>189</v>
      </c>
      <c r="T836" t="str">
        <f>IF(COUNTIF($A$2:A836,A836)&gt;1,"Duplicate","Unique")</f>
        <v>Unique</v>
      </c>
    </row>
    <row r="837" spans="1:20" x14ac:dyDescent="0.45">
      <c r="A837" t="s">
        <v>1541</v>
      </c>
      <c r="B837" t="s">
        <v>1542</v>
      </c>
      <c r="C837" t="s">
        <v>51</v>
      </c>
      <c r="D837" t="s">
        <v>50</v>
      </c>
      <c r="E837" t="s">
        <v>181</v>
      </c>
      <c r="F837" t="s">
        <v>81</v>
      </c>
      <c r="G837" t="s">
        <v>182</v>
      </c>
      <c r="H837" t="s">
        <v>3374</v>
      </c>
      <c r="I837" t="s">
        <v>110</v>
      </c>
      <c r="J837" t="s">
        <v>3375</v>
      </c>
      <c r="K837" t="s">
        <v>187</v>
      </c>
      <c r="L837" t="s">
        <v>3376</v>
      </c>
      <c r="M837" t="s">
        <v>213</v>
      </c>
      <c r="N837" t="s">
        <v>98</v>
      </c>
      <c r="O837" s="27">
        <v>573000</v>
      </c>
      <c r="P837">
        <v>3</v>
      </c>
      <c r="Q837" t="s">
        <v>164</v>
      </c>
      <c r="R837">
        <v>39</v>
      </c>
      <c r="S837" t="s">
        <v>197</v>
      </c>
      <c r="T837" t="str">
        <f>IF(COUNTIF($A$2:A837,A837)&gt;1,"Duplicate","Unique")</f>
        <v>Unique</v>
      </c>
    </row>
    <row r="838" spans="1:20" x14ac:dyDescent="0.45">
      <c r="A838" t="s">
        <v>542</v>
      </c>
      <c r="B838" t="s">
        <v>481</v>
      </c>
      <c r="C838" t="s">
        <v>55</v>
      </c>
      <c r="D838" t="s">
        <v>54</v>
      </c>
      <c r="E838" t="s">
        <v>229</v>
      </c>
      <c r="F838" t="s">
        <v>82</v>
      </c>
      <c r="G838" t="s">
        <v>230</v>
      </c>
      <c r="H838" t="s">
        <v>108</v>
      </c>
      <c r="I838" t="s">
        <v>107</v>
      </c>
      <c r="J838" t="s">
        <v>3377</v>
      </c>
      <c r="K838" t="s">
        <v>162</v>
      </c>
      <c r="M838" t="s">
        <v>163</v>
      </c>
      <c r="N838" t="s">
        <v>99</v>
      </c>
      <c r="O838" s="27">
        <v>1263000</v>
      </c>
      <c r="P838">
        <v>3</v>
      </c>
      <c r="Q838" t="s">
        <v>164</v>
      </c>
      <c r="R838">
        <v>34</v>
      </c>
      <c r="S838" t="s">
        <v>262</v>
      </c>
      <c r="T838" t="str">
        <f>IF(COUNTIF($A$2:A838,A838)&gt;1,"Duplicate","Unique")</f>
        <v>Unique</v>
      </c>
    </row>
    <row r="839" spans="1:20" x14ac:dyDescent="0.45">
      <c r="A839" t="s">
        <v>1753</v>
      </c>
      <c r="B839" t="s">
        <v>1754</v>
      </c>
      <c r="C839" t="s">
        <v>53</v>
      </c>
      <c r="D839" t="s">
        <v>52</v>
      </c>
      <c r="E839" t="s">
        <v>322</v>
      </c>
      <c r="F839" t="s">
        <v>81</v>
      </c>
      <c r="G839" t="s">
        <v>323</v>
      </c>
      <c r="H839" t="s">
        <v>106</v>
      </c>
      <c r="I839" t="s">
        <v>107</v>
      </c>
      <c r="J839" t="s">
        <v>2904</v>
      </c>
      <c r="K839" t="s">
        <v>187</v>
      </c>
      <c r="L839" t="s">
        <v>2475</v>
      </c>
      <c r="M839" t="s">
        <v>213</v>
      </c>
      <c r="N839" t="s">
        <v>98</v>
      </c>
      <c r="O839" s="27">
        <v>710000</v>
      </c>
      <c r="P839">
        <v>3</v>
      </c>
      <c r="Q839" t="s">
        <v>172</v>
      </c>
      <c r="R839">
        <v>42</v>
      </c>
      <c r="S839" t="s">
        <v>237</v>
      </c>
      <c r="T839" t="str">
        <f>IF(COUNTIF($A$2:A839,A839)&gt;1,"Duplicate","Unique")</f>
        <v>Unique</v>
      </c>
    </row>
    <row r="840" spans="1:20" x14ac:dyDescent="0.45">
      <c r="A840" t="s">
        <v>813</v>
      </c>
      <c r="B840" t="s">
        <v>814</v>
      </c>
      <c r="C840" t="s">
        <v>59</v>
      </c>
      <c r="D840" t="s">
        <v>58</v>
      </c>
      <c r="E840" t="s">
        <v>206</v>
      </c>
      <c r="F840" t="s">
        <v>81</v>
      </c>
      <c r="G840" t="s">
        <v>207</v>
      </c>
      <c r="H840" t="s">
        <v>106</v>
      </c>
      <c r="I840" t="s">
        <v>107</v>
      </c>
      <c r="J840" t="s">
        <v>3378</v>
      </c>
      <c r="K840" t="s">
        <v>187</v>
      </c>
      <c r="L840" t="s">
        <v>3379</v>
      </c>
      <c r="M840" t="s">
        <v>308</v>
      </c>
      <c r="N840" t="s">
        <v>99</v>
      </c>
      <c r="O840" s="27">
        <v>823000</v>
      </c>
      <c r="P840">
        <v>3</v>
      </c>
      <c r="Q840" t="s">
        <v>172</v>
      </c>
      <c r="S840" t="s">
        <v>214</v>
      </c>
      <c r="T840" t="str">
        <f>IF(COUNTIF($A$2:A840,A840)&gt;1,"Duplicate","Unique")</f>
        <v>Unique</v>
      </c>
    </row>
    <row r="841" spans="1:20" x14ac:dyDescent="0.45">
      <c r="A841" t="s">
        <v>1761</v>
      </c>
      <c r="B841" t="s">
        <v>1609</v>
      </c>
      <c r="C841" t="s">
        <v>53</v>
      </c>
      <c r="D841" t="s">
        <v>52</v>
      </c>
      <c r="E841" t="s">
        <v>322</v>
      </c>
      <c r="F841" t="s">
        <v>81</v>
      </c>
      <c r="G841" t="s">
        <v>323</v>
      </c>
      <c r="H841" t="s">
        <v>106</v>
      </c>
      <c r="I841" t="s">
        <v>107</v>
      </c>
      <c r="J841" t="s">
        <v>3380</v>
      </c>
      <c r="K841" t="s">
        <v>162</v>
      </c>
      <c r="M841" t="s">
        <v>163</v>
      </c>
      <c r="N841" t="s">
        <v>96</v>
      </c>
      <c r="O841" s="27">
        <v>804000</v>
      </c>
      <c r="P841">
        <v>4</v>
      </c>
      <c r="Q841" t="s">
        <v>164</v>
      </c>
      <c r="R841">
        <v>51</v>
      </c>
      <c r="S841" t="s">
        <v>237</v>
      </c>
      <c r="T841" t="str">
        <f>IF(COUNTIF($A$2:A841,A841)&gt;1,"Duplicate","Unique")</f>
        <v>Unique</v>
      </c>
    </row>
    <row r="842" spans="1:20" x14ac:dyDescent="0.45">
      <c r="A842" t="s">
        <v>2121</v>
      </c>
      <c r="B842" t="s">
        <v>1567</v>
      </c>
      <c r="C842" t="s">
        <v>51</v>
      </c>
      <c r="D842" t="s">
        <v>50</v>
      </c>
      <c r="E842" t="s">
        <v>176</v>
      </c>
      <c r="F842" t="s">
        <v>82</v>
      </c>
      <c r="G842" t="s">
        <v>177</v>
      </c>
      <c r="H842" t="s">
        <v>106</v>
      </c>
      <c r="I842" t="s">
        <v>107</v>
      </c>
      <c r="J842" t="s">
        <v>3381</v>
      </c>
      <c r="K842" t="s">
        <v>162</v>
      </c>
      <c r="M842" t="s">
        <v>163</v>
      </c>
      <c r="N842" t="s">
        <v>95</v>
      </c>
      <c r="O842" s="27">
        <v>1312000</v>
      </c>
      <c r="P842">
        <v>5</v>
      </c>
      <c r="Q842" t="s">
        <v>164</v>
      </c>
      <c r="R842">
        <v>10</v>
      </c>
      <c r="S842" t="s">
        <v>244</v>
      </c>
      <c r="T842" t="str">
        <f>IF(COUNTIF($A$2:A842,A842)&gt;1,"Duplicate","Unique")</f>
        <v>Unique</v>
      </c>
    </row>
    <row r="843" spans="1:20" x14ac:dyDescent="0.45">
      <c r="A843" t="s">
        <v>825</v>
      </c>
      <c r="B843" t="s">
        <v>826</v>
      </c>
      <c r="C843" t="s">
        <v>57</v>
      </c>
      <c r="D843" t="s">
        <v>56</v>
      </c>
      <c r="E843" t="s">
        <v>222</v>
      </c>
      <c r="F843" t="s">
        <v>82</v>
      </c>
      <c r="G843" t="s">
        <v>223</v>
      </c>
      <c r="H843" t="s">
        <v>106</v>
      </c>
      <c r="I843" t="s">
        <v>107</v>
      </c>
      <c r="J843" t="s">
        <v>3001</v>
      </c>
      <c r="K843" t="s">
        <v>187</v>
      </c>
      <c r="L843" t="s">
        <v>3303</v>
      </c>
      <c r="M843" t="s">
        <v>282</v>
      </c>
      <c r="N843" t="s">
        <v>99</v>
      </c>
      <c r="O843" s="27">
        <v>1335000</v>
      </c>
      <c r="P843">
        <v>3</v>
      </c>
      <c r="Q843" t="s">
        <v>164</v>
      </c>
      <c r="R843">
        <v>60</v>
      </c>
      <c r="S843" t="s">
        <v>224</v>
      </c>
      <c r="T843" t="str">
        <f>IF(COUNTIF($A$2:A843,A843)&gt;1,"Duplicate","Unique")</f>
        <v>Unique</v>
      </c>
    </row>
    <row r="844" spans="1:20" x14ac:dyDescent="0.45">
      <c r="A844" t="s">
        <v>1845</v>
      </c>
      <c r="B844" t="s">
        <v>1284</v>
      </c>
      <c r="C844" t="s">
        <v>55</v>
      </c>
      <c r="D844" t="s">
        <v>54</v>
      </c>
      <c r="E844" t="s">
        <v>277</v>
      </c>
      <c r="F844" t="s">
        <v>81</v>
      </c>
      <c r="G844" t="s">
        <v>278</v>
      </c>
      <c r="H844" t="s">
        <v>106</v>
      </c>
      <c r="I844" t="s">
        <v>107</v>
      </c>
      <c r="J844" t="s">
        <v>3277</v>
      </c>
      <c r="K844" t="s">
        <v>187</v>
      </c>
      <c r="L844" t="s">
        <v>3031</v>
      </c>
      <c r="M844" t="s">
        <v>308</v>
      </c>
      <c r="N844" t="s">
        <v>99</v>
      </c>
      <c r="O844" s="27">
        <v>588000</v>
      </c>
      <c r="P844">
        <v>4</v>
      </c>
      <c r="Q844" t="s">
        <v>172</v>
      </c>
      <c r="R844">
        <v>42</v>
      </c>
      <c r="S844" t="s">
        <v>274</v>
      </c>
      <c r="T844" t="str">
        <f>IF(COUNTIF($A$2:A844,A844)&gt;1,"Duplicate","Unique")</f>
        <v>Unique</v>
      </c>
    </row>
    <row r="845" spans="1:20" x14ac:dyDescent="0.45">
      <c r="A845" t="s">
        <v>2219</v>
      </c>
      <c r="B845" t="s">
        <v>2220</v>
      </c>
      <c r="C845" t="s">
        <v>51</v>
      </c>
      <c r="D845" t="s">
        <v>50</v>
      </c>
      <c r="E845" t="s">
        <v>181</v>
      </c>
      <c r="F845" t="s">
        <v>81</v>
      </c>
      <c r="G845" t="s">
        <v>182</v>
      </c>
      <c r="H845" t="s">
        <v>109</v>
      </c>
      <c r="I845" t="s">
        <v>110</v>
      </c>
      <c r="J845" t="s">
        <v>3382</v>
      </c>
      <c r="K845" t="s">
        <v>162</v>
      </c>
      <c r="M845" t="s">
        <v>163</v>
      </c>
      <c r="N845" t="s">
        <v>96</v>
      </c>
      <c r="O845" s="27">
        <v>560000</v>
      </c>
      <c r="Q845" t="s">
        <v>172</v>
      </c>
      <c r="R845">
        <v>33</v>
      </c>
      <c r="S845" t="s">
        <v>244</v>
      </c>
      <c r="T845" t="str">
        <f>IF(COUNTIF($A$2:A845,A845)&gt;1,"Duplicate","Unique")</f>
        <v>Unique</v>
      </c>
    </row>
    <row r="846" spans="1:20" x14ac:dyDescent="0.45">
      <c r="A846" t="s">
        <v>998</v>
      </c>
      <c r="B846" t="s">
        <v>999</v>
      </c>
      <c r="C846" t="s">
        <v>55</v>
      </c>
      <c r="D846" t="s">
        <v>54</v>
      </c>
      <c r="E846" t="s">
        <v>229</v>
      </c>
      <c r="F846" t="s">
        <v>82</v>
      </c>
      <c r="G846" t="s">
        <v>230</v>
      </c>
      <c r="H846" t="s">
        <v>106</v>
      </c>
      <c r="I846" t="s">
        <v>107</v>
      </c>
      <c r="J846" t="s">
        <v>3383</v>
      </c>
      <c r="K846" t="s">
        <v>170</v>
      </c>
      <c r="L846" t="s">
        <v>2693</v>
      </c>
      <c r="M846" t="s">
        <v>171</v>
      </c>
      <c r="N846" t="s">
        <v>99</v>
      </c>
      <c r="O846" s="27">
        <v>1001000</v>
      </c>
      <c r="P846">
        <v>3</v>
      </c>
      <c r="Q846" t="s">
        <v>172</v>
      </c>
      <c r="R846">
        <v>55</v>
      </c>
      <c r="S846" t="s">
        <v>173</v>
      </c>
      <c r="T846" t="str">
        <f>IF(COUNTIF($A$2:A846,A846)&gt;1,"Duplicate","Unique")</f>
        <v>Unique</v>
      </c>
    </row>
    <row r="847" spans="1:20" x14ac:dyDescent="0.45">
      <c r="A847" t="s">
        <v>1859</v>
      </c>
      <c r="B847" t="s">
        <v>765</v>
      </c>
      <c r="C847" t="s">
        <v>55</v>
      </c>
      <c r="D847" t="s">
        <v>54</v>
      </c>
      <c r="E847" t="s">
        <v>277</v>
      </c>
      <c r="F847" t="s">
        <v>81</v>
      </c>
      <c r="G847" t="s">
        <v>278</v>
      </c>
      <c r="H847" t="s">
        <v>108</v>
      </c>
      <c r="I847" t="s">
        <v>107</v>
      </c>
      <c r="J847" t="s">
        <v>2475</v>
      </c>
      <c r="K847" t="s">
        <v>187</v>
      </c>
      <c r="L847" t="s">
        <v>3384</v>
      </c>
      <c r="M847" t="s">
        <v>213</v>
      </c>
      <c r="N847" t="s">
        <v>98</v>
      </c>
      <c r="O847" s="27">
        <v>559000</v>
      </c>
      <c r="P847">
        <v>5</v>
      </c>
      <c r="Q847" t="s">
        <v>2624</v>
      </c>
      <c r="R847">
        <v>40</v>
      </c>
      <c r="S847" t="s">
        <v>274</v>
      </c>
      <c r="T847" t="str">
        <f>IF(COUNTIF($A$2:A847,A847)&gt;1,"Duplicate","Unique")</f>
        <v>Unique</v>
      </c>
    </row>
    <row r="848" spans="1:20" x14ac:dyDescent="0.45">
      <c r="A848" t="s">
        <v>1853</v>
      </c>
      <c r="B848" t="s">
        <v>962</v>
      </c>
      <c r="C848" t="s">
        <v>53</v>
      </c>
      <c r="D848" t="s">
        <v>52</v>
      </c>
      <c r="E848" t="s">
        <v>322</v>
      </c>
      <c r="F848" t="s">
        <v>81</v>
      </c>
      <c r="G848" t="s">
        <v>323</v>
      </c>
      <c r="H848" t="s">
        <v>108</v>
      </c>
      <c r="I848" t="s">
        <v>107</v>
      </c>
      <c r="J848" t="s">
        <v>2660</v>
      </c>
      <c r="K848" t="s">
        <v>187</v>
      </c>
      <c r="L848" t="s">
        <v>3385</v>
      </c>
      <c r="M848" t="s">
        <v>213</v>
      </c>
      <c r="N848" t="s">
        <v>96</v>
      </c>
      <c r="O848" s="27">
        <v>769000</v>
      </c>
      <c r="P848">
        <v>4</v>
      </c>
      <c r="Q848" t="s">
        <v>172</v>
      </c>
      <c r="R848">
        <v>40</v>
      </c>
      <c r="S848" t="s">
        <v>189</v>
      </c>
      <c r="T848" t="str">
        <f>IF(COUNTIF($A$2:A848,A848)&gt;1,"Duplicate","Unique")</f>
        <v>Unique</v>
      </c>
    </row>
    <row r="849" spans="1:20" x14ac:dyDescent="0.45">
      <c r="A849" t="s">
        <v>2351</v>
      </c>
      <c r="B849" t="s">
        <v>1699</v>
      </c>
      <c r="C849" t="s">
        <v>57</v>
      </c>
      <c r="D849" t="s">
        <v>56</v>
      </c>
      <c r="E849" t="s">
        <v>160</v>
      </c>
      <c r="F849" t="s">
        <v>81</v>
      </c>
      <c r="G849" t="s">
        <v>161</v>
      </c>
      <c r="H849" t="s">
        <v>106</v>
      </c>
      <c r="I849" t="s">
        <v>107</v>
      </c>
      <c r="J849" t="s">
        <v>2774</v>
      </c>
      <c r="K849" t="s">
        <v>162</v>
      </c>
      <c r="M849" t="s">
        <v>163</v>
      </c>
      <c r="N849" t="s">
        <v>99</v>
      </c>
      <c r="O849" s="27">
        <v>602000</v>
      </c>
      <c r="P849">
        <v>2</v>
      </c>
      <c r="Q849" t="s">
        <v>164</v>
      </c>
      <c r="R849">
        <v>18</v>
      </c>
      <c r="S849" t="s">
        <v>224</v>
      </c>
      <c r="T849" t="str">
        <f>IF(COUNTIF($A$2:A849,A849)&gt;1,"Duplicate","Unique")</f>
        <v>Unique</v>
      </c>
    </row>
    <row r="850" spans="1:20" x14ac:dyDescent="0.45">
      <c r="A850" t="s">
        <v>1292</v>
      </c>
      <c r="B850" t="s">
        <v>1060</v>
      </c>
      <c r="C850" t="s">
        <v>53</v>
      </c>
      <c r="D850" t="s">
        <v>52</v>
      </c>
      <c r="E850" t="s">
        <v>192</v>
      </c>
      <c r="F850" t="s">
        <v>83</v>
      </c>
      <c r="G850" t="s">
        <v>193</v>
      </c>
      <c r="H850" t="s">
        <v>106</v>
      </c>
      <c r="I850" t="s">
        <v>107</v>
      </c>
      <c r="J850" t="s">
        <v>3386</v>
      </c>
      <c r="K850" t="s">
        <v>162</v>
      </c>
      <c r="M850" t="s">
        <v>163</v>
      </c>
      <c r="N850" t="s">
        <v>97</v>
      </c>
      <c r="O850" s="27">
        <v>1625000</v>
      </c>
      <c r="P850">
        <v>3</v>
      </c>
      <c r="Q850" t="s">
        <v>164</v>
      </c>
      <c r="R850">
        <v>37</v>
      </c>
      <c r="S850" t="s">
        <v>194</v>
      </c>
      <c r="T850" t="str">
        <f>IF(COUNTIF($A$2:A850,A850)&gt;1,"Duplicate","Unique")</f>
        <v>Unique</v>
      </c>
    </row>
    <row r="851" spans="1:20" x14ac:dyDescent="0.45">
      <c r="A851" t="s">
        <v>746</v>
      </c>
      <c r="B851" t="s">
        <v>747</v>
      </c>
      <c r="C851" t="s">
        <v>53</v>
      </c>
      <c r="D851" t="s">
        <v>52</v>
      </c>
      <c r="E851" t="s">
        <v>280</v>
      </c>
      <c r="F851" t="s">
        <v>85</v>
      </c>
      <c r="G851" t="s">
        <v>281</v>
      </c>
      <c r="H851" t="s">
        <v>108</v>
      </c>
      <c r="I851" t="s">
        <v>107</v>
      </c>
      <c r="J851" t="s">
        <v>3265</v>
      </c>
      <c r="K851" t="s">
        <v>162</v>
      </c>
      <c r="M851" t="s">
        <v>163</v>
      </c>
      <c r="N851" t="s">
        <v>97</v>
      </c>
      <c r="O851" s="27">
        <v>4326000</v>
      </c>
      <c r="P851">
        <v>3</v>
      </c>
      <c r="Q851" t="s">
        <v>172</v>
      </c>
      <c r="R851">
        <v>38</v>
      </c>
      <c r="S851" t="s">
        <v>194</v>
      </c>
      <c r="T851" t="str">
        <f>IF(COUNTIF($A$2:A851,A851)&gt;1,"Duplicate","Unique")</f>
        <v>Unique</v>
      </c>
    </row>
    <row r="852" spans="1:20" x14ac:dyDescent="0.45">
      <c r="A852" t="s">
        <v>1453</v>
      </c>
      <c r="B852" t="s">
        <v>1454</v>
      </c>
      <c r="C852" t="s">
        <v>51</v>
      </c>
      <c r="D852" t="s">
        <v>50</v>
      </c>
      <c r="E852" t="s">
        <v>397</v>
      </c>
      <c r="F852" t="s">
        <v>84</v>
      </c>
      <c r="G852" t="s">
        <v>398</v>
      </c>
      <c r="H852" t="s">
        <v>109</v>
      </c>
      <c r="I852" t="s">
        <v>110</v>
      </c>
      <c r="J852" t="s">
        <v>3387</v>
      </c>
      <c r="K852" t="s">
        <v>162</v>
      </c>
      <c r="M852" t="s">
        <v>163</v>
      </c>
      <c r="N852" t="s">
        <v>99</v>
      </c>
      <c r="O852" s="27">
        <v>3091000</v>
      </c>
      <c r="P852">
        <v>4</v>
      </c>
      <c r="Q852" t="s">
        <v>172</v>
      </c>
      <c r="R852">
        <v>54</v>
      </c>
      <c r="S852" t="s">
        <v>244</v>
      </c>
      <c r="T852" t="str">
        <f>IF(COUNTIF($A$2:A852,A852)&gt;1,"Duplicate","Unique")</f>
        <v>Unique</v>
      </c>
    </row>
    <row r="853" spans="1:20" x14ac:dyDescent="0.45">
      <c r="A853" t="s">
        <v>1568</v>
      </c>
      <c r="B853" t="s">
        <v>312</v>
      </c>
      <c r="C853" t="s">
        <v>55</v>
      </c>
      <c r="D853" t="s">
        <v>54</v>
      </c>
      <c r="E853" t="s">
        <v>229</v>
      </c>
      <c r="F853" t="s">
        <v>82</v>
      </c>
      <c r="G853" t="s">
        <v>230</v>
      </c>
      <c r="H853" t="s">
        <v>106</v>
      </c>
      <c r="I853" t="s">
        <v>107</v>
      </c>
      <c r="J853" t="s">
        <v>3388</v>
      </c>
      <c r="K853" t="s">
        <v>162</v>
      </c>
      <c r="M853" t="s">
        <v>163</v>
      </c>
      <c r="N853" t="s">
        <v>97</v>
      </c>
      <c r="O853" s="27">
        <v>992000</v>
      </c>
      <c r="P853">
        <v>3</v>
      </c>
      <c r="Q853" t="s">
        <v>172</v>
      </c>
      <c r="R853">
        <v>37</v>
      </c>
      <c r="S853" t="s">
        <v>262</v>
      </c>
      <c r="T853" t="str">
        <f>IF(COUNTIF($A$2:A853,A853)&gt;1,"Duplicate","Unique")</f>
        <v>Unique</v>
      </c>
    </row>
    <row r="854" spans="1:20" x14ac:dyDescent="0.45">
      <c r="A854" t="s">
        <v>1676</v>
      </c>
      <c r="B854" t="s">
        <v>1677</v>
      </c>
      <c r="C854" t="s">
        <v>51</v>
      </c>
      <c r="D854" t="s">
        <v>50</v>
      </c>
      <c r="E854" t="s">
        <v>176</v>
      </c>
      <c r="F854" t="s">
        <v>82</v>
      </c>
      <c r="G854" t="s">
        <v>177</v>
      </c>
      <c r="H854" t="s">
        <v>106</v>
      </c>
      <c r="I854" t="s">
        <v>107</v>
      </c>
      <c r="J854" t="s">
        <v>2528</v>
      </c>
      <c r="K854" t="s">
        <v>187</v>
      </c>
      <c r="L854" t="s">
        <v>3389</v>
      </c>
      <c r="M854" t="s">
        <v>282</v>
      </c>
      <c r="N854" t="s">
        <v>95</v>
      </c>
      <c r="O854" s="27">
        <v>1278000</v>
      </c>
      <c r="P854">
        <v>5</v>
      </c>
      <c r="Q854" t="s">
        <v>172</v>
      </c>
      <c r="R854">
        <v>27</v>
      </c>
      <c r="S854" t="s">
        <v>219</v>
      </c>
      <c r="T854" t="str">
        <f>IF(COUNTIF($A$2:A854,A854)&gt;1,"Duplicate","Unique")</f>
        <v>Unique</v>
      </c>
    </row>
    <row r="855" spans="1:20" x14ac:dyDescent="0.45">
      <c r="A855" t="s">
        <v>2319</v>
      </c>
      <c r="B855" t="s">
        <v>2119</v>
      </c>
      <c r="C855" t="s">
        <v>61</v>
      </c>
      <c r="D855" t="s">
        <v>60</v>
      </c>
      <c r="E855" t="s">
        <v>923</v>
      </c>
      <c r="F855" t="s">
        <v>85</v>
      </c>
      <c r="G855" t="s">
        <v>924</v>
      </c>
      <c r="H855" t="s">
        <v>108</v>
      </c>
      <c r="I855" t="s">
        <v>107</v>
      </c>
      <c r="J855" t="s">
        <v>2835</v>
      </c>
      <c r="K855" t="s">
        <v>162</v>
      </c>
      <c r="M855" t="s">
        <v>163</v>
      </c>
      <c r="N855" t="s">
        <v>99</v>
      </c>
      <c r="O855" s="27">
        <v>4113000</v>
      </c>
      <c r="P855">
        <v>3</v>
      </c>
      <c r="Q855" t="s">
        <v>164</v>
      </c>
      <c r="R855">
        <v>35</v>
      </c>
      <c r="S855" t="s">
        <v>319</v>
      </c>
      <c r="T855" t="str">
        <f>IF(COUNTIF($A$2:A855,A855)&gt;1,"Duplicate","Unique")</f>
        <v>Unique</v>
      </c>
    </row>
    <row r="856" spans="1:20" x14ac:dyDescent="0.45">
      <c r="A856" t="s">
        <v>779</v>
      </c>
      <c r="B856" t="s">
        <v>780</v>
      </c>
      <c r="C856" t="s">
        <v>55</v>
      </c>
      <c r="D856" t="s">
        <v>54</v>
      </c>
      <c r="E856" t="s">
        <v>229</v>
      </c>
      <c r="F856" t="s">
        <v>82</v>
      </c>
      <c r="G856" t="s">
        <v>230</v>
      </c>
      <c r="H856" t="s">
        <v>106</v>
      </c>
      <c r="I856" t="s">
        <v>107</v>
      </c>
      <c r="J856" t="s">
        <v>2449</v>
      </c>
      <c r="K856" t="s">
        <v>162</v>
      </c>
      <c r="M856" t="s">
        <v>163</v>
      </c>
      <c r="N856" t="s">
        <v>99</v>
      </c>
      <c r="O856" s="27">
        <v>1339000</v>
      </c>
      <c r="P856">
        <v>4</v>
      </c>
      <c r="Q856" t="s">
        <v>164</v>
      </c>
      <c r="R856">
        <v>26</v>
      </c>
      <c r="S856" t="s">
        <v>262</v>
      </c>
      <c r="T856" t="str">
        <f>IF(COUNTIF($A$2:A856,A856)&gt;1,"Duplicate","Unique")</f>
        <v>Unique</v>
      </c>
    </row>
    <row r="857" spans="1:20" x14ac:dyDescent="0.45">
      <c r="A857" t="s">
        <v>1504</v>
      </c>
      <c r="B857" t="s">
        <v>1222</v>
      </c>
      <c r="C857" t="s">
        <v>57</v>
      </c>
      <c r="D857" t="s">
        <v>56</v>
      </c>
      <c r="E857" t="s">
        <v>391</v>
      </c>
      <c r="F857" t="s">
        <v>83</v>
      </c>
      <c r="G857" t="s">
        <v>392</v>
      </c>
      <c r="H857" t="s">
        <v>109</v>
      </c>
      <c r="I857" t="s">
        <v>110</v>
      </c>
      <c r="J857" t="s">
        <v>3390</v>
      </c>
      <c r="K857" t="s">
        <v>162</v>
      </c>
      <c r="M857" t="s">
        <v>163</v>
      </c>
      <c r="N857" t="s">
        <v>96</v>
      </c>
      <c r="O857" s="27">
        <v>1983000</v>
      </c>
      <c r="P857">
        <v>5</v>
      </c>
      <c r="Q857" t="s">
        <v>172</v>
      </c>
      <c r="R857">
        <v>36</v>
      </c>
      <c r="S857" t="s">
        <v>165</v>
      </c>
      <c r="T857" t="str">
        <f>IF(COUNTIF($A$2:A857,A857)&gt;1,"Duplicate","Unique")</f>
        <v>Unique</v>
      </c>
    </row>
    <row r="858" spans="1:20" x14ac:dyDescent="0.45">
      <c r="A858" t="s">
        <v>1548</v>
      </c>
      <c r="B858" t="s">
        <v>300</v>
      </c>
      <c r="C858" t="s">
        <v>59</v>
      </c>
      <c r="D858" t="s">
        <v>58</v>
      </c>
      <c r="E858" t="s">
        <v>579</v>
      </c>
      <c r="F858" t="s">
        <v>84</v>
      </c>
      <c r="G858" t="s">
        <v>580</v>
      </c>
      <c r="H858" t="s">
        <v>108</v>
      </c>
      <c r="I858" t="s">
        <v>107</v>
      </c>
      <c r="J858" t="s">
        <v>3391</v>
      </c>
      <c r="K858" t="s">
        <v>162</v>
      </c>
      <c r="M858" t="s">
        <v>163</v>
      </c>
      <c r="N858" t="s">
        <v>97</v>
      </c>
      <c r="O858" s="27">
        <v>2856000</v>
      </c>
      <c r="P858">
        <v>2</v>
      </c>
      <c r="Q858" t="s">
        <v>164</v>
      </c>
      <c r="R858">
        <v>16</v>
      </c>
      <c r="S858" t="s">
        <v>214</v>
      </c>
      <c r="T858" t="str">
        <f>IF(COUNTIF($A$2:A858,A858)&gt;1,"Duplicate","Unique")</f>
        <v>Unique</v>
      </c>
    </row>
    <row r="859" spans="1:20" x14ac:dyDescent="0.45">
      <c r="A859" t="s">
        <v>2326</v>
      </c>
      <c r="B859" t="s">
        <v>1235</v>
      </c>
      <c r="C859" t="s">
        <v>55</v>
      </c>
      <c r="D859" t="s">
        <v>54</v>
      </c>
      <c r="E859" t="s">
        <v>277</v>
      </c>
      <c r="F859" t="s">
        <v>81</v>
      </c>
      <c r="G859" t="s">
        <v>278</v>
      </c>
      <c r="H859" t="s">
        <v>106</v>
      </c>
      <c r="I859" t="s">
        <v>107</v>
      </c>
      <c r="J859" t="s">
        <v>3079</v>
      </c>
      <c r="K859" t="s">
        <v>162</v>
      </c>
      <c r="M859" t="s">
        <v>163</v>
      </c>
      <c r="N859" t="s">
        <v>99</v>
      </c>
      <c r="O859" s="27">
        <v>846000</v>
      </c>
      <c r="P859">
        <v>3</v>
      </c>
      <c r="Q859" t="s">
        <v>164</v>
      </c>
      <c r="R859">
        <v>66</v>
      </c>
      <c r="S859" t="s">
        <v>173</v>
      </c>
      <c r="T859" t="str">
        <f>IF(COUNTIF($A$2:A859,A859)&gt;1,"Duplicate","Unique")</f>
        <v>Unique</v>
      </c>
    </row>
    <row r="860" spans="1:20" x14ac:dyDescent="0.45">
      <c r="A860" t="s">
        <v>1000</v>
      </c>
      <c r="B860" t="s">
        <v>1001</v>
      </c>
      <c r="C860" t="s">
        <v>53</v>
      </c>
      <c r="D860" t="s">
        <v>52</v>
      </c>
      <c r="E860" t="s">
        <v>185</v>
      </c>
      <c r="F860" t="s">
        <v>82</v>
      </c>
      <c r="G860" t="s">
        <v>186</v>
      </c>
      <c r="H860" t="s">
        <v>108</v>
      </c>
      <c r="I860" t="s">
        <v>107</v>
      </c>
      <c r="J860" t="s">
        <v>3383</v>
      </c>
      <c r="K860" t="s">
        <v>162</v>
      </c>
      <c r="M860" t="s">
        <v>163</v>
      </c>
      <c r="N860" t="s">
        <v>99</v>
      </c>
      <c r="O860" s="27">
        <v>965000</v>
      </c>
      <c r="P860">
        <v>3</v>
      </c>
      <c r="Q860" t="s">
        <v>172</v>
      </c>
      <c r="R860">
        <v>32</v>
      </c>
      <c r="S860" t="s">
        <v>194</v>
      </c>
      <c r="T860" t="str">
        <f>IF(COUNTIF($A$2:A860,A860)&gt;1,"Duplicate","Unique")</f>
        <v>Unique</v>
      </c>
    </row>
    <row r="861" spans="1:20" x14ac:dyDescent="0.45">
      <c r="A861" t="s">
        <v>1013</v>
      </c>
      <c r="B861" t="s">
        <v>1014</v>
      </c>
      <c r="C861" t="s">
        <v>51</v>
      </c>
      <c r="D861" t="s">
        <v>2464</v>
      </c>
      <c r="E861" t="s">
        <v>217</v>
      </c>
      <c r="F861" t="s">
        <v>83</v>
      </c>
      <c r="G861" t="s">
        <v>218</v>
      </c>
      <c r="H861" t="s">
        <v>106</v>
      </c>
      <c r="I861" t="s">
        <v>107</v>
      </c>
      <c r="J861" t="s">
        <v>3118</v>
      </c>
      <c r="K861" t="s">
        <v>162</v>
      </c>
      <c r="M861" t="s">
        <v>163</v>
      </c>
      <c r="N861" t="s">
        <v>97</v>
      </c>
      <c r="O861" s="27">
        <v>2079000</v>
      </c>
      <c r="P861">
        <v>1</v>
      </c>
      <c r="Q861" t="s">
        <v>164</v>
      </c>
      <c r="R861">
        <v>21</v>
      </c>
      <c r="S861" t="s">
        <v>178</v>
      </c>
      <c r="T861" t="str">
        <f>IF(COUNTIF($A$2:A861,A861)&gt;1,"Duplicate","Unique")</f>
        <v>Unique</v>
      </c>
    </row>
    <row r="862" spans="1:20" x14ac:dyDescent="0.45">
      <c r="A862" t="s">
        <v>2292</v>
      </c>
      <c r="B862" t="s">
        <v>1901</v>
      </c>
      <c r="C862" t="s">
        <v>51</v>
      </c>
      <c r="D862" t="s">
        <v>50</v>
      </c>
      <c r="E862" t="s">
        <v>217</v>
      </c>
      <c r="F862" t="s">
        <v>83</v>
      </c>
      <c r="G862" t="s">
        <v>218</v>
      </c>
      <c r="H862" t="s">
        <v>109</v>
      </c>
      <c r="I862" t="s">
        <v>110</v>
      </c>
      <c r="J862" t="s">
        <v>3392</v>
      </c>
      <c r="K862" t="s">
        <v>162</v>
      </c>
      <c r="M862" t="s">
        <v>163</v>
      </c>
      <c r="N862" t="s">
        <v>96</v>
      </c>
      <c r="O862" s="27">
        <v>1407000</v>
      </c>
      <c r="Q862" t="s">
        <v>2467</v>
      </c>
      <c r="R862">
        <v>40</v>
      </c>
      <c r="S862" t="s">
        <v>197</v>
      </c>
      <c r="T862" t="str">
        <f>IF(COUNTIF($A$2:A862,A862)&gt;1,"Duplicate","Unique")</f>
        <v>Unique</v>
      </c>
    </row>
    <row r="863" spans="1:20" x14ac:dyDescent="0.45">
      <c r="A863" t="s">
        <v>2197</v>
      </c>
      <c r="B863" t="s">
        <v>396</v>
      </c>
      <c r="C863" t="s">
        <v>53</v>
      </c>
      <c r="D863" t="s">
        <v>52</v>
      </c>
      <c r="E863" t="s">
        <v>322</v>
      </c>
      <c r="F863" t="s">
        <v>81</v>
      </c>
      <c r="G863" t="s">
        <v>323</v>
      </c>
      <c r="H863" t="s">
        <v>109</v>
      </c>
      <c r="I863" t="s">
        <v>110</v>
      </c>
      <c r="J863" t="s">
        <v>2513</v>
      </c>
      <c r="K863" t="s">
        <v>162</v>
      </c>
      <c r="M863" t="s">
        <v>163</v>
      </c>
      <c r="N863" t="s">
        <v>98</v>
      </c>
      <c r="O863" s="27">
        <v>701000</v>
      </c>
      <c r="P863">
        <v>2</v>
      </c>
      <c r="Q863" t="s">
        <v>172</v>
      </c>
      <c r="R863">
        <v>27</v>
      </c>
      <c r="S863" t="s">
        <v>194</v>
      </c>
      <c r="T863" t="str">
        <f>IF(COUNTIF($A$2:A863,A863)&gt;1,"Duplicate","Unique")</f>
        <v>Unique</v>
      </c>
    </row>
    <row r="864" spans="1:20" x14ac:dyDescent="0.45">
      <c r="A864" t="s">
        <v>179</v>
      </c>
      <c r="B864" t="s">
        <v>180</v>
      </c>
      <c r="C864" t="s">
        <v>51</v>
      </c>
      <c r="D864" t="s">
        <v>50</v>
      </c>
      <c r="E864" t="s">
        <v>181</v>
      </c>
      <c r="F864" t="s">
        <v>81</v>
      </c>
      <c r="G864" t="s">
        <v>182</v>
      </c>
      <c r="H864" t="s">
        <v>109</v>
      </c>
      <c r="I864" t="s">
        <v>110</v>
      </c>
      <c r="J864" t="s">
        <v>2901</v>
      </c>
      <c r="K864" t="s">
        <v>162</v>
      </c>
      <c r="M864" t="s">
        <v>163</v>
      </c>
      <c r="N864" t="s">
        <v>97</v>
      </c>
      <c r="O864" s="27">
        <v>586000</v>
      </c>
      <c r="P864">
        <v>5</v>
      </c>
      <c r="Q864" t="s">
        <v>164</v>
      </c>
      <c r="R864">
        <v>48</v>
      </c>
      <c r="S864" t="s">
        <v>178</v>
      </c>
      <c r="T864" t="str">
        <f>IF(COUNTIF($A$2:A864,A864)&gt;1,"Duplicate","Unique")</f>
        <v>Unique</v>
      </c>
    </row>
    <row r="865" spans="1:20" x14ac:dyDescent="0.45">
      <c r="A865" t="s">
        <v>401</v>
      </c>
      <c r="B865" t="s">
        <v>402</v>
      </c>
      <c r="C865" t="s">
        <v>55</v>
      </c>
      <c r="D865" t="s">
        <v>54</v>
      </c>
      <c r="E865" t="s">
        <v>168</v>
      </c>
      <c r="F865" t="s">
        <v>84</v>
      </c>
      <c r="G865" t="s">
        <v>169</v>
      </c>
      <c r="H865" t="s">
        <v>3374</v>
      </c>
      <c r="I865" t="s">
        <v>110</v>
      </c>
      <c r="J865" t="s">
        <v>3393</v>
      </c>
      <c r="K865" t="s">
        <v>162</v>
      </c>
      <c r="M865" t="s">
        <v>163</v>
      </c>
      <c r="N865" t="s">
        <v>97</v>
      </c>
      <c r="O865" s="27">
        <v>2957000</v>
      </c>
      <c r="P865">
        <v>3</v>
      </c>
      <c r="Q865" t="s">
        <v>172</v>
      </c>
      <c r="R865">
        <v>31</v>
      </c>
      <c r="S865" t="s">
        <v>173</v>
      </c>
      <c r="T865" t="str">
        <f>IF(COUNTIF($A$2:A865,A865)&gt;1,"Duplicate","Unique")</f>
        <v>Unique</v>
      </c>
    </row>
    <row r="866" spans="1:20" x14ac:dyDescent="0.45">
      <c r="A866" t="s">
        <v>680</v>
      </c>
      <c r="B866" t="s">
        <v>681</v>
      </c>
      <c r="C866" t="s">
        <v>55</v>
      </c>
      <c r="D866" t="s">
        <v>54</v>
      </c>
      <c r="E866" t="s">
        <v>240</v>
      </c>
      <c r="F866" t="s">
        <v>83</v>
      </c>
      <c r="G866" t="s">
        <v>241</v>
      </c>
      <c r="H866" t="s">
        <v>108</v>
      </c>
      <c r="I866" t="s">
        <v>107</v>
      </c>
      <c r="J866" t="s">
        <v>3394</v>
      </c>
      <c r="K866" t="s">
        <v>187</v>
      </c>
      <c r="L866" t="s">
        <v>3395</v>
      </c>
      <c r="M866" t="s">
        <v>282</v>
      </c>
      <c r="N866" t="s">
        <v>95</v>
      </c>
      <c r="O866" s="27">
        <v>1716000</v>
      </c>
      <c r="P866">
        <v>4</v>
      </c>
      <c r="Q866" t="s">
        <v>164</v>
      </c>
      <c r="R866">
        <v>25</v>
      </c>
      <c r="S866" t="s">
        <v>173</v>
      </c>
      <c r="T866" t="str">
        <f>IF(COUNTIF($A$2:A866,A866)&gt;1,"Duplicate","Unique")</f>
        <v>Unique</v>
      </c>
    </row>
    <row r="867" spans="1:20" x14ac:dyDescent="0.45">
      <c r="A867" t="s">
        <v>1644</v>
      </c>
      <c r="B867" t="s">
        <v>1012</v>
      </c>
      <c r="C867" t="s">
        <v>53</v>
      </c>
      <c r="D867" t="s">
        <v>52</v>
      </c>
      <c r="E867" t="s">
        <v>322</v>
      </c>
      <c r="F867" t="s">
        <v>81</v>
      </c>
      <c r="G867" t="s">
        <v>323</v>
      </c>
      <c r="H867" t="s">
        <v>2995</v>
      </c>
      <c r="I867" t="s">
        <v>107</v>
      </c>
      <c r="J867" t="s">
        <v>2474</v>
      </c>
      <c r="K867" t="s">
        <v>187</v>
      </c>
      <c r="L867" t="s">
        <v>3244</v>
      </c>
      <c r="M867" t="s">
        <v>213</v>
      </c>
      <c r="N867" t="s">
        <v>99</v>
      </c>
      <c r="O867" s="27">
        <v>597000</v>
      </c>
      <c r="P867">
        <v>3</v>
      </c>
      <c r="Q867" t="s">
        <v>164</v>
      </c>
      <c r="R867">
        <v>35</v>
      </c>
      <c r="S867" t="s">
        <v>237</v>
      </c>
      <c r="T867" t="str">
        <f>IF(COUNTIF($A$2:A867,A867)&gt;1,"Duplicate","Unique")</f>
        <v>Unique</v>
      </c>
    </row>
    <row r="868" spans="1:20" x14ac:dyDescent="0.45">
      <c r="A868" t="s">
        <v>1877</v>
      </c>
      <c r="B868" t="s">
        <v>1878</v>
      </c>
      <c r="C868" t="s">
        <v>59</v>
      </c>
      <c r="D868" t="s">
        <v>58</v>
      </c>
      <c r="E868" t="s">
        <v>211</v>
      </c>
      <c r="F868" t="s">
        <v>82</v>
      </c>
      <c r="G868" t="s">
        <v>212</v>
      </c>
      <c r="H868" t="s">
        <v>106</v>
      </c>
      <c r="I868" t="s">
        <v>107</v>
      </c>
      <c r="J868" t="s">
        <v>3396</v>
      </c>
      <c r="K868" t="s">
        <v>162</v>
      </c>
      <c r="M868" t="s">
        <v>163</v>
      </c>
      <c r="N868" t="s">
        <v>97</v>
      </c>
      <c r="O868" s="27">
        <v>1145000</v>
      </c>
      <c r="P868">
        <v>5</v>
      </c>
      <c r="Q868" t="s">
        <v>172</v>
      </c>
      <c r="R868">
        <v>26</v>
      </c>
      <c r="S868" t="s">
        <v>214</v>
      </c>
      <c r="T868" t="str">
        <f>IF(COUNTIF($A$2:A868,A868)&gt;1,"Duplicate","Unique")</f>
        <v>Unique</v>
      </c>
    </row>
    <row r="869" spans="1:20" x14ac:dyDescent="0.45">
      <c r="A869" t="s">
        <v>2055</v>
      </c>
      <c r="B869" t="s">
        <v>1323</v>
      </c>
      <c r="C869" t="s">
        <v>51</v>
      </c>
      <c r="D869" t="s">
        <v>50</v>
      </c>
      <c r="E869" t="s">
        <v>176</v>
      </c>
      <c r="F869" t="s">
        <v>82</v>
      </c>
      <c r="G869" t="s">
        <v>177</v>
      </c>
      <c r="H869" t="s">
        <v>106</v>
      </c>
      <c r="I869" t="s">
        <v>107</v>
      </c>
      <c r="J869" t="s">
        <v>3010</v>
      </c>
      <c r="K869" t="s">
        <v>162</v>
      </c>
      <c r="M869" t="s">
        <v>163</v>
      </c>
      <c r="N869" t="s">
        <v>99</v>
      </c>
      <c r="O869" s="27">
        <v>1064000</v>
      </c>
      <c r="P869">
        <v>3</v>
      </c>
      <c r="Q869" t="s">
        <v>2584</v>
      </c>
      <c r="R869">
        <v>22</v>
      </c>
      <c r="S869" t="s">
        <v>178</v>
      </c>
      <c r="T869" t="str">
        <f>IF(COUNTIF($A$2:A869,A869)&gt;1,"Duplicate","Unique")</f>
        <v>Unique</v>
      </c>
    </row>
    <row r="870" spans="1:20" x14ac:dyDescent="0.45">
      <c r="A870" t="s">
        <v>581</v>
      </c>
      <c r="B870" t="s">
        <v>582</v>
      </c>
      <c r="C870" t="s">
        <v>53</v>
      </c>
      <c r="D870" t="s">
        <v>52</v>
      </c>
      <c r="E870" t="s">
        <v>185</v>
      </c>
      <c r="F870" t="s">
        <v>82</v>
      </c>
      <c r="G870" t="s">
        <v>186</v>
      </c>
      <c r="H870" t="s">
        <v>108</v>
      </c>
      <c r="I870" t="s">
        <v>107</v>
      </c>
      <c r="J870" t="s">
        <v>3397</v>
      </c>
      <c r="K870" t="s">
        <v>162</v>
      </c>
      <c r="M870" t="s">
        <v>163</v>
      </c>
      <c r="N870" t="s">
        <v>97</v>
      </c>
      <c r="O870" s="27">
        <v>1174000</v>
      </c>
      <c r="P870">
        <v>4</v>
      </c>
      <c r="Q870" t="s">
        <v>172</v>
      </c>
      <c r="R870">
        <v>38</v>
      </c>
      <c r="S870" t="s">
        <v>194</v>
      </c>
      <c r="T870" t="str">
        <f>IF(COUNTIF($A$2:A870,A870)&gt;1,"Duplicate","Unique")</f>
        <v>Unique</v>
      </c>
    </row>
    <row r="871" spans="1:20" x14ac:dyDescent="0.45">
      <c r="A871" t="s">
        <v>2206</v>
      </c>
      <c r="B871" t="s">
        <v>1384</v>
      </c>
      <c r="C871" t="s">
        <v>57</v>
      </c>
      <c r="D871" t="s">
        <v>2484</v>
      </c>
      <c r="E871" t="s">
        <v>160</v>
      </c>
      <c r="F871" t="s">
        <v>81</v>
      </c>
      <c r="G871" t="s">
        <v>161</v>
      </c>
      <c r="H871" t="s">
        <v>106</v>
      </c>
      <c r="I871" t="s">
        <v>107</v>
      </c>
      <c r="J871" t="s">
        <v>2732</v>
      </c>
      <c r="K871" t="s">
        <v>162</v>
      </c>
      <c r="M871" t="s">
        <v>163</v>
      </c>
      <c r="N871" t="s">
        <v>95</v>
      </c>
      <c r="O871" s="27">
        <v>648000</v>
      </c>
      <c r="P871">
        <v>5</v>
      </c>
      <c r="Q871" t="s">
        <v>172</v>
      </c>
      <c r="R871">
        <v>30</v>
      </c>
      <c r="S871" t="s">
        <v>224</v>
      </c>
      <c r="T871" t="str">
        <f>IF(COUNTIF($A$2:A871,A871)&gt;1,"Duplicate","Unique")</f>
        <v>Unique</v>
      </c>
    </row>
    <row r="872" spans="1:20" x14ac:dyDescent="0.45">
      <c r="A872" t="s">
        <v>1097</v>
      </c>
      <c r="B872" t="s">
        <v>552</v>
      </c>
      <c r="C872" t="s">
        <v>59</v>
      </c>
      <c r="D872" t="s">
        <v>58</v>
      </c>
      <c r="E872" t="s">
        <v>206</v>
      </c>
      <c r="F872" t="s">
        <v>81</v>
      </c>
      <c r="G872" t="s">
        <v>207</v>
      </c>
      <c r="H872" t="s">
        <v>109</v>
      </c>
      <c r="I872" t="s">
        <v>110</v>
      </c>
      <c r="J872" t="s">
        <v>3173</v>
      </c>
      <c r="K872" t="s">
        <v>162</v>
      </c>
      <c r="M872" t="s">
        <v>163</v>
      </c>
      <c r="N872" t="s">
        <v>99</v>
      </c>
      <c r="O872" s="27">
        <v>726000</v>
      </c>
      <c r="P872">
        <v>2</v>
      </c>
      <c r="Q872" t="s">
        <v>164</v>
      </c>
      <c r="R872">
        <v>28</v>
      </c>
      <c r="S872" t="s">
        <v>214</v>
      </c>
      <c r="T872" t="str">
        <f>IF(COUNTIF($A$2:A872,A872)&gt;1,"Duplicate","Unique")</f>
        <v>Unique</v>
      </c>
    </row>
    <row r="873" spans="1:20" x14ac:dyDescent="0.45">
      <c r="A873" t="s">
        <v>1905</v>
      </c>
      <c r="B873" t="s">
        <v>1906</v>
      </c>
      <c r="C873" t="s">
        <v>53</v>
      </c>
      <c r="D873" t="s">
        <v>52</v>
      </c>
      <c r="E873" t="s">
        <v>322</v>
      </c>
      <c r="F873" t="s">
        <v>81</v>
      </c>
      <c r="G873" t="s">
        <v>323</v>
      </c>
      <c r="H873" t="s">
        <v>106</v>
      </c>
      <c r="I873" t="s">
        <v>107</v>
      </c>
      <c r="J873" t="s">
        <v>2758</v>
      </c>
      <c r="K873" t="s">
        <v>162</v>
      </c>
      <c r="M873" t="s">
        <v>163</v>
      </c>
      <c r="N873" t="s">
        <v>96</v>
      </c>
      <c r="O873" s="27">
        <v>697000</v>
      </c>
      <c r="P873">
        <v>3</v>
      </c>
      <c r="Q873" t="s">
        <v>172</v>
      </c>
      <c r="R873">
        <v>28</v>
      </c>
      <c r="S873" t="s">
        <v>189</v>
      </c>
      <c r="T873" t="str">
        <f>IF(COUNTIF($A$2:A873,A873)&gt;1,"Duplicate","Unique")</f>
        <v>Unique</v>
      </c>
    </row>
    <row r="874" spans="1:20" x14ac:dyDescent="0.45">
      <c r="A874" t="s">
        <v>1686</v>
      </c>
      <c r="B874" t="s">
        <v>568</v>
      </c>
      <c r="C874" t="s">
        <v>51</v>
      </c>
      <c r="D874" t="s">
        <v>50</v>
      </c>
      <c r="E874" t="s">
        <v>181</v>
      </c>
      <c r="F874" t="s">
        <v>81</v>
      </c>
      <c r="G874" t="s">
        <v>182</v>
      </c>
      <c r="H874" t="s">
        <v>111</v>
      </c>
      <c r="I874" t="s">
        <v>110</v>
      </c>
      <c r="J874" t="s">
        <v>2716</v>
      </c>
      <c r="K874" t="s">
        <v>162</v>
      </c>
      <c r="M874" t="s">
        <v>163</v>
      </c>
      <c r="N874" t="s">
        <v>95</v>
      </c>
      <c r="O874" s="27">
        <v>652000</v>
      </c>
      <c r="P874">
        <v>3</v>
      </c>
      <c r="Q874" t="s">
        <v>164</v>
      </c>
      <c r="R874">
        <v>49</v>
      </c>
      <c r="S874" t="s">
        <v>244</v>
      </c>
      <c r="T874" t="str">
        <f>IF(COUNTIF($A$2:A874,A874)&gt;1,"Duplicate","Unique")</f>
        <v>Unique</v>
      </c>
    </row>
    <row r="875" spans="1:20" x14ac:dyDescent="0.45">
      <c r="A875" t="s">
        <v>2256</v>
      </c>
      <c r="B875" t="s">
        <v>2257</v>
      </c>
      <c r="C875" t="s">
        <v>55</v>
      </c>
      <c r="D875" t="s">
        <v>54</v>
      </c>
      <c r="E875" t="s">
        <v>277</v>
      </c>
      <c r="F875" t="s">
        <v>81</v>
      </c>
      <c r="G875" t="s">
        <v>278</v>
      </c>
      <c r="H875" t="s">
        <v>106</v>
      </c>
      <c r="I875" t="s">
        <v>107</v>
      </c>
      <c r="J875" t="s">
        <v>2937</v>
      </c>
      <c r="K875" t="s">
        <v>162</v>
      </c>
      <c r="M875" t="s">
        <v>163</v>
      </c>
      <c r="N875" t="s">
        <v>95</v>
      </c>
      <c r="O875" s="27">
        <v>786000</v>
      </c>
      <c r="P875">
        <v>3</v>
      </c>
      <c r="Q875" t="s">
        <v>164</v>
      </c>
      <c r="R875">
        <v>29</v>
      </c>
      <c r="S875" t="s">
        <v>262</v>
      </c>
      <c r="T875" t="str">
        <f>IF(COUNTIF($A$2:A875,A875)&gt;1,"Duplicate","Unique")</f>
        <v>Unique</v>
      </c>
    </row>
    <row r="876" spans="1:20" x14ac:dyDescent="0.45">
      <c r="A876" t="s">
        <v>482</v>
      </c>
      <c r="B876" t="s">
        <v>483</v>
      </c>
      <c r="C876" t="s">
        <v>61</v>
      </c>
      <c r="D876" t="s">
        <v>60</v>
      </c>
      <c r="E876" t="s">
        <v>484</v>
      </c>
      <c r="F876" t="s">
        <v>83</v>
      </c>
      <c r="G876" t="s">
        <v>485</v>
      </c>
      <c r="H876" t="s">
        <v>106</v>
      </c>
      <c r="I876" t="s">
        <v>107</v>
      </c>
      <c r="J876" t="s">
        <v>3208</v>
      </c>
      <c r="K876" t="s">
        <v>162</v>
      </c>
      <c r="M876" t="s">
        <v>163</v>
      </c>
      <c r="N876" t="s">
        <v>97</v>
      </c>
      <c r="O876" s="27">
        <v>1780000</v>
      </c>
      <c r="P876">
        <v>4</v>
      </c>
      <c r="Q876" t="s">
        <v>164</v>
      </c>
      <c r="S876" t="s">
        <v>253</v>
      </c>
      <c r="T876" t="str">
        <f>IF(COUNTIF($A$2:A876,A876)&gt;1,"Duplicate","Unique")</f>
        <v>Unique</v>
      </c>
    </row>
    <row r="877" spans="1:20" x14ac:dyDescent="0.45">
      <c r="A877" t="s">
        <v>1297</v>
      </c>
      <c r="B877" t="s">
        <v>1298</v>
      </c>
      <c r="C877" t="s">
        <v>53</v>
      </c>
      <c r="D877" t="s">
        <v>52</v>
      </c>
      <c r="E877" t="s">
        <v>185</v>
      </c>
      <c r="F877" t="s">
        <v>82</v>
      </c>
      <c r="G877" t="s">
        <v>186</v>
      </c>
      <c r="H877" t="s">
        <v>106</v>
      </c>
      <c r="I877" t="s">
        <v>107</v>
      </c>
      <c r="J877" t="s">
        <v>3398</v>
      </c>
      <c r="K877" t="s">
        <v>162</v>
      </c>
      <c r="M877" t="s">
        <v>163</v>
      </c>
      <c r="N877" t="s">
        <v>99</v>
      </c>
      <c r="O877" s="27">
        <v>987000</v>
      </c>
      <c r="P877">
        <v>3</v>
      </c>
      <c r="Q877" t="s">
        <v>164</v>
      </c>
      <c r="R877">
        <v>21</v>
      </c>
      <c r="S877" t="s">
        <v>237</v>
      </c>
      <c r="T877" t="str">
        <f>IF(COUNTIF($A$2:A877,A877)&gt;1,"Duplicate","Unique")</f>
        <v>Unique</v>
      </c>
    </row>
    <row r="878" spans="1:20" x14ac:dyDescent="0.45">
      <c r="A878" t="s">
        <v>1505</v>
      </c>
      <c r="B878" t="s">
        <v>816</v>
      </c>
      <c r="C878" t="s">
        <v>61</v>
      </c>
      <c r="D878" t="s">
        <v>2510</v>
      </c>
      <c r="E878" t="s">
        <v>356</v>
      </c>
      <c r="F878" t="s">
        <v>81</v>
      </c>
      <c r="G878" t="s">
        <v>357</v>
      </c>
      <c r="H878" t="s">
        <v>109</v>
      </c>
      <c r="I878" t="s">
        <v>110</v>
      </c>
      <c r="J878" t="s">
        <v>3399</v>
      </c>
      <c r="K878" t="s">
        <v>187</v>
      </c>
      <c r="L878" t="s">
        <v>3400</v>
      </c>
      <c r="M878" t="s">
        <v>269</v>
      </c>
      <c r="N878" t="s">
        <v>98</v>
      </c>
      <c r="O878" s="27">
        <v>745000</v>
      </c>
      <c r="P878">
        <v>4</v>
      </c>
      <c r="Q878" t="s">
        <v>164</v>
      </c>
      <c r="R878">
        <v>23</v>
      </c>
      <c r="S878" t="s">
        <v>253</v>
      </c>
      <c r="T878" t="str">
        <f>IF(COUNTIF($A$2:A878,A878)&gt;1,"Duplicate","Unique")</f>
        <v>Unique</v>
      </c>
    </row>
    <row r="879" spans="1:20" x14ac:dyDescent="0.45">
      <c r="A879" t="s">
        <v>1596</v>
      </c>
      <c r="B879" t="s">
        <v>1597</v>
      </c>
      <c r="C879" t="s">
        <v>55</v>
      </c>
      <c r="D879" t="s">
        <v>54</v>
      </c>
      <c r="E879" t="s">
        <v>229</v>
      </c>
      <c r="F879" t="s">
        <v>82</v>
      </c>
      <c r="G879" t="s">
        <v>230</v>
      </c>
      <c r="H879" t="s">
        <v>106</v>
      </c>
      <c r="I879" t="s">
        <v>107</v>
      </c>
      <c r="J879" t="s">
        <v>3011</v>
      </c>
      <c r="K879" t="s">
        <v>162</v>
      </c>
      <c r="M879" t="s">
        <v>163</v>
      </c>
      <c r="N879" t="s">
        <v>96</v>
      </c>
      <c r="O879" s="27">
        <v>1108000</v>
      </c>
      <c r="P879">
        <v>2</v>
      </c>
      <c r="Q879" t="s">
        <v>172</v>
      </c>
      <c r="R879">
        <v>18</v>
      </c>
      <c r="S879" t="s">
        <v>262</v>
      </c>
      <c r="T879" t="str">
        <f>IF(COUNTIF($A$2:A879,A879)&gt;1,"Duplicate","Unique")</f>
        <v>Unique</v>
      </c>
    </row>
    <row r="880" spans="1:20" x14ac:dyDescent="0.45">
      <c r="A880" t="s">
        <v>2337</v>
      </c>
      <c r="B880" t="s">
        <v>942</v>
      </c>
      <c r="C880" t="s">
        <v>53</v>
      </c>
      <c r="D880" t="s">
        <v>52</v>
      </c>
      <c r="E880" t="s">
        <v>192</v>
      </c>
      <c r="F880" t="s">
        <v>83</v>
      </c>
      <c r="G880" t="s">
        <v>193</v>
      </c>
      <c r="H880" t="s">
        <v>109</v>
      </c>
      <c r="I880" t="s">
        <v>110</v>
      </c>
      <c r="J880" t="s">
        <v>2562</v>
      </c>
      <c r="K880" t="s">
        <v>162</v>
      </c>
      <c r="M880" t="s">
        <v>163</v>
      </c>
      <c r="N880" t="s">
        <v>99</v>
      </c>
      <c r="O880" s="27">
        <v>1490000</v>
      </c>
      <c r="Q880" t="s">
        <v>164</v>
      </c>
      <c r="R880">
        <v>46</v>
      </c>
      <c r="S880" t="s">
        <v>194</v>
      </c>
      <c r="T880" t="str">
        <f>IF(COUNTIF($A$2:A880,A880)&gt;1,"Duplicate","Unique")</f>
        <v>Unique</v>
      </c>
    </row>
    <row r="881" spans="1:20" x14ac:dyDescent="0.45">
      <c r="A881" t="s">
        <v>2295</v>
      </c>
      <c r="B881" t="s">
        <v>2296</v>
      </c>
      <c r="C881" t="s">
        <v>57</v>
      </c>
      <c r="D881" t="s">
        <v>56</v>
      </c>
      <c r="E881" t="s">
        <v>222</v>
      </c>
      <c r="F881" t="s">
        <v>82</v>
      </c>
      <c r="G881" t="s">
        <v>223</v>
      </c>
      <c r="H881" t="s">
        <v>111</v>
      </c>
      <c r="I881" t="s">
        <v>110</v>
      </c>
      <c r="J881" t="s">
        <v>3255</v>
      </c>
      <c r="K881" t="s">
        <v>162</v>
      </c>
      <c r="M881" t="s">
        <v>163</v>
      </c>
      <c r="N881" t="s">
        <v>97</v>
      </c>
      <c r="O881" s="27">
        <v>1111000</v>
      </c>
      <c r="P881">
        <v>3</v>
      </c>
      <c r="Q881" t="s">
        <v>164</v>
      </c>
      <c r="R881">
        <v>33</v>
      </c>
      <c r="S881" t="s">
        <v>165</v>
      </c>
      <c r="T881" t="str">
        <f>IF(COUNTIF($A$2:A881,A881)&gt;1,"Duplicate","Unique")</f>
        <v>Unique</v>
      </c>
    </row>
    <row r="882" spans="1:20" x14ac:dyDescent="0.45">
      <c r="A882" t="s">
        <v>1379</v>
      </c>
      <c r="B882" t="s">
        <v>882</v>
      </c>
      <c r="C882" t="s">
        <v>51</v>
      </c>
      <c r="D882" t="s">
        <v>50</v>
      </c>
      <c r="E882" t="s">
        <v>181</v>
      </c>
      <c r="F882" t="s">
        <v>81</v>
      </c>
      <c r="G882" t="s">
        <v>182</v>
      </c>
      <c r="H882" t="s">
        <v>2963</v>
      </c>
      <c r="I882" t="s">
        <v>107</v>
      </c>
      <c r="J882" t="s">
        <v>3401</v>
      </c>
      <c r="K882" t="s">
        <v>162</v>
      </c>
      <c r="M882" t="s">
        <v>163</v>
      </c>
      <c r="N882" t="s">
        <v>99</v>
      </c>
      <c r="O882" s="27">
        <v>803000</v>
      </c>
      <c r="P882">
        <v>2</v>
      </c>
      <c r="Q882" t="s">
        <v>164</v>
      </c>
      <c r="R882">
        <v>29</v>
      </c>
      <c r="S882" t="s">
        <v>219</v>
      </c>
      <c r="T882" t="str">
        <f>IF(COUNTIF($A$2:A882,A882)&gt;1,"Duplicate","Unique")</f>
        <v>Unique</v>
      </c>
    </row>
    <row r="883" spans="1:20" x14ac:dyDescent="0.45">
      <c r="A883" t="s">
        <v>1890</v>
      </c>
      <c r="B883" t="s">
        <v>1615</v>
      </c>
      <c r="C883" t="s">
        <v>53</v>
      </c>
      <c r="D883" t="s">
        <v>52</v>
      </c>
      <c r="E883" t="s">
        <v>322</v>
      </c>
      <c r="F883" t="s">
        <v>81</v>
      </c>
      <c r="G883" t="s">
        <v>323</v>
      </c>
      <c r="H883" t="s">
        <v>109</v>
      </c>
      <c r="I883" t="s">
        <v>110</v>
      </c>
      <c r="J883" t="s">
        <v>2578</v>
      </c>
      <c r="K883" t="s">
        <v>162</v>
      </c>
      <c r="M883" t="s">
        <v>163</v>
      </c>
      <c r="N883" t="s">
        <v>96</v>
      </c>
      <c r="O883" s="27">
        <v>598000</v>
      </c>
      <c r="P883">
        <v>3</v>
      </c>
      <c r="Q883" t="s">
        <v>172</v>
      </c>
      <c r="R883">
        <v>15</v>
      </c>
      <c r="S883" t="s">
        <v>189</v>
      </c>
      <c r="T883" t="str">
        <f>IF(COUNTIF($A$2:A883,A883)&gt;1,"Duplicate","Unique")</f>
        <v>Unique</v>
      </c>
    </row>
    <row r="884" spans="1:20" x14ac:dyDescent="0.45">
      <c r="A884" t="s">
        <v>1800</v>
      </c>
      <c r="B884" t="s">
        <v>891</v>
      </c>
      <c r="C884" t="s">
        <v>59</v>
      </c>
      <c r="D884" t="s">
        <v>58</v>
      </c>
      <c r="E884" t="s">
        <v>206</v>
      </c>
      <c r="F884" t="s">
        <v>81</v>
      </c>
      <c r="G884" t="s">
        <v>207</v>
      </c>
      <c r="H884" t="s">
        <v>106</v>
      </c>
      <c r="I884" t="s">
        <v>107</v>
      </c>
      <c r="J884" t="s">
        <v>3402</v>
      </c>
      <c r="K884" t="s">
        <v>162</v>
      </c>
      <c r="M884" t="s">
        <v>163</v>
      </c>
      <c r="N884" t="s">
        <v>99</v>
      </c>
      <c r="O884" s="27">
        <v>624000</v>
      </c>
      <c r="P884">
        <v>3</v>
      </c>
      <c r="Q884" t="s">
        <v>172</v>
      </c>
      <c r="R884">
        <v>40</v>
      </c>
      <c r="S884" t="s">
        <v>208</v>
      </c>
      <c r="T884" t="str">
        <f>IF(COUNTIF($A$2:A884,A884)&gt;1,"Duplicate","Unique")</f>
        <v>Unique</v>
      </c>
    </row>
    <row r="885" spans="1:20" x14ac:dyDescent="0.45">
      <c r="A885" t="s">
        <v>791</v>
      </c>
      <c r="B885" t="s">
        <v>718</v>
      </c>
      <c r="C885" t="s">
        <v>51</v>
      </c>
      <c r="D885" t="s">
        <v>50</v>
      </c>
      <c r="E885" t="s">
        <v>176</v>
      </c>
      <c r="F885" t="s">
        <v>82</v>
      </c>
      <c r="G885" t="s">
        <v>177</v>
      </c>
      <c r="H885" t="s">
        <v>108</v>
      </c>
      <c r="I885" t="s">
        <v>107</v>
      </c>
      <c r="J885" t="s">
        <v>3403</v>
      </c>
      <c r="K885" t="s">
        <v>162</v>
      </c>
      <c r="M885" t="s">
        <v>163</v>
      </c>
      <c r="N885" t="s">
        <v>95</v>
      </c>
      <c r="O885" s="27">
        <v>951000</v>
      </c>
      <c r="P885">
        <v>4</v>
      </c>
      <c r="Q885" t="s">
        <v>164</v>
      </c>
      <c r="R885">
        <v>47</v>
      </c>
      <c r="S885" t="s">
        <v>244</v>
      </c>
      <c r="T885" t="str">
        <f>IF(COUNTIF($A$2:A885,A885)&gt;1,"Duplicate","Unique")</f>
        <v>Unique</v>
      </c>
    </row>
    <row r="886" spans="1:20" x14ac:dyDescent="0.45">
      <c r="A886" t="s">
        <v>1336</v>
      </c>
      <c r="B886" t="s">
        <v>1337</v>
      </c>
      <c r="C886" t="s">
        <v>51</v>
      </c>
      <c r="D886" t="s">
        <v>50</v>
      </c>
      <c r="E886" t="s">
        <v>176</v>
      </c>
      <c r="F886" t="s">
        <v>82</v>
      </c>
      <c r="G886" t="s">
        <v>177</v>
      </c>
      <c r="H886" t="s">
        <v>106</v>
      </c>
      <c r="I886" t="s">
        <v>107</v>
      </c>
      <c r="J886" t="s">
        <v>3404</v>
      </c>
      <c r="K886" t="s">
        <v>162</v>
      </c>
      <c r="M886" t="s">
        <v>163</v>
      </c>
      <c r="N886" t="s">
        <v>99</v>
      </c>
      <c r="O886" s="27">
        <v>1276000</v>
      </c>
      <c r="P886">
        <v>3</v>
      </c>
      <c r="Q886" t="s">
        <v>172</v>
      </c>
      <c r="R886">
        <v>44</v>
      </c>
      <c r="S886" t="s">
        <v>197</v>
      </c>
      <c r="T886" t="str">
        <f>IF(COUNTIF($A$2:A886,A886)&gt;1,"Duplicate","Unique")</f>
        <v>Unique</v>
      </c>
    </row>
    <row r="887" spans="1:20" x14ac:dyDescent="0.45">
      <c r="A887" t="s">
        <v>1006</v>
      </c>
      <c r="B887" t="s">
        <v>546</v>
      </c>
      <c r="C887" t="s">
        <v>61</v>
      </c>
      <c r="D887" t="s">
        <v>2682</v>
      </c>
      <c r="E887" t="s">
        <v>251</v>
      </c>
      <c r="F887" t="s">
        <v>82</v>
      </c>
      <c r="G887" t="s">
        <v>252</v>
      </c>
      <c r="H887" t="s">
        <v>109</v>
      </c>
      <c r="I887" t="s">
        <v>110</v>
      </c>
      <c r="J887" t="s">
        <v>3405</v>
      </c>
      <c r="K887" t="s">
        <v>162</v>
      </c>
      <c r="M887" t="s">
        <v>163</v>
      </c>
      <c r="N887" t="s">
        <v>95</v>
      </c>
      <c r="O887" s="27">
        <v>1284000</v>
      </c>
      <c r="P887">
        <v>4</v>
      </c>
      <c r="Q887" t="s">
        <v>164</v>
      </c>
      <c r="R887">
        <v>23</v>
      </c>
      <c r="S887" t="s">
        <v>319</v>
      </c>
      <c r="T887" t="str">
        <f>IF(COUNTIF($A$2:A887,A887)&gt;1,"Duplicate","Unique")</f>
        <v>Unique</v>
      </c>
    </row>
    <row r="888" spans="1:20" x14ac:dyDescent="0.45">
      <c r="A888" t="s">
        <v>1217</v>
      </c>
      <c r="B888" t="s">
        <v>582</v>
      </c>
      <c r="C888" t="s">
        <v>51</v>
      </c>
      <c r="D888" t="s">
        <v>2620</v>
      </c>
      <c r="E888" t="s">
        <v>176</v>
      </c>
      <c r="F888" t="s">
        <v>82</v>
      </c>
      <c r="G888" t="s">
        <v>177</v>
      </c>
      <c r="H888" t="s">
        <v>109</v>
      </c>
      <c r="I888" t="s">
        <v>110</v>
      </c>
      <c r="J888" t="s">
        <v>2794</v>
      </c>
      <c r="K888" t="s">
        <v>187</v>
      </c>
      <c r="L888" t="s">
        <v>2991</v>
      </c>
      <c r="M888" t="s">
        <v>308</v>
      </c>
      <c r="N888" t="s">
        <v>99</v>
      </c>
      <c r="O888" s="27">
        <v>920000</v>
      </c>
      <c r="P888">
        <v>3</v>
      </c>
      <c r="Q888" t="s">
        <v>164</v>
      </c>
      <c r="R888">
        <v>60</v>
      </c>
      <c r="S888" t="s">
        <v>178</v>
      </c>
      <c r="T888" t="str">
        <f>IF(COUNTIF($A$2:A888,A888)&gt;1,"Duplicate","Unique")</f>
        <v>Unique</v>
      </c>
    </row>
    <row r="889" spans="1:20" x14ac:dyDescent="0.45">
      <c r="A889" t="s">
        <v>2244</v>
      </c>
      <c r="B889" t="s">
        <v>677</v>
      </c>
      <c r="C889" t="s">
        <v>51</v>
      </c>
      <c r="D889" t="s">
        <v>50</v>
      </c>
      <c r="E889" t="s">
        <v>181</v>
      </c>
      <c r="F889" t="s">
        <v>81</v>
      </c>
      <c r="G889" t="s">
        <v>182</v>
      </c>
      <c r="H889" t="s">
        <v>109</v>
      </c>
      <c r="I889" t="s">
        <v>110</v>
      </c>
      <c r="J889" t="s">
        <v>3406</v>
      </c>
      <c r="K889" t="s">
        <v>162</v>
      </c>
      <c r="M889" t="s">
        <v>163</v>
      </c>
      <c r="N889" t="s">
        <v>96</v>
      </c>
      <c r="O889" s="27">
        <v>587000</v>
      </c>
      <c r="P889">
        <v>3</v>
      </c>
      <c r="Q889" t="s">
        <v>172</v>
      </c>
      <c r="R889">
        <v>42</v>
      </c>
      <c r="S889" t="s">
        <v>197</v>
      </c>
      <c r="T889" t="str">
        <f>IF(COUNTIF($A$2:A889,A889)&gt;1,"Duplicate","Unique")</f>
        <v>Unique</v>
      </c>
    </row>
    <row r="890" spans="1:20" x14ac:dyDescent="0.45">
      <c r="A890" t="s">
        <v>2089</v>
      </c>
      <c r="B890" t="s">
        <v>1296</v>
      </c>
      <c r="C890" t="s">
        <v>51</v>
      </c>
      <c r="D890" t="s">
        <v>50</v>
      </c>
      <c r="E890" t="s">
        <v>176</v>
      </c>
      <c r="F890" t="s">
        <v>82</v>
      </c>
      <c r="G890" t="s">
        <v>177</v>
      </c>
      <c r="H890" t="s">
        <v>106</v>
      </c>
      <c r="I890" t="s">
        <v>107</v>
      </c>
      <c r="J890" t="s">
        <v>3111</v>
      </c>
      <c r="K890" t="s">
        <v>170</v>
      </c>
      <c r="L890" t="s">
        <v>3407</v>
      </c>
      <c r="M890" t="s">
        <v>171</v>
      </c>
      <c r="N890" t="s">
        <v>99</v>
      </c>
      <c r="O890" s="27">
        <v>1061000</v>
      </c>
      <c r="P890">
        <v>2</v>
      </c>
      <c r="Q890" t="s">
        <v>172</v>
      </c>
      <c r="R890">
        <v>18</v>
      </c>
      <c r="S890" t="s">
        <v>244</v>
      </c>
      <c r="T890" t="str">
        <f>IF(COUNTIF($A$2:A890,A890)&gt;1,"Duplicate","Unique")</f>
        <v>Unique</v>
      </c>
    </row>
    <row r="891" spans="1:20" x14ac:dyDescent="0.45">
      <c r="A891" t="s">
        <v>2013</v>
      </c>
      <c r="B891" t="s">
        <v>1101</v>
      </c>
      <c r="C891" t="s">
        <v>51</v>
      </c>
      <c r="D891" t="s">
        <v>50</v>
      </c>
      <c r="E891" t="s">
        <v>181</v>
      </c>
      <c r="F891" t="s">
        <v>81</v>
      </c>
      <c r="G891" t="s">
        <v>182</v>
      </c>
      <c r="H891" t="s">
        <v>106</v>
      </c>
      <c r="I891" t="s">
        <v>107</v>
      </c>
      <c r="J891" t="s">
        <v>3049</v>
      </c>
      <c r="K891" t="s">
        <v>162</v>
      </c>
      <c r="M891" t="s">
        <v>163</v>
      </c>
      <c r="N891" t="s">
        <v>96</v>
      </c>
      <c r="O891" s="27">
        <v>662000</v>
      </c>
      <c r="P891">
        <v>3</v>
      </c>
      <c r="Q891" t="s">
        <v>164</v>
      </c>
      <c r="R891">
        <v>50</v>
      </c>
      <c r="S891" t="s">
        <v>197</v>
      </c>
      <c r="T891" t="str">
        <f>IF(COUNTIF($A$2:A891,A891)&gt;1,"Duplicate","Unique")</f>
        <v>Unique</v>
      </c>
    </row>
    <row r="892" spans="1:20" x14ac:dyDescent="0.45">
      <c r="A892" t="s">
        <v>1650</v>
      </c>
      <c r="B892" t="s">
        <v>497</v>
      </c>
      <c r="C892" t="s">
        <v>51</v>
      </c>
      <c r="D892" t="s">
        <v>50</v>
      </c>
      <c r="E892" t="s">
        <v>397</v>
      </c>
      <c r="F892" t="s">
        <v>84</v>
      </c>
      <c r="G892" t="s">
        <v>398</v>
      </c>
      <c r="H892" t="s">
        <v>106</v>
      </c>
      <c r="I892" t="s">
        <v>107</v>
      </c>
      <c r="J892" t="s">
        <v>2812</v>
      </c>
      <c r="K892" t="s">
        <v>162</v>
      </c>
      <c r="M892" t="s">
        <v>163</v>
      </c>
      <c r="N892" t="s">
        <v>97</v>
      </c>
      <c r="O892" s="27">
        <v>2461000</v>
      </c>
      <c r="P892">
        <v>5</v>
      </c>
      <c r="Q892" t="s">
        <v>172</v>
      </c>
      <c r="R892">
        <v>38</v>
      </c>
      <c r="S892" t="s">
        <v>244</v>
      </c>
      <c r="T892" t="str">
        <f>IF(COUNTIF($A$2:A892,A892)&gt;1,"Duplicate","Unique")</f>
        <v>Unique</v>
      </c>
    </row>
    <row r="893" spans="1:20" x14ac:dyDescent="0.45">
      <c r="A893" t="s">
        <v>596</v>
      </c>
      <c r="B893" t="s">
        <v>597</v>
      </c>
      <c r="C893" t="s">
        <v>61</v>
      </c>
      <c r="D893" t="s">
        <v>60</v>
      </c>
      <c r="E893" t="s">
        <v>251</v>
      </c>
      <c r="F893" t="s">
        <v>82</v>
      </c>
      <c r="G893" t="s">
        <v>252</v>
      </c>
      <c r="H893" t="s">
        <v>112</v>
      </c>
      <c r="I893" t="s">
        <v>113</v>
      </c>
      <c r="J893" t="s">
        <v>3408</v>
      </c>
      <c r="K893" t="s">
        <v>162</v>
      </c>
      <c r="M893" t="s">
        <v>163</v>
      </c>
      <c r="N893" t="s">
        <v>95</v>
      </c>
      <c r="O893" s="27">
        <v>861000</v>
      </c>
      <c r="P893">
        <v>5</v>
      </c>
      <c r="Q893" t="s">
        <v>164</v>
      </c>
      <c r="R893">
        <v>24</v>
      </c>
      <c r="S893" t="s">
        <v>253</v>
      </c>
      <c r="T893" t="str">
        <f>IF(COUNTIF($A$2:A893,A893)&gt;1,"Duplicate","Unique")</f>
        <v>Unique</v>
      </c>
    </row>
    <row r="894" spans="1:20" x14ac:dyDescent="0.45">
      <c r="A894" t="s">
        <v>586</v>
      </c>
      <c r="B894" t="s">
        <v>587</v>
      </c>
      <c r="C894" t="s">
        <v>53</v>
      </c>
      <c r="D894" t="s">
        <v>2793</v>
      </c>
      <c r="E894" t="s">
        <v>322</v>
      </c>
      <c r="F894" t="s">
        <v>81</v>
      </c>
      <c r="G894" t="s">
        <v>323</v>
      </c>
      <c r="H894" t="s">
        <v>108</v>
      </c>
      <c r="I894" t="s">
        <v>107</v>
      </c>
      <c r="J894" t="s">
        <v>3409</v>
      </c>
      <c r="K894" t="s">
        <v>162</v>
      </c>
      <c r="M894" t="s">
        <v>163</v>
      </c>
      <c r="N894" t="s">
        <v>99</v>
      </c>
      <c r="O894" s="27">
        <v>757000</v>
      </c>
      <c r="P894">
        <v>1</v>
      </c>
      <c r="Q894" t="s">
        <v>164</v>
      </c>
      <c r="R894">
        <v>36</v>
      </c>
      <c r="S894" t="s">
        <v>237</v>
      </c>
      <c r="T894" t="str">
        <f>IF(COUNTIF($A$2:A894,A894)&gt;1,"Duplicate","Unique")</f>
        <v>Unique</v>
      </c>
    </row>
    <row r="895" spans="1:20" x14ac:dyDescent="0.45">
      <c r="A895" t="s">
        <v>775</v>
      </c>
      <c r="B895" t="s">
        <v>438</v>
      </c>
      <c r="C895" t="s">
        <v>55</v>
      </c>
      <c r="D895" t="s">
        <v>54</v>
      </c>
      <c r="E895" t="s">
        <v>537</v>
      </c>
      <c r="F895" t="s">
        <v>85</v>
      </c>
      <c r="G895" t="s">
        <v>538</v>
      </c>
      <c r="H895" t="s">
        <v>106</v>
      </c>
      <c r="I895" t="s">
        <v>107</v>
      </c>
      <c r="J895" t="s">
        <v>3410</v>
      </c>
      <c r="K895" t="s">
        <v>162</v>
      </c>
      <c r="M895" t="s">
        <v>163</v>
      </c>
      <c r="N895" t="s">
        <v>99</v>
      </c>
      <c r="O895" s="27">
        <v>4661000</v>
      </c>
      <c r="P895">
        <v>2</v>
      </c>
      <c r="Q895" t="s">
        <v>164</v>
      </c>
      <c r="R895">
        <v>19</v>
      </c>
      <c r="S895" t="s">
        <v>274</v>
      </c>
      <c r="T895" t="str">
        <f>IF(COUNTIF($A$2:A895,A895)&gt;1,"Duplicate","Unique")</f>
        <v>Unique</v>
      </c>
    </row>
    <row r="896" spans="1:20" x14ac:dyDescent="0.45">
      <c r="A896" t="s">
        <v>811</v>
      </c>
      <c r="B896" t="s">
        <v>812</v>
      </c>
      <c r="C896" t="s">
        <v>51</v>
      </c>
      <c r="D896" t="s">
        <v>50</v>
      </c>
      <c r="E896" t="s">
        <v>217</v>
      </c>
      <c r="F896" t="s">
        <v>83</v>
      </c>
      <c r="G896" t="s">
        <v>218</v>
      </c>
      <c r="H896" t="s">
        <v>111</v>
      </c>
      <c r="I896" t="s">
        <v>110</v>
      </c>
      <c r="J896" t="s">
        <v>3411</v>
      </c>
      <c r="K896" t="s">
        <v>162</v>
      </c>
      <c r="M896" t="s">
        <v>163</v>
      </c>
      <c r="N896" t="s">
        <v>96</v>
      </c>
      <c r="O896" s="27">
        <v>2071000</v>
      </c>
      <c r="P896">
        <v>4</v>
      </c>
      <c r="Q896" t="s">
        <v>172</v>
      </c>
      <c r="R896">
        <v>27</v>
      </c>
      <c r="S896" t="s">
        <v>219</v>
      </c>
      <c r="T896" t="str">
        <f>IF(COUNTIF($A$2:A896,A896)&gt;1,"Duplicate","Unique")</f>
        <v>Unique</v>
      </c>
    </row>
    <row r="897" spans="1:20" x14ac:dyDescent="0.45">
      <c r="A897" t="s">
        <v>708</v>
      </c>
      <c r="B897" t="s">
        <v>709</v>
      </c>
      <c r="C897" t="s">
        <v>61</v>
      </c>
      <c r="D897" t="s">
        <v>60</v>
      </c>
      <c r="E897" t="s">
        <v>251</v>
      </c>
      <c r="F897" t="s">
        <v>82</v>
      </c>
      <c r="G897" t="s">
        <v>252</v>
      </c>
      <c r="H897" t="s">
        <v>106</v>
      </c>
      <c r="I897" t="s">
        <v>107</v>
      </c>
      <c r="J897" t="s">
        <v>3412</v>
      </c>
      <c r="K897" t="s">
        <v>162</v>
      </c>
      <c r="M897" t="s">
        <v>163</v>
      </c>
      <c r="N897" t="s">
        <v>99</v>
      </c>
      <c r="O897" s="27">
        <v>1295000</v>
      </c>
      <c r="P897">
        <v>4</v>
      </c>
      <c r="Q897" t="s">
        <v>172</v>
      </c>
      <c r="R897">
        <v>32</v>
      </c>
      <c r="S897" t="s">
        <v>319</v>
      </c>
      <c r="T897" t="str">
        <f>IF(COUNTIF($A$2:A897,A897)&gt;1,"Duplicate","Unique")</f>
        <v>Unique</v>
      </c>
    </row>
    <row r="898" spans="1:20" x14ac:dyDescent="0.45">
      <c r="A898" t="s">
        <v>1130</v>
      </c>
      <c r="B898" t="s">
        <v>1131</v>
      </c>
      <c r="C898" t="s">
        <v>53</v>
      </c>
      <c r="D898" t="s">
        <v>52</v>
      </c>
      <c r="E898" t="s">
        <v>280</v>
      </c>
      <c r="F898" t="s">
        <v>85</v>
      </c>
      <c r="G898" t="s">
        <v>281</v>
      </c>
      <c r="H898" t="s">
        <v>106</v>
      </c>
      <c r="I898" t="s">
        <v>107</v>
      </c>
      <c r="J898" t="s">
        <v>3413</v>
      </c>
      <c r="K898" t="s">
        <v>162</v>
      </c>
      <c r="M898" t="s">
        <v>163</v>
      </c>
      <c r="N898" t="s">
        <v>99</v>
      </c>
      <c r="O898" s="27">
        <v>4803000</v>
      </c>
      <c r="P898">
        <v>3</v>
      </c>
      <c r="Q898" t="s">
        <v>172</v>
      </c>
      <c r="R898">
        <v>49</v>
      </c>
      <c r="S898" t="s">
        <v>194</v>
      </c>
      <c r="T898" t="str">
        <f>IF(COUNTIF($A$2:A898,A898)&gt;1,"Duplicate","Unique")</f>
        <v>Unique</v>
      </c>
    </row>
    <row r="899" spans="1:20" x14ac:dyDescent="0.45">
      <c r="A899" t="s">
        <v>1459</v>
      </c>
      <c r="B899" t="s">
        <v>1460</v>
      </c>
      <c r="C899" t="s">
        <v>61</v>
      </c>
      <c r="D899" t="s">
        <v>60</v>
      </c>
      <c r="E899" t="s">
        <v>317</v>
      </c>
      <c r="F899" t="s">
        <v>84</v>
      </c>
      <c r="G899" t="s">
        <v>318</v>
      </c>
      <c r="H899" t="s">
        <v>109</v>
      </c>
      <c r="I899" t="s">
        <v>110</v>
      </c>
      <c r="J899" t="s">
        <v>3414</v>
      </c>
      <c r="K899" t="s">
        <v>187</v>
      </c>
      <c r="L899" t="s">
        <v>3415</v>
      </c>
      <c r="M899" t="s">
        <v>213</v>
      </c>
      <c r="N899" t="s">
        <v>96</v>
      </c>
      <c r="O899" s="27">
        <v>2439000</v>
      </c>
      <c r="P899">
        <v>4</v>
      </c>
      <c r="Q899" t="s">
        <v>172</v>
      </c>
      <c r="R899">
        <v>25</v>
      </c>
      <c r="S899" t="s">
        <v>253</v>
      </c>
      <c r="T899" t="str">
        <f>IF(COUNTIF($A$2:A899,A899)&gt;1,"Duplicate","Unique")</f>
        <v>Unique</v>
      </c>
    </row>
    <row r="900" spans="1:20" x14ac:dyDescent="0.45">
      <c r="A900" t="s">
        <v>2346</v>
      </c>
      <c r="B900" t="s">
        <v>2347</v>
      </c>
      <c r="C900" t="s">
        <v>53</v>
      </c>
      <c r="D900" t="s">
        <v>52</v>
      </c>
      <c r="E900" t="s">
        <v>322</v>
      </c>
      <c r="F900" t="s">
        <v>81</v>
      </c>
      <c r="G900" t="s">
        <v>323</v>
      </c>
      <c r="H900" t="s">
        <v>108</v>
      </c>
      <c r="I900" t="s">
        <v>107</v>
      </c>
      <c r="J900" t="s">
        <v>3416</v>
      </c>
      <c r="K900" t="s">
        <v>162</v>
      </c>
      <c r="M900" t="s">
        <v>163</v>
      </c>
      <c r="N900" t="s">
        <v>99</v>
      </c>
      <c r="O900" s="27">
        <v>742000</v>
      </c>
      <c r="P900">
        <v>3</v>
      </c>
      <c r="Q900" t="s">
        <v>164</v>
      </c>
      <c r="R900">
        <v>36</v>
      </c>
      <c r="S900" t="s">
        <v>189</v>
      </c>
      <c r="T900" t="str">
        <f>IF(COUNTIF($A$2:A900,A900)&gt;1,"Duplicate","Unique")</f>
        <v>Unique</v>
      </c>
    </row>
    <row r="901" spans="1:20" x14ac:dyDescent="0.45">
      <c r="A901" t="s">
        <v>1185</v>
      </c>
      <c r="B901" t="s">
        <v>1186</v>
      </c>
      <c r="C901" t="s">
        <v>51</v>
      </c>
      <c r="D901" t="s">
        <v>50</v>
      </c>
      <c r="E901" t="s">
        <v>181</v>
      </c>
      <c r="F901" t="s">
        <v>81</v>
      </c>
      <c r="G901" t="s">
        <v>182</v>
      </c>
      <c r="H901" t="s">
        <v>106</v>
      </c>
      <c r="I901" t="s">
        <v>107</v>
      </c>
      <c r="J901" t="s">
        <v>3066</v>
      </c>
      <c r="K901" t="s">
        <v>187</v>
      </c>
      <c r="L901" t="s">
        <v>3417</v>
      </c>
      <c r="M901" t="s">
        <v>269</v>
      </c>
      <c r="N901" t="s">
        <v>99</v>
      </c>
      <c r="O901" s="27">
        <v>644000</v>
      </c>
      <c r="P901">
        <v>4</v>
      </c>
      <c r="Q901" t="s">
        <v>164</v>
      </c>
      <c r="R901">
        <v>24</v>
      </c>
      <c r="S901" t="s">
        <v>178</v>
      </c>
      <c r="T901" t="str">
        <f>IF(COUNTIF($A$2:A901,A901)&gt;1,"Duplicate","Unique")</f>
        <v>Unique</v>
      </c>
    </row>
    <row r="902" spans="1:20" x14ac:dyDescent="0.45">
      <c r="A902" t="s">
        <v>320</v>
      </c>
      <c r="B902" t="s">
        <v>321</v>
      </c>
      <c r="C902" t="s">
        <v>53</v>
      </c>
      <c r="D902" t="s">
        <v>52</v>
      </c>
      <c r="E902" t="s">
        <v>322</v>
      </c>
      <c r="F902" t="s">
        <v>81</v>
      </c>
      <c r="G902" t="s">
        <v>323</v>
      </c>
      <c r="H902" t="s">
        <v>106</v>
      </c>
      <c r="I902" t="s">
        <v>107</v>
      </c>
      <c r="J902" t="s">
        <v>3418</v>
      </c>
      <c r="K902" t="s">
        <v>162</v>
      </c>
      <c r="M902" t="s">
        <v>163</v>
      </c>
      <c r="N902" t="s">
        <v>98</v>
      </c>
      <c r="O902" s="27">
        <v>685000</v>
      </c>
      <c r="P902">
        <v>1</v>
      </c>
      <c r="Q902" t="s">
        <v>164</v>
      </c>
      <c r="R902">
        <v>20</v>
      </c>
      <c r="S902" t="s">
        <v>237</v>
      </c>
      <c r="T902" t="str">
        <f>IF(COUNTIF($A$2:A902,A902)&gt;1,"Duplicate","Unique")</f>
        <v>Unique</v>
      </c>
    </row>
    <row r="903" spans="1:20" x14ac:dyDescent="0.45">
      <c r="A903" t="s">
        <v>2059</v>
      </c>
      <c r="B903" t="s">
        <v>636</v>
      </c>
      <c r="C903" t="s">
        <v>51</v>
      </c>
      <c r="D903" t="s">
        <v>50</v>
      </c>
      <c r="E903" t="s">
        <v>181</v>
      </c>
      <c r="F903" t="s">
        <v>81</v>
      </c>
      <c r="G903" t="s">
        <v>182</v>
      </c>
      <c r="H903" t="s">
        <v>111</v>
      </c>
      <c r="I903" t="s">
        <v>110</v>
      </c>
      <c r="J903" t="s">
        <v>3419</v>
      </c>
      <c r="K903" t="s">
        <v>162</v>
      </c>
      <c r="M903" t="s">
        <v>163</v>
      </c>
      <c r="N903" t="s">
        <v>96</v>
      </c>
      <c r="O903" s="27">
        <v>790000</v>
      </c>
      <c r="P903">
        <v>3</v>
      </c>
      <c r="Q903" t="s">
        <v>164</v>
      </c>
      <c r="R903">
        <v>53</v>
      </c>
      <c r="S903" t="s">
        <v>219</v>
      </c>
      <c r="T903" t="str">
        <f>IF(COUNTIF($A$2:A903,A903)&gt;1,"Duplicate","Unique")</f>
        <v>Unique</v>
      </c>
    </row>
    <row r="904" spans="1:20" x14ac:dyDescent="0.45">
      <c r="A904" t="s">
        <v>1939</v>
      </c>
      <c r="B904" t="s">
        <v>582</v>
      </c>
      <c r="C904" t="s">
        <v>55</v>
      </c>
      <c r="D904" t="s">
        <v>54</v>
      </c>
      <c r="E904" t="s">
        <v>537</v>
      </c>
      <c r="F904" t="s">
        <v>85</v>
      </c>
      <c r="G904" t="s">
        <v>538</v>
      </c>
      <c r="H904" t="s">
        <v>112</v>
      </c>
      <c r="I904" t="s">
        <v>113</v>
      </c>
      <c r="J904" t="s">
        <v>3420</v>
      </c>
      <c r="K904" t="s">
        <v>162</v>
      </c>
      <c r="M904" t="s">
        <v>163</v>
      </c>
      <c r="N904" t="s">
        <v>97</v>
      </c>
      <c r="O904" s="27">
        <v>4992000</v>
      </c>
      <c r="P904">
        <v>3</v>
      </c>
      <c r="Q904" t="s">
        <v>164</v>
      </c>
      <c r="R904">
        <v>43</v>
      </c>
      <c r="S904" t="s">
        <v>262</v>
      </c>
      <c r="T904" t="str">
        <f>IF(COUNTIF($A$2:A904,A904)&gt;1,"Duplicate","Unique")</f>
        <v>Unique</v>
      </c>
    </row>
    <row r="905" spans="1:20" x14ac:dyDescent="0.45">
      <c r="A905" t="s">
        <v>2293</v>
      </c>
      <c r="B905" t="s">
        <v>1500</v>
      </c>
      <c r="C905" t="s">
        <v>53</v>
      </c>
      <c r="D905" t="s">
        <v>52</v>
      </c>
      <c r="E905" t="s">
        <v>200</v>
      </c>
      <c r="F905" t="s">
        <v>84</v>
      </c>
      <c r="G905" t="s">
        <v>201</v>
      </c>
      <c r="H905" t="s">
        <v>106</v>
      </c>
      <c r="I905" t="s">
        <v>107</v>
      </c>
      <c r="J905" t="s">
        <v>3421</v>
      </c>
      <c r="K905" t="s">
        <v>162</v>
      </c>
      <c r="M905" t="s">
        <v>163</v>
      </c>
      <c r="N905" t="s">
        <v>99</v>
      </c>
      <c r="O905" s="27">
        <v>2216000</v>
      </c>
      <c r="P905">
        <v>4</v>
      </c>
      <c r="Q905" t="s">
        <v>172</v>
      </c>
      <c r="R905">
        <v>23</v>
      </c>
      <c r="S905" t="s">
        <v>237</v>
      </c>
      <c r="T905" t="str">
        <f>IF(COUNTIF($A$2:A905,A905)&gt;1,"Duplicate","Unique")</f>
        <v>Unique</v>
      </c>
    </row>
    <row r="906" spans="1:20" x14ac:dyDescent="0.45">
      <c r="A906" t="s">
        <v>2234</v>
      </c>
      <c r="B906" t="s">
        <v>1363</v>
      </c>
      <c r="C906" t="s">
        <v>51</v>
      </c>
      <c r="D906" t="s">
        <v>50</v>
      </c>
      <c r="E906" t="s">
        <v>181</v>
      </c>
      <c r="F906" t="s">
        <v>81</v>
      </c>
      <c r="G906" t="s">
        <v>182</v>
      </c>
      <c r="H906" t="s">
        <v>108</v>
      </c>
      <c r="I906" t="s">
        <v>107</v>
      </c>
      <c r="J906" t="s">
        <v>2727</v>
      </c>
      <c r="K906" t="s">
        <v>162</v>
      </c>
      <c r="M906" t="s">
        <v>163</v>
      </c>
      <c r="N906" t="s">
        <v>97</v>
      </c>
      <c r="O906" s="27">
        <v>628000</v>
      </c>
      <c r="P906">
        <v>5</v>
      </c>
      <c r="Q906" t="s">
        <v>164</v>
      </c>
      <c r="R906">
        <v>31</v>
      </c>
      <c r="S906" t="s">
        <v>178</v>
      </c>
      <c r="T906" t="str">
        <f>IF(COUNTIF($A$2:A906,A906)&gt;1,"Duplicate","Unique")</f>
        <v>Unique</v>
      </c>
    </row>
    <row r="907" spans="1:20" x14ac:dyDescent="0.45">
      <c r="A907" t="s">
        <v>2118</v>
      </c>
      <c r="B907" t="s">
        <v>2119</v>
      </c>
      <c r="C907" t="s">
        <v>53</v>
      </c>
      <c r="D907" t="s">
        <v>52</v>
      </c>
      <c r="E907" t="s">
        <v>185</v>
      </c>
      <c r="F907" t="s">
        <v>82</v>
      </c>
      <c r="G907" t="s">
        <v>186</v>
      </c>
      <c r="H907" t="s">
        <v>106</v>
      </c>
      <c r="I907" t="s">
        <v>107</v>
      </c>
      <c r="J907" t="s">
        <v>3347</v>
      </c>
      <c r="K907" t="s">
        <v>162</v>
      </c>
      <c r="M907" t="s">
        <v>163</v>
      </c>
      <c r="N907" t="s">
        <v>99</v>
      </c>
      <c r="O907" s="27">
        <v>1068000</v>
      </c>
      <c r="P907">
        <v>4</v>
      </c>
      <c r="Q907" t="s">
        <v>164</v>
      </c>
      <c r="R907">
        <v>20</v>
      </c>
      <c r="S907" t="s">
        <v>237</v>
      </c>
      <c r="T907" t="str">
        <f>IF(COUNTIF($A$2:A907,A907)&gt;1,"Duplicate","Unique")</f>
        <v>Unique</v>
      </c>
    </row>
    <row r="908" spans="1:20" x14ac:dyDescent="0.45">
      <c r="A908" t="s">
        <v>717</v>
      </c>
      <c r="B908" t="s">
        <v>718</v>
      </c>
      <c r="C908" t="s">
        <v>59</v>
      </c>
      <c r="D908" t="s">
        <v>58</v>
      </c>
      <c r="E908" t="s">
        <v>206</v>
      </c>
      <c r="F908" t="s">
        <v>81</v>
      </c>
      <c r="G908" t="s">
        <v>207</v>
      </c>
      <c r="H908" t="s">
        <v>2611</v>
      </c>
      <c r="I908" t="s">
        <v>107</v>
      </c>
      <c r="J908" t="s">
        <v>2743</v>
      </c>
      <c r="K908" t="s">
        <v>162</v>
      </c>
      <c r="M908" t="s">
        <v>163</v>
      </c>
      <c r="N908" t="s">
        <v>95</v>
      </c>
      <c r="O908" s="27">
        <v>834000</v>
      </c>
      <c r="P908">
        <v>4</v>
      </c>
      <c r="Q908" t="s">
        <v>172</v>
      </c>
      <c r="R908">
        <v>28</v>
      </c>
      <c r="S908" t="s">
        <v>208</v>
      </c>
      <c r="T908" t="str">
        <f>IF(COUNTIF($A$2:A908,A908)&gt;1,"Duplicate","Unique")</f>
        <v>Unique</v>
      </c>
    </row>
    <row r="909" spans="1:20" x14ac:dyDescent="0.45">
      <c r="A909" t="s">
        <v>1178</v>
      </c>
      <c r="B909" t="s">
        <v>1179</v>
      </c>
      <c r="C909" t="s">
        <v>57</v>
      </c>
      <c r="D909" t="s">
        <v>56</v>
      </c>
      <c r="E909" t="s">
        <v>455</v>
      </c>
      <c r="F909" t="s">
        <v>84</v>
      </c>
      <c r="G909" t="s">
        <v>456</v>
      </c>
      <c r="H909" t="s">
        <v>106</v>
      </c>
      <c r="I909" t="s">
        <v>107</v>
      </c>
      <c r="J909" t="s">
        <v>3422</v>
      </c>
      <c r="K909" t="s">
        <v>162</v>
      </c>
      <c r="M909" t="s">
        <v>163</v>
      </c>
      <c r="N909" t="s">
        <v>95</v>
      </c>
      <c r="O909" s="27">
        <v>2369000</v>
      </c>
      <c r="P909">
        <v>3</v>
      </c>
      <c r="Q909" t="s">
        <v>164</v>
      </c>
      <c r="R909">
        <v>38</v>
      </c>
      <c r="S909" t="s">
        <v>165</v>
      </c>
      <c r="T909" t="str">
        <f>IF(COUNTIF($A$2:A909,A909)&gt;1,"Duplicate","Unique")</f>
        <v>Unique</v>
      </c>
    </row>
    <row r="910" spans="1:20" x14ac:dyDescent="0.45">
      <c r="A910" t="s">
        <v>446</v>
      </c>
      <c r="B910" t="s">
        <v>248</v>
      </c>
      <c r="C910" t="s">
        <v>51</v>
      </c>
      <c r="D910" t="s">
        <v>50</v>
      </c>
      <c r="E910" t="s">
        <v>176</v>
      </c>
      <c r="F910" t="s">
        <v>82</v>
      </c>
      <c r="G910" t="s">
        <v>177</v>
      </c>
      <c r="H910" t="s">
        <v>113</v>
      </c>
      <c r="I910" t="s">
        <v>113</v>
      </c>
      <c r="J910" t="s">
        <v>3423</v>
      </c>
      <c r="K910" t="s">
        <v>162</v>
      </c>
      <c r="M910" t="s">
        <v>163</v>
      </c>
      <c r="N910" t="s">
        <v>99</v>
      </c>
      <c r="O910" s="27">
        <v>864000</v>
      </c>
      <c r="P910">
        <v>3</v>
      </c>
      <c r="Q910" t="s">
        <v>164</v>
      </c>
      <c r="R910">
        <v>46</v>
      </c>
      <c r="S910" t="s">
        <v>244</v>
      </c>
      <c r="T910" t="str">
        <f>IF(COUNTIF($A$2:A910,A910)&gt;1,"Duplicate","Unique")</f>
        <v>Unique</v>
      </c>
    </row>
    <row r="911" spans="1:20" x14ac:dyDescent="0.45">
      <c r="A911" t="s">
        <v>710</v>
      </c>
      <c r="B911" t="s">
        <v>711</v>
      </c>
      <c r="C911" t="s">
        <v>53</v>
      </c>
      <c r="D911" t="s">
        <v>52</v>
      </c>
      <c r="E911" t="s">
        <v>322</v>
      </c>
      <c r="F911" t="s">
        <v>81</v>
      </c>
      <c r="G911" t="s">
        <v>323</v>
      </c>
      <c r="H911" t="s">
        <v>106</v>
      </c>
      <c r="I911" t="s">
        <v>107</v>
      </c>
      <c r="J911" t="s">
        <v>3424</v>
      </c>
      <c r="K911" t="s">
        <v>187</v>
      </c>
      <c r="L911" t="s">
        <v>2979</v>
      </c>
      <c r="M911" t="s">
        <v>213</v>
      </c>
      <c r="N911" t="s">
        <v>98</v>
      </c>
      <c r="O911" s="27">
        <v>744000</v>
      </c>
      <c r="P911">
        <v>4</v>
      </c>
      <c r="Q911" t="s">
        <v>164</v>
      </c>
      <c r="R911">
        <v>31</v>
      </c>
      <c r="S911" t="s">
        <v>189</v>
      </c>
      <c r="T911" t="str">
        <f>IF(COUNTIF($A$2:A911,A911)&gt;1,"Duplicate","Unique")</f>
        <v>Unique</v>
      </c>
    </row>
    <row r="912" spans="1:20" x14ac:dyDescent="0.45">
      <c r="A912" t="s">
        <v>795</v>
      </c>
      <c r="B912" t="s">
        <v>796</v>
      </c>
      <c r="C912" t="s">
        <v>53</v>
      </c>
      <c r="D912" t="s">
        <v>52</v>
      </c>
      <c r="E912" t="s">
        <v>185</v>
      </c>
      <c r="F912" t="s">
        <v>82</v>
      </c>
      <c r="G912" t="s">
        <v>186</v>
      </c>
      <c r="H912" t="s">
        <v>111</v>
      </c>
      <c r="I912" t="s">
        <v>110</v>
      </c>
      <c r="J912" t="s">
        <v>3425</v>
      </c>
      <c r="K912" t="s">
        <v>187</v>
      </c>
      <c r="L912" t="s">
        <v>3426</v>
      </c>
      <c r="M912" t="s">
        <v>282</v>
      </c>
      <c r="N912" t="s">
        <v>96</v>
      </c>
      <c r="O912" s="27">
        <v>1149000</v>
      </c>
      <c r="P912">
        <v>3</v>
      </c>
      <c r="Q912" t="s">
        <v>172</v>
      </c>
      <c r="R912">
        <v>36</v>
      </c>
      <c r="S912" t="s">
        <v>237</v>
      </c>
      <c r="T912" t="str">
        <f>IF(COUNTIF($A$2:A912,A912)&gt;1,"Duplicate","Unique")</f>
        <v>Unique</v>
      </c>
    </row>
    <row r="913" spans="1:20" x14ac:dyDescent="0.45">
      <c r="A913" t="s">
        <v>2213</v>
      </c>
      <c r="B913" t="s">
        <v>2214</v>
      </c>
      <c r="C913" t="s">
        <v>57</v>
      </c>
      <c r="D913" t="s">
        <v>56</v>
      </c>
      <c r="E913" t="s">
        <v>455</v>
      </c>
      <c r="F913" t="s">
        <v>84</v>
      </c>
      <c r="G913" t="s">
        <v>456</v>
      </c>
      <c r="H913" t="s">
        <v>106</v>
      </c>
      <c r="I913" t="s">
        <v>107</v>
      </c>
      <c r="J913" t="s">
        <v>3427</v>
      </c>
      <c r="K913" t="s">
        <v>162</v>
      </c>
      <c r="M913" t="s">
        <v>163</v>
      </c>
      <c r="N913" t="s">
        <v>99</v>
      </c>
      <c r="O913" s="27">
        <v>3357000</v>
      </c>
      <c r="P913">
        <v>4</v>
      </c>
      <c r="Q913" t="s">
        <v>164</v>
      </c>
      <c r="R913">
        <v>21</v>
      </c>
      <c r="S913" t="s">
        <v>165</v>
      </c>
      <c r="T913" t="str">
        <f>IF(COUNTIF($A$2:A913,A913)&gt;1,"Duplicate","Unique")</f>
        <v>Unique</v>
      </c>
    </row>
    <row r="914" spans="1:20" x14ac:dyDescent="0.45">
      <c r="A914" t="s">
        <v>854</v>
      </c>
      <c r="B914" t="s">
        <v>855</v>
      </c>
      <c r="C914" t="s">
        <v>51</v>
      </c>
      <c r="D914" t="s">
        <v>50</v>
      </c>
      <c r="E914" t="s">
        <v>181</v>
      </c>
      <c r="F914" t="s">
        <v>81</v>
      </c>
      <c r="G914" t="s">
        <v>182</v>
      </c>
      <c r="H914" t="s">
        <v>108</v>
      </c>
      <c r="I914" t="s">
        <v>107</v>
      </c>
      <c r="J914" t="s">
        <v>3428</v>
      </c>
      <c r="K914" t="s">
        <v>162</v>
      </c>
      <c r="M914" t="s">
        <v>163</v>
      </c>
      <c r="N914" t="s">
        <v>99</v>
      </c>
      <c r="O914" s="27">
        <v>843000</v>
      </c>
      <c r="P914">
        <v>1</v>
      </c>
      <c r="Q914" t="s">
        <v>164</v>
      </c>
      <c r="R914">
        <v>6</v>
      </c>
      <c r="S914" t="s">
        <v>197</v>
      </c>
      <c r="T914" t="str">
        <f>IF(COUNTIF($A$2:A914,A914)&gt;1,"Duplicate","Unique")</f>
        <v>Unique</v>
      </c>
    </row>
    <row r="915" spans="1:20" x14ac:dyDescent="0.45">
      <c r="A915" t="s">
        <v>1300</v>
      </c>
      <c r="B915" t="s">
        <v>1039</v>
      </c>
      <c r="C915" t="s">
        <v>51</v>
      </c>
      <c r="D915" t="s">
        <v>50</v>
      </c>
      <c r="E915" t="s">
        <v>181</v>
      </c>
      <c r="F915" t="s">
        <v>81</v>
      </c>
      <c r="G915" t="s">
        <v>182</v>
      </c>
      <c r="H915" t="s">
        <v>109</v>
      </c>
      <c r="I915" t="s">
        <v>110</v>
      </c>
      <c r="J915" t="s">
        <v>3429</v>
      </c>
      <c r="K915" t="s">
        <v>162</v>
      </c>
      <c r="M915" t="s">
        <v>163</v>
      </c>
      <c r="N915" t="s">
        <v>96</v>
      </c>
      <c r="O915" s="27">
        <v>701000</v>
      </c>
      <c r="P915">
        <v>3</v>
      </c>
      <c r="Q915" t="s">
        <v>172</v>
      </c>
      <c r="R915">
        <v>45</v>
      </c>
      <c r="S915" t="s">
        <v>178</v>
      </c>
      <c r="T915" t="str">
        <f>IF(COUNTIF($A$2:A915,A915)&gt;1,"Duplicate","Unique")</f>
        <v>Unique</v>
      </c>
    </row>
    <row r="916" spans="1:20" x14ac:dyDescent="0.45">
      <c r="A916" t="s">
        <v>762</v>
      </c>
      <c r="B916" t="s">
        <v>499</v>
      </c>
      <c r="C916" t="s">
        <v>57</v>
      </c>
      <c r="D916" t="s">
        <v>56</v>
      </c>
      <c r="E916" t="s">
        <v>160</v>
      </c>
      <c r="F916" t="s">
        <v>81</v>
      </c>
      <c r="G916" t="s">
        <v>161</v>
      </c>
      <c r="H916" t="s">
        <v>106</v>
      </c>
      <c r="I916" t="s">
        <v>107</v>
      </c>
      <c r="J916" t="s">
        <v>3430</v>
      </c>
      <c r="K916" t="s">
        <v>187</v>
      </c>
      <c r="L916" t="s">
        <v>3431</v>
      </c>
      <c r="M916" t="s">
        <v>282</v>
      </c>
      <c r="N916" t="s">
        <v>99</v>
      </c>
      <c r="O916" s="27">
        <v>593000</v>
      </c>
      <c r="P916">
        <v>3</v>
      </c>
      <c r="Q916" t="s">
        <v>164</v>
      </c>
      <c r="R916">
        <v>38</v>
      </c>
      <c r="S916" t="s">
        <v>224</v>
      </c>
      <c r="T916" t="str">
        <f>IF(COUNTIF($A$2:A916,A916)&gt;1,"Duplicate","Unique")</f>
        <v>Unique</v>
      </c>
    </row>
    <row r="917" spans="1:20" x14ac:dyDescent="0.45">
      <c r="A917" t="s">
        <v>1584</v>
      </c>
      <c r="B917" t="s">
        <v>1585</v>
      </c>
      <c r="C917" t="s">
        <v>57</v>
      </c>
      <c r="D917" t="s">
        <v>2476</v>
      </c>
      <c r="E917" t="s">
        <v>160</v>
      </c>
      <c r="F917" t="s">
        <v>81</v>
      </c>
      <c r="G917" t="s">
        <v>161</v>
      </c>
      <c r="H917" t="s">
        <v>106</v>
      </c>
      <c r="I917" t="s">
        <v>107</v>
      </c>
      <c r="J917" t="s">
        <v>3178</v>
      </c>
      <c r="K917" t="s">
        <v>162</v>
      </c>
      <c r="M917" t="s">
        <v>163</v>
      </c>
      <c r="N917" t="s">
        <v>95</v>
      </c>
      <c r="O917" s="27">
        <v>629000</v>
      </c>
      <c r="P917">
        <v>1</v>
      </c>
      <c r="Q917" t="s">
        <v>164</v>
      </c>
      <c r="R917">
        <v>31</v>
      </c>
      <c r="S917" t="s">
        <v>165</v>
      </c>
      <c r="T917" t="str">
        <f>IF(COUNTIF($A$2:A917,A917)&gt;1,"Duplicate","Unique")</f>
        <v>Unique</v>
      </c>
    </row>
    <row r="918" spans="1:20" x14ac:dyDescent="0.45">
      <c r="A918" t="s">
        <v>1184</v>
      </c>
      <c r="B918" t="s">
        <v>501</v>
      </c>
      <c r="C918" t="s">
        <v>53</v>
      </c>
      <c r="D918" t="s">
        <v>52</v>
      </c>
      <c r="E918" t="s">
        <v>185</v>
      </c>
      <c r="F918" t="s">
        <v>82</v>
      </c>
      <c r="G918" t="s">
        <v>186</v>
      </c>
      <c r="H918" t="s">
        <v>109</v>
      </c>
      <c r="I918" t="s">
        <v>110</v>
      </c>
      <c r="J918" t="s">
        <v>2851</v>
      </c>
      <c r="K918" t="s">
        <v>162</v>
      </c>
      <c r="M918" t="s">
        <v>163</v>
      </c>
      <c r="N918" t="s">
        <v>95</v>
      </c>
      <c r="O918" s="27">
        <v>1347000</v>
      </c>
      <c r="P918">
        <v>2</v>
      </c>
      <c r="Q918" t="s">
        <v>172</v>
      </c>
      <c r="R918">
        <v>9</v>
      </c>
      <c r="S918" t="s">
        <v>189</v>
      </c>
      <c r="T918" t="str">
        <f>IF(COUNTIF($A$2:A918,A918)&gt;1,"Duplicate","Unique")</f>
        <v>Unique</v>
      </c>
    </row>
    <row r="919" spans="1:20" x14ac:dyDescent="0.45">
      <c r="A919" t="s">
        <v>1405</v>
      </c>
      <c r="B919" t="s">
        <v>1020</v>
      </c>
      <c r="C919" t="s">
        <v>57</v>
      </c>
      <c r="D919" t="s">
        <v>56</v>
      </c>
      <c r="E919" t="s">
        <v>222</v>
      </c>
      <c r="F919" t="s">
        <v>82</v>
      </c>
      <c r="G919" t="s">
        <v>223</v>
      </c>
      <c r="H919" t="s">
        <v>106</v>
      </c>
      <c r="I919" t="s">
        <v>107</v>
      </c>
      <c r="J919" t="s">
        <v>3432</v>
      </c>
      <c r="K919" t="s">
        <v>187</v>
      </c>
      <c r="L919" t="s">
        <v>3433</v>
      </c>
      <c r="M919" t="s">
        <v>269</v>
      </c>
      <c r="N919" t="s">
        <v>98</v>
      </c>
      <c r="O919" s="27">
        <v>965000</v>
      </c>
      <c r="P919">
        <v>3</v>
      </c>
      <c r="Q919" t="s">
        <v>172</v>
      </c>
      <c r="R919">
        <v>33</v>
      </c>
      <c r="S919" t="s">
        <v>165</v>
      </c>
      <c r="T919" t="str">
        <f>IF(COUNTIF($A$2:A919,A919)&gt;1,"Duplicate","Unique")</f>
        <v>Unique</v>
      </c>
    </row>
    <row r="920" spans="1:20" x14ac:dyDescent="0.45">
      <c r="A920" t="s">
        <v>1788</v>
      </c>
      <c r="B920" t="s">
        <v>619</v>
      </c>
      <c r="C920" t="s">
        <v>61</v>
      </c>
      <c r="D920" t="s">
        <v>60</v>
      </c>
      <c r="E920" t="s">
        <v>251</v>
      </c>
      <c r="F920" t="s">
        <v>82</v>
      </c>
      <c r="G920" t="s">
        <v>252</v>
      </c>
      <c r="H920" t="s">
        <v>106</v>
      </c>
      <c r="I920" t="s">
        <v>107</v>
      </c>
      <c r="J920" t="s">
        <v>3434</v>
      </c>
      <c r="K920" t="s">
        <v>162</v>
      </c>
      <c r="M920" t="s">
        <v>163</v>
      </c>
      <c r="N920" t="s">
        <v>95</v>
      </c>
      <c r="O920" s="27">
        <v>1205000</v>
      </c>
      <c r="P920">
        <v>2</v>
      </c>
      <c r="Q920" t="s">
        <v>172</v>
      </c>
      <c r="R920">
        <v>26</v>
      </c>
      <c r="S920" t="s">
        <v>253</v>
      </c>
      <c r="T920" t="str">
        <f>IF(COUNTIF($A$2:A920,A920)&gt;1,"Duplicate","Unique")</f>
        <v>Unique</v>
      </c>
    </row>
    <row r="921" spans="1:20" x14ac:dyDescent="0.45">
      <c r="A921" t="s">
        <v>215</v>
      </c>
      <c r="B921" t="s">
        <v>216</v>
      </c>
      <c r="C921" t="s">
        <v>51</v>
      </c>
      <c r="D921" t="s">
        <v>50</v>
      </c>
      <c r="E921" t="s">
        <v>217</v>
      </c>
      <c r="F921" t="s">
        <v>83</v>
      </c>
      <c r="G921" t="s">
        <v>218</v>
      </c>
      <c r="H921" t="s">
        <v>108</v>
      </c>
      <c r="I921" t="s">
        <v>107</v>
      </c>
      <c r="J921" t="s">
        <v>3435</v>
      </c>
      <c r="K921" t="s">
        <v>170</v>
      </c>
      <c r="L921" t="s">
        <v>3436</v>
      </c>
      <c r="M921" t="s">
        <v>171</v>
      </c>
      <c r="N921" t="s">
        <v>99</v>
      </c>
      <c r="O921" s="27">
        <v>2001000</v>
      </c>
      <c r="P921">
        <v>4</v>
      </c>
      <c r="Q921" t="s">
        <v>172</v>
      </c>
      <c r="R921">
        <v>32</v>
      </c>
      <c r="S921" t="s">
        <v>219</v>
      </c>
      <c r="T921" t="str">
        <f>IF(COUNTIF($A$2:A921,A921)&gt;1,"Duplicate","Unique")</f>
        <v>Unique</v>
      </c>
    </row>
    <row r="922" spans="1:20" x14ac:dyDescent="0.45">
      <c r="A922" t="s">
        <v>1690</v>
      </c>
      <c r="B922" t="s">
        <v>1691</v>
      </c>
      <c r="C922" t="s">
        <v>55</v>
      </c>
      <c r="D922" t="s">
        <v>54</v>
      </c>
      <c r="E922" t="s">
        <v>229</v>
      </c>
      <c r="F922" t="s">
        <v>82</v>
      </c>
      <c r="G922" t="s">
        <v>230</v>
      </c>
      <c r="H922" t="s">
        <v>109</v>
      </c>
      <c r="I922" t="s">
        <v>110</v>
      </c>
      <c r="J922" t="s">
        <v>3035</v>
      </c>
      <c r="K922" t="s">
        <v>162</v>
      </c>
      <c r="M922" t="s">
        <v>163</v>
      </c>
      <c r="N922" t="s">
        <v>96</v>
      </c>
      <c r="O922" s="27">
        <v>1336000</v>
      </c>
      <c r="P922">
        <v>3</v>
      </c>
      <c r="Q922" t="s">
        <v>164</v>
      </c>
      <c r="R922">
        <v>37</v>
      </c>
      <c r="S922" t="s">
        <v>274</v>
      </c>
      <c r="T922" t="str">
        <f>IF(COUNTIF($A$2:A922,A922)&gt;1,"Duplicate","Unique")</f>
        <v>Unique</v>
      </c>
    </row>
    <row r="923" spans="1:20" x14ac:dyDescent="0.45">
      <c r="A923" t="s">
        <v>1440</v>
      </c>
      <c r="B923" t="s">
        <v>1441</v>
      </c>
      <c r="C923" t="s">
        <v>51</v>
      </c>
      <c r="D923" t="s">
        <v>50</v>
      </c>
      <c r="E923" t="s">
        <v>181</v>
      </c>
      <c r="F923" t="s">
        <v>81</v>
      </c>
      <c r="G923" t="s">
        <v>182</v>
      </c>
      <c r="H923" t="s">
        <v>2788</v>
      </c>
      <c r="I923" t="s">
        <v>110</v>
      </c>
      <c r="J923" t="s">
        <v>3437</v>
      </c>
      <c r="K923" t="s">
        <v>162</v>
      </c>
      <c r="M923" t="s">
        <v>163</v>
      </c>
      <c r="N923" t="s">
        <v>99</v>
      </c>
      <c r="O923" s="27">
        <v>753000</v>
      </c>
      <c r="P923">
        <v>3</v>
      </c>
      <c r="Q923" t="s">
        <v>164</v>
      </c>
      <c r="R923">
        <v>41</v>
      </c>
      <c r="S923" t="s">
        <v>244</v>
      </c>
      <c r="T923" t="str">
        <f>IF(COUNTIF($A$2:A923,A923)&gt;1,"Duplicate","Unique")</f>
        <v>Unique</v>
      </c>
    </row>
    <row r="924" spans="1:20" x14ac:dyDescent="0.45">
      <c r="A924" t="s">
        <v>1592</v>
      </c>
      <c r="B924" t="s">
        <v>1593</v>
      </c>
      <c r="C924" t="s">
        <v>51</v>
      </c>
      <c r="D924" t="s">
        <v>50</v>
      </c>
      <c r="E924" t="s">
        <v>176</v>
      </c>
      <c r="F924" t="s">
        <v>82</v>
      </c>
      <c r="G924" t="s">
        <v>177</v>
      </c>
      <c r="H924" t="s">
        <v>106</v>
      </c>
      <c r="I924" t="s">
        <v>107</v>
      </c>
      <c r="J924" t="s">
        <v>3338</v>
      </c>
      <c r="K924" t="s">
        <v>162</v>
      </c>
      <c r="M924" t="s">
        <v>163</v>
      </c>
      <c r="N924" t="s">
        <v>99</v>
      </c>
      <c r="O924" s="27">
        <v>1326000</v>
      </c>
      <c r="P924">
        <v>3</v>
      </c>
      <c r="Q924" t="s">
        <v>164</v>
      </c>
      <c r="R924">
        <v>44</v>
      </c>
      <c r="S924" t="s">
        <v>178</v>
      </c>
      <c r="T924" t="str">
        <f>IF(COUNTIF($A$2:A924,A924)&gt;1,"Duplicate","Unique")</f>
        <v>Unique</v>
      </c>
    </row>
    <row r="925" spans="1:20" x14ac:dyDescent="0.45">
      <c r="A925" t="s">
        <v>2263</v>
      </c>
      <c r="B925" t="s">
        <v>566</v>
      </c>
      <c r="C925" t="s">
        <v>59</v>
      </c>
      <c r="D925" t="s">
        <v>58</v>
      </c>
      <c r="E925" t="s">
        <v>206</v>
      </c>
      <c r="F925" t="s">
        <v>81</v>
      </c>
      <c r="G925" t="s">
        <v>207</v>
      </c>
      <c r="H925" t="s">
        <v>106</v>
      </c>
      <c r="I925" t="s">
        <v>107</v>
      </c>
      <c r="J925" t="s">
        <v>3438</v>
      </c>
      <c r="K925" t="s">
        <v>162</v>
      </c>
      <c r="M925" t="s">
        <v>163</v>
      </c>
      <c r="N925" t="s">
        <v>95</v>
      </c>
      <c r="O925" s="27">
        <v>694000</v>
      </c>
      <c r="P925">
        <v>4</v>
      </c>
      <c r="Q925" t="s">
        <v>164</v>
      </c>
      <c r="R925">
        <v>42</v>
      </c>
      <c r="S925" t="s">
        <v>208</v>
      </c>
      <c r="T925" t="str">
        <f>IF(COUNTIF($A$2:A925,A925)&gt;1,"Duplicate","Unique")</f>
        <v>Unique</v>
      </c>
    </row>
    <row r="926" spans="1:20" x14ac:dyDescent="0.45">
      <c r="A926" t="s">
        <v>739</v>
      </c>
      <c r="B926" t="s">
        <v>740</v>
      </c>
      <c r="C926" t="s">
        <v>61</v>
      </c>
      <c r="D926" t="s">
        <v>60</v>
      </c>
      <c r="E926" t="s">
        <v>356</v>
      </c>
      <c r="F926" t="s">
        <v>81</v>
      </c>
      <c r="G926" t="s">
        <v>357</v>
      </c>
      <c r="H926" t="s">
        <v>108</v>
      </c>
      <c r="I926" t="s">
        <v>107</v>
      </c>
      <c r="J926" t="s">
        <v>3439</v>
      </c>
      <c r="K926" t="s">
        <v>170</v>
      </c>
      <c r="L926" t="s">
        <v>2726</v>
      </c>
      <c r="M926" t="s">
        <v>171</v>
      </c>
      <c r="N926" t="s">
        <v>99</v>
      </c>
      <c r="O926" s="27">
        <v>835000</v>
      </c>
      <c r="P926">
        <v>1</v>
      </c>
      <c r="Q926" t="s">
        <v>164</v>
      </c>
      <c r="R926">
        <v>19</v>
      </c>
      <c r="S926" t="s">
        <v>319</v>
      </c>
      <c r="T926" t="str">
        <f>IF(COUNTIF($A$2:A926,A926)&gt;1,"Duplicate","Unique")</f>
        <v>Unique</v>
      </c>
    </row>
    <row r="927" spans="1:20" x14ac:dyDescent="0.45">
      <c r="A927" t="s">
        <v>989</v>
      </c>
      <c r="B927" t="s">
        <v>232</v>
      </c>
      <c r="C927" t="s">
        <v>57</v>
      </c>
      <c r="D927" t="s">
        <v>56</v>
      </c>
      <c r="E927" t="s">
        <v>222</v>
      </c>
      <c r="F927" t="s">
        <v>82</v>
      </c>
      <c r="G927" t="s">
        <v>223</v>
      </c>
      <c r="H927" t="s">
        <v>109</v>
      </c>
      <c r="I927" t="s">
        <v>110</v>
      </c>
      <c r="J927" t="s">
        <v>3440</v>
      </c>
      <c r="K927" t="s">
        <v>187</v>
      </c>
      <c r="L927" t="s">
        <v>3441</v>
      </c>
      <c r="M927" t="s">
        <v>213</v>
      </c>
      <c r="N927" t="s">
        <v>96</v>
      </c>
      <c r="O927" s="27">
        <v>1012000</v>
      </c>
      <c r="P927">
        <v>3</v>
      </c>
      <c r="Q927" t="s">
        <v>164</v>
      </c>
      <c r="R927">
        <v>34</v>
      </c>
      <c r="S927" t="s">
        <v>224</v>
      </c>
      <c r="T927" t="str">
        <f>IF(COUNTIF($A$2:A927,A927)&gt;1,"Duplicate","Unique")</f>
        <v>Unique</v>
      </c>
    </row>
    <row r="928" spans="1:20" x14ac:dyDescent="0.45">
      <c r="A928" t="s">
        <v>1103</v>
      </c>
      <c r="B928" t="s">
        <v>873</v>
      </c>
      <c r="C928" t="s">
        <v>51</v>
      </c>
      <c r="D928" t="s">
        <v>50</v>
      </c>
      <c r="E928" t="s">
        <v>217</v>
      </c>
      <c r="F928" t="s">
        <v>83</v>
      </c>
      <c r="G928" t="s">
        <v>218</v>
      </c>
      <c r="H928" t="s">
        <v>109</v>
      </c>
      <c r="I928" t="s">
        <v>110</v>
      </c>
      <c r="J928" t="s">
        <v>2747</v>
      </c>
      <c r="K928" t="s">
        <v>162</v>
      </c>
      <c r="M928" t="s">
        <v>163</v>
      </c>
      <c r="N928" t="s">
        <v>99</v>
      </c>
      <c r="O928" s="27">
        <v>1928000</v>
      </c>
      <c r="P928">
        <v>3</v>
      </c>
      <c r="Q928" t="s">
        <v>172</v>
      </c>
      <c r="R928">
        <v>27</v>
      </c>
      <c r="S928" t="s">
        <v>244</v>
      </c>
      <c r="T928" t="str">
        <f>IF(COUNTIF($A$2:A928,A928)&gt;1,"Duplicate","Unique")</f>
        <v>Unique</v>
      </c>
    </row>
    <row r="929" spans="1:20" x14ac:dyDescent="0.45">
      <c r="A929" t="s">
        <v>2237</v>
      </c>
      <c r="B929" t="s">
        <v>2238</v>
      </c>
      <c r="C929" t="s">
        <v>61</v>
      </c>
      <c r="D929" t="s">
        <v>60</v>
      </c>
      <c r="E929" t="s">
        <v>356</v>
      </c>
      <c r="F929" t="s">
        <v>81</v>
      </c>
      <c r="G929" t="s">
        <v>357</v>
      </c>
      <c r="H929" t="s">
        <v>106</v>
      </c>
      <c r="I929" t="s">
        <v>107</v>
      </c>
      <c r="J929" t="s">
        <v>3282</v>
      </c>
      <c r="K929" t="s">
        <v>162</v>
      </c>
      <c r="M929" t="s">
        <v>163</v>
      </c>
      <c r="N929" t="s">
        <v>99</v>
      </c>
      <c r="O929" s="27">
        <v>744000</v>
      </c>
      <c r="Q929" t="s">
        <v>164</v>
      </c>
      <c r="R929">
        <v>26</v>
      </c>
      <c r="S929" t="s">
        <v>319</v>
      </c>
      <c r="T929" t="str">
        <f>IF(COUNTIF($A$2:A929,A929)&gt;1,"Duplicate","Unique")</f>
        <v>Unique</v>
      </c>
    </row>
    <row r="930" spans="1:20" x14ac:dyDescent="0.45">
      <c r="A930" t="s">
        <v>1988</v>
      </c>
      <c r="B930" t="s">
        <v>1980</v>
      </c>
      <c r="C930" t="s">
        <v>51</v>
      </c>
      <c r="D930" t="s">
        <v>50</v>
      </c>
      <c r="E930" t="s">
        <v>181</v>
      </c>
      <c r="F930" t="s">
        <v>81</v>
      </c>
      <c r="G930" t="s">
        <v>182</v>
      </c>
      <c r="H930" t="s">
        <v>109</v>
      </c>
      <c r="I930" t="s">
        <v>110</v>
      </c>
      <c r="J930" t="s">
        <v>3442</v>
      </c>
      <c r="K930" t="s">
        <v>162</v>
      </c>
      <c r="M930" t="s">
        <v>163</v>
      </c>
      <c r="N930" t="s">
        <v>95</v>
      </c>
      <c r="O930" s="27">
        <v>792000</v>
      </c>
      <c r="P930">
        <v>5</v>
      </c>
      <c r="Q930" t="s">
        <v>164</v>
      </c>
      <c r="R930">
        <v>41</v>
      </c>
      <c r="S930" t="s">
        <v>197</v>
      </c>
      <c r="T930" t="str">
        <f>IF(COUNTIF($A$2:A930,A930)&gt;1,"Duplicate","Unique")</f>
        <v>Unique</v>
      </c>
    </row>
    <row r="931" spans="1:20" x14ac:dyDescent="0.45">
      <c r="A931" t="s">
        <v>895</v>
      </c>
      <c r="B931" t="s">
        <v>658</v>
      </c>
      <c r="C931" t="s">
        <v>53</v>
      </c>
      <c r="D931" t="s">
        <v>52</v>
      </c>
      <c r="E931" t="s">
        <v>322</v>
      </c>
      <c r="F931" t="s">
        <v>81</v>
      </c>
      <c r="G931" t="s">
        <v>323</v>
      </c>
      <c r="H931" t="s">
        <v>112</v>
      </c>
      <c r="I931" t="s">
        <v>113</v>
      </c>
      <c r="J931" t="s">
        <v>2654</v>
      </c>
      <c r="K931" t="s">
        <v>162</v>
      </c>
      <c r="M931" t="s">
        <v>163</v>
      </c>
      <c r="N931" t="s">
        <v>99</v>
      </c>
      <c r="O931" s="27">
        <v>704000</v>
      </c>
      <c r="P931">
        <v>4</v>
      </c>
      <c r="Q931" t="s">
        <v>164</v>
      </c>
      <c r="R931">
        <v>51</v>
      </c>
      <c r="S931" t="s">
        <v>189</v>
      </c>
      <c r="T931" t="str">
        <f>IF(COUNTIF($A$2:A931,A931)&gt;1,"Duplicate","Unique")</f>
        <v>Unique</v>
      </c>
    </row>
    <row r="932" spans="1:20" x14ac:dyDescent="0.45">
      <c r="A932" t="s">
        <v>2036</v>
      </c>
      <c r="B932" t="s">
        <v>1775</v>
      </c>
      <c r="C932" t="s">
        <v>51</v>
      </c>
      <c r="D932" t="s">
        <v>50</v>
      </c>
      <c r="E932" t="s">
        <v>176</v>
      </c>
      <c r="F932" t="s">
        <v>82</v>
      </c>
      <c r="G932" t="s">
        <v>177</v>
      </c>
      <c r="H932" t="s">
        <v>108</v>
      </c>
      <c r="I932" t="s">
        <v>107</v>
      </c>
      <c r="J932" t="s">
        <v>3200</v>
      </c>
      <c r="K932" t="s">
        <v>162</v>
      </c>
      <c r="M932" t="s">
        <v>163</v>
      </c>
      <c r="N932" t="s">
        <v>99</v>
      </c>
      <c r="O932" s="27">
        <v>1228000</v>
      </c>
      <c r="P932">
        <v>3</v>
      </c>
      <c r="Q932" t="s">
        <v>164</v>
      </c>
      <c r="R932">
        <v>56</v>
      </c>
      <c r="S932" t="s">
        <v>197</v>
      </c>
      <c r="T932" t="str">
        <f>IF(COUNTIF($A$2:A932,A932)&gt;1,"Duplicate","Unique")</f>
        <v>Unique</v>
      </c>
    </row>
    <row r="933" spans="1:20" x14ac:dyDescent="0.45">
      <c r="A933" t="s">
        <v>904</v>
      </c>
      <c r="B933" t="s">
        <v>664</v>
      </c>
      <c r="C933" t="s">
        <v>55</v>
      </c>
      <c r="D933" t="s">
        <v>54</v>
      </c>
      <c r="E933" t="s">
        <v>240</v>
      </c>
      <c r="F933" t="s">
        <v>83</v>
      </c>
      <c r="G933" t="s">
        <v>241</v>
      </c>
      <c r="H933" t="s">
        <v>106</v>
      </c>
      <c r="I933" t="s">
        <v>107</v>
      </c>
      <c r="J933" t="s">
        <v>2723</v>
      </c>
      <c r="K933" t="s">
        <v>162</v>
      </c>
      <c r="M933" t="s">
        <v>163</v>
      </c>
      <c r="N933" t="s">
        <v>95</v>
      </c>
      <c r="O933" s="27">
        <v>1735000</v>
      </c>
      <c r="P933">
        <v>5</v>
      </c>
      <c r="Q933" t="s">
        <v>2631</v>
      </c>
      <c r="R933">
        <v>8</v>
      </c>
      <c r="S933" t="s">
        <v>173</v>
      </c>
      <c r="T933" t="str">
        <f>IF(COUNTIF($A$2:A933,A933)&gt;1,"Duplicate","Unique")</f>
        <v>Unique</v>
      </c>
    </row>
    <row r="934" spans="1:20" x14ac:dyDescent="0.45">
      <c r="A934" t="s">
        <v>1283</v>
      </c>
      <c r="B934" t="s">
        <v>1284</v>
      </c>
      <c r="C934" t="s">
        <v>53</v>
      </c>
      <c r="D934" t="s">
        <v>52</v>
      </c>
      <c r="E934" t="s">
        <v>185</v>
      </c>
      <c r="F934" t="s">
        <v>82</v>
      </c>
      <c r="G934" t="s">
        <v>186</v>
      </c>
      <c r="H934" t="s">
        <v>2550</v>
      </c>
      <c r="I934" t="s">
        <v>107</v>
      </c>
      <c r="J934" t="s">
        <v>2750</v>
      </c>
      <c r="K934" t="s">
        <v>162</v>
      </c>
      <c r="M934" t="s">
        <v>163</v>
      </c>
      <c r="N934" t="s">
        <v>97</v>
      </c>
      <c r="O934" s="27">
        <v>892000</v>
      </c>
      <c r="P934">
        <v>4</v>
      </c>
      <c r="Q934" t="s">
        <v>164</v>
      </c>
      <c r="R934">
        <v>45</v>
      </c>
      <c r="S934" t="s">
        <v>189</v>
      </c>
      <c r="T934" t="str">
        <f>IF(COUNTIF($A$2:A934,A934)&gt;1,"Duplicate","Unique")</f>
        <v>Unique</v>
      </c>
    </row>
    <row r="935" spans="1:20" x14ac:dyDescent="0.45">
      <c r="A935" t="s">
        <v>674</v>
      </c>
      <c r="B935" t="s">
        <v>675</v>
      </c>
      <c r="C935" t="s">
        <v>53</v>
      </c>
      <c r="D935" t="s">
        <v>52</v>
      </c>
      <c r="E935" t="s">
        <v>185</v>
      </c>
      <c r="F935" t="s">
        <v>82</v>
      </c>
      <c r="G935" t="s">
        <v>186</v>
      </c>
      <c r="H935" t="s">
        <v>106</v>
      </c>
      <c r="I935" t="s">
        <v>107</v>
      </c>
      <c r="J935" t="s">
        <v>3443</v>
      </c>
      <c r="K935" t="s">
        <v>187</v>
      </c>
      <c r="L935" t="s">
        <v>3444</v>
      </c>
      <c r="M935" t="s">
        <v>308</v>
      </c>
      <c r="N935" t="s">
        <v>98</v>
      </c>
      <c r="O935" s="27">
        <v>1000000</v>
      </c>
      <c r="P935">
        <v>4</v>
      </c>
      <c r="Q935" t="s">
        <v>164</v>
      </c>
      <c r="R935">
        <v>36</v>
      </c>
      <c r="S935" t="s">
        <v>189</v>
      </c>
      <c r="T935" t="str">
        <f>IF(COUNTIF($A$2:A935,A935)&gt;1,"Duplicate","Unique")</f>
        <v>Unique</v>
      </c>
    </row>
    <row r="936" spans="1:20" x14ac:dyDescent="0.45">
      <c r="A936" t="s">
        <v>414</v>
      </c>
      <c r="B936" t="s">
        <v>415</v>
      </c>
      <c r="C936" t="s">
        <v>57</v>
      </c>
      <c r="D936" t="s">
        <v>56</v>
      </c>
      <c r="E936" t="s">
        <v>222</v>
      </c>
      <c r="F936" t="s">
        <v>82</v>
      </c>
      <c r="G936" t="s">
        <v>223</v>
      </c>
      <c r="H936" t="s">
        <v>109</v>
      </c>
      <c r="I936" t="s">
        <v>110</v>
      </c>
      <c r="J936" t="s">
        <v>3445</v>
      </c>
      <c r="K936" t="s">
        <v>187</v>
      </c>
      <c r="L936" t="s">
        <v>3446</v>
      </c>
      <c r="M936" t="s">
        <v>213</v>
      </c>
      <c r="N936" t="s">
        <v>98</v>
      </c>
      <c r="O936" s="27">
        <v>1062000</v>
      </c>
      <c r="P936">
        <v>3</v>
      </c>
      <c r="Q936" t="s">
        <v>172</v>
      </c>
      <c r="R936">
        <v>35</v>
      </c>
      <c r="S936" t="s">
        <v>224</v>
      </c>
      <c r="T936" t="str">
        <f>IF(COUNTIF($A$2:A936,A936)&gt;1,"Duplicate","Unique")</f>
        <v>Unique</v>
      </c>
    </row>
    <row r="937" spans="1:20" x14ac:dyDescent="0.45">
      <c r="A937" t="s">
        <v>532</v>
      </c>
      <c r="B937" t="s">
        <v>533</v>
      </c>
      <c r="C937" t="s">
        <v>51</v>
      </c>
      <c r="D937" t="s">
        <v>50</v>
      </c>
      <c r="E937" t="s">
        <v>181</v>
      </c>
      <c r="F937" t="s">
        <v>81</v>
      </c>
      <c r="G937" t="s">
        <v>182</v>
      </c>
      <c r="H937" t="s">
        <v>108</v>
      </c>
      <c r="I937" t="s">
        <v>107</v>
      </c>
      <c r="J937" t="s">
        <v>3447</v>
      </c>
      <c r="K937" t="s">
        <v>187</v>
      </c>
      <c r="L937" t="s">
        <v>3448</v>
      </c>
      <c r="M937" t="s">
        <v>213</v>
      </c>
      <c r="N937" t="s">
        <v>95</v>
      </c>
      <c r="O937" s="27">
        <v>748000</v>
      </c>
      <c r="P937">
        <v>3</v>
      </c>
      <c r="Q937" t="s">
        <v>172</v>
      </c>
      <c r="R937">
        <v>29</v>
      </c>
      <c r="S937" t="s">
        <v>178</v>
      </c>
      <c r="T937" t="str">
        <f>IF(COUNTIF($A$2:A937,A937)&gt;1,"Duplicate","Unique")</f>
        <v>Unique</v>
      </c>
    </row>
    <row r="938" spans="1:20" x14ac:dyDescent="0.45">
      <c r="A938" t="s">
        <v>1359</v>
      </c>
      <c r="B938" t="s">
        <v>767</v>
      </c>
      <c r="C938" t="s">
        <v>55</v>
      </c>
      <c r="D938" t="s">
        <v>54</v>
      </c>
      <c r="E938" t="s">
        <v>229</v>
      </c>
      <c r="F938" t="s">
        <v>82</v>
      </c>
      <c r="G938" t="s">
        <v>230</v>
      </c>
      <c r="H938" t="s">
        <v>108</v>
      </c>
      <c r="I938" t="s">
        <v>107</v>
      </c>
      <c r="J938" t="s">
        <v>3258</v>
      </c>
      <c r="K938" t="s">
        <v>162</v>
      </c>
      <c r="M938" t="s">
        <v>163</v>
      </c>
      <c r="N938" t="s">
        <v>98</v>
      </c>
      <c r="O938" s="27">
        <v>1212000</v>
      </c>
      <c r="P938">
        <v>4</v>
      </c>
      <c r="Q938" t="s">
        <v>172</v>
      </c>
      <c r="R938">
        <v>28</v>
      </c>
      <c r="S938" t="s">
        <v>173</v>
      </c>
      <c r="T938" t="str">
        <f>IF(COUNTIF($A$2:A938,A938)&gt;1,"Duplicate","Unique")</f>
        <v>Unique</v>
      </c>
    </row>
    <row r="939" spans="1:20" x14ac:dyDescent="0.45">
      <c r="A939" t="s">
        <v>1171</v>
      </c>
      <c r="B939" t="s">
        <v>1172</v>
      </c>
      <c r="C939" t="s">
        <v>55</v>
      </c>
      <c r="D939" t="s">
        <v>54</v>
      </c>
      <c r="E939" t="s">
        <v>277</v>
      </c>
      <c r="F939" t="s">
        <v>81</v>
      </c>
      <c r="G939" t="s">
        <v>278</v>
      </c>
      <c r="H939" t="s">
        <v>109</v>
      </c>
      <c r="I939" t="s">
        <v>110</v>
      </c>
      <c r="J939" t="s">
        <v>3449</v>
      </c>
      <c r="K939" t="s">
        <v>170</v>
      </c>
      <c r="L939" t="s">
        <v>2824</v>
      </c>
      <c r="M939" t="s">
        <v>171</v>
      </c>
      <c r="N939" t="s">
        <v>95</v>
      </c>
      <c r="O939" s="27">
        <v>613000</v>
      </c>
      <c r="P939">
        <v>2</v>
      </c>
      <c r="Q939" t="s">
        <v>164</v>
      </c>
      <c r="R939">
        <v>4</v>
      </c>
      <c r="S939" t="s">
        <v>173</v>
      </c>
      <c r="T939" t="str">
        <f>IF(COUNTIF($A$2:A939,A939)&gt;1,"Duplicate","Unique")</f>
        <v>Unique</v>
      </c>
    </row>
    <row r="940" spans="1:20" x14ac:dyDescent="0.45">
      <c r="A940" t="s">
        <v>1410</v>
      </c>
      <c r="B940" t="s">
        <v>1411</v>
      </c>
      <c r="C940" t="s">
        <v>57</v>
      </c>
      <c r="D940" t="s">
        <v>56</v>
      </c>
      <c r="E940" t="s">
        <v>222</v>
      </c>
      <c r="F940" t="s">
        <v>82</v>
      </c>
      <c r="G940" t="s">
        <v>223</v>
      </c>
      <c r="H940" t="s">
        <v>106</v>
      </c>
      <c r="I940" t="s">
        <v>107</v>
      </c>
      <c r="J940" t="s">
        <v>3315</v>
      </c>
      <c r="K940" t="s">
        <v>162</v>
      </c>
      <c r="M940" t="s">
        <v>163</v>
      </c>
      <c r="N940" t="s">
        <v>99</v>
      </c>
      <c r="O940" s="27">
        <v>936000</v>
      </c>
      <c r="P940">
        <v>4</v>
      </c>
      <c r="Q940" t="s">
        <v>172</v>
      </c>
      <c r="R940">
        <v>18</v>
      </c>
      <c r="S940" t="s">
        <v>224</v>
      </c>
      <c r="T940" t="str">
        <f>IF(COUNTIF($A$2:A940,A940)&gt;1,"Duplicate","Unique")</f>
        <v>Unique</v>
      </c>
    </row>
    <row r="941" spans="1:20" x14ac:dyDescent="0.45">
      <c r="A941" t="s">
        <v>1120</v>
      </c>
      <c r="B941" t="s">
        <v>466</v>
      </c>
      <c r="C941" t="s">
        <v>51</v>
      </c>
      <c r="D941" t="s">
        <v>50</v>
      </c>
      <c r="E941" t="s">
        <v>181</v>
      </c>
      <c r="F941" t="s">
        <v>81</v>
      </c>
      <c r="G941" t="s">
        <v>182</v>
      </c>
      <c r="H941" t="s">
        <v>106</v>
      </c>
      <c r="I941" t="s">
        <v>107</v>
      </c>
      <c r="J941" t="s">
        <v>3450</v>
      </c>
      <c r="K941" t="s">
        <v>162</v>
      </c>
      <c r="M941" t="s">
        <v>163</v>
      </c>
      <c r="N941" t="s">
        <v>96</v>
      </c>
      <c r="O941" s="27">
        <v>735000</v>
      </c>
      <c r="P941">
        <v>4</v>
      </c>
      <c r="Q941" t="s">
        <v>164</v>
      </c>
      <c r="R941">
        <v>44</v>
      </c>
      <c r="S941" t="s">
        <v>244</v>
      </c>
      <c r="T941" t="str">
        <f>IF(COUNTIF($A$2:A941,A941)&gt;1,"Duplicate","Unique")</f>
        <v>Unique</v>
      </c>
    </row>
    <row r="942" spans="1:20" x14ac:dyDescent="0.45">
      <c r="A942" t="s">
        <v>2149</v>
      </c>
      <c r="B942" t="s">
        <v>2150</v>
      </c>
      <c r="C942" t="s">
        <v>57</v>
      </c>
      <c r="D942" t="s">
        <v>56</v>
      </c>
      <c r="E942" t="s">
        <v>222</v>
      </c>
      <c r="F942" t="s">
        <v>82</v>
      </c>
      <c r="G942" t="s">
        <v>223</v>
      </c>
      <c r="H942" t="s">
        <v>106</v>
      </c>
      <c r="I942" t="s">
        <v>107</v>
      </c>
      <c r="J942" t="s">
        <v>3019</v>
      </c>
      <c r="K942" t="s">
        <v>187</v>
      </c>
      <c r="L942" t="s">
        <v>2529</v>
      </c>
      <c r="M942" t="s">
        <v>282</v>
      </c>
      <c r="N942" t="s">
        <v>99</v>
      </c>
      <c r="O942" s="27">
        <v>906000</v>
      </c>
      <c r="P942">
        <v>4</v>
      </c>
      <c r="Q942" t="s">
        <v>2525</v>
      </c>
      <c r="R942">
        <v>38</v>
      </c>
      <c r="S942" t="s">
        <v>224</v>
      </c>
      <c r="T942" t="str">
        <f>IF(COUNTIF($A$2:A942,A942)&gt;1,"Duplicate","Unique")</f>
        <v>Unique</v>
      </c>
    </row>
    <row r="943" spans="1:20" x14ac:dyDescent="0.45">
      <c r="A943" t="s">
        <v>1321</v>
      </c>
      <c r="B943" t="s">
        <v>305</v>
      </c>
      <c r="C943" t="s">
        <v>57</v>
      </c>
      <c r="D943" t="s">
        <v>56</v>
      </c>
      <c r="E943" t="s">
        <v>160</v>
      </c>
      <c r="F943" t="s">
        <v>81</v>
      </c>
      <c r="G943" t="s">
        <v>161</v>
      </c>
      <c r="H943" t="s">
        <v>108</v>
      </c>
      <c r="I943" t="s">
        <v>107</v>
      </c>
      <c r="J943" t="s">
        <v>3451</v>
      </c>
      <c r="K943" t="s">
        <v>162</v>
      </c>
      <c r="M943" t="s">
        <v>163</v>
      </c>
      <c r="N943" t="s">
        <v>96</v>
      </c>
      <c r="O943" s="27">
        <v>738000</v>
      </c>
      <c r="P943">
        <v>3</v>
      </c>
      <c r="Q943" t="s">
        <v>164</v>
      </c>
      <c r="R943">
        <v>31</v>
      </c>
      <c r="S943" t="s">
        <v>224</v>
      </c>
      <c r="T943" t="str">
        <f>IF(COUNTIF($A$2:A943,A943)&gt;1,"Duplicate","Unique")</f>
        <v>Unique</v>
      </c>
    </row>
    <row r="944" spans="1:20" x14ac:dyDescent="0.45">
      <c r="A944" t="s">
        <v>803</v>
      </c>
      <c r="B944" t="s">
        <v>804</v>
      </c>
      <c r="C944" t="s">
        <v>51</v>
      </c>
      <c r="D944" t="s">
        <v>50</v>
      </c>
      <c r="E944" t="s">
        <v>181</v>
      </c>
      <c r="F944" t="s">
        <v>81</v>
      </c>
      <c r="G944" t="s">
        <v>182</v>
      </c>
      <c r="H944" t="s">
        <v>106</v>
      </c>
      <c r="I944" t="s">
        <v>107</v>
      </c>
      <c r="J944" t="s">
        <v>3452</v>
      </c>
      <c r="K944" t="s">
        <v>187</v>
      </c>
      <c r="L944" t="s">
        <v>3141</v>
      </c>
      <c r="M944" t="s">
        <v>282</v>
      </c>
      <c r="N944" t="s">
        <v>96</v>
      </c>
      <c r="O944" s="27">
        <v>557000</v>
      </c>
      <c r="P944">
        <v>3</v>
      </c>
      <c r="Q944" t="s">
        <v>164</v>
      </c>
      <c r="R944">
        <v>24</v>
      </c>
      <c r="S944" t="s">
        <v>197</v>
      </c>
      <c r="T944" t="str">
        <f>IF(COUNTIF($A$2:A944,A944)&gt;1,"Duplicate","Unique")</f>
        <v>Unique</v>
      </c>
    </row>
    <row r="945" spans="1:20" x14ac:dyDescent="0.45">
      <c r="A945" t="s">
        <v>529</v>
      </c>
      <c r="B945" t="s">
        <v>477</v>
      </c>
      <c r="C945" t="s">
        <v>59</v>
      </c>
      <c r="D945" t="s">
        <v>58</v>
      </c>
      <c r="E945" t="s">
        <v>287</v>
      </c>
      <c r="F945" t="s">
        <v>83</v>
      </c>
      <c r="G945" t="s">
        <v>288</v>
      </c>
      <c r="H945" t="s">
        <v>108</v>
      </c>
      <c r="I945" t="s">
        <v>107</v>
      </c>
      <c r="J945" t="s">
        <v>3453</v>
      </c>
      <c r="K945" t="s">
        <v>162</v>
      </c>
      <c r="M945" t="s">
        <v>163</v>
      </c>
      <c r="N945" t="s">
        <v>95</v>
      </c>
      <c r="O945" s="27">
        <v>1571000</v>
      </c>
      <c r="P945">
        <v>5</v>
      </c>
      <c r="Q945" t="s">
        <v>172</v>
      </c>
      <c r="R945">
        <v>41</v>
      </c>
      <c r="S945" t="s">
        <v>208</v>
      </c>
      <c r="T945" t="str">
        <f>IF(COUNTIF($A$2:A945,A945)&gt;1,"Duplicate","Unique")</f>
        <v>Unique</v>
      </c>
    </row>
    <row r="946" spans="1:20" x14ac:dyDescent="0.45">
      <c r="A946" t="s">
        <v>1772</v>
      </c>
      <c r="B946" t="s">
        <v>1166</v>
      </c>
      <c r="C946" t="s">
        <v>51</v>
      </c>
      <c r="D946" t="s">
        <v>50</v>
      </c>
      <c r="E946" t="s">
        <v>217</v>
      </c>
      <c r="F946" t="s">
        <v>83</v>
      </c>
      <c r="G946" t="s">
        <v>218</v>
      </c>
      <c r="H946" t="s">
        <v>106</v>
      </c>
      <c r="I946" t="s">
        <v>107</v>
      </c>
      <c r="J946" t="s">
        <v>3454</v>
      </c>
      <c r="K946" t="s">
        <v>162</v>
      </c>
      <c r="M946" t="s">
        <v>163</v>
      </c>
      <c r="N946" t="s">
        <v>96</v>
      </c>
      <c r="O946" s="27">
        <v>1885000</v>
      </c>
      <c r="P946">
        <v>4</v>
      </c>
      <c r="Q946" t="s">
        <v>164</v>
      </c>
      <c r="R946">
        <v>32</v>
      </c>
      <c r="S946" t="s">
        <v>197</v>
      </c>
      <c r="T946" t="str">
        <f>IF(COUNTIF($A$2:A946,A946)&gt;1,"Duplicate","Unique")</f>
        <v>Unique</v>
      </c>
    </row>
    <row r="947" spans="1:20" x14ac:dyDescent="0.45">
      <c r="A947" t="s">
        <v>2334</v>
      </c>
      <c r="B947" t="s">
        <v>2335</v>
      </c>
      <c r="C947" t="s">
        <v>55</v>
      </c>
      <c r="D947" t="s">
        <v>54</v>
      </c>
      <c r="E947" t="s">
        <v>240</v>
      </c>
      <c r="F947" t="s">
        <v>83</v>
      </c>
      <c r="G947" t="s">
        <v>241</v>
      </c>
      <c r="H947" t="s">
        <v>106</v>
      </c>
      <c r="I947" t="s">
        <v>107</v>
      </c>
      <c r="J947" t="s">
        <v>2868</v>
      </c>
      <c r="K947" t="s">
        <v>162</v>
      </c>
      <c r="M947" t="s">
        <v>163</v>
      </c>
      <c r="N947" t="s">
        <v>96</v>
      </c>
      <c r="O947" s="27">
        <v>1650000</v>
      </c>
      <c r="Q947" t="s">
        <v>172</v>
      </c>
      <c r="R947">
        <v>18</v>
      </c>
      <c r="S947" t="s">
        <v>274</v>
      </c>
      <c r="T947" t="str">
        <f>IF(COUNTIF($A$2:A947,A947)&gt;1,"Duplicate","Unique")</f>
        <v>Unique</v>
      </c>
    </row>
    <row r="948" spans="1:20" x14ac:dyDescent="0.45">
      <c r="A948" t="s">
        <v>1727</v>
      </c>
      <c r="B948" t="s">
        <v>1553</v>
      </c>
      <c r="C948" t="s">
        <v>61</v>
      </c>
      <c r="D948" t="s">
        <v>60</v>
      </c>
      <c r="E948" t="s">
        <v>251</v>
      </c>
      <c r="F948" t="s">
        <v>82</v>
      </c>
      <c r="G948" t="s">
        <v>252</v>
      </c>
      <c r="H948" t="s">
        <v>108</v>
      </c>
      <c r="I948" t="s">
        <v>107</v>
      </c>
      <c r="J948" t="s">
        <v>3455</v>
      </c>
      <c r="K948" t="s">
        <v>162</v>
      </c>
      <c r="M948" t="s">
        <v>163</v>
      </c>
      <c r="N948" t="s">
        <v>99</v>
      </c>
      <c r="O948" s="27">
        <v>1061000</v>
      </c>
      <c r="P948">
        <v>4</v>
      </c>
      <c r="Q948" t="s">
        <v>164</v>
      </c>
      <c r="R948">
        <v>57</v>
      </c>
      <c r="S948" t="s">
        <v>319</v>
      </c>
      <c r="T948" t="str">
        <f>IF(COUNTIF($A$2:A948,A948)&gt;1,"Duplicate","Unique")</f>
        <v>Unique</v>
      </c>
    </row>
    <row r="949" spans="1:20" x14ac:dyDescent="0.45">
      <c r="A949" t="s">
        <v>1202</v>
      </c>
      <c r="B949" t="s">
        <v>742</v>
      </c>
      <c r="C949" t="s">
        <v>55</v>
      </c>
      <c r="D949" t="s">
        <v>54</v>
      </c>
      <c r="E949" t="s">
        <v>229</v>
      </c>
      <c r="F949" t="s">
        <v>82</v>
      </c>
      <c r="G949" t="s">
        <v>230</v>
      </c>
      <c r="H949" t="s">
        <v>106</v>
      </c>
      <c r="I949" t="s">
        <v>107</v>
      </c>
      <c r="J949" t="s">
        <v>2664</v>
      </c>
      <c r="K949" t="s">
        <v>162</v>
      </c>
      <c r="M949" t="s">
        <v>163</v>
      </c>
      <c r="N949" t="s">
        <v>96</v>
      </c>
      <c r="O949" s="27">
        <v>1161000</v>
      </c>
      <c r="P949">
        <v>3</v>
      </c>
      <c r="Q949" t="s">
        <v>172</v>
      </c>
      <c r="S949" t="s">
        <v>274</v>
      </c>
      <c r="T949" t="str">
        <f>IF(COUNTIF($A$2:A949,A949)&gt;1,"Duplicate","Unique")</f>
        <v>Unique</v>
      </c>
    </row>
    <row r="950" spans="1:20" x14ac:dyDescent="0.45">
      <c r="A950" t="s">
        <v>1833</v>
      </c>
      <c r="B950" t="s">
        <v>1101</v>
      </c>
      <c r="C950" t="s">
        <v>51</v>
      </c>
      <c r="D950" t="s">
        <v>50</v>
      </c>
      <c r="E950" t="s">
        <v>176</v>
      </c>
      <c r="F950" t="s">
        <v>82</v>
      </c>
      <c r="G950" t="s">
        <v>177</v>
      </c>
      <c r="H950" t="s">
        <v>111</v>
      </c>
      <c r="I950" t="s">
        <v>110</v>
      </c>
      <c r="J950" t="s">
        <v>3456</v>
      </c>
      <c r="K950" t="s">
        <v>162</v>
      </c>
      <c r="M950" t="s">
        <v>163</v>
      </c>
      <c r="N950" t="s">
        <v>99</v>
      </c>
      <c r="O950" s="27">
        <v>1085000</v>
      </c>
      <c r="P950">
        <v>2</v>
      </c>
      <c r="Q950" t="s">
        <v>164</v>
      </c>
      <c r="R950">
        <v>24</v>
      </c>
      <c r="S950" t="s">
        <v>178</v>
      </c>
      <c r="T950" t="str">
        <f>IF(COUNTIF($A$2:A950,A950)&gt;1,"Duplicate","Unique")</f>
        <v>Unique</v>
      </c>
    </row>
    <row r="951" spans="1:20" x14ac:dyDescent="0.45">
      <c r="A951" t="s">
        <v>1314</v>
      </c>
      <c r="B951" t="s">
        <v>1315</v>
      </c>
      <c r="C951" t="s">
        <v>59</v>
      </c>
      <c r="D951" t="s">
        <v>58</v>
      </c>
      <c r="E951" t="s">
        <v>206</v>
      </c>
      <c r="F951" t="s">
        <v>81</v>
      </c>
      <c r="G951" t="s">
        <v>207</v>
      </c>
      <c r="H951" t="s">
        <v>108</v>
      </c>
      <c r="I951" t="s">
        <v>107</v>
      </c>
      <c r="J951" t="s">
        <v>3457</v>
      </c>
      <c r="K951" t="s">
        <v>187</v>
      </c>
      <c r="L951" t="s">
        <v>3458</v>
      </c>
      <c r="M951" t="s">
        <v>269</v>
      </c>
      <c r="N951" t="s">
        <v>99</v>
      </c>
      <c r="O951" s="27">
        <v>747000</v>
      </c>
      <c r="P951">
        <v>4</v>
      </c>
      <c r="Q951" t="s">
        <v>164</v>
      </c>
      <c r="R951">
        <v>35</v>
      </c>
      <c r="S951" t="s">
        <v>214</v>
      </c>
      <c r="T951" t="str">
        <f>IF(COUNTIF($A$2:A951,A951)&gt;1,"Duplicate","Unique")</f>
        <v>Unique</v>
      </c>
    </row>
    <row r="952" spans="1:20" x14ac:dyDescent="0.45">
      <c r="A952" t="s">
        <v>1490</v>
      </c>
      <c r="B952" t="s">
        <v>3459</v>
      </c>
      <c r="C952" t="s">
        <v>51</v>
      </c>
      <c r="D952" t="s">
        <v>50</v>
      </c>
      <c r="E952" t="s">
        <v>397</v>
      </c>
      <c r="F952" t="s">
        <v>84</v>
      </c>
      <c r="G952" t="s">
        <v>398</v>
      </c>
      <c r="H952" t="s">
        <v>108</v>
      </c>
      <c r="I952" t="s">
        <v>107</v>
      </c>
      <c r="J952" t="s">
        <v>3022</v>
      </c>
      <c r="K952" t="s">
        <v>187</v>
      </c>
      <c r="L952" t="s">
        <v>3460</v>
      </c>
      <c r="M952" t="s">
        <v>282</v>
      </c>
      <c r="N952" t="s">
        <v>99</v>
      </c>
      <c r="O952" s="27">
        <v>2998000</v>
      </c>
      <c r="P952">
        <v>3</v>
      </c>
      <c r="Q952" t="s">
        <v>172</v>
      </c>
      <c r="R952">
        <v>28</v>
      </c>
      <c r="S952" t="s">
        <v>244</v>
      </c>
      <c r="T952" t="str">
        <f>IF(COUNTIF($A$2:A952,A952)&gt;1,"Duplicate","Unique")</f>
        <v>Unique</v>
      </c>
    </row>
    <row r="953" spans="1:20" x14ac:dyDescent="0.45">
      <c r="A953" t="s">
        <v>1814</v>
      </c>
      <c r="B953" t="s">
        <v>1815</v>
      </c>
      <c r="C953" t="s">
        <v>51</v>
      </c>
      <c r="D953" t="s">
        <v>50</v>
      </c>
      <c r="E953" t="s">
        <v>217</v>
      </c>
      <c r="F953" t="s">
        <v>83</v>
      </c>
      <c r="G953" t="s">
        <v>218</v>
      </c>
      <c r="H953" t="s">
        <v>108</v>
      </c>
      <c r="I953" t="s">
        <v>107</v>
      </c>
      <c r="J953" t="s">
        <v>3461</v>
      </c>
      <c r="K953" t="s">
        <v>162</v>
      </c>
      <c r="M953" t="s">
        <v>163</v>
      </c>
      <c r="N953" t="s">
        <v>97</v>
      </c>
      <c r="O953" s="27">
        <v>2095000</v>
      </c>
      <c r="P953">
        <v>5</v>
      </c>
      <c r="Q953" t="s">
        <v>164</v>
      </c>
      <c r="R953">
        <v>69</v>
      </c>
      <c r="S953" t="s">
        <v>244</v>
      </c>
      <c r="T953" t="str">
        <f>IF(COUNTIF($A$2:A953,A953)&gt;1,"Duplicate","Unique")</f>
        <v>Unique</v>
      </c>
    </row>
    <row r="954" spans="1:20" x14ac:dyDescent="0.45">
      <c r="A954" t="s">
        <v>408</v>
      </c>
      <c r="B954" t="s">
        <v>390</v>
      </c>
      <c r="C954" t="s">
        <v>57</v>
      </c>
      <c r="D954" t="s">
        <v>56</v>
      </c>
      <c r="E954" t="s">
        <v>160</v>
      </c>
      <c r="F954" t="s">
        <v>81</v>
      </c>
      <c r="G954" t="s">
        <v>161</v>
      </c>
      <c r="H954" t="s">
        <v>106</v>
      </c>
      <c r="I954" t="s">
        <v>107</v>
      </c>
      <c r="J954" t="s">
        <v>3462</v>
      </c>
      <c r="K954" t="s">
        <v>187</v>
      </c>
      <c r="L954" t="s">
        <v>3463</v>
      </c>
      <c r="M954" t="s">
        <v>282</v>
      </c>
      <c r="N954" t="s">
        <v>99</v>
      </c>
      <c r="O954" s="27">
        <v>657000</v>
      </c>
      <c r="P954">
        <v>5</v>
      </c>
      <c r="Q954" t="s">
        <v>164</v>
      </c>
      <c r="R954">
        <v>29</v>
      </c>
      <c r="S954" t="s">
        <v>224</v>
      </c>
      <c r="T954" t="str">
        <f>IF(COUNTIF($A$2:A954,A954)&gt;1,"Duplicate","Unique")</f>
        <v>Unique</v>
      </c>
    </row>
    <row r="955" spans="1:20" x14ac:dyDescent="0.45">
      <c r="A955" t="s">
        <v>766</v>
      </c>
      <c r="B955" t="s">
        <v>767</v>
      </c>
      <c r="C955" t="s">
        <v>53</v>
      </c>
      <c r="D955" t="s">
        <v>52</v>
      </c>
      <c r="E955" t="s">
        <v>192</v>
      </c>
      <c r="F955" t="s">
        <v>83</v>
      </c>
      <c r="G955" t="s">
        <v>193</v>
      </c>
      <c r="H955" t="s">
        <v>2963</v>
      </c>
      <c r="I955" t="s">
        <v>107</v>
      </c>
      <c r="J955" t="s">
        <v>3464</v>
      </c>
      <c r="K955" t="s">
        <v>170</v>
      </c>
      <c r="L955" t="s">
        <v>3465</v>
      </c>
      <c r="M955" t="s">
        <v>171</v>
      </c>
      <c r="N955" t="s">
        <v>97</v>
      </c>
      <c r="O955" s="27">
        <v>1441000</v>
      </c>
      <c r="P955">
        <v>3</v>
      </c>
      <c r="Q955" t="s">
        <v>164</v>
      </c>
      <c r="S955" t="s">
        <v>189</v>
      </c>
      <c r="T955" t="str">
        <f>IF(COUNTIF($A$2:A955,A955)&gt;1,"Duplicate","Unique")</f>
        <v>Unique</v>
      </c>
    </row>
    <row r="956" spans="1:20" x14ac:dyDescent="0.45">
      <c r="A956" t="s">
        <v>2181</v>
      </c>
      <c r="B956" t="s">
        <v>1542</v>
      </c>
      <c r="C956" t="s">
        <v>55</v>
      </c>
      <c r="D956" t="s">
        <v>54</v>
      </c>
      <c r="E956" t="s">
        <v>229</v>
      </c>
      <c r="F956" t="s">
        <v>82</v>
      </c>
      <c r="G956" t="s">
        <v>230</v>
      </c>
      <c r="H956" t="s">
        <v>109</v>
      </c>
      <c r="I956" t="s">
        <v>110</v>
      </c>
      <c r="J956" t="s">
        <v>3466</v>
      </c>
      <c r="K956" t="s">
        <v>162</v>
      </c>
      <c r="M956" t="s">
        <v>163</v>
      </c>
      <c r="N956" t="s">
        <v>96</v>
      </c>
      <c r="O956" s="27">
        <v>1287000</v>
      </c>
      <c r="P956">
        <v>5</v>
      </c>
      <c r="Q956" t="s">
        <v>164</v>
      </c>
      <c r="R956">
        <v>29</v>
      </c>
      <c r="S956" t="s">
        <v>274</v>
      </c>
      <c r="T956" t="str">
        <f>IF(COUNTIF($A$2:A956,A956)&gt;1,"Duplicate","Unique")</f>
        <v>Unique</v>
      </c>
    </row>
    <row r="957" spans="1:20" x14ac:dyDescent="0.45">
      <c r="A957" t="s">
        <v>530</v>
      </c>
      <c r="B957" t="s">
        <v>531</v>
      </c>
      <c r="C957" t="s">
        <v>51</v>
      </c>
      <c r="D957" t="s">
        <v>50</v>
      </c>
      <c r="E957" t="s">
        <v>217</v>
      </c>
      <c r="F957" t="s">
        <v>83</v>
      </c>
      <c r="G957" t="s">
        <v>218</v>
      </c>
      <c r="H957" t="s">
        <v>112</v>
      </c>
      <c r="I957" t="s">
        <v>113</v>
      </c>
      <c r="J957" t="s">
        <v>3467</v>
      </c>
      <c r="K957" t="s">
        <v>162</v>
      </c>
      <c r="M957" t="s">
        <v>163</v>
      </c>
      <c r="N957" t="s">
        <v>96</v>
      </c>
      <c r="O957" s="27">
        <v>2081000</v>
      </c>
      <c r="P957">
        <v>5</v>
      </c>
      <c r="Q957" t="s">
        <v>164</v>
      </c>
      <c r="R957">
        <v>31</v>
      </c>
      <c r="S957" t="s">
        <v>244</v>
      </c>
      <c r="T957" t="str">
        <f>IF(COUNTIF($A$2:A957,A957)&gt;1,"Duplicate","Unique")</f>
        <v>Unique</v>
      </c>
    </row>
    <row r="958" spans="1:20" x14ac:dyDescent="0.45">
      <c r="A958" t="s">
        <v>1417</v>
      </c>
      <c r="B958" t="s">
        <v>1418</v>
      </c>
      <c r="C958" t="s">
        <v>53</v>
      </c>
      <c r="D958" t="s">
        <v>52</v>
      </c>
      <c r="E958" t="s">
        <v>322</v>
      </c>
      <c r="F958" t="s">
        <v>81</v>
      </c>
      <c r="G958" t="s">
        <v>323</v>
      </c>
      <c r="H958" t="s">
        <v>108</v>
      </c>
      <c r="I958" t="s">
        <v>107</v>
      </c>
      <c r="J958" t="s">
        <v>3468</v>
      </c>
      <c r="K958" t="s">
        <v>162</v>
      </c>
      <c r="M958" t="s">
        <v>163</v>
      </c>
      <c r="N958" t="s">
        <v>97</v>
      </c>
      <c r="O958" s="27">
        <v>739000</v>
      </c>
      <c r="P958">
        <v>3</v>
      </c>
      <c r="Q958" t="s">
        <v>2631</v>
      </c>
      <c r="R958">
        <v>64</v>
      </c>
      <c r="S958" t="s">
        <v>237</v>
      </c>
      <c r="T958" t="str">
        <f>IF(COUNTIF($A$2:A958,A958)&gt;1,"Duplicate","Unique")</f>
        <v>Unique</v>
      </c>
    </row>
    <row r="959" spans="1:20" x14ac:dyDescent="0.45">
      <c r="A959" t="s">
        <v>2359</v>
      </c>
      <c r="B959" t="s">
        <v>2119</v>
      </c>
      <c r="C959" t="s">
        <v>61</v>
      </c>
      <c r="D959" t="s">
        <v>60</v>
      </c>
      <c r="E959" t="s">
        <v>251</v>
      </c>
      <c r="F959" t="s">
        <v>82</v>
      </c>
      <c r="G959" t="s">
        <v>252</v>
      </c>
      <c r="H959" t="s">
        <v>108</v>
      </c>
      <c r="I959" t="s">
        <v>107</v>
      </c>
      <c r="J959" t="s">
        <v>3243</v>
      </c>
      <c r="K959" t="s">
        <v>162</v>
      </c>
      <c r="M959" t="s">
        <v>163</v>
      </c>
      <c r="N959" t="s">
        <v>98</v>
      </c>
      <c r="O959" s="27">
        <v>1099000</v>
      </c>
      <c r="P959">
        <v>2</v>
      </c>
      <c r="Q959" t="s">
        <v>164</v>
      </c>
      <c r="R959">
        <v>15</v>
      </c>
      <c r="S959" t="s">
        <v>253</v>
      </c>
      <c r="T959" t="str">
        <f>IF(COUNTIF($A$2:A959,A959)&gt;1,"Duplicate","Unique")</f>
        <v>Unique</v>
      </c>
    </row>
    <row r="960" spans="1:20" x14ac:dyDescent="0.45">
      <c r="A960" t="s">
        <v>2146</v>
      </c>
      <c r="B960" t="s">
        <v>597</v>
      </c>
      <c r="C960" t="s">
        <v>55</v>
      </c>
      <c r="D960" t="s">
        <v>54</v>
      </c>
      <c r="E960" t="s">
        <v>277</v>
      </c>
      <c r="F960" t="s">
        <v>81</v>
      </c>
      <c r="G960" t="s">
        <v>278</v>
      </c>
      <c r="H960" t="s">
        <v>106</v>
      </c>
      <c r="I960" t="s">
        <v>107</v>
      </c>
      <c r="J960" t="s">
        <v>3469</v>
      </c>
      <c r="K960" t="s">
        <v>162</v>
      </c>
      <c r="M960" t="s">
        <v>163</v>
      </c>
      <c r="N960" t="s">
        <v>95</v>
      </c>
      <c r="O960" s="27">
        <v>682000</v>
      </c>
      <c r="P960">
        <v>2</v>
      </c>
      <c r="Q960" t="s">
        <v>164</v>
      </c>
      <c r="R960">
        <v>26</v>
      </c>
      <c r="S960" t="s">
        <v>173</v>
      </c>
      <c r="T960" t="str">
        <f>IF(COUNTIF($A$2:A960,A960)&gt;1,"Duplicate","Unique")</f>
        <v>Unique</v>
      </c>
    </row>
    <row r="961" spans="1:20" x14ac:dyDescent="0.45">
      <c r="A961" t="s">
        <v>1564</v>
      </c>
      <c r="B961" t="s">
        <v>978</v>
      </c>
      <c r="C961" t="s">
        <v>57</v>
      </c>
      <c r="D961" t="s">
        <v>56</v>
      </c>
      <c r="E961" t="s">
        <v>160</v>
      </c>
      <c r="F961" t="s">
        <v>81</v>
      </c>
      <c r="G961" t="s">
        <v>161</v>
      </c>
      <c r="H961" t="s">
        <v>111</v>
      </c>
      <c r="I961" t="s">
        <v>110</v>
      </c>
      <c r="J961" t="s">
        <v>3266</v>
      </c>
      <c r="K961" t="s">
        <v>162</v>
      </c>
      <c r="M961" t="s">
        <v>163</v>
      </c>
      <c r="N961" t="s">
        <v>99</v>
      </c>
      <c r="O961" s="27">
        <v>576000</v>
      </c>
      <c r="P961">
        <v>2</v>
      </c>
      <c r="Q961" t="s">
        <v>164</v>
      </c>
      <c r="R961">
        <v>25</v>
      </c>
      <c r="S961" t="s">
        <v>165</v>
      </c>
      <c r="T961" t="str">
        <f>IF(COUNTIF($A$2:A961,A961)&gt;1,"Duplicate","Unique")</f>
        <v>Unique</v>
      </c>
    </row>
    <row r="962" spans="1:20" x14ac:dyDescent="0.45">
      <c r="A962" t="s">
        <v>692</v>
      </c>
      <c r="B962" t="s">
        <v>582</v>
      </c>
      <c r="C962" t="s">
        <v>51</v>
      </c>
      <c r="D962" t="s">
        <v>50</v>
      </c>
      <c r="E962" t="s">
        <v>176</v>
      </c>
      <c r="F962" t="s">
        <v>82</v>
      </c>
      <c r="G962" t="s">
        <v>177</v>
      </c>
      <c r="H962" t="s">
        <v>108</v>
      </c>
      <c r="I962" t="s">
        <v>107</v>
      </c>
      <c r="J962" t="s">
        <v>3144</v>
      </c>
      <c r="K962" t="s">
        <v>162</v>
      </c>
      <c r="M962" t="s">
        <v>163</v>
      </c>
      <c r="N962" t="s">
        <v>99</v>
      </c>
      <c r="O962" s="27">
        <v>1061000</v>
      </c>
      <c r="P962">
        <v>4</v>
      </c>
      <c r="Q962" t="s">
        <v>164</v>
      </c>
      <c r="R962">
        <v>32</v>
      </c>
      <c r="S962" t="s">
        <v>219</v>
      </c>
      <c r="T962" t="str">
        <f>IF(COUNTIF($A$2:A962,A962)&gt;1,"Duplicate","Unique")</f>
        <v>Unique</v>
      </c>
    </row>
    <row r="963" spans="1:20" x14ac:dyDescent="0.45">
      <c r="A963" t="s">
        <v>348</v>
      </c>
      <c r="B963" t="s">
        <v>349</v>
      </c>
      <c r="C963" t="s">
        <v>53</v>
      </c>
      <c r="D963" t="s">
        <v>52</v>
      </c>
      <c r="E963" t="s">
        <v>322</v>
      </c>
      <c r="F963" t="s">
        <v>81</v>
      </c>
      <c r="G963" t="s">
        <v>323</v>
      </c>
      <c r="H963" t="s">
        <v>112</v>
      </c>
      <c r="I963" t="s">
        <v>113</v>
      </c>
      <c r="J963" t="s">
        <v>3470</v>
      </c>
      <c r="K963" t="s">
        <v>162</v>
      </c>
      <c r="M963" t="s">
        <v>163</v>
      </c>
      <c r="N963" t="s">
        <v>95</v>
      </c>
      <c r="O963" s="27">
        <v>755000</v>
      </c>
      <c r="P963">
        <v>3</v>
      </c>
      <c r="Q963" t="s">
        <v>172</v>
      </c>
      <c r="R963">
        <v>7</v>
      </c>
      <c r="S963" t="s">
        <v>189</v>
      </c>
      <c r="T963" t="str">
        <f>IF(COUNTIF($A$2:A963,A963)&gt;1,"Duplicate","Unique")</f>
        <v>Unique</v>
      </c>
    </row>
    <row r="964" spans="1:20" x14ac:dyDescent="0.45">
      <c r="A964" t="s">
        <v>1760</v>
      </c>
      <c r="B964" t="s">
        <v>1186</v>
      </c>
      <c r="C964" t="s">
        <v>61</v>
      </c>
      <c r="D964" t="s">
        <v>60</v>
      </c>
      <c r="E964" t="s">
        <v>356</v>
      </c>
      <c r="F964" t="s">
        <v>81</v>
      </c>
      <c r="G964" t="s">
        <v>357</v>
      </c>
      <c r="H964" t="s">
        <v>106</v>
      </c>
      <c r="I964" t="s">
        <v>107</v>
      </c>
      <c r="J964" t="s">
        <v>2503</v>
      </c>
      <c r="K964" t="s">
        <v>162</v>
      </c>
      <c r="M964" t="s">
        <v>163</v>
      </c>
      <c r="N964" t="s">
        <v>98</v>
      </c>
      <c r="O964" s="27">
        <v>571000</v>
      </c>
      <c r="P964">
        <v>3</v>
      </c>
      <c r="Q964" t="s">
        <v>164</v>
      </c>
      <c r="R964">
        <v>21</v>
      </c>
      <c r="S964" t="s">
        <v>319</v>
      </c>
      <c r="T964" t="str">
        <f>IF(COUNTIF($A$2:A964,A964)&gt;1,"Duplicate","Unique")</f>
        <v>Unique</v>
      </c>
    </row>
    <row r="965" spans="1:20" x14ac:dyDescent="0.45">
      <c r="A965" t="s">
        <v>1785</v>
      </c>
      <c r="B965" t="s">
        <v>394</v>
      </c>
      <c r="C965" t="s">
        <v>53</v>
      </c>
      <c r="D965" t="s">
        <v>52</v>
      </c>
      <c r="E965" t="s">
        <v>185</v>
      </c>
      <c r="F965" t="s">
        <v>82</v>
      </c>
      <c r="G965" t="s">
        <v>186</v>
      </c>
      <c r="H965" t="s">
        <v>106</v>
      </c>
      <c r="I965" t="s">
        <v>107</v>
      </c>
      <c r="J965" t="s">
        <v>2537</v>
      </c>
      <c r="K965" t="s">
        <v>162</v>
      </c>
      <c r="M965" t="s">
        <v>163</v>
      </c>
      <c r="N965" t="s">
        <v>96</v>
      </c>
      <c r="O965" s="27">
        <v>1180000</v>
      </c>
      <c r="P965">
        <v>4</v>
      </c>
      <c r="Q965" t="s">
        <v>164</v>
      </c>
      <c r="R965">
        <v>42</v>
      </c>
      <c r="S965" t="s">
        <v>189</v>
      </c>
      <c r="T965" t="str">
        <f>IF(COUNTIF($A$2:A965,A965)&gt;1,"Duplicate","Unique")</f>
        <v>Unique</v>
      </c>
    </row>
    <row r="966" spans="1:20" x14ac:dyDescent="0.45">
      <c r="A966" t="s">
        <v>2227</v>
      </c>
      <c r="B966" t="s">
        <v>1432</v>
      </c>
      <c r="C966" t="s">
        <v>51</v>
      </c>
      <c r="D966" t="s">
        <v>50</v>
      </c>
      <c r="E966" t="s">
        <v>181</v>
      </c>
      <c r="F966" t="s">
        <v>81</v>
      </c>
      <c r="G966" t="s">
        <v>182</v>
      </c>
      <c r="H966" t="s">
        <v>108</v>
      </c>
      <c r="I966" t="s">
        <v>107</v>
      </c>
      <c r="J966" t="s">
        <v>2876</v>
      </c>
      <c r="K966" t="s">
        <v>162</v>
      </c>
      <c r="M966" t="s">
        <v>163</v>
      </c>
      <c r="N966" t="s">
        <v>97</v>
      </c>
      <c r="O966" s="27">
        <v>760000</v>
      </c>
      <c r="Q966" t="s">
        <v>164</v>
      </c>
      <c r="R966">
        <v>4</v>
      </c>
      <c r="S966" t="s">
        <v>197</v>
      </c>
      <c r="T966" t="str">
        <f>IF(COUNTIF($A$2:A966,A966)&gt;1,"Duplicate","Unique")</f>
        <v>Unique</v>
      </c>
    </row>
    <row r="967" spans="1:20" x14ac:dyDescent="0.45">
      <c r="A967" t="s">
        <v>2191</v>
      </c>
      <c r="B967" t="s">
        <v>1029</v>
      </c>
      <c r="C967" t="s">
        <v>55</v>
      </c>
      <c r="D967" t="s">
        <v>54</v>
      </c>
      <c r="E967" t="s">
        <v>277</v>
      </c>
      <c r="F967" t="s">
        <v>81</v>
      </c>
      <c r="G967" t="s">
        <v>278</v>
      </c>
      <c r="H967" t="s">
        <v>108</v>
      </c>
      <c r="I967" t="s">
        <v>107</v>
      </c>
      <c r="J967" t="s">
        <v>3471</v>
      </c>
      <c r="K967" t="s">
        <v>162</v>
      </c>
      <c r="M967" t="s">
        <v>163</v>
      </c>
      <c r="N967" t="s">
        <v>99</v>
      </c>
      <c r="O967" s="27">
        <v>594000</v>
      </c>
      <c r="P967">
        <v>2</v>
      </c>
      <c r="Q967" t="s">
        <v>164</v>
      </c>
      <c r="R967">
        <v>19</v>
      </c>
      <c r="S967" t="s">
        <v>262</v>
      </c>
      <c r="T967" t="str">
        <f>IF(COUNTIF($A$2:A967,A967)&gt;1,"Duplicate","Unique")</f>
        <v>Unique</v>
      </c>
    </row>
    <row r="968" spans="1:20" x14ac:dyDescent="0.45">
      <c r="A968" t="s">
        <v>389</v>
      </c>
      <c r="B968" t="s">
        <v>390</v>
      </c>
      <c r="C968" t="s">
        <v>57</v>
      </c>
      <c r="D968" t="s">
        <v>56</v>
      </c>
      <c r="E968" t="s">
        <v>391</v>
      </c>
      <c r="F968" t="s">
        <v>83</v>
      </c>
      <c r="G968" t="s">
        <v>392</v>
      </c>
      <c r="H968" t="s">
        <v>106</v>
      </c>
      <c r="I968" t="s">
        <v>107</v>
      </c>
      <c r="J968" t="s">
        <v>3472</v>
      </c>
      <c r="K968" t="s">
        <v>162</v>
      </c>
      <c r="M968" t="s">
        <v>163</v>
      </c>
      <c r="N968" t="s">
        <v>98</v>
      </c>
      <c r="O968" s="27">
        <v>1936000</v>
      </c>
      <c r="P968">
        <v>5</v>
      </c>
      <c r="Q968" t="s">
        <v>164</v>
      </c>
      <c r="R968">
        <v>13</v>
      </c>
      <c r="S968" t="s">
        <v>165</v>
      </c>
      <c r="T968" t="str">
        <f>IF(COUNTIF($A$2:A968,A968)&gt;1,"Duplicate","Unique")</f>
        <v>Unique</v>
      </c>
    </row>
    <row r="969" spans="1:20" x14ac:dyDescent="0.45">
      <c r="A969" t="s">
        <v>1419</v>
      </c>
      <c r="B969" t="s">
        <v>1420</v>
      </c>
      <c r="C969" t="s">
        <v>53</v>
      </c>
      <c r="D969" t="s">
        <v>52</v>
      </c>
      <c r="E969" t="s">
        <v>322</v>
      </c>
      <c r="F969" t="s">
        <v>81</v>
      </c>
      <c r="G969" t="s">
        <v>323</v>
      </c>
      <c r="H969" t="s">
        <v>112</v>
      </c>
      <c r="I969" t="s">
        <v>113</v>
      </c>
      <c r="J969" t="s">
        <v>3473</v>
      </c>
      <c r="K969" t="s">
        <v>162</v>
      </c>
      <c r="M969" t="s">
        <v>163</v>
      </c>
      <c r="N969" t="s">
        <v>97</v>
      </c>
      <c r="O969" s="27">
        <v>768000</v>
      </c>
      <c r="P969">
        <v>3</v>
      </c>
      <c r="Q969" t="s">
        <v>172</v>
      </c>
      <c r="R969">
        <v>39</v>
      </c>
      <c r="S969" t="s">
        <v>194</v>
      </c>
      <c r="T969" t="str">
        <f>IF(COUNTIF($A$2:A969,A969)&gt;1,"Duplicate","Unique")</f>
        <v>Unique</v>
      </c>
    </row>
    <row r="970" spans="1:20" x14ac:dyDescent="0.45">
      <c r="A970" t="s">
        <v>1855</v>
      </c>
      <c r="B970" t="s">
        <v>228</v>
      </c>
      <c r="C970" t="s">
        <v>57</v>
      </c>
      <c r="D970" t="s">
        <v>56</v>
      </c>
      <c r="E970" t="s">
        <v>160</v>
      </c>
      <c r="F970" t="s">
        <v>81</v>
      </c>
      <c r="G970" t="s">
        <v>161</v>
      </c>
      <c r="H970" t="s">
        <v>108</v>
      </c>
      <c r="I970" t="s">
        <v>107</v>
      </c>
      <c r="J970" t="s">
        <v>3474</v>
      </c>
      <c r="K970" t="s">
        <v>162</v>
      </c>
      <c r="M970" t="s">
        <v>163</v>
      </c>
      <c r="N970" t="s">
        <v>99</v>
      </c>
      <c r="O970" s="27">
        <v>644000</v>
      </c>
      <c r="P970">
        <v>2</v>
      </c>
      <c r="Q970" t="s">
        <v>164</v>
      </c>
      <c r="R970">
        <v>15</v>
      </c>
      <c r="S970" t="s">
        <v>165</v>
      </c>
      <c r="T970" t="str">
        <f>IF(COUNTIF($A$2:A970,A970)&gt;1,"Duplicate","Unique")</f>
        <v>Unique</v>
      </c>
    </row>
    <row r="971" spans="1:20" x14ac:dyDescent="0.45">
      <c r="A971" t="s">
        <v>2275</v>
      </c>
      <c r="B971" t="s">
        <v>1249</v>
      </c>
      <c r="C971" t="s">
        <v>59</v>
      </c>
      <c r="D971" t="s">
        <v>58</v>
      </c>
      <c r="E971" t="s">
        <v>206</v>
      </c>
      <c r="F971" t="s">
        <v>81</v>
      </c>
      <c r="G971" t="s">
        <v>207</v>
      </c>
      <c r="H971" t="s">
        <v>108</v>
      </c>
      <c r="I971" t="s">
        <v>107</v>
      </c>
      <c r="J971" t="s">
        <v>3475</v>
      </c>
      <c r="K971" t="s">
        <v>162</v>
      </c>
      <c r="M971" t="s">
        <v>163</v>
      </c>
      <c r="N971" t="s">
        <v>97</v>
      </c>
      <c r="O971" s="27">
        <v>800000</v>
      </c>
      <c r="P971">
        <v>5</v>
      </c>
      <c r="Q971" t="s">
        <v>172</v>
      </c>
      <c r="R971">
        <v>28</v>
      </c>
      <c r="S971" t="s">
        <v>208</v>
      </c>
      <c r="T971" t="str">
        <f>IF(COUNTIF($A$2:A971,A971)&gt;1,"Duplicate","Unique")</f>
        <v>Unique</v>
      </c>
    </row>
    <row r="972" spans="1:20" x14ac:dyDescent="0.45">
      <c r="A972" t="s">
        <v>926</v>
      </c>
      <c r="B972" t="s">
        <v>927</v>
      </c>
      <c r="C972" t="s">
        <v>53</v>
      </c>
      <c r="D972" t="s">
        <v>52</v>
      </c>
      <c r="E972" t="s">
        <v>322</v>
      </c>
      <c r="F972" t="s">
        <v>81</v>
      </c>
      <c r="G972" t="s">
        <v>323</v>
      </c>
      <c r="H972" t="s">
        <v>106</v>
      </c>
      <c r="I972" t="s">
        <v>107</v>
      </c>
      <c r="J972" t="s">
        <v>3334</v>
      </c>
      <c r="K972" t="s">
        <v>162</v>
      </c>
      <c r="M972" t="s">
        <v>163</v>
      </c>
      <c r="N972" t="s">
        <v>97</v>
      </c>
      <c r="O972" s="27">
        <v>628000</v>
      </c>
      <c r="P972">
        <v>3</v>
      </c>
      <c r="Q972" t="s">
        <v>164</v>
      </c>
      <c r="R972">
        <v>44</v>
      </c>
      <c r="S972" t="s">
        <v>194</v>
      </c>
      <c r="T972" t="str">
        <f>IF(COUNTIF($A$2:A972,A972)&gt;1,"Duplicate","Unique")</f>
        <v>Unique</v>
      </c>
    </row>
    <row r="973" spans="1:20" x14ac:dyDescent="0.45">
      <c r="A973" t="s">
        <v>665</v>
      </c>
      <c r="B973" t="s">
        <v>666</v>
      </c>
      <c r="C973" t="s">
        <v>53</v>
      </c>
      <c r="D973" t="s">
        <v>52</v>
      </c>
      <c r="E973" t="s">
        <v>185</v>
      </c>
      <c r="F973" t="s">
        <v>82</v>
      </c>
      <c r="G973" t="s">
        <v>186</v>
      </c>
      <c r="H973" t="s">
        <v>108</v>
      </c>
      <c r="I973" t="s">
        <v>107</v>
      </c>
      <c r="J973" t="s">
        <v>3476</v>
      </c>
      <c r="K973" t="s">
        <v>187</v>
      </c>
      <c r="L973" t="s">
        <v>3477</v>
      </c>
      <c r="M973" t="s">
        <v>282</v>
      </c>
      <c r="N973" t="s">
        <v>99</v>
      </c>
      <c r="O973" s="27">
        <v>1218000</v>
      </c>
      <c r="P973">
        <v>3</v>
      </c>
      <c r="Q973" t="s">
        <v>172</v>
      </c>
      <c r="R973">
        <v>36</v>
      </c>
      <c r="S973" t="s">
        <v>237</v>
      </c>
      <c r="T973" t="str">
        <f>IF(COUNTIF($A$2:A973,A973)&gt;1,"Duplicate","Unique")</f>
        <v>Unique</v>
      </c>
    </row>
    <row r="974" spans="1:20" x14ac:dyDescent="0.45">
      <c r="A974" t="s">
        <v>1562</v>
      </c>
      <c r="B974" t="s">
        <v>1563</v>
      </c>
      <c r="C974" t="s">
        <v>59</v>
      </c>
      <c r="D974" t="s">
        <v>58</v>
      </c>
      <c r="E974" t="s">
        <v>579</v>
      </c>
      <c r="F974" t="s">
        <v>84</v>
      </c>
      <c r="G974" t="s">
        <v>580</v>
      </c>
      <c r="H974" t="s">
        <v>106</v>
      </c>
      <c r="I974" t="s">
        <v>107</v>
      </c>
      <c r="J974" t="s">
        <v>3266</v>
      </c>
      <c r="K974" t="s">
        <v>162</v>
      </c>
      <c r="M974" t="s">
        <v>163</v>
      </c>
      <c r="N974" t="s">
        <v>97</v>
      </c>
      <c r="O974" s="27">
        <v>3120000</v>
      </c>
      <c r="P974">
        <v>3</v>
      </c>
      <c r="Q974" t="s">
        <v>164</v>
      </c>
      <c r="R974">
        <v>42</v>
      </c>
      <c r="S974" t="s">
        <v>208</v>
      </c>
      <c r="T974" t="str">
        <f>IF(COUNTIF($A$2:A974,A974)&gt;1,"Duplicate","Unique")</f>
        <v>Unique</v>
      </c>
    </row>
    <row r="975" spans="1:20" x14ac:dyDescent="0.45">
      <c r="A975" t="s">
        <v>1806</v>
      </c>
      <c r="B975" t="s">
        <v>1107</v>
      </c>
      <c r="C975" t="s">
        <v>57</v>
      </c>
      <c r="D975" t="s">
        <v>56</v>
      </c>
      <c r="E975" t="s">
        <v>455</v>
      </c>
      <c r="F975" t="s">
        <v>84</v>
      </c>
      <c r="G975" t="s">
        <v>456</v>
      </c>
      <c r="H975" t="s">
        <v>106</v>
      </c>
      <c r="I975" t="s">
        <v>107</v>
      </c>
      <c r="J975" t="s">
        <v>3478</v>
      </c>
      <c r="K975" t="s">
        <v>162</v>
      </c>
      <c r="M975" t="s">
        <v>163</v>
      </c>
      <c r="N975" t="s">
        <v>96</v>
      </c>
      <c r="O975" s="27">
        <v>2350000</v>
      </c>
      <c r="P975">
        <v>3</v>
      </c>
      <c r="Q975" t="s">
        <v>164</v>
      </c>
      <c r="R975">
        <v>28</v>
      </c>
      <c r="S975" t="s">
        <v>224</v>
      </c>
      <c r="T975" t="str">
        <f>IF(COUNTIF($A$2:A975,A975)&gt;1,"Duplicate","Unique")</f>
        <v>Unique</v>
      </c>
    </row>
    <row r="976" spans="1:20" x14ac:dyDescent="0.45">
      <c r="A976" t="s">
        <v>1741</v>
      </c>
      <c r="B976" t="s">
        <v>830</v>
      </c>
      <c r="C976" t="s">
        <v>55</v>
      </c>
      <c r="D976" t="s">
        <v>54</v>
      </c>
      <c r="E976" t="s">
        <v>240</v>
      </c>
      <c r="F976" t="s">
        <v>83</v>
      </c>
      <c r="G976" t="s">
        <v>241</v>
      </c>
      <c r="H976" t="s">
        <v>108</v>
      </c>
      <c r="I976" t="s">
        <v>107</v>
      </c>
      <c r="J976" t="s">
        <v>3479</v>
      </c>
      <c r="K976" t="s">
        <v>187</v>
      </c>
      <c r="L976" t="s">
        <v>3480</v>
      </c>
      <c r="M976" t="s">
        <v>213</v>
      </c>
      <c r="N976" t="s">
        <v>99</v>
      </c>
      <c r="O976" s="27">
        <v>1411000</v>
      </c>
      <c r="P976">
        <v>3</v>
      </c>
      <c r="Q976" t="s">
        <v>164</v>
      </c>
      <c r="R976">
        <v>49</v>
      </c>
      <c r="S976" t="s">
        <v>262</v>
      </c>
      <c r="T976" t="str">
        <f>IF(COUNTIF($A$2:A976,A976)&gt;1,"Duplicate","Unique")</f>
        <v>Unique</v>
      </c>
    </row>
    <row r="977" spans="1:20" x14ac:dyDescent="0.45">
      <c r="A977" t="s">
        <v>1161</v>
      </c>
      <c r="B977" t="s">
        <v>1162</v>
      </c>
      <c r="C977" t="s">
        <v>55</v>
      </c>
      <c r="D977" t="s">
        <v>54</v>
      </c>
      <c r="E977" t="s">
        <v>277</v>
      </c>
      <c r="F977" t="s">
        <v>81</v>
      </c>
      <c r="G977" t="s">
        <v>278</v>
      </c>
      <c r="H977" t="s">
        <v>106</v>
      </c>
      <c r="I977" t="s">
        <v>107</v>
      </c>
      <c r="J977" t="s">
        <v>3481</v>
      </c>
      <c r="K977" t="s">
        <v>187</v>
      </c>
      <c r="L977" t="s">
        <v>3070</v>
      </c>
      <c r="M977" t="s">
        <v>213</v>
      </c>
      <c r="N977" t="s">
        <v>95</v>
      </c>
      <c r="O977" s="27">
        <v>726000</v>
      </c>
      <c r="P977">
        <v>3</v>
      </c>
      <c r="Q977" t="s">
        <v>172</v>
      </c>
      <c r="R977">
        <v>53</v>
      </c>
      <c r="S977" t="s">
        <v>262</v>
      </c>
      <c r="T977" t="str">
        <f>IF(COUNTIF($A$2:A977,A977)&gt;1,"Duplicate","Unique")</f>
        <v>Unique</v>
      </c>
    </row>
    <row r="978" spans="1:20" x14ac:dyDescent="0.45">
      <c r="A978" t="s">
        <v>1941</v>
      </c>
      <c r="B978" t="s">
        <v>722</v>
      </c>
      <c r="C978" t="s">
        <v>53</v>
      </c>
      <c r="D978" t="s">
        <v>52</v>
      </c>
      <c r="E978" t="s">
        <v>322</v>
      </c>
      <c r="F978" t="s">
        <v>81</v>
      </c>
      <c r="G978" t="s">
        <v>323</v>
      </c>
      <c r="H978" t="s">
        <v>112</v>
      </c>
      <c r="I978" t="s">
        <v>113</v>
      </c>
      <c r="J978" t="s">
        <v>3482</v>
      </c>
      <c r="K978" t="s">
        <v>162</v>
      </c>
      <c r="M978" t="s">
        <v>163</v>
      </c>
      <c r="N978" t="s">
        <v>95</v>
      </c>
      <c r="O978" s="27">
        <v>834000</v>
      </c>
      <c r="P978">
        <v>3</v>
      </c>
      <c r="Q978" t="s">
        <v>164</v>
      </c>
      <c r="R978">
        <v>28</v>
      </c>
      <c r="S978" t="s">
        <v>237</v>
      </c>
      <c r="T978" t="str">
        <f>IF(COUNTIF($A$2:A978,A978)&gt;1,"Duplicate","Unique")</f>
        <v>Unique</v>
      </c>
    </row>
    <row r="979" spans="1:20" x14ac:dyDescent="0.45">
      <c r="A979" t="s">
        <v>836</v>
      </c>
      <c r="B979" t="s">
        <v>837</v>
      </c>
      <c r="C979" t="s">
        <v>55</v>
      </c>
      <c r="D979" t="s">
        <v>2602</v>
      </c>
      <c r="E979" t="s">
        <v>277</v>
      </c>
      <c r="F979" t="s">
        <v>81</v>
      </c>
      <c r="G979" t="s">
        <v>278</v>
      </c>
      <c r="H979" t="s">
        <v>109</v>
      </c>
      <c r="I979" t="s">
        <v>110</v>
      </c>
      <c r="J979" t="s">
        <v>3191</v>
      </c>
      <c r="K979" t="s">
        <v>162</v>
      </c>
      <c r="M979" t="s">
        <v>163</v>
      </c>
      <c r="N979" t="s">
        <v>95</v>
      </c>
      <c r="O979" s="27">
        <v>687000</v>
      </c>
      <c r="P979">
        <v>2</v>
      </c>
      <c r="Q979" t="s">
        <v>172</v>
      </c>
      <c r="R979">
        <v>4</v>
      </c>
      <c r="S979" t="s">
        <v>262</v>
      </c>
      <c r="T979" t="str">
        <f>IF(COUNTIF($A$2:A979,A979)&gt;1,"Duplicate","Unique")</f>
        <v>Unique</v>
      </c>
    </row>
    <row r="980" spans="1:20" x14ac:dyDescent="0.45">
      <c r="A980" t="s">
        <v>388</v>
      </c>
      <c r="B980" t="s">
        <v>347</v>
      </c>
      <c r="C980" t="s">
        <v>51</v>
      </c>
      <c r="D980" t="s">
        <v>50</v>
      </c>
      <c r="E980" t="s">
        <v>217</v>
      </c>
      <c r="F980" t="s">
        <v>83</v>
      </c>
      <c r="G980" t="s">
        <v>218</v>
      </c>
      <c r="H980" t="s">
        <v>109</v>
      </c>
      <c r="I980" t="s">
        <v>110</v>
      </c>
      <c r="J980" t="s">
        <v>3483</v>
      </c>
      <c r="K980" t="s">
        <v>187</v>
      </c>
      <c r="L980" t="s">
        <v>3484</v>
      </c>
      <c r="M980" t="s">
        <v>282</v>
      </c>
      <c r="N980" t="s">
        <v>99</v>
      </c>
      <c r="O980" s="27">
        <v>1374000</v>
      </c>
      <c r="P980">
        <v>4</v>
      </c>
      <c r="Q980" t="s">
        <v>164</v>
      </c>
      <c r="R980">
        <v>13</v>
      </c>
      <c r="S980" t="s">
        <v>178</v>
      </c>
      <c r="T980" t="str">
        <f>IF(COUNTIF($A$2:A980,A980)&gt;1,"Duplicate","Unique")</f>
        <v>Unique</v>
      </c>
    </row>
    <row r="981" spans="1:20" x14ac:dyDescent="0.45">
      <c r="A981" t="s">
        <v>1446</v>
      </c>
      <c r="B981" t="s">
        <v>246</v>
      </c>
      <c r="C981" t="s">
        <v>51</v>
      </c>
      <c r="D981" t="s">
        <v>50</v>
      </c>
      <c r="E981" t="s">
        <v>176</v>
      </c>
      <c r="F981" t="s">
        <v>82</v>
      </c>
      <c r="G981" t="s">
        <v>177</v>
      </c>
      <c r="H981" t="s">
        <v>112</v>
      </c>
      <c r="I981" t="s">
        <v>113</v>
      </c>
      <c r="J981" t="s">
        <v>3485</v>
      </c>
      <c r="K981" t="s">
        <v>162</v>
      </c>
      <c r="M981" t="s">
        <v>163</v>
      </c>
      <c r="N981" t="s">
        <v>97</v>
      </c>
      <c r="O981" s="27">
        <v>870000</v>
      </c>
      <c r="P981">
        <v>3</v>
      </c>
      <c r="Q981" t="s">
        <v>164</v>
      </c>
      <c r="R981">
        <v>53</v>
      </c>
      <c r="S981" t="s">
        <v>178</v>
      </c>
      <c r="T981" t="str">
        <f>IF(COUNTIF($A$2:A981,A981)&gt;1,"Duplicate","Unique")</f>
        <v>Unique</v>
      </c>
    </row>
    <row r="982" spans="1:20" x14ac:dyDescent="0.45">
      <c r="A982" t="s">
        <v>1537</v>
      </c>
      <c r="B982" t="s">
        <v>1538</v>
      </c>
      <c r="C982" t="s">
        <v>53</v>
      </c>
      <c r="D982" t="s">
        <v>52</v>
      </c>
      <c r="E982" t="s">
        <v>322</v>
      </c>
      <c r="F982" t="s">
        <v>81</v>
      </c>
      <c r="G982" t="s">
        <v>323</v>
      </c>
      <c r="H982" t="s">
        <v>109</v>
      </c>
      <c r="I982" t="s">
        <v>110</v>
      </c>
      <c r="J982" t="s">
        <v>2991</v>
      </c>
      <c r="K982" t="s">
        <v>187</v>
      </c>
      <c r="L982" t="s">
        <v>3018</v>
      </c>
      <c r="M982" t="s">
        <v>269</v>
      </c>
      <c r="N982" t="s">
        <v>99</v>
      </c>
      <c r="O982" s="27">
        <v>787000</v>
      </c>
      <c r="P982">
        <v>3</v>
      </c>
      <c r="Q982" t="s">
        <v>2631</v>
      </c>
      <c r="R982">
        <v>25</v>
      </c>
      <c r="S982" t="s">
        <v>189</v>
      </c>
      <c r="T982" t="str">
        <f>IF(COUNTIF($A$2:A982,A982)&gt;1,"Duplicate","Unique")</f>
        <v>Unique</v>
      </c>
    </row>
    <row r="983" spans="1:20" x14ac:dyDescent="0.45">
      <c r="A983" t="s">
        <v>452</v>
      </c>
      <c r="B983" t="s">
        <v>453</v>
      </c>
      <c r="C983" t="s">
        <v>53</v>
      </c>
      <c r="D983" t="s">
        <v>52</v>
      </c>
      <c r="E983" t="s">
        <v>185</v>
      </c>
      <c r="F983" t="s">
        <v>82</v>
      </c>
      <c r="G983" t="s">
        <v>186</v>
      </c>
      <c r="H983" t="s">
        <v>108</v>
      </c>
      <c r="I983" t="s">
        <v>107</v>
      </c>
      <c r="J983" t="s">
        <v>3486</v>
      </c>
      <c r="K983" t="s">
        <v>162</v>
      </c>
      <c r="M983" t="s">
        <v>163</v>
      </c>
      <c r="N983" t="s">
        <v>99</v>
      </c>
      <c r="O983" s="27">
        <v>851000</v>
      </c>
      <c r="P983">
        <v>3</v>
      </c>
      <c r="Q983" t="s">
        <v>164</v>
      </c>
      <c r="R983">
        <v>43</v>
      </c>
      <c r="S983" t="s">
        <v>194</v>
      </c>
      <c r="T983" t="str">
        <f>IF(COUNTIF($A$2:A983,A983)&gt;1,"Duplicate","Unique")</f>
        <v>Unique</v>
      </c>
    </row>
    <row r="984" spans="1:20" x14ac:dyDescent="0.45">
      <c r="A984" t="s">
        <v>819</v>
      </c>
      <c r="B984" t="s">
        <v>820</v>
      </c>
      <c r="C984" t="s">
        <v>55</v>
      </c>
      <c r="D984" t="s">
        <v>54</v>
      </c>
      <c r="E984" t="s">
        <v>229</v>
      </c>
      <c r="F984" t="s">
        <v>82</v>
      </c>
      <c r="G984" t="s">
        <v>230</v>
      </c>
      <c r="H984" t="s">
        <v>106</v>
      </c>
      <c r="I984" t="s">
        <v>107</v>
      </c>
      <c r="J984" t="s">
        <v>3487</v>
      </c>
      <c r="K984" t="s">
        <v>187</v>
      </c>
      <c r="L984" t="s">
        <v>3488</v>
      </c>
      <c r="M984" t="s">
        <v>213</v>
      </c>
      <c r="N984" t="s">
        <v>99</v>
      </c>
      <c r="O984" s="27">
        <v>1076000</v>
      </c>
      <c r="P984">
        <v>3</v>
      </c>
      <c r="Q984" t="s">
        <v>172</v>
      </c>
      <c r="R984">
        <v>28</v>
      </c>
      <c r="S984" t="s">
        <v>173</v>
      </c>
      <c r="T984" t="str">
        <f>IF(COUNTIF($A$2:A984,A984)&gt;1,"Duplicate","Unique")</f>
        <v>Unique</v>
      </c>
    </row>
    <row r="985" spans="1:20" x14ac:dyDescent="0.45">
      <c r="A985" t="s">
        <v>1651</v>
      </c>
      <c r="B985" t="s">
        <v>1652</v>
      </c>
      <c r="C985" t="s">
        <v>51</v>
      </c>
      <c r="D985" t="s">
        <v>50</v>
      </c>
      <c r="E985" t="s">
        <v>176</v>
      </c>
      <c r="F985" t="s">
        <v>82</v>
      </c>
      <c r="G985" t="s">
        <v>177</v>
      </c>
      <c r="H985" t="s">
        <v>106</v>
      </c>
      <c r="I985" t="s">
        <v>107</v>
      </c>
      <c r="J985" t="s">
        <v>2812</v>
      </c>
      <c r="K985" t="s">
        <v>162</v>
      </c>
      <c r="M985" t="s">
        <v>163</v>
      </c>
      <c r="N985" t="s">
        <v>97</v>
      </c>
      <c r="O985" s="27">
        <v>1283000</v>
      </c>
      <c r="P985">
        <v>3</v>
      </c>
      <c r="Q985" t="s">
        <v>164</v>
      </c>
      <c r="R985">
        <v>27</v>
      </c>
      <c r="S985" t="s">
        <v>244</v>
      </c>
      <c r="T985" t="str">
        <f>IF(COUNTIF($A$2:A985,A985)&gt;1,"Duplicate","Unique")</f>
        <v>Unique</v>
      </c>
    </row>
    <row r="986" spans="1:20" x14ac:dyDescent="0.45">
      <c r="A986" t="s">
        <v>512</v>
      </c>
      <c r="B986" t="s">
        <v>513</v>
      </c>
      <c r="C986" t="s">
        <v>59</v>
      </c>
      <c r="D986" t="s">
        <v>58</v>
      </c>
      <c r="E986" t="s">
        <v>211</v>
      </c>
      <c r="F986" t="s">
        <v>82</v>
      </c>
      <c r="G986" t="s">
        <v>212</v>
      </c>
      <c r="H986" t="s">
        <v>106</v>
      </c>
      <c r="I986" t="s">
        <v>107</v>
      </c>
      <c r="J986" t="s">
        <v>3489</v>
      </c>
      <c r="K986" t="s">
        <v>187</v>
      </c>
      <c r="L986" t="s">
        <v>3490</v>
      </c>
      <c r="M986" t="s">
        <v>269</v>
      </c>
      <c r="N986" t="s">
        <v>95</v>
      </c>
      <c r="O986" s="27">
        <v>1019000</v>
      </c>
      <c r="P986">
        <v>3</v>
      </c>
      <c r="Q986" t="s">
        <v>164</v>
      </c>
      <c r="R986">
        <v>16</v>
      </c>
      <c r="S986" t="s">
        <v>214</v>
      </c>
      <c r="T986" t="str">
        <f>IF(COUNTIF($A$2:A986,A986)&gt;1,"Duplicate","Unique")</f>
        <v>Unique</v>
      </c>
    </row>
    <row r="987" spans="1:20" x14ac:dyDescent="0.45">
      <c r="A987" t="s">
        <v>922</v>
      </c>
      <c r="B987" t="s">
        <v>196</v>
      </c>
      <c r="C987" t="s">
        <v>61</v>
      </c>
      <c r="D987" t="s">
        <v>60</v>
      </c>
      <c r="E987" t="s">
        <v>923</v>
      </c>
      <c r="F987" t="s">
        <v>85</v>
      </c>
      <c r="G987" t="s">
        <v>924</v>
      </c>
      <c r="H987" t="s">
        <v>108</v>
      </c>
      <c r="I987" t="s">
        <v>107</v>
      </c>
      <c r="J987" t="s">
        <v>3491</v>
      </c>
      <c r="K987" t="s">
        <v>162</v>
      </c>
      <c r="M987" t="s">
        <v>163</v>
      </c>
      <c r="N987" t="s">
        <v>99</v>
      </c>
      <c r="O987" s="27">
        <v>4833000</v>
      </c>
      <c r="P987">
        <v>3</v>
      </c>
      <c r="Q987" t="s">
        <v>164</v>
      </c>
      <c r="R987">
        <v>30</v>
      </c>
      <c r="S987" t="s">
        <v>319</v>
      </c>
      <c r="T987" t="str">
        <f>IF(COUNTIF($A$2:A987,A987)&gt;1,"Duplicate","Unique")</f>
        <v>Unique</v>
      </c>
    </row>
    <row r="988" spans="1:20" x14ac:dyDescent="0.45">
      <c r="A988" t="s">
        <v>1262</v>
      </c>
      <c r="B988" t="s">
        <v>909</v>
      </c>
      <c r="C988" t="s">
        <v>53</v>
      </c>
      <c r="D988" t="s">
        <v>2617</v>
      </c>
      <c r="E988" t="s">
        <v>322</v>
      </c>
      <c r="F988" t="s">
        <v>81</v>
      </c>
      <c r="G988" t="s">
        <v>323</v>
      </c>
      <c r="H988" t="s">
        <v>111</v>
      </c>
      <c r="I988" t="s">
        <v>110</v>
      </c>
      <c r="J988" t="s">
        <v>3492</v>
      </c>
      <c r="K988" t="s">
        <v>187</v>
      </c>
      <c r="L988" t="s">
        <v>3493</v>
      </c>
      <c r="M988" t="s">
        <v>269</v>
      </c>
      <c r="N988" t="s">
        <v>99</v>
      </c>
      <c r="O988" s="27">
        <v>736000</v>
      </c>
      <c r="P988">
        <v>3</v>
      </c>
      <c r="Q988" t="s">
        <v>172</v>
      </c>
      <c r="R988">
        <v>41</v>
      </c>
      <c r="S988" t="s">
        <v>237</v>
      </c>
      <c r="T988" t="str">
        <f>IF(COUNTIF($A$2:A988,A988)&gt;1,"Duplicate","Unique")</f>
        <v>Unique</v>
      </c>
    </row>
    <row r="989" spans="1:20" x14ac:dyDescent="0.45">
      <c r="A989" t="s">
        <v>1661</v>
      </c>
      <c r="B989" t="s">
        <v>250</v>
      </c>
      <c r="C989" t="s">
        <v>53</v>
      </c>
      <c r="D989" t="s">
        <v>52</v>
      </c>
      <c r="E989" t="s">
        <v>192</v>
      </c>
      <c r="F989" t="s">
        <v>83</v>
      </c>
      <c r="G989" t="s">
        <v>193</v>
      </c>
      <c r="H989" t="s">
        <v>106</v>
      </c>
      <c r="I989" t="s">
        <v>107</v>
      </c>
      <c r="J989" t="s">
        <v>3123</v>
      </c>
      <c r="K989" t="s">
        <v>187</v>
      </c>
      <c r="L989" t="s">
        <v>2914</v>
      </c>
      <c r="M989" t="s">
        <v>282</v>
      </c>
      <c r="N989" t="s">
        <v>96</v>
      </c>
      <c r="O989" s="27">
        <v>2052000</v>
      </c>
      <c r="P989">
        <v>3</v>
      </c>
      <c r="Q989" t="s">
        <v>172</v>
      </c>
      <c r="R989">
        <v>48</v>
      </c>
      <c r="S989" t="s">
        <v>189</v>
      </c>
      <c r="T989" t="str">
        <f>IF(COUNTIF($A$2:A989,A989)&gt;1,"Duplicate","Unique")</f>
        <v>Unique</v>
      </c>
    </row>
    <row r="990" spans="1:20" x14ac:dyDescent="0.45">
      <c r="A990" t="s">
        <v>1031</v>
      </c>
      <c r="B990" t="s">
        <v>479</v>
      </c>
      <c r="C990" t="s">
        <v>55</v>
      </c>
      <c r="D990" t="s">
        <v>54</v>
      </c>
      <c r="E990" t="s">
        <v>277</v>
      </c>
      <c r="F990" t="s">
        <v>81</v>
      </c>
      <c r="G990" t="s">
        <v>278</v>
      </c>
      <c r="H990" t="s">
        <v>111</v>
      </c>
      <c r="I990" t="s">
        <v>110</v>
      </c>
      <c r="J990" t="s">
        <v>2898</v>
      </c>
      <c r="K990" t="s">
        <v>170</v>
      </c>
      <c r="L990" t="s">
        <v>3494</v>
      </c>
      <c r="M990" t="s">
        <v>171</v>
      </c>
      <c r="N990" t="s">
        <v>99</v>
      </c>
      <c r="O990" s="27">
        <v>646000</v>
      </c>
      <c r="P990">
        <v>2</v>
      </c>
      <c r="Q990" t="s">
        <v>172</v>
      </c>
      <c r="S990" t="s">
        <v>173</v>
      </c>
      <c r="T990" t="str">
        <f>IF(COUNTIF($A$2:A990,A990)&gt;1,"Duplicate","Unique")</f>
        <v>Unique</v>
      </c>
    </row>
    <row r="991" spans="1:20" x14ac:dyDescent="0.45">
      <c r="A991" t="s">
        <v>1924</v>
      </c>
      <c r="B991" t="s">
        <v>1757</v>
      </c>
      <c r="C991" t="s">
        <v>55</v>
      </c>
      <c r="D991" t="s">
        <v>54</v>
      </c>
      <c r="E991" t="s">
        <v>229</v>
      </c>
      <c r="F991" t="s">
        <v>82</v>
      </c>
      <c r="G991" t="s">
        <v>230</v>
      </c>
      <c r="H991" t="s">
        <v>112</v>
      </c>
      <c r="I991" t="s">
        <v>113</v>
      </c>
      <c r="J991" t="s">
        <v>3029</v>
      </c>
      <c r="K991" t="s">
        <v>162</v>
      </c>
      <c r="M991" t="s">
        <v>163</v>
      </c>
      <c r="N991" t="s">
        <v>95</v>
      </c>
      <c r="O991" s="27">
        <v>1009000</v>
      </c>
      <c r="P991">
        <v>2</v>
      </c>
      <c r="Q991" t="s">
        <v>164</v>
      </c>
      <c r="R991">
        <v>4</v>
      </c>
      <c r="S991" t="s">
        <v>262</v>
      </c>
      <c r="T991" t="str">
        <f>IF(COUNTIF($A$2:A991,A991)&gt;1,"Duplicate","Unique")</f>
        <v>Unique</v>
      </c>
    </row>
    <row r="992" spans="1:20" x14ac:dyDescent="0.45">
      <c r="A992" t="s">
        <v>445</v>
      </c>
      <c r="B992" t="s">
        <v>351</v>
      </c>
      <c r="C992" t="s">
        <v>53</v>
      </c>
      <c r="D992" t="s">
        <v>52</v>
      </c>
      <c r="E992" t="s">
        <v>322</v>
      </c>
      <c r="F992" t="s">
        <v>81</v>
      </c>
      <c r="G992" t="s">
        <v>323</v>
      </c>
      <c r="H992" t="s">
        <v>108</v>
      </c>
      <c r="I992" t="s">
        <v>107</v>
      </c>
      <c r="J992" t="s">
        <v>3495</v>
      </c>
      <c r="K992" t="s">
        <v>170</v>
      </c>
      <c r="L992" t="s">
        <v>3397</v>
      </c>
      <c r="M992" t="s">
        <v>171</v>
      </c>
      <c r="N992" t="s">
        <v>96</v>
      </c>
      <c r="O992" s="27">
        <v>627000</v>
      </c>
      <c r="P992">
        <v>2</v>
      </c>
      <c r="Q992" t="s">
        <v>172</v>
      </c>
      <c r="R992">
        <v>17</v>
      </c>
      <c r="S992" t="s">
        <v>237</v>
      </c>
      <c r="T992" t="str">
        <f>IF(COUNTIF($A$2:A992,A992)&gt;1,"Duplicate","Unique")</f>
        <v>Unique</v>
      </c>
    </row>
    <row r="993" spans="1:20" x14ac:dyDescent="0.45">
      <c r="A993" t="s">
        <v>1556</v>
      </c>
      <c r="B993" t="s">
        <v>1557</v>
      </c>
      <c r="C993" t="s">
        <v>55</v>
      </c>
      <c r="D993" t="s">
        <v>54</v>
      </c>
      <c r="E993" t="s">
        <v>240</v>
      </c>
      <c r="F993" t="s">
        <v>83</v>
      </c>
      <c r="G993" t="s">
        <v>241</v>
      </c>
      <c r="H993" t="s">
        <v>106</v>
      </c>
      <c r="I993" t="s">
        <v>107</v>
      </c>
      <c r="J993" t="s">
        <v>2961</v>
      </c>
      <c r="K993" t="s">
        <v>162</v>
      </c>
      <c r="M993" t="s">
        <v>163</v>
      </c>
      <c r="N993" t="s">
        <v>97</v>
      </c>
      <c r="O993" s="27">
        <v>1394000</v>
      </c>
      <c r="P993">
        <v>5</v>
      </c>
      <c r="Q993" t="s">
        <v>172</v>
      </c>
      <c r="R993">
        <v>41</v>
      </c>
      <c r="S993" t="s">
        <v>274</v>
      </c>
      <c r="T993" t="str">
        <f>IF(COUNTIF($A$2:A993,A993)&gt;1,"Duplicate","Unique")</f>
        <v>Unique</v>
      </c>
    </row>
    <row r="994" spans="1:20" x14ac:dyDescent="0.45">
      <c r="A994" t="s">
        <v>1900</v>
      </c>
      <c r="B994" t="s">
        <v>1901</v>
      </c>
      <c r="C994" t="s">
        <v>53</v>
      </c>
      <c r="D994" t="s">
        <v>52</v>
      </c>
      <c r="E994" t="s">
        <v>322</v>
      </c>
      <c r="F994" t="s">
        <v>81</v>
      </c>
      <c r="G994" t="s">
        <v>323</v>
      </c>
      <c r="H994" t="s">
        <v>108</v>
      </c>
      <c r="I994" t="s">
        <v>107</v>
      </c>
      <c r="J994" t="s">
        <v>2903</v>
      </c>
      <c r="K994" t="s">
        <v>187</v>
      </c>
      <c r="L994" t="s">
        <v>3496</v>
      </c>
      <c r="M994" t="s">
        <v>213</v>
      </c>
      <c r="N994" t="s">
        <v>96</v>
      </c>
      <c r="O994" s="27">
        <v>798000</v>
      </c>
      <c r="P994">
        <v>5</v>
      </c>
      <c r="Q994" t="s">
        <v>172</v>
      </c>
      <c r="R994">
        <v>50</v>
      </c>
      <c r="S994" t="s">
        <v>189</v>
      </c>
      <c r="T994" t="str">
        <f>IF(COUNTIF($A$2:A994,A994)&gt;1,"Duplicate","Unique")</f>
        <v>Unique</v>
      </c>
    </row>
    <row r="995" spans="1:20" x14ac:dyDescent="0.45">
      <c r="A995" t="s">
        <v>1683</v>
      </c>
      <c r="B995" t="s">
        <v>509</v>
      </c>
      <c r="C995" t="s">
        <v>51</v>
      </c>
      <c r="D995" t="s">
        <v>50</v>
      </c>
      <c r="E995" t="s">
        <v>217</v>
      </c>
      <c r="F995" t="s">
        <v>83</v>
      </c>
      <c r="G995" t="s">
        <v>218</v>
      </c>
      <c r="H995" t="s">
        <v>106</v>
      </c>
      <c r="I995" t="s">
        <v>107</v>
      </c>
      <c r="J995" t="s">
        <v>3497</v>
      </c>
      <c r="K995" t="s">
        <v>162</v>
      </c>
      <c r="M995" t="s">
        <v>163</v>
      </c>
      <c r="N995" t="s">
        <v>99</v>
      </c>
      <c r="O995" s="27">
        <v>2062000</v>
      </c>
      <c r="P995">
        <v>3</v>
      </c>
      <c r="Q995" t="s">
        <v>164</v>
      </c>
      <c r="R995">
        <v>40</v>
      </c>
      <c r="S995" t="s">
        <v>244</v>
      </c>
      <c r="T995" t="str">
        <f>IF(COUNTIF($A$2:A995,A995)&gt;1,"Duplicate","Unique")</f>
        <v>Unique</v>
      </c>
    </row>
    <row r="996" spans="1:20" x14ac:dyDescent="0.45">
      <c r="A996" t="s">
        <v>1451</v>
      </c>
      <c r="B996" t="s">
        <v>1452</v>
      </c>
      <c r="C996" t="s">
        <v>59</v>
      </c>
      <c r="D996" t="s">
        <v>58</v>
      </c>
      <c r="E996" t="s">
        <v>206</v>
      </c>
      <c r="F996" t="s">
        <v>81</v>
      </c>
      <c r="G996" t="s">
        <v>207</v>
      </c>
      <c r="H996" t="s">
        <v>2995</v>
      </c>
      <c r="I996" t="s">
        <v>107</v>
      </c>
      <c r="J996" t="s">
        <v>3498</v>
      </c>
      <c r="K996" t="s">
        <v>162</v>
      </c>
      <c r="M996" t="s">
        <v>163</v>
      </c>
      <c r="N996" t="s">
        <v>95</v>
      </c>
      <c r="O996" s="27">
        <v>740000</v>
      </c>
      <c r="P996">
        <v>3</v>
      </c>
      <c r="Q996" t="s">
        <v>172</v>
      </c>
      <c r="R996">
        <v>31</v>
      </c>
      <c r="S996" t="s">
        <v>214</v>
      </c>
      <c r="T996" t="str">
        <f>IF(COUNTIF($A$2:A996,A996)&gt;1,"Duplicate","Unique")</f>
        <v>Unique</v>
      </c>
    </row>
    <row r="997" spans="1:20" x14ac:dyDescent="0.45">
      <c r="A997" t="s">
        <v>1870</v>
      </c>
      <c r="B997" t="s">
        <v>1337</v>
      </c>
      <c r="C997" t="s">
        <v>51</v>
      </c>
      <c r="D997" t="s">
        <v>50</v>
      </c>
      <c r="E997" t="s">
        <v>181</v>
      </c>
      <c r="F997" t="s">
        <v>81</v>
      </c>
      <c r="G997" t="s">
        <v>182</v>
      </c>
      <c r="H997" t="s">
        <v>108</v>
      </c>
      <c r="I997" t="s">
        <v>107</v>
      </c>
      <c r="J997" t="s">
        <v>3499</v>
      </c>
      <c r="K997" t="s">
        <v>162</v>
      </c>
      <c r="M997" t="s">
        <v>163</v>
      </c>
      <c r="N997" t="s">
        <v>96</v>
      </c>
      <c r="O997" s="27">
        <v>786000</v>
      </c>
      <c r="P997">
        <v>4</v>
      </c>
      <c r="Q997" t="s">
        <v>164</v>
      </c>
      <c r="R997">
        <v>33</v>
      </c>
      <c r="S997" t="s">
        <v>178</v>
      </c>
      <c r="T997" t="str">
        <f>IF(COUNTIF($A$2:A997,A997)&gt;1,"Duplicate","Unique")</f>
        <v>Unique</v>
      </c>
    </row>
    <row r="998" spans="1:20" x14ac:dyDescent="0.45">
      <c r="A998" t="s">
        <v>379</v>
      </c>
      <c r="B998" t="s">
        <v>380</v>
      </c>
      <c r="C998" t="s">
        <v>53</v>
      </c>
      <c r="D998" t="s">
        <v>52</v>
      </c>
      <c r="E998" t="s">
        <v>185</v>
      </c>
      <c r="F998" t="s">
        <v>82</v>
      </c>
      <c r="G998" t="s">
        <v>186</v>
      </c>
      <c r="H998" t="s">
        <v>106</v>
      </c>
      <c r="I998" t="s">
        <v>107</v>
      </c>
      <c r="J998" t="s">
        <v>3113</v>
      </c>
      <c r="K998" t="s">
        <v>170</v>
      </c>
      <c r="L998" t="s">
        <v>3500</v>
      </c>
      <c r="M998" t="s">
        <v>171</v>
      </c>
      <c r="N998" t="s">
        <v>97</v>
      </c>
      <c r="O998" s="27">
        <v>1334000</v>
      </c>
      <c r="P998">
        <v>3</v>
      </c>
      <c r="Q998" t="s">
        <v>172</v>
      </c>
      <c r="R998">
        <v>44</v>
      </c>
      <c r="S998" t="s">
        <v>194</v>
      </c>
      <c r="T998" t="str">
        <f>IF(COUNTIF($A$2:A998,A998)&gt;1,"Duplicate","Unique")</f>
        <v>Unique</v>
      </c>
    </row>
    <row r="999" spans="1:20" x14ac:dyDescent="0.45">
      <c r="A999" t="s">
        <v>1396</v>
      </c>
      <c r="B999" t="s">
        <v>1397</v>
      </c>
      <c r="C999" t="s">
        <v>57</v>
      </c>
      <c r="D999" t="s">
        <v>56</v>
      </c>
      <c r="E999" t="s">
        <v>222</v>
      </c>
      <c r="F999" t="s">
        <v>82</v>
      </c>
      <c r="G999" t="s">
        <v>223</v>
      </c>
      <c r="H999" t="s">
        <v>109</v>
      </c>
      <c r="I999" t="s">
        <v>110</v>
      </c>
      <c r="J999" t="s">
        <v>3038</v>
      </c>
      <c r="K999" t="s">
        <v>162</v>
      </c>
      <c r="M999" t="s">
        <v>163</v>
      </c>
      <c r="N999" t="s">
        <v>99</v>
      </c>
      <c r="O999" s="27">
        <v>1331000</v>
      </c>
      <c r="P999">
        <v>3</v>
      </c>
      <c r="Q999" t="s">
        <v>164</v>
      </c>
      <c r="R999">
        <v>29</v>
      </c>
      <c r="S999" t="s">
        <v>165</v>
      </c>
      <c r="T999" t="str">
        <f>IF(COUNTIF($A$2:A999,A999)&gt;1,"Duplicate","Unique")</f>
        <v>Unique</v>
      </c>
    </row>
    <row r="1000" spans="1:20" x14ac:dyDescent="0.45">
      <c r="A1000" t="s">
        <v>1974</v>
      </c>
      <c r="B1000" t="s">
        <v>1249</v>
      </c>
      <c r="C1000" t="s">
        <v>51</v>
      </c>
      <c r="D1000" t="s">
        <v>50</v>
      </c>
      <c r="E1000" t="s">
        <v>176</v>
      </c>
      <c r="F1000" t="s">
        <v>82</v>
      </c>
      <c r="G1000" t="s">
        <v>177</v>
      </c>
      <c r="H1000" t="s">
        <v>108</v>
      </c>
      <c r="I1000" t="s">
        <v>107</v>
      </c>
      <c r="J1000" t="s">
        <v>2938</v>
      </c>
      <c r="K1000" t="s">
        <v>162</v>
      </c>
      <c r="M1000" t="s">
        <v>163</v>
      </c>
      <c r="N1000" t="s">
        <v>98</v>
      </c>
      <c r="O1000" s="27">
        <v>1270000</v>
      </c>
      <c r="P1000">
        <v>4</v>
      </c>
      <c r="Q1000" t="s">
        <v>164</v>
      </c>
      <c r="R1000">
        <v>40</v>
      </c>
      <c r="S1000" t="s">
        <v>178</v>
      </c>
      <c r="T1000" t="str">
        <f>IF(COUNTIF($A$2:A1000,A1000)&gt;1,"Duplicate","Unique")</f>
        <v>Unique</v>
      </c>
    </row>
    <row r="1001" spans="1:20" x14ac:dyDescent="0.45">
      <c r="A1001" t="s">
        <v>1996</v>
      </c>
      <c r="B1001" t="s">
        <v>1926</v>
      </c>
      <c r="C1001" t="s">
        <v>53</v>
      </c>
      <c r="D1001" t="s">
        <v>2617</v>
      </c>
      <c r="E1001" t="s">
        <v>192</v>
      </c>
      <c r="F1001" t="s">
        <v>83</v>
      </c>
      <c r="G1001" t="s">
        <v>193</v>
      </c>
      <c r="H1001" t="s">
        <v>111</v>
      </c>
      <c r="I1001" t="s">
        <v>110</v>
      </c>
      <c r="J1001" t="s">
        <v>3501</v>
      </c>
      <c r="K1001" t="s">
        <v>162</v>
      </c>
      <c r="M1001" t="s">
        <v>163</v>
      </c>
      <c r="N1001" t="s">
        <v>97</v>
      </c>
      <c r="O1001" s="27">
        <v>1904000</v>
      </c>
      <c r="P1001">
        <v>1</v>
      </c>
      <c r="Q1001" t="s">
        <v>172</v>
      </c>
      <c r="R1001">
        <v>14</v>
      </c>
      <c r="S1001" t="s">
        <v>237</v>
      </c>
      <c r="T1001" t="str">
        <f>IF(COUNTIF($A$2:A1001,A1001)&gt;1,"Duplicate","Unique")</f>
        <v>Unique</v>
      </c>
    </row>
    <row r="1002" spans="1:20" x14ac:dyDescent="0.45">
      <c r="A1002" t="s">
        <v>386</v>
      </c>
      <c r="B1002" t="s">
        <v>387</v>
      </c>
      <c r="C1002" t="s">
        <v>53</v>
      </c>
      <c r="D1002" t="s">
        <v>52</v>
      </c>
      <c r="E1002" t="s">
        <v>185</v>
      </c>
      <c r="F1002" t="s">
        <v>82</v>
      </c>
      <c r="G1002" t="s">
        <v>186</v>
      </c>
      <c r="H1002" t="s">
        <v>106</v>
      </c>
      <c r="I1002" t="s">
        <v>107</v>
      </c>
      <c r="J1002" t="s">
        <v>3436</v>
      </c>
      <c r="K1002" t="s">
        <v>162</v>
      </c>
      <c r="M1002" t="s">
        <v>163</v>
      </c>
      <c r="N1002" t="s">
        <v>98</v>
      </c>
      <c r="O1002" s="27">
        <v>1213000</v>
      </c>
      <c r="P1002">
        <v>2</v>
      </c>
      <c r="Q1002" t="s">
        <v>164</v>
      </c>
      <c r="R1002">
        <v>41</v>
      </c>
      <c r="S1002" t="s">
        <v>189</v>
      </c>
      <c r="T1002" t="str">
        <f>IF(COUNTIF($A$2:A1002,A1002)&gt;1,"Duplicate","Unique")</f>
        <v>Unique</v>
      </c>
    </row>
    <row r="1003" spans="1:20" x14ac:dyDescent="0.45">
      <c r="A1003" t="s">
        <v>375</v>
      </c>
      <c r="B1003" t="s">
        <v>376</v>
      </c>
      <c r="C1003" t="s">
        <v>57</v>
      </c>
      <c r="D1003" t="s">
        <v>56</v>
      </c>
      <c r="E1003" t="s">
        <v>222</v>
      </c>
      <c r="F1003" t="s">
        <v>82</v>
      </c>
      <c r="G1003" t="s">
        <v>223</v>
      </c>
      <c r="H1003" t="s">
        <v>109</v>
      </c>
      <c r="I1003" t="s">
        <v>110</v>
      </c>
      <c r="J1003" t="s">
        <v>3502</v>
      </c>
      <c r="K1003" t="s">
        <v>162</v>
      </c>
      <c r="M1003" t="s">
        <v>163</v>
      </c>
      <c r="N1003" t="s">
        <v>99</v>
      </c>
      <c r="O1003" s="27">
        <v>1340000</v>
      </c>
      <c r="P1003">
        <v>2</v>
      </c>
      <c r="Q1003" t="s">
        <v>164</v>
      </c>
      <c r="R1003">
        <v>29</v>
      </c>
      <c r="S1003" t="s">
        <v>165</v>
      </c>
      <c r="T1003" t="str">
        <f>IF(COUNTIF($A$2:A1003,A1003)&gt;1,"Duplicate","Unique")</f>
        <v>Unique</v>
      </c>
    </row>
    <row r="1004" spans="1:20" x14ac:dyDescent="0.45">
      <c r="A1004" t="s">
        <v>1565</v>
      </c>
      <c r="B1004" t="s">
        <v>339</v>
      </c>
      <c r="C1004" t="s">
        <v>55</v>
      </c>
      <c r="D1004" t="s">
        <v>54</v>
      </c>
      <c r="E1004" t="s">
        <v>229</v>
      </c>
      <c r="F1004" t="s">
        <v>82</v>
      </c>
      <c r="G1004" t="s">
        <v>230</v>
      </c>
      <c r="H1004" t="s">
        <v>108</v>
      </c>
      <c r="I1004" t="s">
        <v>107</v>
      </c>
      <c r="J1004" t="s">
        <v>3503</v>
      </c>
      <c r="K1004" t="s">
        <v>170</v>
      </c>
      <c r="L1004" t="s">
        <v>3310</v>
      </c>
      <c r="M1004" t="s">
        <v>171</v>
      </c>
      <c r="N1004" t="s">
        <v>98</v>
      </c>
      <c r="O1004" s="27">
        <v>1329000</v>
      </c>
      <c r="P1004">
        <v>2</v>
      </c>
      <c r="Q1004" t="s">
        <v>172</v>
      </c>
      <c r="R1004">
        <v>27</v>
      </c>
      <c r="S1004" t="s">
        <v>274</v>
      </c>
      <c r="T1004" t="str">
        <f>IF(COUNTIF($A$2:A1004,A1004)&gt;1,"Duplicate","Unique")</f>
        <v>Unique</v>
      </c>
    </row>
    <row r="1005" spans="1:20" x14ac:dyDescent="0.45">
      <c r="A1005" t="s">
        <v>158</v>
      </c>
      <c r="B1005" t="s">
        <v>159</v>
      </c>
      <c r="C1005" t="s">
        <v>57</v>
      </c>
      <c r="D1005" t="s">
        <v>56</v>
      </c>
      <c r="E1005" t="s">
        <v>160</v>
      </c>
      <c r="F1005" t="s">
        <v>81</v>
      </c>
      <c r="G1005" t="s">
        <v>161</v>
      </c>
      <c r="H1005" t="s">
        <v>112</v>
      </c>
      <c r="I1005" t="s">
        <v>113</v>
      </c>
      <c r="J1005" t="s">
        <v>3504</v>
      </c>
      <c r="K1005" t="s">
        <v>162</v>
      </c>
      <c r="M1005" t="s">
        <v>163</v>
      </c>
      <c r="N1005" t="s">
        <v>97</v>
      </c>
      <c r="O1005" s="27">
        <v>674000</v>
      </c>
      <c r="P1005">
        <v>5</v>
      </c>
      <c r="Q1005" t="s">
        <v>164</v>
      </c>
      <c r="R1005">
        <v>31</v>
      </c>
      <c r="S1005" t="s">
        <v>165</v>
      </c>
      <c r="T1005" t="str">
        <f>IF(COUNTIF($A$2:A1005,A1005)&gt;1,"Duplicate","Unique")</f>
        <v>Unique</v>
      </c>
    </row>
    <row r="1006" spans="1:20" x14ac:dyDescent="0.45">
      <c r="A1006" t="s">
        <v>2330</v>
      </c>
      <c r="B1006" t="s">
        <v>2331</v>
      </c>
      <c r="C1006" t="s">
        <v>51</v>
      </c>
      <c r="D1006" t="s">
        <v>50</v>
      </c>
      <c r="E1006" t="s">
        <v>176</v>
      </c>
      <c r="F1006" t="s">
        <v>82</v>
      </c>
      <c r="G1006" t="s">
        <v>177</v>
      </c>
      <c r="H1006" t="s">
        <v>106</v>
      </c>
      <c r="I1006" t="s">
        <v>107</v>
      </c>
      <c r="J1006" t="s">
        <v>3505</v>
      </c>
      <c r="K1006" t="s">
        <v>162</v>
      </c>
      <c r="M1006" t="s">
        <v>163</v>
      </c>
      <c r="N1006" t="s">
        <v>95</v>
      </c>
      <c r="O1006" s="27">
        <v>865000</v>
      </c>
      <c r="P1006">
        <v>3</v>
      </c>
      <c r="Q1006" t="s">
        <v>172</v>
      </c>
      <c r="R1006">
        <v>23</v>
      </c>
      <c r="S1006" t="s">
        <v>178</v>
      </c>
      <c r="T1006" t="str">
        <f>IF(COUNTIF($A$2:A1006,A1006)&gt;1,"Duplicate","Unique")</f>
        <v>Unique</v>
      </c>
    </row>
    <row r="1007" spans="1:20" x14ac:dyDescent="0.45">
      <c r="A1007" t="s">
        <v>797</v>
      </c>
      <c r="B1007" t="s">
        <v>747</v>
      </c>
      <c r="C1007" t="s">
        <v>55</v>
      </c>
      <c r="D1007" t="s">
        <v>54</v>
      </c>
      <c r="E1007" t="s">
        <v>277</v>
      </c>
      <c r="F1007" t="s">
        <v>81</v>
      </c>
      <c r="G1007" t="s">
        <v>278</v>
      </c>
      <c r="H1007" t="s">
        <v>106</v>
      </c>
      <c r="I1007" t="s">
        <v>107</v>
      </c>
      <c r="J1007" t="s">
        <v>3506</v>
      </c>
      <c r="K1007" t="s">
        <v>162</v>
      </c>
      <c r="M1007" t="s">
        <v>163</v>
      </c>
      <c r="N1007" t="s">
        <v>99</v>
      </c>
      <c r="O1007" s="27">
        <v>666000</v>
      </c>
      <c r="P1007">
        <v>4</v>
      </c>
      <c r="Q1007" t="s">
        <v>164</v>
      </c>
      <c r="R1007">
        <v>42</v>
      </c>
      <c r="S1007" t="s">
        <v>173</v>
      </c>
      <c r="T1007" t="str">
        <f>IF(COUNTIF($A$2:A1007,A1007)&gt;1,"Duplicate","Unique")</f>
        <v>Unique</v>
      </c>
    </row>
    <row r="1008" spans="1:20" x14ac:dyDescent="0.45">
      <c r="A1008" t="s">
        <v>1898</v>
      </c>
      <c r="B1008" t="s">
        <v>3507</v>
      </c>
      <c r="C1008" t="s">
        <v>53</v>
      </c>
      <c r="D1008" t="s">
        <v>52</v>
      </c>
      <c r="E1008" t="s">
        <v>322</v>
      </c>
      <c r="F1008" t="s">
        <v>81</v>
      </c>
      <c r="G1008" t="s">
        <v>323</v>
      </c>
      <c r="H1008" t="s">
        <v>2535</v>
      </c>
      <c r="I1008" t="s">
        <v>107</v>
      </c>
      <c r="J1008" t="s">
        <v>2661</v>
      </c>
      <c r="K1008" t="s">
        <v>187</v>
      </c>
      <c r="L1008" t="s">
        <v>3508</v>
      </c>
      <c r="M1008" t="s">
        <v>282</v>
      </c>
      <c r="N1008" t="s">
        <v>99</v>
      </c>
      <c r="O1008" s="27">
        <v>616000</v>
      </c>
      <c r="P1008">
        <v>5</v>
      </c>
      <c r="Q1008" t="s">
        <v>172</v>
      </c>
      <c r="S1008" t="s">
        <v>189</v>
      </c>
      <c r="T1008" t="str">
        <f>IF(COUNTIF($A$2:A1008,A1008)&gt;1,"Duplicate","Unique")</f>
        <v>Unique</v>
      </c>
    </row>
    <row r="1009" spans="1:20" x14ac:dyDescent="0.45">
      <c r="A1009" t="s">
        <v>2354</v>
      </c>
      <c r="B1009" t="s">
        <v>804</v>
      </c>
      <c r="C1009" t="s">
        <v>51</v>
      </c>
      <c r="D1009" t="s">
        <v>50</v>
      </c>
      <c r="E1009" t="s">
        <v>176</v>
      </c>
      <c r="F1009" t="s">
        <v>82</v>
      </c>
      <c r="G1009" t="s">
        <v>177</v>
      </c>
      <c r="H1009" t="s">
        <v>108</v>
      </c>
      <c r="I1009" t="s">
        <v>107</v>
      </c>
      <c r="J1009" t="s">
        <v>3127</v>
      </c>
      <c r="K1009" t="s">
        <v>162</v>
      </c>
      <c r="M1009" t="s">
        <v>163</v>
      </c>
      <c r="N1009" t="s">
        <v>95</v>
      </c>
      <c r="O1009" s="27">
        <v>1097000</v>
      </c>
      <c r="P1009">
        <v>3</v>
      </c>
      <c r="Q1009" t="s">
        <v>172</v>
      </c>
      <c r="R1009">
        <v>33</v>
      </c>
      <c r="S1009" t="s">
        <v>197</v>
      </c>
      <c r="T1009" t="str">
        <f>IF(COUNTIF($A$2:A1009,A1009)&gt;1,"Duplicate","Unique")</f>
        <v>Unique</v>
      </c>
    </row>
    <row r="1010" spans="1:20" x14ac:dyDescent="0.45">
      <c r="A1010" t="s">
        <v>964</v>
      </c>
      <c r="B1010" t="s">
        <v>965</v>
      </c>
      <c r="C1010" t="s">
        <v>57</v>
      </c>
      <c r="D1010" t="s">
        <v>2476</v>
      </c>
      <c r="E1010" t="s">
        <v>391</v>
      </c>
      <c r="F1010" t="s">
        <v>83</v>
      </c>
      <c r="G1010" t="s">
        <v>392</v>
      </c>
      <c r="H1010" t="s">
        <v>108</v>
      </c>
      <c r="I1010" t="s">
        <v>107</v>
      </c>
      <c r="J1010" t="s">
        <v>2534</v>
      </c>
      <c r="K1010" t="s">
        <v>187</v>
      </c>
      <c r="L1010" t="s">
        <v>3081</v>
      </c>
      <c r="M1010" t="s">
        <v>282</v>
      </c>
      <c r="N1010" t="s">
        <v>95</v>
      </c>
      <c r="O1010" s="27">
        <v>1829000</v>
      </c>
      <c r="P1010">
        <v>5</v>
      </c>
      <c r="Q1010" t="s">
        <v>164</v>
      </c>
      <c r="R1010">
        <v>32</v>
      </c>
      <c r="S1010" t="s">
        <v>224</v>
      </c>
      <c r="T1010" t="str">
        <f>IF(COUNTIF($A$2:A1010,A1010)&gt;1,"Duplicate","Unique")</f>
        <v>Unique</v>
      </c>
    </row>
    <row r="1011" spans="1:20" x14ac:dyDescent="0.45">
      <c r="A1011" t="s">
        <v>1089</v>
      </c>
      <c r="B1011" t="s">
        <v>627</v>
      </c>
      <c r="C1011" t="s">
        <v>55</v>
      </c>
      <c r="D1011" t="s">
        <v>54</v>
      </c>
      <c r="E1011" t="s">
        <v>277</v>
      </c>
      <c r="F1011" t="s">
        <v>81</v>
      </c>
      <c r="G1011" t="s">
        <v>278</v>
      </c>
      <c r="H1011" t="s">
        <v>106</v>
      </c>
      <c r="I1011" t="s">
        <v>107</v>
      </c>
      <c r="J1011" t="s">
        <v>3509</v>
      </c>
      <c r="K1011" t="s">
        <v>162</v>
      </c>
      <c r="M1011" t="s">
        <v>163</v>
      </c>
      <c r="N1011" t="s">
        <v>99</v>
      </c>
      <c r="O1011" s="27">
        <v>752000</v>
      </c>
      <c r="P1011">
        <v>3</v>
      </c>
      <c r="Q1011" t="s">
        <v>164</v>
      </c>
      <c r="R1011">
        <v>37</v>
      </c>
      <c r="S1011" t="s">
        <v>274</v>
      </c>
      <c r="T1011" t="str">
        <f>IF(COUNTIF($A$2:A1011,A1011)&gt;1,"Duplicate","Unique")</f>
        <v>Unique</v>
      </c>
    </row>
    <row r="1012" spans="1:20" x14ac:dyDescent="0.45">
      <c r="A1012" t="s">
        <v>928</v>
      </c>
      <c r="B1012" t="s">
        <v>3510</v>
      </c>
      <c r="C1012" t="s">
        <v>51</v>
      </c>
      <c r="D1012" t="s">
        <v>50</v>
      </c>
      <c r="E1012" t="s">
        <v>181</v>
      </c>
      <c r="F1012" t="s">
        <v>81</v>
      </c>
      <c r="G1012" t="s">
        <v>182</v>
      </c>
      <c r="H1012" t="s">
        <v>109</v>
      </c>
      <c r="I1012" t="s">
        <v>110</v>
      </c>
      <c r="J1012" t="s">
        <v>3002</v>
      </c>
      <c r="K1012" t="s">
        <v>162</v>
      </c>
      <c r="M1012" t="s">
        <v>163</v>
      </c>
      <c r="N1012" t="s">
        <v>99</v>
      </c>
      <c r="O1012" s="27">
        <v>830000</v>
      </c>
      <c r="P1012">
        <v>3</v>
      </c>
      <c r="Q1012" t="s">
        <v>172</v>
      </c>
      <c r="R1012">
        <v>27</v>
      </c>
      <c r="S1012" t="s">
        <v>219</v>
      </c>
      <c r="T1012" t="str">
        <f>IF(COUNTIF($A$2:A1012,A1012)&gt;1,"Duplicate","Unique")</f>
        <v>Unique</v>
      </c>
    </row>
    <row r="1013" spans="1:20" x14ac:dyDescent="0.45">
      <c r="A1013" t="s">
        <v>2043</v>
      </c>
      <c r="B1013" t="s">
        <v>2044</v>
      </c>
      <c r="C1013" t="s">
        <v>51</v>
      </c>
      <c r="D1013" t="s">
        <v>50</v>
      </c>
      <c r="E1013" t="s">
        <v>181</v>
      </c>
      <c r="F1013" t="s">
        <v>81</v>
      </c>
      <c r="G1013" t="s">
        <v>182</v>
      </c>
      <c r="H1013" t="s">
        <v>109</v>
      </c>
      <c r="I1013" t="s">
        <v>110</v>
      </c>
      <c r="J1013" t="s">
        <v>3233</v>
      </c>
      <c r="K1013" t="s">
        <v>162</v>
      </c>
      <c r="M1013" t="s">
        <v>163</v>
      </c>
      <c r="N1013" t="s">
        <v>98</v>
      </c>
      <c r="O1013" s="27">
        <v>758000</v>
      </c>
      <c r="P1013">
        <v>4</v>
      </c>
      <c r="Q1013" t="s">
        <v>164</v>
      </c>
      <c r="R1013">
        <v>37</v>
      </c>
      <c r="S1013" t="s">
        <v>219</v>
      </c>
      <c r="T1013" t="str">
        <f>IF(COUNTIF($A$2:A1013,A1013)&gt;1,"Duplicate","Unique")</f>
        <v>Unique</v>
      </c>
    </row>
    <row r="1014" spans="1:20" x14ac:dyDescent="0.45">
      <c r="A1014" t="s">
        <v>1414</v>
      </c>
      <c r="B1014" t="s">
        <v>642</v>
      </c>
      <c r="C1014" t="s">
        <v>55</v>
      </c>
      <c r="D1014" t="s">
        <v>54</v>
      </c>
      <c r="E1014" t="s">
        <v>229</v>
      </c>
      <c r="F1014" t="s">
        <v>82</v>
      </c>
      <c r="G1014" t="s">
        <v>230</v>
      </c>
      <c r="H1014" t="s">
        <v>108</v>
      </c>
      <c r="I1014" t="s">
        <v>107</v>
      </c>
      <c r="J1014" t="s">
        <v>3511</v>
      </c>
      <c r="K1014" t="s">
        <v>187</v>
      </c>
      <c r="L1014" t="s">
        <v>3512</v>
      </c>
      <c r="M1014" t="s">
        <v>213</v>
      </c>
      <c r="N1014" t="s">
        <v>97</v>
      </c>
      <c r="O1014" s="27">
        <v>1322000</v>
      </c>
      <c r="P1014">
        <v>4</v>
      </c>
      <c r="Q1014" t="s">
        <v>164</v>
      </c>
      <c r="R1014">
        <v>9</v>
      </c>
      <c r="S1014" t="s">
        <v>173</v>
      </c>
      <c r="T1014" t="str">
        <f>IF(COUNTIF($A$2:A1014,A1014)&gt;1,"Duplicate","Unique")</f>
        <v>Unique</v>
      </c>
    </row>
    <row r="1015" spans="1:20" x14ac:dyDescent="0.45">
      <c r="A1015" t="s">
        <v>2057</v>
      </c>
      <c r="B1015" t="s">
        <v>1099</v>
      </c>
      <c r="C1015" t="s">
        <v>55</v>
      </c>
      <c r="D1015" t="s">
        <v>54</v>
      </c>
      <c r="E1015" t="s">
        <v>229</v>
      </c>
      <c r="F1015" t="s">
        <v>82</v>
      </c>
      <c r="G1015" t="s">
        <v>230</v>
      </c>
      <c r="H1015" t="s">
        <v>111</v>
      </c>
      <c r="I1015" t="s">
        <v>110</v>
      </c>
      <c r="J1015" t="s">
        <v>3513</v>
      </c>
      <c r="K1015" t="s">
        <v>162</v>
      </c>
      <c r="M1015" t="s">
        <v>163</v>
      </c>
      <c r="N1015" t="s">
        <v>99</v>
      </c>
      <c r="O1015" s="27">
        <v>1031000</v>
      </c>
      <c r="P1015">
        <v>3</v>
      </c>
      <c r="Q1015" t="s">
        <v>172</v>
      </c>
      <c r="R1015">
        <v>36</v>
      </c>
      <c r="S1015" t="s">
        <v>262</v>
      </c>
      <c r="T1015" t="str">
        <f>IF(COUNTIF($A$2:A1015,A1015)&gt;1,"Duplicate","Unique")</f>
        <v>Unique</v>
      </c>
    </row>
    <row r="1016" spans="1:20" x14ac:dyDescent="0.45">
      <c r="A1016" t="s">
        <v>1946</v>
      </c>
      <c r="B1016" t="s">
        <v>1947</v>
      </c>
      <c r="C1016" t="s">
        <v>57</v>
      </c>
      <c r="D1016" t="s">
        <v>56</v>
      </c>
      <c r="E1016" t="s">
        <v>222</v>
      </c>
      <c r="F1016" t="s">
        <v>82</v>
      </c>
      <c r="G1016" t="s">
        <v>223</v>
      </c>
      <c r="H1016" t="s">
        <v>108</v>
      </c>
      <c r="I1016" t="s">
        <v>107</v>
      </c>
      <c r="J1016" t="s">
        <v>3244</v>
      </c>
      <c r="K1016" t="s">
        <v>162</v>
      </c>
      <c r="M1016" t="s">
        <v>163</v>
      </c>
      <c r="N1016" t="s">
        <v>95</v>
      </c>
      <c r="O1016" s="27">
        <v>853000</v>
      </c>
      <c r="P1016">
        <v>5</v>
      </c>
      <c r="Q1016" t="s">
        <v>164</v>
      </c>
      <c r="R1016">
        <v>36</v>
      </c>
      <c r="S1016" t="s">
        <v>165</v>
      </c>
      <c r="T1016" t="str">
        <f>IF(COUNTIF($A$2:A1016,A1016)&gt;1,"Duplicate","Unique")</f>
        <v>Unique</v>
      </c>
    </row>
    <row r="1017" spans="1:20" x14ac:dyDescent="0.45">
      <c r="A1017" t="s">
        <v>2078</v>
      </c>
      <c r="B1017" t="s">
        <v>2079</v>
      </c>
      <c r="C1017" t="s">
        <v>55</v>
      </c>
      <c r="D1017" t="s">
        <v>54</v>
      </c>
      <c r="E1017" t="s">
        <v>229</v>
      </c>
      <c r="F1017" t="s">
        <v>82</v>
      </c>
      <c r="G1017" t="s">
        <v>230</v>
      </c>
      <c r="H1017" t="s">
        <v>2611</v>
      </c>
      <c r="I1017" t="s">
        <v>107</v>
      </c>
      <c r="J1017" t="s">
        <v>3514</v>
      </c>
      <c r="K1017" t="s">
        <v>187</v>
      </c>
      <c r="L1017" t="s">
        <v>2619</v>
      </c>
      <c r="M1017" t="s">
        <v>213</v>
      </c>
      <c r="N1017" t="s">
        <v>98</v>
      </c>
      <c r="O1017" s="27">
        <v>1062000</v>
      </c>
      <c r="P1017">
        <v>3</v>
      </c>
      <c r="Q1017" t="s">
        <v>164</v>
      </c>
      <c r="R1017">
        <v>44</v>
      </c>
      <c r="S1017" t="s">
        <v>262</v>
      </c>
      <c r="T1017" t="str">
        <f>IF(COUNTIF($A$2:A1017,A1017)&gt;1,"Duplicate","Unique")</f>
        <v>Unique</v>
      </c>
    </row>
    <row r="1018" spans="1:20" x14ac:dyDescent="0.45">
      <c r="A1018" t="s">
        <v>1719</v>
      </c>
      <c r="B1018" t="s">
        <v>444</v>
      </c>
      <c r="C1018" t="s">
        <v>61</v>
      </c>
      <c r="D1018" t="s">
        <v>60</v>
      </c>
      <c r="E1018" t="s">
        <v>356</v>
      </c>
      <c r="F1018" t="s">
        <v>81</v>
      </c>
      <c r="G1018" t="s">
        <v>357</v>
      </c>
      <c r="H1018" t="s">
        <v>111</v>
      </c>
      <c r="I1018" t="s">
        <v>110</v>
      </c>
      <c r="J1018" t="s">
        <v>2730</v>
      </c>
      <c r="K1018" t="s">
        <v>162</v>
      </c>
      <c r="M1018" t="s">
        <v>163</v>
      </c>
      <c r="N1018" t="s">
        <v>99</v>
      </c>
      <c r="O1018" s="27">
        <v>694000</v>
      </c>
      <c r="P1018">
        <v>5</v>
      </c>
      <c r="Q1018" t="s">
        <v>172</v>
      </c>
      <c r="R1018">
        <v>25</v>
      </c>
      <c r="S1018" t="s">
        <v>319</v>
      </c>
      <c r="T1018" t="str">
        <f>IF(COUNTIF($A$2:A1018,A1018)&gt;1,"Duplicate","Unique")</f>
        <v>Unique</v>
      </c>
    </row>
    <row r="1019" spans="1:20" x14ac:dyDescent="0.45">
      <c r="A1019" t="s">
        <v>1856</v>
      </c>
      <c r="B1019" t="s">
        <v>1857</v>
      </c>
      <c r="C1019" t="s">
        <v>55</v>
      </c>
      <c r="D1019" t="s">
        <v>54</v>
      </c>
      <c r="E1019" t="s">
        <v>277</v>
      </c>
      <c r="F1019" t="s">
        <v>81</v>
      </c>
      <c r="G1019" t="s">
        <v>278</v>
      </c>
      <c r="H1019" t="s">
        <v>106</v>
      </c>
      <c r="I1019" t="s">
        <v>107</v>
      </c>
      <c r="J1019" t="s">
        <v>3515</v>
      </c>
      <c r="K1019" t="s">
        <v>162</v>
      </c>
      <c r="M1019" t="s">
        <v>163</v>
      </c>
      <c r="N1019" t="s">
        <v>96</v>
      </c>
      <c r="O1019" s="27">
        <v>838000</v>
      </c>
      <c r="P1019">
        <v>3</v>
      </c>
      <c r="Q1019" t="s">
        <v>172</v>
      </c>
      <c r="R1019">
        <v>56</v>
      </c>
      <c r="S1019" t="s">
        <v>173</v>
      </c>
      <c r="T1019" t="str">
        <f>IF(COUNTIF($A$2:A1019,A1019)&gt;1,"Duplicate","Unique")</f>
        <v>Unique</v>
      </c>
    </row>
    <row r="1020" spans="1:20" x14ac:dyDescent="0.45">
      <c r="A1020" t="s">
        <v>1812</v>
      </c>
      <c r="B1020" t="s">
        <v>1813</v>
      </c>
      <c r="C1020" t="s">
        <v>53</v>
      </c>
      <c r="D1020" t="s">
        <v>52</v>
      </c>
      <c r="E1020" t="s">
        <v>322</v>
      </c>
      <c r="F1020" t="s">
        <v>81</v>
      </c>
      <c r="G1020" t="s">
        <v>323</v>
      </c>
      <c r="H1020" t="s">
        <v>106</v>
      </c>
      <c r="I1020" t="s">
        <v>107</v>
      </c>
      <c r="J1020" t="s">
        <v>2711</v>
      </c>
      <c r="K1020" t="s">
        <v>187</v>
      </c>
      <c r="L1020" t="s">
        <v>2572</v>
      </c>
      <c r="M1020" t="s">
        <v>282</v>
      </c>
      <c r="N1020" t="s">
        <v>95</v>
      </c>
      <c r="O1020" s="27">
        <v>682000</v>
      </c>
      <c r="P1020">
        <v>3</v>
      </c>
      <c r="Q1020" t="s">
        <v>164</v>
      </c>
      <c r="R1020">
        <v>20</v>
      </c>
      <c r="S1020" t="s">
        <v>194</v>
      </c>
      <c r="T1020" t="str">
        <f>IF(COUNTIF($A$2:A1020,A1020)&gt;1,"Duplicate","Unique")</f>
        <v>Unique</v>
      </c>
    </row>
    <row r="1021" spans="1:20" x14ac:dyDescent="0.45">
      <c r="A1021" t="s">
        <v>1196</v>
      </c>
      <c r="B1021" t="s">
        <v>3516</v>
      </c>
      <c r="C1021" t="s">
        <v>51</v>
      </c>
      <c r="D1021" t="s">
        <v>50</v>
      </c>
      <c r="E1021" t="s">
        <v>397</v>
      </c>
      <c r="F1021" t="s">
        <v>84</v>
      </c>
      <c r="G1021" t="s">
        <v>398</v>
      </c>
      <c r="H1021" t="s">
        <v>106</v>
      </c>
      <c r="I1021" t="s">
        <v>107</v>
      </c>
      <c r="J1021" t="s">
        <v>3517</v>
      </c>
      <c r="K1021" t="s">
        <v>162</v>
      </c>
      <c r="M1021" t="s">
        <v>163</v>
      </c>
      <c r="N1021" t="s">
        <v>96</v>
      </c>
      <c r="O1021" s="27">
        <v>3001000</v>
      </c>
      <c r="P1021">
        <v>5</v>
      </c>
      <c r="Q1021" t="s">
        <v>164</v>
      </c>
      <c r="R1021">
        <v>28</v>
      </c>
      <c r="S1021" t="s">
        <v>178</v>
      </c>
      <c r="T1021" t="str">
        <f>IF(COUNTIF($A$2:A1021,A1021)&gt;1,"Duplicate","Unique")</f>
        <v>Unique</v>
      </c>
    </row>
    <row r="1022" spans="1:20" x14ac:dyDescent="0.45">
      <c r="A1022" t="s">
        <v>2193</v>
      </c>
      <c r="B1022" t="s">
        <v>2194</v>
      </c>
      <c r="C1022" t="s">
        <v>55</v>
      </c>
      <c r="D1022" t="s">
        <v>54</v>
      </c>
      <c r="E1022" t="s">
        <v>168</v>
      </c>
      <c r="F1022" t="s">
        <v>84</v>
      </c>
      <c r="G1022" t="s">
        <v>169</v>
      </c>
      <c r="H1022" t="s">
        <v>106</v>
      </c>
      <c r="I1022" t="s">
        <v>107</v>
      </c>
      <c r="J1022" t="s">
        <v>3518</v>
      </c>
      <c r="K1022" t="s">
        <v>162</v>
      </c>
      <c r="M1022" t="s">
        <v>163</v>
      </c>
      <c r="N1022" t="s">
        <v>98</v>
      </c>
      <c r="O1022" s="27">
        <v>2186000</v>
      </c>
      <c r="P1022">
        <v>2</v>
      </c>
      <c r="Q1022" t="s">
        <v>164</v>
      </c>
      <c r="R1022">
        <v>20</v>
      </c>
      <c r="S1022" t="s">
        <v>262</v>
      </c>
      <c r="T1022" t="str">
        <f>IF(COUNTIF($A$2:A1022,A1022)&gt;1,"Duplicate","Unique")</f>
        <v>Unique</v>
      </c>
    </row>
    <row r="1023" spans="1:20" x14ac:dyDescent="0.45">
      <c r="A1023" t="s">
        <v>311</v>
      </c>
      <c r="B1023" t="s">
        <v>312</v>
      </c>
      <c r="C1023" t="s">
        <v>57</v>
      </c>
      <c r="D1023" t="s">
        <v>56</v>
      </c>
      <c r="E1023" t="s">
        <v>222</v>
      </c>
      <c r="F1023" t="s">
        <v>82</v>
      </c>
      <c r="G1023" t="s">
        <v>223</v>
      </c>
      <c r="H1023" t="s">
        <v>108</v>
      </c>
      <c r="I1023" t="s">
        <v>107</v>
      </c>
      <c r="J1023" t="s">
        <v>3519</v>
      </c>
      <c r="K1023" t="s">
        <v>170</v>
      </c>
      <c r="L1023" t="s">
        <v>2436</v>
      </c>
      <c r="M1023" t="s">
        <v>171</v>
      </c>
      <c r="N1023" t="s">
        <v>97</v>
      </c>
      <c r="O1023" s="27">
        <v>1226000</v>
      </c>
      <c r="P1023">
        <v>4</v>
      </c>
      <c r="Q1023" t="s">
        <v>172</v>
      </c>
      <c r="R1023">
        <v>25</v>
      </c>
      <c r="S1023" t="s">
        <v>165</v>
      </c>
      <c r="T1023" t="str">
        <f>IF(COUNTIF($A$2:A1023,A1023)&gt;1,"Duplicate","Unique")</f>
        <v>Unique</v>
      </c>
    </row>
    <row r="1024" spans="1:20" x14ac:dyDescent="0.45">
      <c r="A1024" t="s">
        <v>517</v>
      </c>
      <c r="B1024" t="s">
        <v>518</v>
      </c>
      <c r="C1024" t="s">
        <v>55</v>
      </c>
      <c r="D1024" t="s">
        <v>54</v>
      </c>
      <c r="E1024" t="s">
        <v>168</v>
      </c>
      <c r="F1024" t="s">
        <v>84</v>
      </c>
      <c r="G1024" t="s">
        <v>169</v>
      </c>
      <c r="H1024" t="s">
        <v>106</v>
      </c>
      <c r="I1024" t="s">
        <v>107</v>
      </c>
      <c r="J1024" t="s">
        <v>3520</v>
      </c>
      <c r="K1024" t="s">
        <v>162</v>
      </c>
      <c r="M1024" t="s">
        <v>163</v>
      </c>
      <c r="N1024" t="s">
        <v>95</v>
      </c>
      <c r="O1024" s="27">
        <v>2542000</v>
      </c>
      <c r="P1024">
        <v>3</v>
      </c>
      <c r="Q1024" t="s">
        <v>164</v>
      </c>
      <c r="R1024">
        <v>42</v>
      </c>
      <c r="S1024" t="s">
        <v>173</v>
      </c>
      <c r="T1024" t="str">
        <f>IF(COUNTIF($A$2:A1024,A1024)&gt;1,"Duplicate","Unique")</f>
        <v>Unique</v>
      </c>
    </row>
    <row r="1025" spans="1:20" x14ac:dyDescent="0.45">
      <c r="A1025" t="s">
        <v>2019</v>
      </c>
      <c r="B1025" t="s">
        <v>2020</v>
      </c>
      <c r="C1025" t="s">
        <v>51</v>
      </c>
      <c r="D1025" t="s">
        <v>50</v>
      </c>
      <c r="E1025" t="s">
        <v>176</v>
      </c>
      <c r="F1025" t="s">
        <v>82</v>
      </c>
      <c r="G1025" t="s">
        <v>177</v>
      </c>
      <c r="H1025" t="s">
        <v>108</v>
      </c>
      <c r="I1025" t="s">
        <v>107</v>
      </c>
      <c r="J1025" t="s">
        <v>2508</v>
      </c>
      <c r="K1025" t="s">
        <v>162</v>
      </c>
      <c r="M1025" t="s">
        <v>163</v>
      </c>
      <c r="N1025" t="s">
        <v>97</v>
      </c>
      <c r="O1025" s="27">
        <v>856000</v>
      </c>
      <c r="P1025">
        <v>3</v>
      </c>
      <c r="Q1025" t="s">
        <v>172</v>
      </c>
      <c r="R1025">
        <v>27</v>
      </c>
      <c r="S1025" t="s">
        <v>197</v>
      </c>
      <c r="T1025" t="str">
        <f>IF(COUNTIF($A$2:A1025,A1025)&gt;1,"Duplicate","Unique")</f>
        <v>Unique</v>
      </c>
    </row>
    <row r="1026" spans="1:20" x14ac:dyDescent="0.45">
      <c r="A1026" t="s">
        <v>1063</v>
      </c>
      <c r="B1026" t="s">
        <v>1064</v>
      </c>
      <c r="C1026" t="s">
        <v>55</v>
      </c>
      <c r="D1026" t="s">
        <v>54</v>
      </c>
      <c r="E1026" t="s">
        <v>277</v>
      </c>
      <c r="F1026" t="s">
        <v>81</v>
      </c>
      <c r="G1026" t="s">
        <v>278</v>
      </c>
      <c r="H1026" t="s">
        <v>109</v>
      </c>
      <c r="I1026" t="s">
        <v>110</v>
      </c>
      <c r="J1026" t="s">
        <v>3521</v>
      </c>
      <c r="K1026" t="s">
        <v>187</v>
      </c>
      <c r="L1026" t="s">
        <v>3522</v>
      </c>
      <c r="M1026" t="s">
        <v>308</v>
      </c>
      <c r="N1026" t="s">
        <v>97</v>
      </c>
      <c r="O1026" s="27">
        <v>657000</v>
      </c>
      <c r="P1026">
        <v>3</v>
      </c>
      <c r="Q1026" t="s">
        <v>172</v>
      </c>
      <c r="R1026">
        <v>25</v>
      </c>
      <c r="S1026" t="s">
        <v>274</v>
      </c>
      <c r="T1026" t="str">
        <f>IF(COUNTIF($A$2:A1026,A1026)&gt;1,"Duplicate","Unique")</f>
        <v>Unique</v>
      </c>
    </row>
    <row r="1027" spans="1:20" x14ac:dyDescent="0.45">
      <c r="A1027" t="s">
        <v>960</v>
      </c>
      <c r="B1027" t="s">
        <v>589</v>
      </c>
      <c r="C1027" t="s">
        <v>57</v>
      </c>
      <c r="D1027" t="s">
        <v>56</v>
      </c>
      <c r="E1027" t="s">
        <v>160</v>
      </c>
      <c r="F1027" t="s">
        <v>81</v>
      </c>
      <c r="G1027" t="s">
        <v>161</v>
      </c>
      <c r="H1027" t="s">
        <v>108</v>
      </c>
      <c r="I1027" t="s">
        <v>107</v>
      </c>
      <c r="J1027" t="s">
        <v>3109</v>
      </c>
      <c r="K1027" t="s">
        <v>162</v>
      </c>
      <c r="M1027" t="s">
        <v>163</v>
      </c>
      <c r="N1027" t="s">
        <v>97</v>
      </c>
      <c r="O1027" s="27">
        <v>681000</v>
      </c>
      <c r="P1027">
        <v>4</v>
      </c>
      <c r="Q1027" t="s">
        <v>172</v>
      </c>
      <c r="R1027">
        <v>46</v>
      </c>
      <c r="S1027" t="s">
        <v>224</v>
      </c>
      <c r="T1027" t="str">
        <f>IF(COUNTIF($A$2:A1027,A1027)&gt;1,"Duplicate","Unique")</f>
        <v>Unique</v>
      </c>
    </row>
    <row r="1028" spans="1:20" x14ac:dyDescent="0.45">
      <c r="A1028" t="s">
        <v>547</v>
      </c>
      <c r="B1028" t="s">
        <v>548</v>
      </c>
      <c r="C1028" t="s">
        <v>55</v>
      </c>
      <c r="D1028" t="s">
        <v>54</v>
      </c>
      <c r="E1028" t="s">
        <v>229</v>
      </c>
      <c r="F1028" t="s">
        <v>82</v>
      </c>
      <c r="G1028" t="s">
        <v>230</v>
      </c>
      <c r="H1028" t="s">
        <v>106</v>
      </c>
      <c r="I1028" t="s">
        <v>107</v>
      </c>
      <c r="J1028" t="s">
        <v>3523</v>
      </c>
      <c r="K1028" t="s">
        <v>162</v>
      </c>
      <c r="M1028" t="s">
        <v>163</v>
      </c>
      <c r="N1028" t="s">
        <v>99</v>
      </c>
      <c r="O1028" s="27">
        <v>1085000</v>
      </c>
      <c r="P1028">
        <v>4</v>
      </c>
      <c r="Q1028" t="s">
        <v>172</v>
      </c>
      <c r="R1028">
        <v>58</v>
      </c>
      <c r="S1028" t="s">
        <v>274</v>
      </c>
      <c r="T1028" t="str">
        <f>IF(COUNTIF($A$2:A1028,A1028)&gt;1,"Duplicate","Unique")</f>
        <v>Unique</v>
      </c>
    </row>
    <row r="1029" spans="1:20" x14ac:dyDescent="0.45">
      <c r="A1029" t="s">
        <v>1279</v>
      </c>
      <c r="B1029" t="s">
        <v>511</v>
      </c>
      <c r="C1029" t="s">
        <v>51</v>
      </c>
      <c r="D1029" t="s">
        <v>50</v>
      </c>
      <c r="E1029" t="s">
        <v>181</v>
      </c>
      <c r="F1029" t="s">
        <v>81</v>
      </c>
      <c r="G1029" t="s">
        <v>182</v>
      </c>
      <c r="H1029" t="s">
        <v>106</v>
      </c>
      <c r="I1029" t="s">
        <v>107</v>
      </c>
      <c r="J1029" t="s">
        <v>3524</v>
      </c>
      <c r="K1029" t="s">
        <v>162</v>
      </c>
      <c r="M1029" t="s">
        <v>163</v>
      </c>
      <c r="N1029" t="s">
        <v>97</v>
      </c>
      <c r="O1029" s="27">
        <v>593000</v>
      </c>
      <c r="P1029">
        <v>4</v>
      </c>
      <c r="Q1029" t="s">
        <v>164</v>
      </c>
      <c r="R1029">
        <v>36</v>
      </c>
      <c r="S1029" t="s">
        <v>178</v>
      </c>
      <c r="T1029" t="str">
        <f>IF(COUNTIF($A$2:A1029,A1029)&gt;1,"Duplicate","Unique")</f>
        <v>Unique</v>
      </c>
    </row>
    <row r="1030" spans="1:20" x14ac:dyDescent="0.45">
      <c r="A1030" t="s">
        <v>2209</v>
      </c>
      <c r="B1030" t="s">
        <v>312</v>
      </c>
      <c r="C1030" t="s">
        <v>57</v>
      </c>
      <c r="D1030" t="s">
        <v>56</v>
      </c>
      <c r="E1030" t="s">
        <v>222</v>
      </c>
      <c r="F1030" t="s">
        <v>82</v>
      </c>
      <c r="G1030" t="s">
        <v>223</v>
      </c>
      <c r="H1030" t="s">
        <v>108</v>
      </c>
      <c r="I1030" t="s">
        <v>107</v>
      </c>
      <c r="J1030" t="s">
        <v>3030</v>
      </c>
      <c r="K1030" t="s">
        <v>162</v>
      </c>
      <c r="M1030" t="s">
        <v>163</v>
      </c>
      <c r="N1030" t="s">
        <v>97</v>
      </c>
      <c r="O1030" s="27">
        <v>1170000</v>
      </c>
      <c r="P1030">
        <v>1</v>
      </c>
      <c r="Q1030" t="s">
        <v>164</v>
      </c>
      <c r="R1030">
        <v>21</v>
      </c>
      <c r="S1030" t="s">
        <v>165</v>
      </c>
      <c r="T1030" t="str">
        <f>IF(COUNTIF($A$2:A1030,A1030)&gt;1,"Duplicate","Unique")</f>
        <v>Unique</v>
      </c>
    </row>
    <row r="1031" spans="1:20" x14ac:dyDescent="0.45">
      <c r="A1031" t="s">
        <v>1714</v>
      </c>
      <c r="B1031" t="s">
        <v>1715</v>
      </c>
      <c r="C1031" t="s">
        <v>53</v>
      </c>
      <c r="D1031" t="s">
        <v>52</v>
      </c>
      <c r="E1031" t="s">
        <v>200</v>
      </c>
      <c r="F1031" t="s">
        <v>84</v>
      </c>
      <c r="G1031" t="s">
        <v>201</v>
      </c>
      <c r="H1031" t="s">
        <v>106</v>
      </c>
      <c r="I1031" t="s">
        <v>107</v>
      </c>
      <c r="J1031" t="s">
        <v>3108</v>
      </c>
      <c r="K1031" t="s">
        <v>162</v>
      </c>
      <c r="M1031" t="s">
        <v>163</v>
      </c>
      <c r="N1031" t="s">
        <v>95</v>
      </c>
      <c r="O1031" s="27">
        <v>3377000</v>
      </c>
      <c r="P1031">
        <v>3</v>
      </c>
      <c r="Q1031" t="s">
        <v>164</v>
      </c>
      <c r="R1031">
        <v>44</v>
      </c>
      <c r="S1031" t="s">
        <v>194</v>
      </c>
      <c r="T1031" t="str">
        <f>IF(COUNTIF($A$2:A1031,A1031)&gt;1,"Duplicate","Unique")</f>
        <v>Unique</v>
      </c>
    </row>
    <row r="1032" spans="1:20" x14ac:dyDescent="0.45">
      <c r="A1032" t="s">
        <v>2212</v>
      </c>
      <c r="B1032" t="s">
        <v>1296</v>
      </c>
      <c r="C1032" t="s">
        <v>53</v>
      </c>
      <c r="D1032" t="s">
        <v>52</v>
      </c>
      <c r="E1032" t="s">
        <v>185</v>
      </c>
      <c r="F1032" t="s">
        <v>82</v>
      </c>
      <c r="G1032" t="s">
        <v>186</v>
      </c>
      <c r="H1032" t="s">
        <v>109</v>
      </c>
      <c r="I1032" t="s">
        <v>110</v>
      </c>
      <c r="J1032" t="s">
        <v>3427</v>
      </c>
      <c r="K1032" t="s">
        <v>162</v>
      </c>
      <c r="M1032" t="s">
        <v>163</v>
      </c>
      <c r="N1032" t="s">
        <v>97</v>
      </c>
      <c r="O1032" s="27">
        <v>1014000</v>
      </c>
      <c r="P1032">
        <v>2</v>
      </c>
      <c r="Q1032" t="s">
        <v>172</v>
      </c>
      <c r="R1032">
        <v>12</v>
      </c>
      <c r="S1032" t="s">
        <v>237</v>
      </c>
      <c r="T1032" t="str">
        <f>IF(COUNTIF($A$2:A1032,A1032)&gt;1,"Duplicate","Unique")</f>
        <v>Unique</v>
      </c>
    </row>
    <row r="1033" spans="1:20" x14ac:dyDescent="0.45">
      <c r="A1033" t="s">
        <v>420</v>
      </c>
      <c r="B1033" t="s">
        <v>421</v>
      </c>
      <c r="C1033" t="s">
        <v>51</v>
      </c>
      <c r="D1033" t="s">
        <v>50</v>
      </c>
      <c r="E1033" t="s">
        <v>181</v>
      </c>
      <c r="F1033" t="s">
        <v>81</v>
      </c>
      <c r="G1033" t="s">
        <v>182</v>
      </c>
      <c r="H1033" t="s">
        <v>112</v>
      </c>
      <c r="I1033" t="s">
        <v>113</v>
      </c>
      <c r="J1033" t="s">
        <v>3525</v>
      </c>
      <c r="K1033" t="s">
        <v>162</v>
      </c>
      <c r="M1033" t="s">
        <v>163</v>
      </c>
      <c r="N1033" t="s">
        <v>99</v>
      </c>
      <c r="O1033" s="27">
        <v>619000</v>
      </c>
      <c r="P1033">
        <v>2</v>
      </c>
      <c r="Q1033" t="s">
        <v>172</v>
      </c>
      <c r="R1033">
        <v>11</v>
      </c>
      <c r="S1033" t="s">
        <v>219</v>
      </c>
      <c r="T1033" t="str">
        <f>IF(COUNTIF($A$2:A1033,A1033)&gt;1,"Duplicate","Unique")</f>
        <v>Unique</v>
      </c>
    </row>
    <row r="1034" spans="1:20" x14ac:dyDescent="0.45">
      <c r="A1034" t="s">
        <v>934</v>
      </c>
      <c r="B1034" t="s">
        <v>3526</v>
      </c>
      <c r="C1034" t="s">
        <v>59</v>
      </c>
      <c r="D1034" t="s">
        <v>58</v>
      </c>
      <c r="E1034" t="s">
        <v>287</v>
      </c>
      <c r="F1034" t="s">
        <v>83</v>
      </c>
      <c r="G1034" t="s">
        <v>288</v>
      </c>
      <c r="H1034" t="s">
        <v>106</v>
      </c>
      <c r="I1034" t="s">
        <v>107</v>
      </c>
      <c r="J1034" t="s">
        <v>3527</v>
      </c>
      <c r="K1034" t="s">
        <v>162</v>
      </c>
      <c r="M1034" t="s">
        <v>163</v>
      </c>
      <c r="N1034" t="s">
        <v>97</v>
      </c>
      <c r="O1034" s="27">
        <v>1488000</v>
      </c>
      <c r="P1034">
        <v>2</v>
      </c>
      <c r="Q1034" t="s">
        <v>172</v>
      </c>
      <c r="R1034">
        <v>20</v>
      </c>
      <c r="S1034" t="s">
        <v>214</v>
      </c>
      <c r="T1034" t="str">
        <f>IF(COUNTIF($A$2:A1034,A1034)&gt;1,"Duplicate","Unique")</f>
        <v>Unique</v>
      </c>
    </row>
    <row r="1035" spans="1:20" x14ac:dyDescent="0.45">
      <c r="A1035" t="s">
        <v>2205</v>
      </c>
      <c r="B1035" t="s">
        <v>1536</v>
      </c>
      <c r="C1035" t="s">
        <v>51</v>
      </c>
      <c r="D1035" t="s">
        <v>50</v>
      </c>
      <c r="E1035" t="s">
        <v>176</v>
      </c>
      <c r="F1035" t="s">
        <v>82</v>
      </c>
      <c r="G1035" t="s">
        <v>177</v>
      </c>
      <c r="H1035" t="s">
        <v>106</v>
      </c>
      <c r="I1035" t="s">
        <v>107</v>
      </c>
      <c r="J1035" t="s">
        <v>3157</v>
      </c>
      <c r="K1035" t="s">
        <v>162</v>
      </c>
      <c r="M1035" t="s">
        <v>163</v>
      </c>
      <c r="N1035" t="s">
        <v>96</v>
      </c>
      <c r="O1035" s="27">
        <v>921000</v>
      </c>
      <c r="P1035">
        <v>3</v>
      </c>
      <c r="Q1035" t="s">
        <v>164</v>
      </c>
      <c r="R1035">
        <v>24</v>
      </c>
      <c r="S1035" t="s">
        <v>178</v>
      </c>
      <c r="T1035" t="str">
        <f>IF(COUNTIF($A$2:A1035,A1035)&gt;1,"Duplicate","Unique")</f>
        <v>Unique</v>
      </c>
    </row>
    <row r="1036" spans="1:20" x14ac:dyDescent="0.45">
      <c r="A1036" t="s">
        <v>961</v>
      </c>
      <c r="B1036" t="s">
        <v>962</v>
      </c>
      <c r="C1036" t="s">
        <v>53</v>
      </c>
      <c r="D1036" t="s">
        <v>52</v>
      </c>
      <c r="E1036" t="s">
        <v>322</v>
      </c>
      <c r="F1036" t="s">
        <v>81</v>
      </c>
      <c r="G1036" t="s">
        <v>323</v>
      </c>
      <c r="H1036" t="s">
        <v>108</v>
      </c>
      <c r="I1036" t="s">
        <v>107</v>
      </c>
      <c r="J1036" t="s">
        <v>2534</v>
      </c>
      <c r="K1036" t="s">
        <v>162</v>
      </c>
      <c r="M1036" t="s">
        <v>163</v>
      </c>
      <c r="N1036" t="s">
        <v>98</v>
      </c>
      <c r="O1036" s="27">
        <v>602000</v>
      </c>
      <c r="P1036">
        <v>4</v>
      </c>
      <c r="Q1036" t="s">
        <v>172</v>
      </c>
      <c r="R1036">
        <v>34</v>
      </c>
      <c r="S1036" t="s">
        <v>194</v>
      </c>
      <c r="T1036" t="str">
        <f>IF(COUNTIF($A$2:A1036,A1036)&gt;1,"Duplicate","Unique")</f>
        <v>Unique</v>
      </c>
    </row>
    <row r="1037" spans="1:20" x14ac:dyDescent="0.45">
      <c r="A1037" t="s">
        <v>701</v>
      </c>
      <c r="B1037" t="s">
        <v>702</v>
      </c>
      <c r="C1037" t="s">
        <v>55</v>
      </c>
      <c r="D1037" t="s">
        <v>54</v>
      </c>
      <c r="E1037" t="s">
        <v>277</v>
      </c>
      <c r="F1037" t="s">
        <v>81</v>
      </c>
      <c r="G1037" t="s">
        <v>278</v>
      </c>
      <c r="H1037" t="s">
        <v>106</v>
      </c>
      <c r="I1037" t="s">
        <v>107</v>
      </c>
      <c r="J1037" t="s">
        <v>3528</v>
      </c>
      <c r="K1037" t="s">
        <v>187</v>
      </c>
      <c r="L1037" t="s">
        <v>3529</v>
      </c>
      <c r="M1037" t="s">
        <v>213</v>
      </c>
      <c r="N1037" t="s">
        <v>99</v>
      </c>
      <c r="O1037" s="27">
        <v>603000</v>
      </c>
      <c r="P1037">
        <v>4</v>
      </c>
      <c r="Q1037" t="s">
        <v>172</v>
      </c>
      <c r="R1037">
        <v>41</v>
      </c>
      <c r="S1037" t="s">
        <v>274</v>
      </c>
      <c r="T1037" t="str">
        <f>IF(COUNTIF($A$2:A1037,A1037)&gt;1,"Duplicate","Unique")</f>
        <v>Unique</v>
      </c>
    </row>
    <row r="1038" spans="1:20" x14ac:dyDescent="0.45">
      <c r="A1038" t="s">
        <v>2166</v>
      </c>
      <c r="B1038" t="s">
        <v>2167</v>
      </c>
      <c r="C1038" t="s">
        <v>53</v>
      </c>
      <c r="D1038" t="s">
        <v>52</v>
      </c>
      <c r="E1038" t="s">
        <v>185</v>
      </c>
      <c r="F1038" t="s">
        <v>82</v>
      </c>
      <c r="G1038" t="s">
        <v>186</v>
      </c>
      <c r="H1038" t="s">
        <v>109</v>
      </c>
      <c r="I1038" t="s">
        <v>110</v>
      </c>
      <c r="J1038" t="s">
        <v>3530</v>
      </c>
      <c r="K1038" t="s">
        <v>162</v>
      </c>
      <c r="M1038" t="s">
        <v>163</v>
      </c>
      <c r="N1038" t="s">
        <v>99</v>
      </c>
      <c r="O1038" s="27">
        <v>1035000</v>
      </c>
      <c r="P1038">
        <v>3</v>
      </c>
      <c r="Q1038" t="s">
        <v>172</v>
      </c>
      <c r="R1038">
        <v>27</v>
      </c>
      <c r="S1038" t="s">
        <v>189</v>
      </c>
      <c r="T1038" t="str">
        <f>IF(COUNTIF($A$2:A1038,A1038)&gt;1,"Duplicate","Unique")</f>
        <v>Unique</v>
      </c>
    </row>
    <row r="1039" spans="1:20" x14ac:dyDescent="0.45">
      <c r="A1039" t="s">
        <v>1612</v>
      </c>
      <c r="B1039" t="s">
        <v>3531</v>
      </c>
      <c r="C1039" t="s">
        <v>53</v>
      </c>
      <c r="D1039" t="s">
        <v>52</v>
      </c>
      <c r="E1039" t="s">
        <v>192</v>
      </c>
      <c r="F1039" t="s">
        <v>83</v>
      </c>
      <c r="G1039" t="s">
        <v>193</v>
      </c>
      <c r="H1039" t="s">
        <v>108</v>
      </c>
      <c r="I1039" t="s">
        <v>107</v>
      </c>
      <c r="J1039" t="s">
        <v>2916</v>
      </c>
      <c r="K1039" t="s">
        <v>162</v>
      </c>
      <c r="M1039" t="s">
        <v>163</v>
      </c>
      <c r="N1039" t="s">
        <v>96</v>
      </c>
      <c r="O1039" s="27">
        <v>1458000</v>
      </c>
      <c r="P1039">
        <v>2</v>
      </c>
      <c r="Q1039" t="s">
        <v>172</v>
      </c>
      <c r="R1039">
        <v>20</v>
      </c>
      <c r="S1039" t="s">
        <v>237</v>
      </c>
      <c r="T1039" t="str">
        <f>IF(COUNTIF($A$2:A1039,A1039)&gt;1,"Duplicate","Unique")</f>
        <v>Unique</v>
      </c>
    </row>
    <row r="1040" spans="1:20" x14ac:dyDescent="0.45">
      <c r="A1040" t="s">
        <v>1366</v>
      </c>
      <c r="B1040" t="s">
        <v>683</v>
      </c>
      <c r="C1040" t="s">
        <v>51</v>
      </c>
      <c r="D1040" t="s">
        <v>50</v>
      </c>
      <c r="E1040" t="s">
        <v>181</v>
      </c>
      <c r="F1040" t="s">
        <v>81</v>
      </c>
      <c r="G1040" t="s">
        <v>182</v>
      </c>
      <c r="H1040" t="s">
        <v>109</v>
      </c>
      <c r="I1040" t="s">
        <v>110</v>
      </c>
      <c r="J1040" t="s">
        <v>3532</v>
      </c>
      <c r="K1040" t="s">
        <v>162</v>
      </c>
      <c r="M1040" t="s">
        <v>163</v>
      </c>
      <c r="N1040" t="s">
        <v>98</v>
      </c>
      <c r="O1040" s="27">
        <v>679000</v>
      </c>
      <c r="P1040">
        <v>3</v>
      </c>
      <c r="Q1040" t="s">
        <v>172</v>
      </c>
      <c r="R1040">
        <v>14</v>
      </c>
      <c r="S1040" t="s">
        <v>244</v>
      </c>
      <c r="T1040" t="str">
        <f>IF(COUNTIF($A$2:A1040,A1040)&gt;1,"Duplicate","Unique")</f>
        <v>Unique</v>
      </c>
    </row>
    <row r="1041" spans="1:20" x14ac:dyDescent="0.45">
      <c r="A1041" t="s">
        <v>842</v>
      </c>
      <c r="B1041" t="s">
        <v>3533</v>
      </c>
      <c r="C1041" t="s">
        <v>51</v>
      </c>
      <c r="D1041" t="s">
        <v>50</v>
      </c>
      <c r="E1041" t="s">
        <v>181</v>
      </c>
      <c r="F1041" t="s">
        <v>81</v>
      </c>
      <c r="G1041" t="s">
        <v>182</v>
      </c>
      <c r="H1041" t="s">
        <v>106</v>
      </c>
      <c r="I1041" t="s">
        <v>107</v>
      </c>
      <c r="J1041" t="s">
        <v>3223</v>
      </c>
      <c r="K1041" t="s">
        <v>170</v>
      </c>
      <c r="L1041" t="s">
        <v>3422</v>
      </c>
      <c r="M1041" t="s">
        <v>171</v>
      </c>
      <c r="N1041" t="s">
        <v>97</v>
      </c>
      <c r="O1041" s="27">
        <v>648000</v>
      </c>
      <c r="P1041">
        <v>1</v>
      </c>
      <c r="Q1041" t="s">
        <v>2516</v>
      </c>
      <c r="R1041">
        <v>4</v>
      </c>
      <c r="S1041" t="s">
        <v>219</v>
      </c>
      <c r="T1041" t="str">
        <f>IF(COUNTIF($A$2:A1041,A1041)&gt;1,"Duplicate","Unique")</f>
        <v>Unique</v>
      </c>
    </row>
    <row r="1042" spans="1:20" x14ac:dyDescent="0.45">
      <c r="A1042" t="s">
        <v>1352</v>
      </c>
      <c r="B1042" t="s">
        <v>722</v>
      </c>
      <c r="C1042" t="s">
        <v>55</v>
      </c>
      <c r="D1042" t="s">
        <v>54</v>
      </c>
      <c r="E1042" t="s">
        <v>277</v>
      </c>
      <c r="F1042" t="s">
        <v>81</v>
      </c>
      <c r="G1042" t="s">
        <v>278</v>
      </c>
      <c r="H1042" t="s">
        <v>112</v>
      </c>
      <c r="I1042" t="s">
        <v>113</v>
      </c>
      <c r="J1042" t="s">
        <v>2603</v>
      </c>
      <c r="K1042" t="s">
        <v>162</v>
      </c>
      <c r="M1042" t="s">
        <v>163</v>
      </c>
      <c r="N1042" t="s">
        <v>97</v>
      </c>
      <c r="O1042" s="27">
        <v>787000</v>
      </c>
      <c r="P1042">
        <v>3</v>
      </c>
      <c r="Q1042" t="s">
        <v>164</v>
      </c>
      <c r="R1042">
        <v>37</v>
      </c>
      <c r="S1042" t="s">
        <v>262</v>
      </c>
      <c r="T1042" t="str">
        <f>IF(COUNTIF($A$2:A1042,A1042)&gt;1,"Duplicate","Unique")</f>
        <v>Unique</v>
      </c>
    </row>
    <row r="1043" spans="1:20" x14ac:dyDescent="0.45">
      <c r="A1043" t="s">
        <v>385</v>
      </c>
      <c r="B1043" t="s">
        <v>333</v>
      </c>
      <c r="C1043" t="s">
        <v>55</v>
      </c>
      <c r="D1043" t="s">
        <v>54</v>
      </c>
      <c r="E1043" t="s">
        <v>229</v>
      </c>
      <c r="F1043" t="s">
        <v>82</v>
      </c>
      <c r="G1043" t="s">
        <v>230</v>
      </c>
      <c r="H1043" t="s">
        <v>106</v>
      </c>
      <c r="I1043" t="s">
        <v>107</v>
      </c>
      <c r="J1043" t="s">
        <v>3534</v>
      </c>
      <c r="K1043" t="s">
        <v>170</v>
      </c>
      <c r="L1043" t="s">
        <v>3489</v>
      </c>
      <c r="M1043" t="s">
        <v>171</v>
      </c>
      <c r="N1043" t="s">
        <v>95</v>
      </c>
      <c r="O1043" s="27">
        <v>1099000</v>
      </c>
      <c r="P1043">
        <v>2</v>
      </c>
      <c r="Q1043" t="s">
        <v>172</v>
      </c>
      <c r="R1043">
        <v>33</v>
      </c>
      <c r="S1043" t="s">
        <v>173</v>
      </c>
      <c r="T1043" t="str">
        <f>IF(COUNTIF($A$2:A1043,A1043)&gt;1,"Duplicate","Unique")</f>
        <v>Unique</v>
      </c>
    </row>
    <row r="1044" spans="1:20" x14ac:dyDescent="0.45">
      <c r="A1044" t="s">
        <v>815</v>
      </c>
      <c r="B1044" t="s">
        <v>816</v>
      </c>
      <c r="C1044" t="s">
        <v>55</v>
      </c>
      <c r="D1044" t="s">
        <v>54</v>
      </c>
      <c r="E1044" t="s">
        <v>240</v>
      </c>
      <c r="F1044" t="s">
        <v>83</v>
      </c>
      <c r="G1044" t="s">
        <v>241</v>
      </c>
      <c r="H1044" t="s">
        <v>106</v>
      </c>
      <c r="I1044" t="s">
        <v>107</v>
      </c>
      <c r="J1044" t="s">
        <v>3535</v>
      </c>
      <c r="K1044" t="s">
        <v>162</v>
      </c>
      <c r="M1044" t="s">
        <v>163</v>
      </c>
      <c r="N1044" t="s">
        <v>96</v>
      </c>
      <c r="O1044" s="27">
        <v>1651000</v>
      </c>
      <c r="P1044">
        <v>3</v>
      </c>
      <c r="Q1044" t="s">
        <v>172</v>
      </c>
      <c r="R1044">
        <v>25</v>
      </c>
      <c r="S1044" t="s">
        <v>274</v>
      </c>
      <c r="T1044" t="str">
        <f>IF(COUNTIF($A$2:A1044,A1044)&gt;1,"Duplicate","Unique")</f>
        <v>Unique</v>
      </c>
    </row>
    <row r="1045" spans="1:20" x14ac:dyDescent="0.45">
      <c r="A1045" t="s">
        <v>1501</v>
      </c>
      <c r="B1045" t="s">
        <v>999</v>
      </c>
      <c r="C1045" t="s">
        <v>51</v>
      </c>
      <c r="D1045" t="s">
        <v>50</v>
      </c>
      <c r="E1045" t="s">
        <v>176</v>
      </c>
      <c r="F1045" t="s">
        <v>82</v>
      </c>
      <c r="G1045" t="s">
        <v>177</v>
      </c>
      <c r="H1045" t="s">
        <v>109</v>
      </c>
      <c r="I1045" t="s">
        <v>110</v>
      </c>
      <c r="J1045" t="s">
        <v>2494</v>
      </c>
      <c r="K1045" t="s">
        <v>162</v>
      </c>
      <c r="M1045" t="s">
        <v>163</v>
      </c>
      <c r="N1045" t="s">
        <v>99</v>
      </c>
      <c r="O1045" s="27">
        <v>967000</v>
      </c>
      <c r="P1045">
        <v>4</v>
      </c>
      <c r="Q1045" t="s">
        <v>164</v>
      </c>
      <c r="R1045">
        <v>16</v>
      </c>
      <c r="S1045" t="s">
        <v>219</v>
      </c>
      <c r="T1045" t="str">
        <f>IF(COUNTIF($A$2:A1045,A1045)&gt;1,"Duplicate","Unique")</f>
        <v>Unique</v>
      </c>
    </row>
    <row r="1046" spans="1:20" x14ac:dyDescent="0.45">
      <c r="A1046" t="s">
        <v>1561</v>
      </c>
      <c r="B1046" t="s">
        <v>1156</v>
      </c>
      <c r="C1046" t="s">
        <v>59</v>
      </c>
      <c r="D1046" t="s">
        <v>58</v>
      </c>
      <c r="E1046" t="s">
        <v>211</v>
      </c>
      <c r="F1046" t="s">
        <v>82</v>
      </c>
      <c r="G1046" t="s">
        <v>212</v>
      </c>
      <c r="H1046" t="s">
        <v>106</v>
      </c>
      <c r="I1046" t="s">
        <v>107</v>
      </c>
      <c r="J1046" t="s">
        <v>3536</v>
      </c>
      <c r="K1046" t="s">
        <v>187</v>
      </c>
      <c r="L1046" t="s">
        <v>3420</v>
      </c>
      <c r="M1046" t="s">
        <v>213</v>
      </c>
      <c r="N1046" t="s">
        <v>96</v>
      </c>
      <c r="O1046" s="27">
        <v>917000</v>
      </c>
      <c r="P1046">
        <v>3</v>
      </c>
      <c r="Q1046" t="s">
        <v>164</v>
      </c>
      <c r="R1046">
        <v>45</v>
      </c>
      <c r="S1046" t="s">
        <v>208</v>
      </c>
      <c r="T1046" t="str">
        <f>IF(COUNTIF($A$2:A1046,A1046)&gt;1,"Duplicate","Unique")</f>
        <v>Unique</v>
      </c>
    </row>
    <row r="1047" spans="1:20" x14ac:dyDescent="0.45">
      <c r="A1047" t="s">
        <v>1647</v>
      </c>
      <c r="B1047" t="s">
        <v>562</v>
      </c>
      <c r="C1047" t="s">
        <v>57</v>
      </c>
      <c r="D1047" t="s">
        <v>56</v>
      </c>
      <c r="E1047" t="s">
        <v>160</v>
      </c>
      <c r="F1047" t="s">
        <v>81</v>
      </c>
      <c r="G1047" t="s">
        <v>161</v>
      </c>
      <c r="H1047" t="s">
        <v>109</v>
      </c>
      <c r="I1047" t="s">
        <v>110</v>
      </c>
      <c r="J1047" t="s">
        <v>3537</v>
      </c>
      <c r="K1047" t="s">
        <v>162</v>
      </c>
      <c r="M1047" t="s">
        <v>163</v>
      </c>
      <c r="N1047" t="s">
        <v>99</v>
      </c>
      <c r="O1047" s="27">
        <v>678000</v>
      </c>
      <c r="P1047">
        <v>4</v>
      </c>
      <c r="Q1047" t="s">
        <v>164</v>
      </c>
      <c r="R1047">
        <v>28</v>
      </c>
      <c r="S1047" t="s">
        <v>224</v>
      </c>
      <c r="T1047" t="str">
        <f>IF(COUNTIF($A$2:A1047,A1047)&gt;1,"Duplicate","Unique")</f>
        <v>Unique</v>
      </c>
    </row>
    <row r="1048" spans="1:20" x14ac:dyDescent="0.45">
      <c r="A1048" t="s">
        <v>743</v>
      </c>
      <c r="B1048" t="s">
        <v>3538</v>
      </c>
      <c r="C1048" t="s">
        <v>53</v>
      </c>
      <c r="D1048" t="s">
        <v>52</v>
      </c>
      <c r="E1048" t="s">
        <v>185</v>
      </c>
      <c r="F1048" t="s">
        <v>82</v>
      </c>
      <c r="G1048" t="s">
        <v>186</v>
      </c>
      <c r="H1048" t="s">
        <v>106</v>
      </c>
      <c r="I1048" t="s">
        <v>107</v>
      </c>
      <c r="J1048" t="s">
        <v>3539</v>
      </c>
      <c r="K1048" t="s">
        <v>170</v>
      </c>
      <c r="L1048" t="s">
        <v>3540</v>
      </c>
      <c r="M1048" t="s">
        <v>171</v>
      </c>
      <c r="N1048" t="s">
        <v>97</v>
      </c>
      <c r="O1048" s="27">
        <v>940000</v>
      </c>
      <c r="P1048">
        <v>4</v>
      </c>
      <c r="Q1048" t="s">
        <v>172</v>
      </c>
      <c r="S1048" t="s">
        <v>189</v>
      </c>
      <c r="T1048" t="str">
        <f>IF(COUNTIF($A$2:A1048,A1048)&gt;1,"Duplicate","Unique")</f>
        <v>Unique</v>
      </c>
    </row>
    <row r="1049" spans="1:20" x14ac:dyDescent="0.45">
      <c r="A1049" t="s">
        <v>2184</v>
      </c>
      <c r="B1049" t="s">
        <v>2185</v>
      </c>
      <c r="C1049" t="s">
        <v>51</v>
      </c>
      <c r="D1049" t="s">
        <v>50</v>
      </c>
      <c r="E1049" t="s">
        <v>181</v>
      </c>
      <c r="F1049" t="s">
        <v>81</v>
      </c>
      <c r="G1049" t="s">
        <v>182</v>
      </c>
      <c r="H1049" t="s">
        <v>111</v>
      </c>
      <c r="I1049" t="s">
        <v>110</v>
      </c>
      <c r="J1049" t="s">
        <v>2434</v>
      </c>
      <c r="K1049" t="s">
        <v>187</v>
      </c>
      <c r="L1049" t="s">
        <v>2456</v>
      </c>
      <c r="M1049" t="s">
        <v>269</v>
      </c>
      <c r="N1049" t="s">
        <v>99</v>
      </c>
      <c r="O1049" s="27">
        <v>571000</v>
      </c>
      <c r="P1049">
        <v>4</v>
      </c>
      <c r="Q1049" t="s">
        <v>172</v>
      </c>
      <c r="R1049">
        <v>23</v>
      </c>
      <c r="S1049" t="s">
        <v>178</v>
      </c>
      <c r="T1049" t="str">
        <f>IF(COUNTIF($A$2:A1049,A1049)&gt;1,"Duplicate","Unique")</f>
        <v>Unique</v>
      </c>
    </row>
    <row r="1050" spans="1:20" x14ac:dyDescent="0.45">
      <c r="A1050" t="s">
        <v>1388</v>
      </c>
      <c r="B1050" t="s">
        <v>1151</v>
      </c>
      <c r="C1050" t="s">
        <v>51</v>
      </c>
      <c r="D1050" t="s">
        <v>50</v>
      </c>
      <c r="E1050" t="s">
        <v>217</v>
      </c>
      <c r="F1050" t="s">
        <v>83</v>
      </c>
      <c r="G1050" t="s">
        <v>218</v>
      </c>
      <c r="H1050" t="s">
        <v>109</v>
      </c>
      <c r="I1050" t="s">
        <v>110</v>
      </c>
      <c r="J1050" t="s">
        <v>3357</v>
      </c>
      <c r="K1050" t="s">
        <v>162</v>
      </c>
      <c r="M1050" t="s">
        <v>163</v>
      </c>
      <c r="N1050" t="s">
        <v>95</v>
      </c>
      <c r="O1050" s="27">
        <v>1984000</v>
      </c>
      <c r="P1050">
        <v>3</v>
      </c>
      <c r="Q1050" t="s">
        <v>164</v>
      </c>
      <c r="R1050">
        <v>36</v>
      </c>
      <c r="S1050" t="s">
        <v>197</v>
      </c>
      <c r="T1050" t="str">
        <f>IF(COUNTIF($A$2:A1050,A1050)&gt;1,"Duplicate","Unique")</f>
        <v>Unique</v>
      </c>
    </row>
    <row r="1051" spans="1:20" x14ac:dyDescent="0.45">
      <c r="A1051" t="s">
        <v>1746</v>
      </c>
      <c r="B1051" t="s">
        <v>658</v>
      </c>
      <c r="C1051" t="s">
        <v>55</v>
      </c>
      <c r="D1051" t="s">
        <v>54</v>
      </c>
      <c r="E1051" t="s">
        <v>277</v>
      </c>
      <c r="F1051" t="s">
        <v>81</v>
      </c>
      <c r="G1051" t="s">
        <v>278</v>
      </c>
      <c r="H1051" t="s">
        <v>108</v>
      </c>
      <c r="I1051" t="s">
        <v>107</v>
      </c>
      <c r="J1051" t="s">
        <v>3541</v>
      </c>
      <c r="K1051" t="s">
        <v>162</v>
      </c>
      <c r="M1051" t="s">
        <v>163</v>
      </c>
      <c r="N1051" t="s">
        <v>99</v>
      </c>
      <c r="O1051" s="27">
        <v>553000</v>
      </c>
      <c r="P1051">
        <v>4</v>
      </c>
      <c r="Q1051" t="s">
        <v>164</v>
      </c>
      <c r="R1051">
        <v>23</v>
      </c>
      <c r="S1051" t="s">
        <v>274</v>
      </c>
      <c r="T1051" t="str">
        <f>IF(COUNTIF($A$2:A1051,A1051)&gt;1,"Duplicate","Unique")</f>
        <v>Unique</v>
      </c>
    </row>
    <row r="1052" spans="1:20" x14ac:dyDescent="0.45">
      <c r="A1052" t="s">
        <v>2040</v>
      </c>
      <c r="B1052" t="s">
        <v>1571</v>
      </c>
      <c r="C1052" t="s">
        <v>51</v>
      </c>
      <c r="D1052" t="s">
        <v>50</v>
      </c>
      <c r="E1052" t="s">
        <v>181</v>
      </c>
      <c r="F1052" t="s">
        <v>81</v>
      </c>
      <c r="G1052" t="s">
        <v>182</v>
      </c>
      <c r="H1052" t="s">
        <v>106</v>
      </c>
      <c r="I1052" t="s">
        <v>107</v>
      </c>
      <c r="J1052" t="s">
        <v>3542</v>
      </c>
      <c r="K1052" t="s">
        <v>162</v>
      </c>
      <c r="M1052" t="s">
        <v>163</v>
      </c>
      <c r="N1052" t="s">
        <v>95</v>
      </c>
      <c r="O1052" s="27">
        <v>692000</v>
      </c>
      <c r="P1052">
        <v>5</v>
      </c>
      <c r="Q1052" t="s">
        <v>164</v>
      </c>
      <c r="S1052" t="s">
        <v>244</v>
      </c>
      <c r="T1052" t="str">
        <f>IF(COUNTIF($A$2:A1052,A1052)&gt;1,"Duplicate","Unique")</f>
        <v>Unique</v>
      </c>
    </row>
    <row r="1053" spans="1:20" x14ac:dyDescent="0.45">
      <c r="A1053" t="s">
        <v>1869</v>
      </c>
      <c r="B1053" t="s">
        <v>1725</v>
      </c>
      <c r="C1053" t="s">
        <v>51</v>
      </c>
      <c r="D1053" t="s">
        <v>50</v>
      </c>
      <c r="E1053" t="s">
        <v>217</v>
      </c>
      <c r="F1053" t="s">
        <v>83</v>
      </c>
      <c r="G1053" t="s">
        <v>218</v>
      </c>
      <c r="H1053" t="s">
        <v>108</v>
      </c>
      <c r="I1053" t="s">
        <v>107</v>
      </c>
      <c r="J1053" t="s">
        <v>3543</v>
      </c>
      <c r="K1053" t="s">
        <v>162</v>
      </c>
      <c r="M1053" t="s">
        <v>163</v>
      </c>
      <c r="N1053" t="s">
        <v>95</v>
      </c>
      <c r="O1053" s="27">
        <v>1706000</v>
      </c>
      <c r="P1053">
        <v>2</v>
      </c>
      <c r="Q1053" t="s">
        <v>164</v>
      </c>
      <c r="R1053">
        <v>14</v>
      </c>
      <c r="S1053" t="s">
        <v>219</v>
      </c>
      <c r="T1053" t="str">
        <f>IF(COUNTIF($A$2:A1053,A1053)&gt;1,"Duplicate","Unique")</f>
        <v>Unique</v>
      </c>
    </row>
    <row r="1054" spans="1:20" x14ac:dyDescent="0.45">
      <c r="A1054" t="s">
        <v>1169</v>
      </c>
      <c r="B1054" t="s">
        <v>327</v>
      </c>
      <c r="C1054" t="s">
        <v>51</v>
      </c>
      <c r="D1054" t="s">
        <v>50</v>
      </c>
      <c r="E1054" t="s">
        <v>217</v>
      </c>
      <c r="F1054" t="s">
        <v>83</v>
      </c>
      <c r="G1054" t="s">
        <v>218</v>
      </c>
      <c r="H1054" t="s">
        <v>106</v>
      </c>
      <c r="I1054" t="s">
        <v>107</v>
      </c>
      <c r="J1054" t="s">
        <v>3544</v>
      </c>
      <c r="K1054" t="s">
        <v>162</v>
      </c>
      <c r="M1054" t="s">
        <v>163</v>
      </c>
      <c r="N1054" t="s">
        <v>97</v>
      </c>
      <c r="O1054" s="27">
        <v>1984000</v>
      </c>
      <c r="P1054">
        <v>3</v>
      </c>
      <c r="Q1054" t="s">
        <v>172</v>
      </c>
      <c r="R1054">
        <v>35</v>
      </c>
      <c r="S1054" t="s">
        <v>244</v>
      </c>
      <c r="T1054" t="str">
        <f>IF(COUNTIF($A$2:A1054,A1054)&gt;1,"Duplicate","Unique")</f>
        <v>Unique</v>
      </c>
    </row>
    <row r="1055" spans="1:20" x14ac:dyDescent="0.45">
      <c r="A1055" t="s">
        <v>2264</v>
      </c>
      <c r="B1055" t="s">
        <v>2265</v>
      </c>
      <c r="C1055" t="s">
        <v>57</v>
      </c>
      <c r="D1055" t="s">
        <v>56</v>
      </c>
      <c r="E1055" t="s">
        <v>1909</v>
      </c>
      <c r="F1055" t="s">
        <v>85</v>
      </c>
      <c r="G1055" t="s">
        <v>1910</v>
      </c>
      <c r="H1055" t="s">
        <v>108</v>
      </c>
      <c r="I1055" t="s">
        <v>107</v>
      </c>
      <c r="J1055" t="s">
        <v>2994</v>
      </c>
      <c r="K1055" t="s">
        <v>162</v>
      </c>
      <c r="M1055" t="s">
        <v>163</v>
      </c>
      <c r="N1055" t="s">
        <v>97</v>
      </c>
      <c r="O1055" s="27">
        <v>4074000</v>
      </c>
      <c r="Q1055" t="s">
        <v>164</v>
      </c>
      <c r="R1055">
        <v>30</v>
      </c>
      <c r="S1055" t="s">
        <v>165</v>
      </c>
      <c r="T1055" t="str">
        <f>IF(COUNTIF($A$2:A1055,A1055)&gt;1,"Duplicate","Unique")</f>
        <v>Unique</v>
      </c>
    </row>
    <row r="1056" spans="1:20" x14ac:dyDescent="0.45">
      <c r="A1056" t="s">
        <v>1989</v>
      </c>
      <c r="B1056" t="s">
        <v>1745</v>
      </c>
      <c r="C1056" t="s">
        <v>51</v>
      </c>
      <c r="D1056" t="s">
        <v>50</v>
      </c>
      <c r="E1056" t="s">
        <v>397</v>
      </c>
      <c r="F1056" t="s">
        <v>84</v>
      </c>
      <c r="G1056" t="s">
        <v>398</v>
      </c>
      <c r="H1056" t="s">
        <v>109</v>
      </c>
      <c r="I1056" t="s">
        <v>110</v>
      </c>
      <c r="J1056" t="s">
        <v>3442</v>
      </c>
      <c r="K1056" t="s">
        <v>162</v>
      </c>
      <c r="M1056" t="s">
        <v>163</v>
      </c>
      <c r="N1056" t="s">
        <v>98</v>
      </c>
      <c r="O1056" s="27">
        <v>2561000</v>
      </c>
      <c r="P1056">
        <v>3</v>
      </c>
      <c r="Q1056" t="s">
        <v>2624</v>
      </c>
      <c r="R1056">
        <v>43</v>
      </c>
      <c r="S1056" t="s">
        <v>178</v>
      </c>
      <c r="T1056" t="str">
        <f>IF(COUNTIF($A$2:A1056,A1056)&gt;1,"Duplicate","Unique")</f>
        <v>Unique</v>
      </c>
    </row>
    <row r="1057" spans="1:20" x14ac:dyDescent="0.45">
      <c r="A1057" t="s">
        <v>1155</v>
      </c>
      <c r="B1057" t="s">
        <v>1156</v>
      </c>
      <c r="C1057" t="s">
        <v>51</v>
      </c>
      <c r="D1057" t="s">
        <v>50</v>
      </c>
      <c r="E1057" t="s">
        <v>176</v>
      </c>
      <c r="F1057" t="s">
        <v>82</v>
      </c>
      <c r="G1057" t="s">
        <v>177</v>
      </c>
      <c r="H1057" t="s">
        <v>109</v>
      </c>
      <c r="I1057" t="s">
        <v>110</v>
      </c>
      <c r="J1057" t="s">
        <v>3545</v>
      </c>
      <c r="K1057" t="s">
        <v>162</v>
      </c>
      <c r="M1057" t="s">
        <v>163</v>
      </c>
      <c r="N1057" t="s">
        <v>98</v>
      </c>
      <c r="O1057" s="27">
        <v>1243000</v>
      </c>
      <c r="P1057">
        <v>4</v>
      </c>
      <c r="Q1057" t="s">
        <v>172</v>
      </c>
      <c r="R1057">
        <v>23</v>
      </c>
      <c r="S1057" t="s">
        <v>197</v>
      </c>
      <c r="T1057" t="str">
        <f>IF(COUNTIF($A$2:A1057,A1057)&gt;1,"Duplicate","Unique")</f>
        <v>Unique</v>
      </c>
    </row>
    <row r="1058" spans="1:20" x14ac:dyDescent="0.45">
      <c r="A1058" t="s">
        <v>1187</v>
      </c>
      <c r="B1058" t="s">
        <v>1188</v>
      </c>
      <c r="C1058" t="s">
        <v>61</v>
      </c>
      <c r="D1058" t="s">
        <v>60</v>
      </c>
      <c r="E1058" t="s">
        <v>251</v>
      </c>
      <c r="F1058" t="s">
        <v>82</v>
      </c>
      <c r="G1058" t="s">
        <v>252</v>
      </c>
      <c r="H1058" t="s">
        <v>106</v>
      </c>
      <c r="I1058" t="s">
        <v>107</v>
      </c>
      <c r="J1058" t="s">
        <v>3066</v>
      </c>
      <c r="K1058" t="s">
        <v>162</v>
      </c>
      <c r="M1058" t="s">
        <v>163</v>
      </c>
      <c r="N1058" t="s">
        <v>99</v>
      </c>
      <c r="O1058" s="27">
        <v>882000</v>
      </c>
      <c r="P1058">
        <v>2</v>
      </c>
      <c r="Q1058" t="s">
        <v>164</v>
      </c>
      <c r="R1058">
        <v>11</v>
      </c>
      <c r="S1058" t="s">
        <v>253</v>
      </c>
      <c r="T1058" t="str">
        <f>IF(COUNTIF($A$2:A1058,A1058)&gt;1,"Duplicate","Unique")</f>
        <v>Unique</v>
      </c>
    </row>
    <row r="1059" spans="1:20" x14ac:dyDescent="0.45">
      <c r="A1059" t="s">
        <v>2032</v>
      </c>
      <c r="B1059" t="s">
        <v>205</v>
      </c>
      <c r="C1059" t="s">
        <v>53</v>
      </c>
      <c r="D1059" t="s">
        <v>52</v>
      </c>
      <c r="E1059" t="s">
        <v>200</v>
      </c>
      <c r="F1059" t="s">
        <v>84</v>
      </c>
      <c r="G1059" t="s">
        <v>201</v>
      </c>
      <c r="H1059" t="s">
        <v>106</v>
      </c>
      <c r="I1059" t="s">
        <v>107</v>
      </c>
      <c r="J1059" t="s">
        <v>3087</v>
      </c>
      <c r="K1059" t="s">
        <v>162</v>
      </c>
      <c r="M1059" t="s">
        <v>163</v>
      </c>
      <c r="N1059" t="s">
        <v>98</v>
      </c>
      <c r="O1059" s="27">
        <v>2496000</v>
      </c>
      <c r="P1059">
        <v>2</v>
      </c>
      <c r="Q1059" t="s">
        <v>164</v>
      </c>
      <c r="R1059">
        <v>13</v>
      </c>
      <c r="S1059" t="s">
        <v>189</v>
      </c>
      <c r="T1059" t="str">
        <f>IF(COUNTIF($A$2:A1059,A1059)&gt;1,"Duplicate","Unique")</f>
        <v>Unique</v>
      </c>
    </row>
    <row r="1060" spans="1:20" x14ac:dyDescent="0.45">
      <c r="A1060" t="s">
        <v>941</v>
      </c>
      <c r="B1060" t="s">
        <v>942</v>
      </c>
      <c r="C1060" t="s">
        <v>57</v>
      </c>
      <c r="D1060" t="s">
        <v>56</v>
      </c>
      <c r="E1060" t="s">
        <v>222</v>
      </c>
      <c r="F1060" t="s">
        <v>82</v>
      </c>
      <c r="G1060" t="s">
        <v>223</v>
      </c>
      <c r="H1060" t="s">
        <v>106</v>
      </c>
      <c r="I1060" t="s">
        <v>107</v>
      </c>
      <c r="J1060" t="s">
        <v>3546</v>
      </c>
      <c r="K1060" t="s">
        <v>170</v>
      </c>
      <c r="L1060" t="s">
        <v>2697</v>
      </c>
      <c r="M1060" t="s">
        <v>171</v>
      </c>
      <c r="N1060" t="s">
        <v>98</v>
      </c>
      <c r="O1060" s="27">
        <v>943000</v>
      </c>
      <c r="P1060">
        <v>4</v>
      </c>
      <c r="Q1060" t="s">
        <v>164</v>
      </c>
      <c r="R1060">
        <v>60</v>
      </c>
      <c r="S1060" t="s">
        <v>224</v>
      </c>
      <c r="T1060" t="str">
        <f>IF(COUNTIF($A$2:A1060,A1060)&gt;1,"Duplicate","Unique")</f>
        <v>Unique</v>
      </c>
    </row>
    <row r="1061" spans="1:20" x14ac:dyDescent="0.45">
      <c r="A1061" t="s">
        <v>1334</v>
      </c>
      <c r="B1061" t="s">
        <v>1335</v>
      </c>
      <c r="C1061" t="s">
        <v>55</v>
      </c>
      <c r="D1061" t="s">
        <v>54</v>
      </c>
      <c r="E1061" t="s">
        <v>240</v>
      </c>
      <c r="F1061" t="s">
        <v>83</v>
      </c>
      <c r="G1061" t="s">
        <v>241</v>
      </c>
      <c r="H1061" t="s">
        <v>2963</v>
      </c>
      <c r="I1061" t="s">
        <v>107</v>
      </c>
      <c r="J1061" t="s">
        <v>3547</v>
      </c>
      <c r="K1061" t="s">
        <v>162</v>
      </c>
      <c r="M1061" t="s">
        <v>163</v>
      </c>
      <c r="N1061" t="s">
        <v>95</v>
      </c>
      <c r="O1061" s="27">
        <v>1393000</v>
      </c>
      <c r="P1061">
        <v>4</v>
      </c>
      <c r="Q1061" t="s">
        <v>2467</v>
      </c>
      <c r="R1061">
        <v>26</v>
      </c>
      <c r="S1061" t="s">
        <v>173</v>
      </c>
      <c r="T1061" t="str">
        <f>IF(COUNTIF($A$2:A1061,A1061)&gt;1,"Duplicate","Unique")</f>
        <v>Unique</v>
      </c>
    </row>
    <row r="1062" spans="1:20" x14ac:dyDescent="0.45">
      <c r="A1062" t="s">
        <v>770</v>
      </c>
      <c r="B1062" t="s">
        <v>3548</v>
      </c>
      <c r="C1062" t="s">
        <v>53</v>
      </c>
      <c r="D1062" t="s">
        <v>52</v>
      </c>
      <c r="E1062" t="s">
        <v>192</v>
      </c>
      <c r="F1062" t="s">
        <v>83</v>
      </c>
      <c r="G1062" t="s">
        <v>193</v>
      </c>
      <c r="H1062" t="s">
        <v>109</v>
      </c>
      <c r="I1062" t="s">
        <v>110</v>
      </c>
      <c r="J1062" t="s">
        <v>3549</v>
      </c>
      <c r="K1062" t="s">
        <v>162</v>
      </c>
      <c r="M1062" t="s">
        <v>163</v>
      </c>
      <c r="N1062" t="s">
        <v>99</v>
      </c>
      <c r="O1062" s="27">
        <v>1447000</v>
      </c>
      <c r="P1062">
        <v>3</v>
      </c>
      <c r="Q1062" t="s">
        <v>164</v>
      </c>
      <c r="R1062">
        <v>29</v>
      </c>
      <c r="S1062" t="s">
        <v>189</v>
      </c>
      <c r="T1062" t="str">
        <f>IF(COUNTIF($A$2:A1062,A1062)&gt;1,"Duplicate","Unique")</f>
        <v>Unique</v>
      </c>
    </row>
    <row r="1063" spans="1:20" x14ac:dyDescent="0.45">
      <c r="A1063" t="s">
        <v>695</v>
      </c>
      <c r="B1063" t="s">
        <v>696</v>
      </c>
      <c r="C1063" t="s">
        <v>55</v>
      </c>
      <c r="D1063" t="s">
        <v>54</v>
      </c>
      <c r="E1063" t="s">
        <v>240</v>
      </c>
      <c r="F1063" t="s">
        <v>83</v>
      </c>
      <c r="G1063" t="s">
        <v>241</v>
      </c>
      <c r="H1063" t="s">
        <v>106</v>
      </c>
      <c r="I1063" t="s">
        <v>107</v>
      </c>
      <c r="J1063" t="s">
        <v>3550</v>
      </c>
      <c r="K1063" t="s">
        <v>162</v>
      </c>
      <c r="M1063" t="s">
        <v>163</v>
      </c>
      <c r="N1063" t="s">
        <v>95</v>
      </c>
      <c r="O1063" s="27">
        <v>1674000</v>
      </c>
      <c r="P1063">
        <v>2</v>
      </c>
      <c r="Q1063" t="s">
        <v>172</v>
      </c>
      <c r="R1063">
        <v>29</v>
      </c>
      <c r="S1063" t="s">
        <v>262</v>
      </c>
      <c r="T1063" t="str">
        <f>IF(COUNTIF($A$2:A1063,A1063)&gt;1,"Duplicate","Unique")</f>
        <v>Unique</v>
      </c>
    </row>
    <row r="1064" spans="1:20" x14ac:dyDescent="0.45">
      <c r="A1064" t="s">
        <v>1301</v>
      </c>
      <c r="B1064" t="s">
        <v>433</v>
      </c>
      <c r="C1064" t="s">
        <v>59</v>
      </c>
      <c r="D1064" t="s">
        <v>58</v>
      </c>
      <c r="E1064" t="s">
        <v>206</v>
      </c>
      <c r="F1064" t="s">
        <v>81</v>
      </c>
      <c r="G1064" t="s">
        <v>207</v>
      </c>
      <c r="H1064" t="s">
        <v>106</v>
      </c>
      <c r="I1064" t="s">
        <v>107</v>
      </c>
      <c r="J1064" t="s">
        <v>2841</v>
      </c>
      <c r="K1064" t="s">
        <v>162</v>
      </c>
      <c r="M1064" t="s">
        <v>163</v>
      </c>
      <c r="N1064" t="s">
        <v>96</v>
      </c>
      <c r="O1064" s="27">
        <v>755000</v>
      </c>
      <c r="P1064">
        <v>5</v>
      </c>
      <c r="Q1064" t="s">
        <v>164</v>
      </c>
      <c r="R1064">
        <v>24</v>
      </c>
      <c r="S1064" t="s">
        <v>214</v>
      </c>
      <c r="T1064" t="str">
        <f>IF(COUNTIF($A$2:A1064,A1064)&gt;1,"Duplicate","Unique")</f>
        <v>Unique</v>
      </c>
    </row>
    <row r="1065" spans="1:20" x14ac:dyDescent="0.45">
      <c r="A1065" t="s">
        <v>441</v>
      </c>
      <c r="B1065" t="s">
        <v>442</v>
      </c>
      <c r="C1065" t="s">
        <v>59</v>
      </c>
      <c r="D1065" t="s">
        <v>58</v>
      </c>
      <c r="E1065" t="s">
        <v>206</v>
      </c>
      <c r="F1065" t="s">
        <v>81</v>
      </c>
      <c r="G1065" t="s">
        <v>207</v>
      </c>
      <c r="H1065" t="s">
        <v>111</v>
      </c>
      <c r="I1065" t="s">
        <v>110</v>
      </c>
      <c r="J1065" t="s">
        <v>3317</v>
      </c>
      <c r="K1065" t="s">
        <v>162</v>
      </c>
      <c r="M1065" t="s">
        <v>163</v>
      </c>
      <c r="N1065" t="s">
        <v>97</v>
      </c>
      <c r="O1065" s="27">
        <v>792000</v>
      </c>
      <c r="P1065">
        <v>2</v>
      </c>
      <c r="Q1065" t="s">
        <v>164</v>
      </c>
      <c r="R1065">
        <v>20</v>
      </c>
      <c r="S1065" t="s">
        <v>214</v>
      </c>
      <c r="T1065" t="str">
        <f>IF(COUNTIF($A$2:A1065,A1065)&gt;1,"Duplicate","Unique")</f>
        <v>Unique</v>
      </c>
    </row>
    <row r="1066" spans="1:20" x14ac:dyDescent="0.45">
      <c r="A1066" t="s">
        <v>1241</v>
      </c>
      <c r="B1066" t="s">
        <v>629</v>
      </c>
      <c r="C1066" t="s">
        <v>57</v>
      </c>
      <c r="D1066" t="s">
        <v>56</v>
      </c>
      <c r="E1066" t="s">
        <v>222</v>
      </c>
      <c r="F1066" t="s">
        <v>82</v>
      </c>
      <c r="G1066" t="s">
        <v>223</v>
      </c>
      <c r="H1066" t="s">
        <v>109</v>
      </c>
      <c r="I1066" t="s">
        <v>110</v>
      </c>
      <c r="J1066" t="s">
        <v>3551</v>
      </c>
      <c r="K1066" t="s">
        <v>162</v>
      </c>
      <c r="M1066" t="s">
        <v>163</v>
      </c>
      <c r="N1066" t="s">
        <v>99</v>
      </c>
      <c r="O1066" s="27">
        <v>896000</v>
      </c>
      <c r="P1066">
        <v>3</v>
      </c>
      <c r="Q1066" t="s">
        <v>172</v>
      </c>
      <c r="R1066">
        <v>69</v>
      </c>
      <c r="S1066" t="s">
        <v>165</v>
      </c>
      <c r="T1066" t="str">
        <f>IF(COUNTIF($A$2:A1066,A1066)&gt;1,"Duplicate","Unique")</f>
        <v>Unique</v>
      </c>
    </row>
    <row r="1067" spans="1:20" x14ac:dyDescent="0.45">
      <c r="A1067" t="s">
        <v>2329</v>
      </c>
      <c r="B1067" t="s">
        <v>1958</v>
      </c>
      <c r="C1067" t="s">
        <v>55</v>
      </c>
      <c r="D1067" t="s">
        <v>54</v>
      </c>
      <c r="E1067" t="s">
        <v>277</v>
      </c>
      <c r="F1067" t="s">
        <v>81</v>
      </c>
      <c r="G1067" t="s">
        <v>278</v>
      </c>
      <c r="H1067" t="s">
        <v>111</v>
      </c>
      <c r="I1067" t="s">
        <v>110</v>
      </c>
      <c r="J1067" t="s">
        <v>3505</v>
      </c>
      <c r="K1067" t="s">
        <v>162</v>
      </c>
      <c r="M1067" t="s">
        <v>163</v>
      </c>
      <c r="N1067" t="s">
        <v>97</v>
      </c>
      <c r="O1067" s="27">
        <v>797000</v>
      </c>
      <c r="P1067">
        <v>1</v>
      </c>
      <c r="Q1067" t="s">
        <v>172</v>
      </c>
      <c r="R1067">
        <v>9</v>
      </c>
      <c r="S1067" t="s">
        <v>274</v>
      </c>
      <c r="T1067" t="str">
        <f>IF(COUNTIF($A$2:A1067,A1067)&gt;1,"Duplicate","Unique")</f>
        <v>Unique</v>
      </c>
    </row>
    <row r="1068" spans="1:20" x14ac:dyDescent="0.45">
      <c r="A1068" t="s">
        <v>1310</v>
      </c>
      <c r="B1068" t="s">
        <v>3552</v>
      </c>
      <c r="C1068" t="s">
        <v>53</v>
      </c>
      <c r="D1068" t="s">
        <v>2617</v>
      </c>
      <c r="E1068" t="s">
        <v>322</v>
      </c>
      <c r="F1068" t="s">
        <v>81</v>
      </c>
      <c r="G1068" t="s">
        <v>323</v>
      </c>
      <c r="H1068" t="s">
        <v>108</v>
      </c>
      <c r="I1068" t="s">
        <v>107</v>
      </c>
      <c r="J1068" t="s">
        <v>3354</v>
      </c>
      <c r="K1068" t="s">
        <v>162</v>
      </c>
      <c r="M1068" t="s">
        <v>163</v>
      </c>
      <c r="N1068" t="s">
        <v>95</v>
      </c>
      <c r="O1068" s="27">
        <v>665000</v>
      </c>
      <c r="P1068">
        <v>3</v>
      </c>
      <c r="Q1068" t="s">
        <v>172</v>
      </c>
      <c r="R1068">
        <v>46</v>
      </c>
      <c r="S1068" t="s">
        <v>194</v>
      </c>
      <c r="T1068" t="str">
        <f>IF(COUNTIF($A$2:A1068,A1068)&gt;1,"Duplicate","Unique")</f>
        <v>Unique</v>
      </c>
    </row>
    <row r="1069" spans="1:20" x14ac:dyDescent="0.45">
      <c r="A1069" t="s">
        <v>1350</v>
      </c>
      <c r="B1069" t="s">
        <v>239</v>
      </c>
      <c r="C1069" t="s">
        <v>61</v>
      </c>
      <c r="D1069" t="s">
        <v>60</v>
      </c>
      <c r="E1069" t="s">
        <v>356</v>
      </c>
      <c r="F1069" t="s">
        <v>81</v>
      </c>
      <c r="G1069" t="s">
        <v>357</v>
      </c>
      <c r="H1069" t="s">
        <v>108</v>
      </c>
      <c r="I1069" t="s">
        <v>107</v>
      </c>
      <c r="J1069" t="s">
        <v>3180</v>
      </c>
      <c r="K1069" t="s">
        <v>187</v>
      </c>
      <c r="L1069" t="s">
        <v>3553</v>
      </c>
      <c r="M1069" t="s">
        <v>213</v>
      </c>
      <c r="N1069" t="s">
        <v>95</v>
      </c>
      <c r="O1069" s="27">
        <v>811000</v>
      </c>
      <c r="P1069">
        <v>3</v>
      </c>
      <c r="Q1069" t="s">
        <v>172</v>
      </c>
      <c r="R1069">
        <v>49</v>
      </c>
      <c r="S1069" t="s">
        <v>253</v>
      </c>
      <c r="T1069" t="str">
        <f>IF(COUNTIF($A$2:A1069,A1069)&gt;1,"Duplicate","Unique")</f>
        <v>Unique</v>
      </c>
    </row>
    <row r="1070" spans="1:20" x14ac:dyDescent="0.45">
      <c r="A1070" t="s">
        <v>1614</v>
      </c>
      <c r="B1070" t="s">
        <v>3554</v>
      </c>
      <c r="C1070" t="s">
        <v>51</v>
      </c>
      <c r="D1070" t="s">
        <v>50</v>
      </c>
      <c r="E1070" t="s">
        <v>181</v>
      </c>
      <c r="F1070" t="s">
        <v>81</v>
      </c>
      <c r="G1070" t="s">
        <v>182</v>
      </c>
      <c r="H1070" t="s">
        <v>106</v>
      </c>
      <c r="I1070" t="s">
        <v>107</v>
      </c>
      <c r="J1070" t="s">
        <v>3214</v>
      </c>
      <c r="K1070" t="s">
        <v>187</v>
      </c>
      <c r="L1070" t="s">
        <v>3478</v>
      </c>
      <c r="M1070" t="s">
        <v>188</v>
      </c>
      <c r="N1070" t="s">
        <v>98</v>
      </c>
      <c r="O1070" s="27">
        <v>849000</v>
      </c>
      <c r="P1070">
        <v>5</v>
      </c>
      <c r="Q1070" t="s">
        <v>164</v>
      </c>
      <c r="R1070">
        <v>61</v>
      </c>
      <c r="S1070" t="s">
        <v>244</v>
      </c>
      <c r="T1070" t="str">
        <f>IF(COUNTIF($A$2:A1070,A1070)&gt;1,"Duplicate","Unique")</f>
        <v>Unique</v>
      </c>
    </row>
    <row r="1071" spans="1:20" x14ac:dyDescent="0.45">
      <c r="A1071" t="s">
        <v>1105</v>
      </c>
      <c r="B1071" t="s">
        <v>380</v>
      </c>
      <c r="C1071" t="s">
        <v>55</v>
      </c>
      <c r="D1071" t="s">
        <v>54</v>
      </c>
      <c r="E1071" t="s">
        <v>168</v>
      </c>
      <c r="F1071" t="s">
        <v>84</v>
      </c>
      <c r="G1071" t="s">
        <v>169</v>
      </c>
      <c r="H1071" t="s">
        <v>106</v>
      </c>
      <c r="I1071" t="s">
        <v>107</v>
      </c>
      <c r="J1071" t="s">
        <v>2821</v>
      </c>
      <c r="K1071" t="s">
        <v>187</v>
      </c>
      <c r="L1071" t="s">
        <v>2688</v>
      </c>
      <c r="M1071" t="s">
        <v>269</v>
      </c>
      <c r="N1071" t="s">
        <v>97</v>
      </c>
      <c r="O1071" s="27">
        <v>2701000</v>
      </c>
      <c r="P1071">
        <v>3</v>
      </c>
      <c r="Q1071" t="s">
        <v>164</v>
      </c>
      <c r="R1071">
        <v>19</v>
      </c>
      <c r="S1071" t="s">
        <v>262</v>
      </c>
      <c r="T1071" t="str">
        <f>IF(COUNTIF($A$2:A1071,A1071)&gt;1,"Duplicate","Unique")</f>
        <v>Unique</v>
      </c>
    </row>
    <row r="1072" spans="1:20" x14ac:dyDescent="0.45">
      <c r="A1072" t="s">
        <v>1507</v>
      </c>
      <c r="B1072" t="s">
        <v>947</v>
      </c>
      <c r="C1072" t="s">
        <v>57</v>
      </c>
      <c r="D1072" t="s">
        <v>2476</v>
      </c>
      <c r="E1072" t="s">
        <v>160</v>
      </c>
      <c r="F1072" t="s">
        <v>81</v>
      </c>
      <c r="G1072" t="s">
        <v>161</v>
      </c>
      <c r="H1072" t="s">
        <v>106</v>
      </c>
      <c r="I1072" t="s">
        <v>107</v>
      </c>
      <c r="J1072" t="s">
        <v>3555</v>
      </c>
      <c r="K1072" t="s">
        <v>162</v>
      </c>
      <c r="M1072" t="s">
        <v>163</v>
      </c>
      <c r="N1072" t="s">
        <v>98</v>
      </c>
      <c r="O1072" s="27">
        <v>625000</v>
      </c>
      <c r="P1072">
        <v>3</v>
      </c>
      <c r="Q1072" t="s">
        <v>172</v>
      </c>
      <c r="R1072">
        <v>56</v>
      </c>
      <c r="S1072" t="s">
        <v>165</v>
      </c>
      <c r="T1072" t="str">
        <f>IF(COUNTIF($A$2:A1072,A1072)&gt;1,"Duplicate","Unique")</f>
        <v>Unique</v>
      </c>
    </row>
    <row r="1073" spans="1:20" x14ac:dyDescent="0.45">
      <c r="A1073" t="s">
        <v>1640</v>
      </c>
      <c r="B1073" t="s">
        <v>1641</v>
      </c>
      <c r="C1073" t="s">
        <v>59</v>
      </c>
      <c r="D1073" t="s">
        <v>58</v>
      </c>
      <c r="E1073" t="s">
        <v>211</v>
      </c>
      <c r="F1073" t="s">
        <v>82</v>
      </c>
      <c r="G1073" t="s">
        <v>212</v>
      </c>
      <c r="H1073" t="s">
        <v>106</v>
      </c>
      <c r="I1073" t="s">
        <v>107</v>
      </c>
      <c r="J1073" t="s">
        <v>3556</v>
      </c>
      <c r="K1073" t="s">
        <v>162</v>
      </c>
      <c r="M1073" t="s">
        <v>163</v>
      </c>
      <c r="N1073" t="s">
        <v>96</v>
      </c>
      <c r="O1073" s="27">
        <v>1124000</v>
      </c>
      <c r="P1073">
        <v>3</v>
      </c>
      <c r="Q1073" t="s">
        <v>172</v>
      </c>
      <c r="R1073">
        <v>35</v>
      </c>
      <c r="S1073" t="s">
        <v>214</v>
      </c>
      <c r="T1073" t="str">
        <f>IF(COUNTIF($A$2:A1073,A1073)&gt;1,"Duplicate","Unique")</f>
        <v>Unique</v>
      </c>
    </row>
    <row r="1074" spans="1:20" x14ac:dyDescent="0.45">
      <c r="A1074" t="s">
        <v>1549</v>
      </c>
      <c r="B1074" t="s">
        <v>1186</v>
      </c>
      <c r="C1074" t="s">
        <v>51</v>
      </c>
      <c r="D1074" t="s">
        <v>50</v>
      </c>
      <c r="E1074" t="s">
        <v>176</v>
      </c>
      <c r="F1074" t="s">
        <v>82</v>
      </c>
      <c r="G1074" t="s">
        <v>177</v>
      </c>
      <c r="H1074" t="s">
        <v>106</v>
      </c>
      <c r="I1074" t="s">
        <v>107</v>
      </c>
      <c r="J1074" t="s">
        <v>2569</v>
      </c>
      <c r="K1074" t="s">
        <v>162</v>
      </c>
      <c r="M1074" t="s">
        <v>163</v>
      </c>
      <c r="N1074" t="s">
        <v>97</v>
      </c>
      <c r="O1074" s="27">
        <v>1269000</v>
      </c>
      <c r="P1074">
        <v>3</v>
      </c>
      <c r="Q1074" t="s">
        <v>172</v>
      </c>
      <c r="R1074">
        <v>25</v>
      </c>
      <c r="S1074" t="s">
        <v>244</v>
      </c>
      <c r="T1074" t="str">
        <f>IF(COUNTIF($A$2:A1074,A1074)&gt;1,"Duplicate","Unique")</f>
        <v>Unique</v>
      </c>
    </row>
    <row r="1075" spans="1:20" x14ac:dyDescent="0.45">
      <c r="A1075" t="s">
        <v>2277</v>
      </c>
      <c r="B1075" t="s">
        <v>1873</v>
      </c>
      <c r="C1075" t="s">
        <v>55</v>
      </c>
      <c r="D1075" t="s">
        <v>54</v>
      </c>
      <c r="E1075" t="s">
        <v>277</v>
      </c>
      <c r="F1075" t="s">
        <v>81</v>
      </c>
      <c r="G1075" t="s">
        <v>278</v>
      </c>
      <c r="H1075" t="s">
        <v>106</v>
      </c>
      <c r="I1075" t="s">
        <v>107</v>
      </c>
      <c r="J1075" t="s">
        <v>3557</v>
      </c>
      <c r="K1075" t="s">
        <v>162</v>
      </c>
      <c r="M1075" t="s">
        <v>163</v>
      </c>
      <c r="N1075" t="s">
        <v>97</v>
      </c>
      <c r="O1075" s="27">
        <v>573000</v>
      </c>
      <c r="P1075">
        <v>4</v>
      </c>
      <c r="Q1075" t="s">
        <v>172</v>
      </c>
      <c r="R1075">
        <v>39</v>
      </c>
      <c r="S1075" t="s">
        <v>262</v>
      </c>
      <c r="T1075" t="str">
        <f>IF(COUNTIF($A$2:A1075,A1075)&gt;1,"Duplicate","Unique")</f>
        <v>Unique</v>
      </c>
    </row>
    <row r="1076" spans="1:20" x14ac:dyDescent="0.45">
      <c r="A1076" t="s">
        <v>1142</v>
      </c>
      <c r="B1076" t="s">
        <v>429</v>
      </c>
      <c r="C1076" t="s">
        <v>51</v>
      </c>
      <c r="D1076" t="s">
        <v>50</v>
      </c>
      <c r="E1076" t="s">
        <v>217</v>
      </c>
      <c r="F1076" t="s">
        <v>83</v>
      </c>
      <c r="G1076" t="s">
        <v>218</v>
      </c>
      <c r="H1076" t="s">
        <v>108</v>
      </c>
      <c r="I1076" t="s">
        <v>107</v>
      </c>
      <c r="J1076" t="s">
        <v>3558</v>
      </c>
      <c r="K1076" t="s">
        <v>162</v>
      </c>
      <c r="M1076" t="s">
        <v>163</v>
      </c>
      <c r="N1076" t="s">
        <v>96</v>
      </c>
      <c r="O1076" s="27">
        <v>1376000</v>
      </c>
      <c r="P1076">
        <v>4</v>
      </c>
      <c r="Q1076" t="s">
        <v>172</v>
      </c>
      <c r="R1076">
        <v>34</v>
      </c>
      <c r="S1076" t="s">
        <v>244</v>
      </c>
      <c r="T1076" t="str">
        <f>IF(COUNTIF($A$2:A1076,A1076)&gt;1,"Duplicate","Unique")</f>
        <v>Unique</v>
      </c>
    </row>
    <row r="1077" spans="1:20" x14ac:dyDescent="0.45">
      <c r="A1077" t="s">
        <v>2065</v>
      </c>
      <c r="B1077" t="s">
        <v>3559</v>
      </c>
      <c r="C1077" t="s">
        <v>57</v>
      </c>
      <c r="D1077" t="s">
        <v>56</v>
      </c>
      <c r="E1077" t="s">
        <v>222</v>
      </c>
      <c r="F1077" t="s">
        <v>82</v>
      </c>
      <c r="G1077" t="s">
        <v>223</v>
      </c>
      <c r="H1077" t="s">
        <v>106</v>
      </c>
      <c r="I1077" t="s">
        <v>107</v>
      </c>
      <c r="J1077" t="s">
        <v>3560</v>
      </c>
      <c r="K1077" t="s">
        <v>162</v>
      </c>
      <c r="M1077" t="s">
        <v>163</v>
      </c>
      <c r="N1077" t="s">
        <v>97</v>
      </c>
      <c r="O1077" s="27">
        <v>1181000</v>
      </c>
      <c r="P1077">
        <v>3</v>
      </c>
      <c r="Q1077" t="s">
        <v>164</v>
      </c>
      <c r="R1077">
        <v>28</v>
      </c>
      <c r="S1077" t="s">
        <v>224</v>
      </c>
      <c r="T1077" t="str">
        <f>IF(COUNTIF($A$2:A1077,A1077)&gt;1,"Duplicate","Unique")</f>
        <v>Unique</v>
      </c>
    </row>
    <row r="1078" spans="1:20" x14ac:dyDescent="0.45">
      <c r="A1078" t="s">
        <v>2189</v>
      </c>
      <c r="B1078" t="s">
        <v>638</v>
      </c>
      <c r="C1078" t="s">
        <v>53</v>
      </c>
      <c r="D1078" t="s">
        <v>52</v>
      </c>
      <c r="E1078" t="s">
        <v>200</v>
      </c>
      <c r="F1078" t="s">
        <v>84</v>
      </c>
      <c r="G1078" t="s">
        <v>201</v>
      </c>
      <c r="H1078" t="s">
        <v>106</v>
      </c>
      <c r="I1078" t="s">
        <v>107</v>
      </c>
      <c r="J1078" t="s">
        <v>3496</v>
      </c>
      <c r="K1078" t="s">
        <v>162</v>
      </c>
      <c r="M1078" t="s">
        <v>163</v>
      </c>
      <c r="N1078" t="s">
        <v>99</v>
      </c>
      <c r="O1078" s="27">
        <v>2106000</v>
      </c>
      <c r="P1078">
        <v>3</v>
      </c>
      <c r="Q1078" t="s">
        <v>2467</v>
      </c>
      <c r="R1078">
        <v>38</v>
      </c>
      <c r="S1078" t="s">
        <v>237</v>
      </c>
      <c r="T1078" t="str">
        <f>IF(COUNTIF($A$2:A1078,A1078)&gt;1,"Duplicate","Unique")</f>
        <v>Unique</v>
      </c>
    </row>
    <row r="1079" spans="1:20" x14ac:dyDescent="0.45">
      <c r="A1079" t="s">
        <v>703</v>
      </c>
      <c r="B1079" t="s">
        <v>704</v>
      </c>
      <c r="C1079" t="s">
        <v>61</v>
      </c>
      <c r="D1079" t="s">
        <v>2510</v>
      </c>
      <c r="E1079" t="s">
        <v>356</v>
      </c>
      <c r="F1079" t="s">
        <v>81</v>
      </c>
      <c r="G1079" t="s">
        <v>357</v>
      </c>
      <c r="H1079" t="s">
        <v>111</v>
      </c>
      <c r="I1079" t="s">
        <v>110</v>
      </c>
      <c r="J1079" t="s">
        <v>3561</v>
      </c>
      <c r="K1079" t="s">
        <v>162</v>
      </c>
      <c r="M1079" t="s">
        <v>163</v>
      </c>
      <c r="N1079" t="s">
        <v>98</v>
      </c>
      <c r="O1079" s="27">
        <v>677000</v>
      </c>
      <c r="P1079">
        <v>4</v>
      </c>
      <c r="Q1079" t="s">
        <v>172</v>
      </c>
      <c r="R1079">
        <v>16</v>
      </c>
      <c r="S1079" t="s">
        <v>253</v>
      </c>
      <c r="T1079" t="str">
        <f>IF(COUNTIF($A$2:A1079,A1079)&gt;1,"Duplicate","Unique")</f>
        <v>Unique</v>
      </c>
    </row>
    <row r="1080" spans="1:20" x14ac:dyDescent="0.45">
      <c r="A1080" t="s">
        <v>573</v>
      </c>
      <c r="B1080" t="s">
        <v>574</v>
      </c>
      <c r="C1080" t="s">
        <v>53</v>
      </c>
      <c r="D1080" t="s">
        <v>52</v>
      </c>
      <c r="E1080" t="s">
        <v>185</v>
      </c>
      <c r="F1080" t="s">
        <v>82</v>
      </c>
      <c r="G1080" t="s">
        <v>186</v>
      </c>
      <c r="H1080" t="s">
        <v>3105</v>
      </c>
      <c r="I1080" t="s">
        <v>110</v>
      </c>
      <c r="J1080" t="s">
        <v>3562</v>
      </c>
      <c r="K1080" t="s">
        <v>162</v>
      </c>
      <c r="M1080" t="s">
        <v>163</v>
      </c>
      <c r="N1080" t="s">
        <v>96</v>
      </c>
      <c r="O1080" s="27">
        <v>1291000</v>
      </c>
      <c r="P1080">
        <v>3</v>
      </c>
      <c r="Q1080" t="s">
        <v>172</v>
      </c>
      <c r="R1080">
        <v>8</v>
      </c>
      <c r="S1080" t="s">
        <v>237</v>
      </c>
      <c r="T1080" t="str">
        <f>IF(COUNTIF($A$2:A1080,A1080)&gt;1,"Duplicate","Unique")</f>
        <v>Unique</v>
      </c>
    </row>
    <row r="1081" spans="1:20" x14ac:dyDescent="0.45">
      <c r="A1081" t="s">
        <v>789</v>
      </c>
      <c r="B1081" t="s">
        <v>790</v>
      </c>
      <c r="C1081" t="s">
        <v>53</v>
      </c>
      <c r="D1081" t="s">
        <v>52</v>
      </c>
      <c r="E1081" t="s">
        <v>322</v>
      </c>
      <c r="F1081" t="s">
        <v>81</v>
      </c>
      <c r="G1081" t="s">
        <v>323</v>
      </c>
      <c r="H1081" t="s">
        <v>109</v>
      </c>
      <c r="I1081" t="s">
        <v>110</v>
      </c>
      <c r="J1081" t="s">
        <v>3136</v>
      </c>
      <c r="K1081" t="s">
        <v>187</v>
      </c>
      <c r="L1081" t="s">
        <v>3563</v>
      </c>
      <c r="M1081" t="s">
        <v>269</v>
      </c>
      <c r="N1081" t="s">
        <v>99</v>
      </c>
      <c r="O1081" s="27">
        <v>648000</v>
      </c>
      <c r="P1081">
        <v>4</v>
      </c>
      <c r="Q1081" t="s">
        <v>172</v>
      </c>
      <c r="R1081">
        <v>31</v>
      </c>
      <c r="S1081" t="s">
        <v>194</v>
      </c>
      <c r="T1081" t="str">
        <f>IF(COUNTIF($A$2:A1081,A1081)&gt;1,"Duplicate","Unique")</f>
        <v>Unique</v>
      </c>
    </row>
    <row r="1082" spans="1:20" x14ac:dyDescent="0.45">
      <c r="A1082" t="s">
        <v>659</v>
      </c>
      <c r="B1082" t="s">
        <v>3564</v>
      </c>
      <c r="C1082" t="s">
        <v>53</v>
      </c>
      <c r="D1082" t="s">
        <v>52</v>
      </c>
      <c r="E1082" t="s">
        <v>322</v>
      </c>
      <c r="F1082" t="s">
        <v>81</v>
      </c>
      <c r="G1082" t="s">
        <v>323</v>
      </c>
      <c r="H1082" t="s">
        <v>108</v>
      </c>
      <c r="I1082" t="s">
        <v>107</v>
      </c>
      <c r="J1082" t="s">
        <v>3565</v>
      </c>
      <c r="K1082" t="s">
        <v>170</v>
      </c>
      <c r="L1082" t="s">
        <v>3566</v>
      </c>
      <c r="M1082" t="s">
        <v>171</v>
      </c>
      <c r="N1082" t="s">
        <v>99</v>
      </c>
      <c r="O1082" s="27">
        <v>657000</v>
      </c>
      <c r="P1082">
        <v>4</v>
      </c>
      <c r="Q1082" t="s">
        <v>172</v>
      </c>
      <c r="R1082">
        <v>26</v>
      </c>
      <c r="S1082" t="s">
        <v>189</v>
      </c>
      <c r="T1082" t="str">
        <f>IF(COUNTIF($A$2:A1082,A1082)&gt;1,"Duplicate","Unique")</f>
        <v>Unique</v>
      </c>
    </row>
    <row r="1083" spans="1:20" x14ac:dyDescent="0.45">
      <c r="A1083" t="s">
        <v>1232</v>
      </c>
      <c r="B1083" t="s">
        <v>730</v>
      </c>
      <c r="C1083" t="s">
        <v>57</v>
      </c>
      <c r="D1083" t="s">
        <v>56</v>
      </c>
      <c r="E1083" t="s">
        <v>222</v>
      </c>
      <c r="F1083" t="s">
        <v>82</v>
      </c>
      <c r="G1083" t="s">
        <v>223</v>
      </c>
      <c r="H1083" t="s">
        <v>106</v>
      </c>
      <c r="I1083" t="s">
        <v>107</v>
      </c>
      <c r="J1083" t="s">
        <v>3567</v>
      </c>
      <c r="K1083" t="s">
        <v>162</v>
      </c>
      <c r="M1083" t="s">
        <v>163</v>
      </c>
      <c r="N1083" t="s">
        <v>96</v>
      </c>
      <c r="O1083" s="27">
        <v>1258000</v>
      </c>
      <c r="P1083">
        <v>3</v>
      </c>
      <c r="Q1083" t="s">
        <v>172</v>
      </c>
      <c r="R1083">
        <v>30</v>
      </c>
      <c r="S1083" t="s">
        <v>224</v>
      </c>
      <c r="T1083" t="str">
        <f>IF(COUNTIF($A$2:A1083,A1083)&gt;1,"Duplicate","Unique")</f>
        <v>Unique</v>
      </c>
    </row>
    <row r="1084" spans="1:20" x14ac:dyDescent="0.45">
      <c r="A1084" t="s">
        <v>712</v>
      </c>
      <c r="B1084" t="s">
        <v>640</v>
      </c>
      <c r="C1084" t="s">
        <v>51</v>
      </c>
      <c r="D1084" t="s">
        <v>50</v>
      </c>
      <c r="E1084" t="s">
        <v>181</v>
      </c>
      <c r="F1084" t="s">
        <v>81</v>
      </c>
      <c r="G1084" t="s">
        <v>182</v>
      </c>
      <c r="H1084" t="s">
        <v>106</v>
      </c>
      <c r="I1084" t="s">
        <v>107</v>
      </c>
      <c r="J1084" t="s">
        <v>3324</v>
      </c>
      <c r="K1084" t="s">
        <v>162</v>
      </c>
      <c r="M1084" t="s">
        <v>163</v>
      </c>
      <c r="N1084" t="s">
        <v>95</v>
      </c>
      <c r="O1084" s="27">
        <v>730000</v>
      </c>
      <c r="P1084">
        <v>3</v>
      </c>
      <c r="Q1084" t="s">
        <v>172</v>
      </c>
      <c r="R1084">
        <v>43</v>
      </c>
      <c r="S1084" t="s">
        <v>178</v>
      </c>
      <c r="T1084" t="str">
        <f>IF(COUNTIF($A$2:A1084,A1084)&gt;1,"Duplicate","Unique")</f>
        <v>Unique</v>
      </c>
    </row>
    <row r="1085" spans="1:20" x14ac:dyDescent="0.45">
      <c r="A1085" t="s">
        <v>235</v>
      </c>
      <c r="B1085" t="s">
        <v>236</v>
      </c>
      <c r="C1085" t="s">
        <v>53</v>
      </c>
      <c r="D1085" t="s">
        <v>52</v>
      </c>
      <c r="E1085" t="s">
        <v>185</v>
      </c>
      <c r="F1085" t="s">
        <v>82</v>
      </c>
      <c r="G1085" t="s">
        <v>186</v>
      </c>
      <c r="H1085" t="s">
        <v>106</v>
      </c>
      <c r="I1085" t="s">
        <v>107</v>
      </c>
      <c r="J1085" t="s">
        <v>3568</v>
      </c>
      <c r="K1085" t="s">
        <v>162</v>
      </c>
      <c r="M1085" t="s">
        <v>163</v>
      </c>
      <c r="N1085" t="s">
        <v>97</v>
      </c>
      <c r="O1085" s="27">
        <v>1150000</v>
      </c>
      <c r="P1085">
        <v>3</v>
      </c>
      <c r="Q1085" t="s">
        <v>164</v>
      </c>
      <c r="R1085">
        <v>34</v>
      </c>
      <c r="S1085" t="s">
        <v>237</v>
      </c>
      <c r="T1085" t="str">
        <f>IF(COUNTIF($A$2:A1085,A1085)&gt;1,"Duplicate","Unique")</f>
        <v>Unique</v>
      </c>
    </row>
    <row r="1086" spans="1:20" x14ac:dyDescent="0.45">
      <c r="A1086" t="s">
        <v>1494</v>
      </c>
      <c r="B1086" t="s">
        <v>1495</v>
      </c>
      <c r="C1086" t="s">
        <v>51</v>
      </c>
      <c r="D1086" t="s">
        <v>50</v>
      </c>
      <c r="E1086" t="s">
        <v>181</v>
      </c>
      <c r="F1086" t="s">
        <v>81</v>
      </c>
      <c r="G1086" t="s">
        <v>182</v>
      </c>
      <c r="H1086" t="s">
        <v>109</v>
      </c>
      <c r="I1086" t="s">
        <v>110</v>
      </c>
      <c r="J1086" t="s">
        <v>3263</v>
      </c>
      <c r="K1086" t="s">
        <v>162</v>
      </c>
      <c r="M1086" t="s">
        <v>163</v>
      </c>
      <c r="N1086" t="s">
        <v>97</v>
      </c>
      <c r="O1086" s="27">
        <v>756000</v>
      </c>
      <c r="P1086">
        <v>3</v>
      </c>
      <c r="Q1086" t="s">
        <v>164</v>
      </c>
      <c r="R1086">
        <v>70</v>
      </c>
      <c r="S1086" t="s">
        <v>197</v>
      </c>
      <c r="T1086" t="str">
        <f>IF(COUNTIF($A$2:A1086,A1086)&gt;1,"Duplicate","Unique")</f>
        <v>Unique</v>
      </c>
    </row>
    <row r="1087" spans="1:20" x14ac:dyDescent="0.45">
      <c r="A1087" t="s">
        <v>643</v>
      </c>
      <c r="B1087" t="s">
        <v>554</v>
      </c>
      <c r="C1087" t="s">
        <v>51</v>
      </c>
      <c r="D1087" t="s">
        <v>50</v>
      </c>
      <c r="E1087" t="s">
        <v>181</v>
      </c>
      <c r="F1087" t="s">
        <v>81</v>
      </c>
      <c r="G1087" t="s">
        <v>182</v>
      </c>
      <c r="H1087" t="s">
        <v>109</v>
      </c>
      <c r="I1087" t="s">
        <v>110</v>
      </c>
      <c r="J1087" t="s">
        <v>3032</v>
      </c>
      <c r="K1087" t="s">
        <v>162</v>
      </c>
      <c r="M1087" t="s">
        <v>163</v>
      </c>
      <c r="N1087" t="s">
        <v>96</v>
      </c>
      <c r="O1087" s="27">
        <v>685000</v>
      </c>
      <c r="P1087">
        <v>2</v>
      </c>
      <c r="Q1087" t="s">
        <v>164</v>
      </c>
      <c r="R1087">
        <v>25</v>
      </c>
      <c r="S1087" t="s">
        <v>197</v>
      </c>
      <c r="T1087" t="str">
        <f>IF(COUNTIF($A$2:A1087,A1087)&gt;1,"Duplicate","Unique")</f>
        <v>Unique</v>
      </c>
    </row>
    <row r="1088" spans="1:20" x14ac:dyDescent="0.45">
      <c r="A1088" t="s">
        <v>461</v>
      </c>
      <c r="B1088" t="s">
        <v>462</v>
      </c>
      <c r="C1088" t="s">
        <v>57</v>
      </c>
      <c r="D1088" t="s">
        <v>56</v>
      </c>
      <c r="E1088" t="s">
        <v>160</v>
      </c>
      <c r="F1088" t="s">
        <v>81</v>
      </c>
      <c r="G1088" t="s">
        <v>161</v>
      </c>
      <c r="H1088" t="s">
        <v>108</v>
      </c>
      <c r="I1088" t="s">
        <v>107</v>
      </c>
      <c r="J1088" t="s">
        <v>3569</v>
      </c>
      <c r="K1088" t="s">
        <v>187</v>
      </c>
      <c r="L1088" t="s">
        <v>2752</v>
      </c>
      <c r="M1088" t="s">
        <v>282</v>
      </c>
      <c r="N1088" t="s">
        <v>99</v>
      </c>
      <c r="O1088" s="27">
        <v>819000</v>
      </c>
      <c r="P1088">
        <v>3</v>
      </c>
      <c r="Q1088" t="s">
        <v>164</v>
      </c>
      <c r="R1088">
        <v>18</v>
      </c>
      <c r="S1088" t="s">
        <v>224</v>
      </c>
      <c r="T1088" t="str">
        <f>IF(COUNTIF($A$2:A1088,A1088)&gt;1,"Duplicate","Unique")</f>
        <v>Unique</v>
      </c>
    </row>
    <row r="1089" spans="1:20" x14ac:dyDescent="0.45">
      <c r="A1089" t="s">
        <v>1834</v>
      </c>
      <c r="B1089" t="s">
        <v>1298</v>
      </c>
      <c r="C1089" t="s">
        <v>59</v>
      </c>
      <c r="D1089" t="s">
        <v>58</v>
      </c>
      <c r="E1089" t="s">
        <v>211</v>
      </c>
      <c r="F1089" t="s">
        <v>82</v>
      </c>
      <c r="G1089" t="s">
        <v>212</v>
      </c>
      <c r="H1089" t="s">
        <v>106</v>
      </c>
      <c r="I1089" t="s">
        <v>107</v>
      </c>
      <c r="J1089" t="s">
        <v>3181</v>
      </c>
      <c r="K1089" t="s">
        <v>162</v>
      </c>
      <c r="M1089" t="s">
        <v>163</v>
      </c>
      <c r="N1089" t="s">
        <v>95</v>
      </c>
      <c r="O1089" s="27">
        <v>951000</v>
      </c>
      <c r="P1089">
        <v>4</v>
      </c>
      <c r="Q1089" t="s">
        <v>164</v>
      </c>
      <c r="R1089">
        <v>37</v>
      </c>
      <c r="S1089" t="s">
        <v>208</v>
      </c>
      <c r="T1089" t="str">
        <f>IF(COUNTIF($A$2:A1089,A1089)&gt;1,"Duplicate","Unique")</f>
        <v>Unique</v>
      </c>
    </row>
    <row r="1090" spans="1:20" x14ac:dyDescent="0.45">
      <c r="A1090" t="s">
        <v>369</v>
      </c>
      <c r="B1090" t="s">
        <v>370</v>
      </c>
      <c r="C1090" t="s">
        <v>55</v>
      </c>
      <c r="D1090" t="s">
        <v>54</v>
      </c>
      <c r="E1090" t="s">
        <v>277</v>
      </c>
      <c r="F1090" t="s">
        <v>81</v>
      </c>
      <c r="G1090" t="s">
        <v>278</v>
      </c>
      <c r="H1090" t="s">
        <v>109</v>
      </c>
      <c r="I1090" t="s">
        <v>110</v>
      </c>
      <c r="J1090" t="s">
        <v>3570</v>
      </c>
      <c r="K1090" t="s">
        <v>187</v>
      </c>
      <c r="L1090" t="s">
        <v>3571</v>
      </c>
      <c r="M1090" t="s">
        <v>213</v>
      </c>
      <c r="N1090" t="s">
        <v>95</v>
      </c>
      <c r="O1090" s="27">
        <v>649000</v>
      </c>
      <c r="P1090">
        <v>3</v>
      </c>
      <c r="Q1090" t="s">
        <v>164</v>
      </c>
      <c r="S1090" t="s">
        <v>274</v>
      </c>
      <c r="T1090" t="str">
        <f>IF(COUNTIF($A$2:A1090,A1090)&gt;1,"Duplicate","Unique")</f>
        <v>Unique</v>
      </c>
    </row>
    <row r="1091" spans="1:20" x14ac:dyDescent="0.45">
      <c r="A1091" t="s">
        <v>2200</v>
      </c>
      <c r="B1091" t="s">
        <v>834</v>
      </c>
      <c r="C1091" t="s">
        <v>55</v>
      </c>
      <c r="D1091" t="s">
        <v>54</v>
      </c>
      <c r="E1091" t="s">
        <v>168</v>
      </c>
      <c r="F1091" t="s">
        <v>84</v>
      </c>
      <c r="G1091" t="s">
        <v>169</v>
      </c>
      <c r="H1091" t="s">
        <v>109</v>
      </c>
      <c r="I1091" t="s">
        <v>110</v>
      </c>
      <c r="J1091" t="s">
        <v>3572</v>
      </c>
      <c r="K1091" t="s">
        <v>162</v>
      </c>
      <c r="M1091" t="s">
        <v>163</v>
      </c>
      <c r="N1091" t="s">
        <v>96</v>
      </c>
      <c r="O1091" s="27">
        <v>3201000</v>
      </c>
      <c r="P1091">
        <v>1</v>
      </c>
      <c r="Q1091" t="s">
        <v>172</v>
      </c>
      <c r="R1091">
        <v>7</v>
      </c>
      <c r="S1091" t="s">
        <v>274</v>
      </c>
      <c r="T1091" t="str">
        <f>IF(COUNTIF($A$2:A1091,A1091)&gt;1,"Duplicate","Unique")</f>
        <v>Unique</v>
      </c>
    </row>
    <row r="1092" spans="1:20" x14ac:dyDescent="0.45">
      <c r="A1092" t="s">
        <v>2113</v>
      </c>
      <c r="B1092" t="s">
        <v>986</v>
      </c>
      <c r="C1092" t="s">
        <v>55</v>
      </c>
      <c r="D1092" t="s">
        <v>54</v>
      </c>
      <c r="E1092" t="s">
        <v>229</v>
      </c>
      <c r="F1092" t="s">
        <v>82</v>
      </c>
      <c r="G1092" t="s">
        <v>230</v>
      </c>
      <c r="H1092" t="s">
        <v>111</v>
      </c>
      <c r="I1092" t="s">
        <v>110</v>
      </c>
      <c r="J1092" t="s">
        <v>3573</v>
      </c>
      <c r="K1092" t="s">
        <v>162</v>
      </c>
      <c r="M1092" t="s">
        <v>163</v>
      </c>
      <c r="N1092" t="s">
        <v>99</v>
      </c>
      <c r="O1092" s="27">
        <v>1251000</v>
      </c>
      <c r="P1092">
        <v>3</v>
      </c>
      <c r="Q1092" t="s">
        <v>164</v>
      </c>
      <c r="R1092">
        <v>42</v>
      </c>
      <c r="S1092" t="s">
        <v>274</v>
      </c>
      <c r="T1092" t="str">
        <f>IF(COUNTIF($A$2:A1092,A1092)&gt;1,"Duplicate","Unique")</f>
        <v>Unique</v>
      </c>
    </row>
    <row r="1093" spans="1:20" x14ac:dyDescent="0.45">
      <c r="A1093" t="s">
        <v>1272</v>
      </c>
      <c r="B1093" t="s">
        <v>610</v>
      </c>
      <c r="C1093" t="s">
        <v>51</v>
      </c>
      <c r="D1093" t="s">
        <v>2643</v>
      </c>
      <c r="E1093" t="s">
        <v>217</v>
      </c>
      <c r="F1093" t="s">
        <v>83</v>
      </c>
      <c r="G1093" t="s">
        <v>218</v>
      </c>
      <c r="H1093" t="s">
        <v>106</v>
      </c>
      <c r="I1093" t="s">
        <v>107</v>
      </c>
      <c r="J1093" t="s">
        <v>3236</v>
      </c>
      <c r="K1093" t="s">
        <v>187</v>
      </c>
      <c r="L1093" t="s">
        <v>2577</v>
      </c>
      <c r="M1093" t="s">
        <v>269</v>
      </c>
      <c r="N1093" t="s">
        <v>95</v>
      </c>
      <c r="O1093" s="27">
        <v>1822000</v>
      </c>
      <c r="P1093">
        <v>3</v>
      </c>
      <c r="Q1093" t="s">
        <v>2467</v>
      </c>
      <c r="R1093">
        <v>27</v>
      </c>
      <c r="S1093" t="s">
        <v>244</v>
      </c>
      <c r="T1093" t="str">
        <f>IF(COUNTIF($A$2:A1093,A1093)&gt;1,"Duplicate","Unique")</f>
        <v>Unique</v>
      </c>
    </row>
    <row r="1094" spans="1:20" x14ac:dyDescent="0.45">
      <c r="A1094" t="s">
        <v>1467</v>
      </c>
      <c r="B1094" t="s">
        <v>226</v>
      </c>
      <c r="C1094" t="s">
        <v>53</v>
      </c>
      <c r="D1094" t="s">
        <v>52</v>
      </c>
      <c r="E1094" t="s">
        <v>322</v>
      </c>
      <c r="F1094" t="s">
        <v>81</v>
      </c>
      <c r="G1094" t="s">
        <v>323</v>
      </c>
      <c r="H1094" t="s">
        <v>106</v>
      </c>
      <c r="I1094" t="s">
        <v>107</v>
      </c>
      <c r="J1094" t="s">
        <v>3574</v>
      </c>
      <c r="K1094" t="s">
        <v>162</v>
      </c>
      <c r="M1094" t="s">
        <v>163</v>
      </c>
      <c r="N1094" t="s">
        <v>95</v>
      </c>
      <c r="O1094" s="27">
        <v>715000</v>
      </c>
      <c r="P1094">
        <v>4</v>
      </c>
      <c r="Q1094" t="s">
        <v>172</v>
      </c>
      <c r="R1094">
        <v>4</v>
      </c>
      <c r="S1094" t="s">
        <v>194</v>
      </c>
      <c r="T1094" t="str">
        <f>IF(COUNTIF($A$2:A1094,A1094)&gt;1,"Duplicate","Unique")</f>
        <v>Unique</v>
      </c>
    </row>
    <row r="1095" spans="1:20" x14ac:dyDescent="0.45">
      <c r="A1095" t="s">
        <v>2134</v>
      </c>
      <c r="B1095" t="s">
        <v>1335</v>
      </c>
      <c r="C1095" t="s">
        <v>53</v>
      </c>
      <c r="D1095" t="s">
        <v>52</v>
      </c>
      <c r="E1095" t="s">
        <v>322</v>
      </c>
      <c r="F1095" t="s">
        <v>81</v>
      </c>
      <c r="G1095" t="s">
        <v>323</v>
      </c>
      <c r="H1095" t="s">
        <v>106</v>
      </c>
      <c r="I1095" t="s">
        <v>107</v>
      </c>
      <c r="J1095" t="s">
        <v>3359</v>
      </c>
      <c r="K1095" t="s">
        <v>162</v>
      </c>
      <c r="M1095" t="s">
        <v>163</v>
      </c>
      <c r="N1095" t="s">
        <v>96</v>
      </c>
      <c r="O1095" s="27">
        <v>643000</v>
      </c>
      <c r="P1095">
        <v>3</v>
      </c>
      <c r="Q1095" t="s">
        <v>164</v>
      </c>
      <c r="R1095">
        <v>40</v>
      </c>
      <c r="S1095" t="s">
        <v>237</v>
      </c>
      <c r="T1095" t="str">
        <f>IF(COUNTIF($A$2:A1095,A1095)&gt;1,"Duplicate","Unique")</f>
        <v>Unique</v>
      </c>
    </row>
    <row r="1096" spans="1:20" x14ac:dyDescent="0.45">
      <c r="A1096" t="s">
        <v>549</v>
      </c>
      <c r="B1096" t="s">
        <v>550</v>
      </c>
      <c r="C1096" t="s">
        <v>55</v>
      </c>
      <c r="D1096" t="s">
        <v>54</v>
      </c>
      <c r="E1096" t="s">
        <v>240</v>
      </c>
      <c r="F1096" t="s">
        <v>83</v>
      </c>
      <c r="G1096" t="s">
        <v>241</v>
      </c>
      <c r="H1096" t="s">
        <v>108</v>
      </c>
      <c r="I1096" t="s">
        <v>107</v>
      </c>
      <c r="J1096" t="s">
        <v>3575</v>
      </c>
      <c r="K1096" t="s">
        <v>162</v>
      </c>
      <c r="M1096" t="s">
        <v>163</v>
      </c>
      <c r="N1096" t="s">
        <v>97</v>
      </c>
      <c r="O1096" s="27">
        <v>1782000</v>
      </c>
      <c r="P1096">
        <v>3</v>
      </c>
      <c r="Q1096" t="s">
        <v>172</v>
      </c>
      <c r="R1096">
        <v>42</v>
      </c>
      <c r="S1096" t="s">
        <v>262</v>
      </c>
      <c r="T1096" t="str">
        <f>IF(COUNTIF($A$2:A1096,A1096)&gt;1,"Duplicate","Unique")</f>
        <v>Unique</v>
      </c>
    </row>
    <row r="1097" spans="1:20" x14ac:dyDescent="0.45">
      <c r="A1097" t="s">
        <v>1807</v>
      </c>
      <c r="B1097" t="s">
        <v>1808</v>
      </c>
      <c r="C1097" t="s">
        <v>55</v>
      </c>
      <c r="D1097" t="s">
        <v>54</v>
      </c>
      <c r="E1097" t="s">
        <v>229</v>
      </c>
      <c r="F1097" t="s">
        <v>82</v>
      </c>
      <c r="G1097" t="s">
        <v>230</v>
      </c>
      <c r="H1097" t="s">
        <v>106</v>
      </c>
      <c r="I1097" t="s">
        <v>107</v>
      </c>
      <c r="J1097" t="s">
        <v>3576</v>
      </c>
      <c r="K1097" t="s">
        <v>162</v>
      </c>
      <c r="M1097" t="s">
        <v>163</v>
      </c>
      <c r="N1097" t="s">
        <v>96</v>
      </c>
      <c r="O1097" s="27">
        <v>934000</v>
      </c>
      <c r="P1097">
        <v>3</v>
      </c>
      <c r="Q1097" t="s">
        <v>172</v>
      </c>
      <c r="R1097">
        <v>41</v>
      </c>
      <c r="S1097" t="s">
        <v>173</v>
      </c>
      <c r="T1097" t="str">
        <f>IF(COUNTIF($A$2:A1097,A1097)&gt;1,"Duplicate","Unique")</f>
        <v>Unique</v>
      </c>
    </row>
    <row r="1098" spans="1:20" x14ac:dyDescent="0.45">
      <c r="A1098" t="s">
        <v>693</v>
      </c>
      <c r="B1098" t="s">
        <v>694</v>
      </c>
      <c r="C1098" t="s">
        <v>59</v>
      </c>
      <c r="D1098" t="s">
        <v>58</v>
      </c>
      <c r="E1098" t="s">
        <v>206</v>
      </c>
      <c r="F1098" t="s">
        <v>81</v>
      </c>
      <c r="G1098" t="s">
        <v>207</v>
      </c>
      <c r="H1098" t="s">
        <v>106</v>
      </c>
      <c r="I1098" t="s">
        <v>107</v>
      </c>
      <c r="J1098" t="s">
        <v>3577</v>
      </c>
      <c r="K1098" t="s">
        <v>162</v>
      </c>
      <c r="M1098" t="s">
        <v>163</v>
      </c>
      <c r="N1098" t="s">
        <v>97</v>
      </c>
      <c r="O1098" s="27">
        <v>695000</v>
      </c>
      <c r="P1098">
        <v>3</v>
      </c>
      <c r="Q1098" t="s">
        <v>164</v>
      </c>
      <c r="R1098">
        <v>39</v>
      </c>
      <c r="S1098" t="s">
        <v>214</v>
      </c>
      <c r="T1098" t="str">
        <f>IF(COUNTIF($A$2:A1098,A1098)&gt;1,"Duplicate","Unique")</f>
        <v>Unique</v>
      </c>
    </row>
    <row r="1099" spans="1:20" x14ac:dyDescent="0.45">
      <c r="A1099" t="s">
        <v>1306</v>
      </c>
      <c r="B1099" t="s">
        <v>1307</v>
      </c>
      <c r="C1099" t="s">
        <v>53</v>
      </c>
      <c r="D1099" t="s">
        <v>52</v>
      </c>
      <c r="E1099" t="s">
        <v>322</v>
      </c>
      <c r="F1099" t="s">
        <v>81</v>
      </c>
      <c r="G1099" t="s">
        <v>323</v>
      </c>
      <c r="H1099" t="s">
        <v>106</v>
      </c>
      <c r="I1099" t="s">
        <v>107</v>
      </c>
      <c r="J1099" t="s">
        <v>3578</v>
      </c>
      <c r="K1099" t="s">
        <v>187</v>
      </c>
      <c r="L1099" t="s">
        <v>3579</v>
      </c>
      <c r="M1099" t="s">
        <v>308</v>
      </c>
      <c r="N1099" t="s">
        <v>95</v>
      </c>
      <c r="O1099" s="27">
        <v>768000</v>
      </c>
      <c r="P1099">
        <v>3</v>
      </c>
      <c r="Q1099" t="s">
        <v>172</v>
      </c>
      <c r="R1099">
        <v>4</v>
      </c>
      <c r="S1099" t="s">
        <v>189</v>
      </c>
      <c r="T1099" t="str">
        <f>IF(COUNTIF($A$2:A1099,A1099)&gt;1,"Duplicate","Unique")</f>
        <v>Unique</v>
      </c>
    </row>
    <row r="1100" spans="1:20" x14ac:dyDescent="0.45">
      <c r="A1100" t="s">
        <v>1804</v>
      </c>
      <c r="B1100" t="s">
        <v>1805</v>
      </c>
      <c r="C1100" t="s">
        <v>59</v>
      </c>
      <c r="D1100" t="s">
        <v>58</v>
      </c>
      <c r="E1100" t="s">
        <v>287</v>
      </c>
      <c r="F1100" t="s">
        <v>83</v>
      </c>
      <c r="G1100" t="s">
        <v>288</v>
      </c>
      <c r="H1100" t="s">
        <v>108</v>
      </c>
      <c r="I1100" t="s">
        <v>107</v>
      </c>
      <c r="J1100" t="s">
        <v>3478</v>
      </c>
      <c r="K1100" t="s">
        <v>162</v>
      </c>
      <c r="M1100" t="s">
        <v>163</v>
      </c>
      <c r="N1100" t="s">
        <v>97</v>
      </c>
      <c r="O1100" s="27">
        <v>1702000</v>
      </c>
      <c r="P1100">
        <v>3</v>
      </c>
      <c r="Q1100" t="s">
        <v>172</v>
      </c>
      <c r="R1100">
        <v>27</v>
      </c>
      <c r="S1100" t="s">
        <v>214</v>
      </c>
      <c r="T1100" t="str">
        <f>IF(COUNTIF($A$2:A1100,A1100)&gt;1,"Duplicate","Unique")</f>
        <v>Unique</v>
      </c>
    </row>
    <row r="1101" spans="1:20" x14ac:dyDescent="0.45">
      <c r="A1101" t="s">
        <v>1291</v>
      </c>
      <c r="B1101" t="s">
        <v>921</v>
      </c>
      <c r="C1101" t="s">
        <v>61</v>
      </c>
      <c r="D1101" t="s">
        <v>60</v>
      </c>
      <c r="E1101" t="s">
        <v>356</v>
      </c>
      <c r="F1101" t="s">
        <v>81</v>
      </c>
      <c r="G1101" t="s">
        <v>357</v>
      </c>
      <c r="H1101" t="s">
        <v>111</v>
      </c>
      <c r="I1101" t="s">
        <v>110</v>
      </c>
      <c r="J1101" t="s">
        <v>3371</v>
      </c>
      <c r="K1101" t="s">
        <v>162</v>
      </c>
      <c r="M1101" t="s">
        <v>163</v>
      </c>
      <c r="N1101" t="s">
        <v>96</v>
      </c>
      <c r="O1101" s="27">
        <v>697000</v>
      </c>
      <c r="P1101">
        <v>4</v>
      </c>
      <c r="Q1101" t="s">
        <v>164</v>
      </c>
      <c r="R1101">
        <v>34</v>
      </c>
      <c r="S1101" t="s">
        <v>319</v>
      </c>
      <c r="T1101" t="str">
        <f>IF(COUNTIF($A$2:A1101,A1101)&gt;1,"Duplicate","Unique")</f>
        <v>Unique</v>
      </c>
    </row>
    <row r="1102" spans="1:20" x14ac:dyDescent="0.45">
      <c r="A1102" t="s">
        <v>1234</v>
      </c>
      <c r="B1102" t="s">
        <v>3580</v>
      </c>
      <c r="C1102" t="s">
        <v>55</v>
      </c>
      <c r="D1102" t="s">
        <v>54</v>
      </c>
      <c r="E1102" t="s">
        <v>240</v>
      </c>
      <c r="F1102" t="s">
        <v>83</v>
      </c>
      <c r="G1102" t="s">
        <v>241</v>
      </c>
      <c r="H1102" t="s">
        <v>108</v>
      </c>
      <c r="I1102" t="s">
        <v>107</v>
      </c>
      <c r="J1102" t="s">
        <v>2982</v>
      </c>
      <c r="K1102" t="s">
        <v>187</v>
      </c>
      <c r="L1102" t="s">
        <v>2445</v>
      </c>
      <c r="M1102" t="s">
        <v>269</v>
      </c>
      <c r="N1102" t="s">
        <v>98</v>
      </c>
      <c r="O1102" s="27">
        <v>1791000</v>
      </c>
      <c r="P1102">
        <v>5</v>
      </c>
      <c r="Q1102" t="s">
        <v>164</v>
      </c>
      <c r="R1102">
        <v>4</v>
      </c>
      <c r="S1102" t="s">
        <v>173</v>
      </c>
      <c r="T1102" t="str">
        <f>IF(COUNTIF($A$2:A1102,A1102)&gt;1,"Duplicate","Unique")</f>
        <v>Unique</v>
      </c>
    </row>
    <row r="1103" spans="1:20" x14ac:dyDescent="0.45">
      <c r="A1103" t="s">
        <v>2175</v>
      </c>
      <c r="B1103" t="s">
        <v>1906</v>
      </c>
      <c r="C1103" t="s">
        <v>61</v>
      </c>
      <c r="D1103" t="s">
        <v>60</v>
      </c>
      <c r="E1103" t="s">
        <v>251</v>
      </c>
      <c r="F1103" t="s">
        <v>82</v>
      </c>
      <c r="G1103" t="s">
        <v>252</v>
      </c>
      <c r="H1103" t="s">
        <v>106</v>
      </c>
      <c r="I1103" t="s">
        <v>107</v>
      </c>
      <c r="J1103" t="s">
        <v>3581</v>
      </c>
      <c r="K1103" t="s">
        <v>162</v>
      </c>
      <c r="M1103" t="s">
        <v>163</v>
      </c>
      <c r="N1103" t="s">
        <v>99</v>
      </c>
      <c r="O1103" s="27">
        <v>978000</v>
      </c>
      <c r="P1103">
        <v>4</v>
      </c>
      <c r="Q1103" t="s">
        <v>164</v>
      </c>
      <c r="R1103">
        <v>22</v>
      </c>
      <c r="S1103" t="s">
        <v>319</v>
      </c>
      <c r="T1103" t="str">
        <f>IF(COUNTIF($A$2:A1103,A1103)&gt;1,"Duplicate","Unique")</f>
        <v>Unique</v>
      </c>
    </row>
    <row r="1104" spans="1:20" x14ac:dyDescent="0.45">
      <c r="A1104" t="s">
        <v>2061</v>
      </c>
      <c r="B1104" t="s">
        <v>1851</v>
      </c>
      <c r="C1104" t="s">
        <v>61</v>
      </c>
      <c r="D1104" t="s">
        <v>60</v>
      </c>
      <c r="E1104" t="s">
        <v>356</v>
      </c>
      <c r="F1104" t="s">
        <v>81</v>
      </c>
      <c r="G1104" t="s">
        <v>357</v>
      </c>
      <c r="H1104" t="s">
        <v>108</v>
      </c>
      <c r="I1104" t="s">
        <v>107</v>
      </c>
      <c r="J1104" t="s">
        <v>3582</v>
      </c>
      <c r="K1104" t="s">
        <v>162</v>
      </c>
      <c r="M1104" t="s">
        <v>163</v>
      </c>
      <c r="N1104" t="s">
        <v>95</v>
      </c>
      <c r="O1104" s="27">
        <v>567000</v>
      </c>
      <c r="P1104">
        <v>2</v>
      </c>
      <c r="Q1104" t="s">
        <v>164</v>
      </c>
      <c r="R1104">
        <v>23</v>
      </c>
      <c r="S1104" t="s">
        <v>253</v>
      </c>
      <c r="T1104" t="str">
        <f>IF(COUNTIF($A$2:A1104,A1104)&gt;1,"Duplicate","Unique")</f>
        <v>Unique</v>
      </c>
    </row>
    <row r="1105" spans="1:20" x14ac:dyDescent="0.45">
      <c r="A1105" t="s">
        <v>324</v>
      </c>
      <c r="B1105" t="s">
        <v>325</v>
      </c>
      <c r="C1105" t="s">
        <v>51</v>
      </c>
      <c r="D1105" t="s">
        <v>2643</v>
      </c>
      <c r="E1105" t="s">
        <v>181</v>
      </c>
      <c r="F1105" t="s">
        <v>81</v>
      </c>
      <c r="G1105" t="s">
        <v>182</v>
      </c>
      <c r="H1105" t="s">
        <v>106</v>
      </c>
      <c r="I1105" t="s">
        <v>107</v>
      </c>
      <c r="J1105" t="s">
        <v>3583</v>
      </c>
      <c r="K1105" t="s">
        <v>162</v>
      </c>
      <c r="M1105" t="s">
        <v>163</v>
      </c>
      <c r="N1105" t="s">
        <v>95</v>
      </c>
      <c r="O1105" s="27">
        <v>658000</v>
      </c>
      <c r="P1105">
        <v>2</v>
      </c>
      <c r="Q1105" t="s">
        <v>164</v>
      </c>
      <c r="R1105">
        <v>35</v>
      </c>
      <c r="S1105" t="s">
        <v>219</v>
      </c>
      <c r="T1105" t="str">
        <f>IF(COUNTIF($A$2:A1105,A1105)&gt;1,"Duplicate","Unique")</f>
        <v>Unique</v>
      </c>
    </row>
    <row r="1106" spans="1:20" x14ac:dyDescent="0.45">
      <c r="A1106" t="s">
        <v>1695</v>
      </c>
      <c r="B1106" t="s">
        <v>1696</v>
      </c>
      <c r="C1106" t="s">
        <v>61</v>
      </c>
      <c r="D1106" t="s">
        <v>60</v>
      </c>
      <c r="E1106" t="s">
        <v>356</v>
      </c>
      <c r="F1106" t="s">
        <v>81</v>
      </c>
      <c r="G1106" t="s">
        <v>357</v>
      </c>
      <c r="H1106" t="s">
        <v>106</v>
      </c>
      <c r="I1106" t="s">
        <v>107</v>
      </c>
      <c r="J1106" t="s">
        <v>3584</v>
      </c>
      <c r="K1106" t="s">
        <v>162</v>
      </c>
      <c r="M1106" t="s">
        <v>163</v>
      </c>
      <c r="N1106" t="s">
        <v>99</v>
      </c>
      <c r="O1106" s="27">
        <v>594000</v>
      </c>
      <c r="P1106">
        <v>4</v>
      </c>
      <c r="Q1106" t="s">
        <v>2516</v>
      </c>
      <c r="R1106">
        <v>53</v>
      </c>
      <c r="S1106" t="s">
        <v>253</v>
      </c>
      <c r="T1106" t="str">
        <f>IF(COUNTIF($A$2:A1106,A1106)&gt;1,"Duplicate","Unique")</f>
        <v>Unique</v>
      </c>
    </row>
    <row r="1107" spans="1:20" x14ac:dyDescent="0.45">
      <c r="A1107" t="s">
        <v>1025</v>
      </c>
      <c r="B1107" t="s">
        <v>378</v>
      </c>
      <c r="C1107" t="s">
        <v>55</v>
      </c>
      <c r="D1107" t="s">
        <v>54</v>
      </c>
      <c r="E1107" t="s">
        <v>277</v>
      </c>
      <c r="F1107" t="s">
        <v>81</v>
      </c>
      <c r="G1107" t="s">
        <v>278</v>
      </c>
      <c r="H1107" t="s">
        <v>106</v>
      </c>
      <c r="I1107" t="s">
        <v>107</v>
      </c>
      <c r="J1107" t="s">
        <v>2657</v>
      </c>
      <c r="K1107" t="s">
        <v>187</v>
      </c>
      <c r="L1107" t="s">
        <v>2919</v>
      </c>
      <c r="M1107" t="s">
        <v>282</v>
      </c>
      <c r="N1107" t="s">
        <v>99</v>
      </c>
      <c r="O1107" s="27">
        <v>763000</v>
      </c>
      <c r="P1107">
        <v>4</v>
      </c>
      <c r="Q1107" t="s">
        <v>172</v>
      </c>
      <c r="R1107">
        <v>32</v>
      </c>
      <c r="S1107" t="s">
        <v>262</v>
      </c>
      <c r="T1107" t="str">
        <f>IF(COUNTIF($A$2:A1107,A1107)&gt;1,"Duplicate","Unique")</f>
        <v>Unique</v>
      </c>
    </row>
    <row r="1108" spans="1:20" x14ac:dyDescent="0.45">
      <c r="A1108" t="s">
        <v>1074</v>
      </c>
      <c r="B1108" t="s">
        <v>250</v>
      </c>
      <c r="C1108" t="s">
        <v>53</v>
      </c>
      <c r="D1108" t="s">
        <v>52</v>
      </c>
      <c r="E1108" t="s">
        <v>322</v>
      </c>
      <c r="F1108" t="s">
        <v>81</v>
      </c>
      <c r="G1108" t="s">
        <v>323</v>
      </c>
      <c r="H1108" t="s">
        <v>106</v>
      </c>
      <c r="I1108" t="s">
        <v>107</v>
      </c>
      <c r="J1108" t="s">
        <v>2833</v>
      </c>
      <c r="K1108" t="s">
        <v>187</v>
      </c>
      <c r="L1108" t="s">
        <v>3044</v>
      </c>
      <c r="M1108" t="s">
        <v>308</v>
      </c>
      <c r="N1108" t="s">
        <v>95</v>
      </c>
      <c r="O1108" s="27">
        <v>758000</v>
      </c>
      <c r="P1108">
        <v>3</v>
      </c>
      <c r="Q1108" t="s">
        <v>172</v>
      </c>
      <c r="R1108">
        <v>41</v>
      </c>
      <c r="S1108" t="s">
        <v>189</v>
      </c>
      <c r="T1108" t="str">
        <f>IF(COUNTIF($A$2:A1108,A1108)&gt;1,"Duplicate","Unique")</f>
        <v>Unique</v>
      </c>
    </row>
    <row r="1109" spans="1:20" x14ac:dyDescent="0.45">
      <c r="A1109" t="s">
        <v>1764</v>
      </c>
      <c r="B1109" t="s">
        <v>612</v>
      </c>
      <c r="C1109" t="s">
        <v>51</v>
      </c>
      <c r="D1109" t="s">
        <v>50</v>
      </c>
      <c r="E1109" t="s">
        <v>176</v>
      </c>
      <c r="F1109" t="s">
        <v>82</v>
      </c>
      <c r="G1109" t="s">
        <v>177</v>
      </c>
      <c r="H1109" t="s">
        <v>112</v>
      </c>
      <c r="I1109" t="s">
        <v>113</v>
      </c>
      <c r="J1109" t="s">
        <v>2785</v>
      </c>
      <c r="K1109" t="s">
        <v>162</v>
      </c>
      <c r="M1109" t="s">
        <v>163</v>
      </c>
      <c r="N1109" t="s">
        <v>99</v>
      </c>
      <c r="O1109" s="27">
        <v>1168000</v>
      </c>
      <c r="P1109">
        <v>2</v>
      </c>
      <c r="Q1109" t="s">
        <v>172</v>
      </c>
      <c r="R1109">
        <v>10</v>
      </c>
      <c r="S1109" t="s">
        <v>244</v>
      </c>
      <c r="T1109" t="str">
        <f>IF(COUNTIF($A$2:A1109,A1109)&gt;1,"Duplicate","Unique")</f>
        <v>Unique</v>
      </c>
    </row>
    <row r="1110" spans="1:20" x14ac:dyDescent="0.45">
      <c r="A1110" t="s">
        <v>2075</v>
      </c>
      <c r="B1110" t="s">
        <v>599</v>
      </c>
      <c r="C1110" t="s">
        <v>55</v>
      </c>
      <c r="D1110" t="s">
        <v>54</v>
      </c>
      <c r="E1110" t="s">
        <v>277</v>
      </c>
      <c r="F1110" t="s">
        <v>81</v>
      </c>
      <c r="G1110" t="s">
        <v>278</v>
      </c>
      <c r="H1110" t="s">
        <v>112</v>
      </c>
      <c r="I1110" t="s">
        <v>113</v>
      </c>
      <c r="J1110" t="s">
        <v>2860</v>
      </c>
      <c r="K1110" t="s">
        <v>162</v>
      </c>
      <c r="M1110" t="s">
        <v>163</v>
      </c>
      <c r="N1110" t="s">
        <v>98</v>
      </c>
      <c r="O1110" s="27">
        <v>669000</v>
      </c>
      <c r="P1110">
        <v>4</v>
      </c>
      <c r="Q1110" t="s">
        <v>164</v>
      </c>
      <c r="R1110">
        <v>21</v>
      </c>
      <c r="S1110" t="s">
        <v>173</v>
      </c>
      <c r="T1110" t="str">
        <f>IF(COUNTIF($A$2:A1110,A1110)&gt;1,"Duplicate","Unique")</f>
        <v>Unique</v>
      </c>
    </row>
    <row r="1111" spans="1:20" x14ac:dyDescent="0.45">
      <c r="A1111" t="s">
        <v>1435</v>
      </c>
      <c r="B1111" t="s">
        <v>681</v>
      </c>
      <c r="C1111" t="s">
        <v>61</v>
      </c>
      <c r="D1111" t="s">
        <v>60</v>
      </c>
      <c r="E1111" t="s">
        <v>317</v>
      </c>
      <c r="F1111" t="s">
        <v>84</v>
      </c>
      <c r="G1111" t="s">
        <v>318</v>
      </c>
      <c r="H1111" t="s">
        <v>108</v>
      </c>
      <c r="I1111" t="s">
        <v>107</v>
      </c>
      <c r="J1111" t="s">
        <v>3585</v>
      </c>
      <c r="K1111" t="s">
        <v>162</v>
      </c>
      <c r="M1111" t="s">
        <v>163</v>
      </c>
      <c r="N1111" t="s">
        <v>96</v>
      </c>
      <c r="O1111" s="27">
        <v>2643000</v>
      </c>
      <c r="P1111">
        <v>3</v>
      </c>
      <c r="Q1111" t="s">
        <v>164</v>
      </c>
      <c r="R1111">
        <v>62</v>
      </c>
      <c r="S1111" t="s">
        <v>319</v>
      </c>
      <c r="T1111" t="str">
        <f>IF(COUNTIF($A$2:A1111,A1111)&gt;1,"Duplicate","Unique")</f>
        <v>Unique</v>
      </c>
    </row>
    <row r="1112" spans="1:20" x14ac:dyDescent="0.45">
      <c r="A1112" t="s">
        <v>1474</v>
      </c>
      <c r="B1112" t="s">
        <v>940</v>
      </c>
      <c r="C1112" t="s">
        <v>53</v>
      </c>
      <c r="D1112" t="s">
        <v>52</v>
      </c>
      <c r="E1112" t="s">
        <v>322</v>
      </c>
      <c r="F1112" t="s">
        <v>81</v>
      </c>
      <c r="G1112" t="s">
        <v>323</v>
      </c>
      <c r="H1112" t="s">
        <v>106</v>
      </c>
      <c r="I1112" t="s">
        <v>107</v>
      </c>
      <c r="J1112" t="s">
        <v>2825</v>
      </c>
      <c r="K1112" t="s">
        <v>187</v>
      </c>
      <c r="L1112" t="s">
        <v>2897</v>
      </c>
      <c r="M1112" t="s">
        <v>282</v>
      </c>
      <c r="N1112" t="s">
        <v>99</v>
      </c>
      <c r="O1112" s="27">
        <v>590000</v>
      </c>
      <c r="P1112">
        <v>3</v>
      </c>
      <c r="Q1112" t="s">
        <v>172</v>
      </c>
      <c r="R1112">
        <v>40</v>
      </c>
      <c r="S1112" t="s">
        <v>194</v>
      </c>
      <c r="T1112" t="str">
        <f>IF(COUNTIF($A$2:A1112,A1112)&gt;1,"Duplicate","Unique")</f>
        <v>Unique</v>
      </c>
    </row>
    <row r="1113" spans="1:20" x14ac:dyDescent="0.45">
      <c r="A1113" t="s">
        <v>1468</v>
      </c>
      <c r="B1113" t="s">
        <v>1469</v>
      </c>
      <c r="C1113" t="s">
        <v>53</v>
      </c>
      <c r="D1113" t="s">
        <v>52</v>
      </c>
      <c r="E1113" t="s">
        <v>322</v>
      </c>
      <c r="F1113" t="s">
        <v>81</v>
      </c>
      <c r="G1113" t="s">
        <v>323</v>
      </c>
      <c r="H1113" t="s">
        <v>106</v>
      </c>
      <c r="I1113" t="s">
        <v>107</v>
      </c>
      <c r="J1113" t="s">
        <v>3586</v>
      </c>
      <c r="K1113" t="s">
        <v>162</v>
      </c>
      <c r="M1113" t="s">
        <v>163</v>
      </c>
      <c r="N1113" t="s">
        <v>98</v>
      </c>
      <c r="O1113" s="27">
        <v>605000</v>
      </c>
      <c r="P1113">
        <v>4</v>
      </c>
      <c r="Q1113" t="s">
        <v>172</v>
      </c>
      <c r="R1113">
        <v>35</v>
      </c>
      <c r="S1113" t="s">
        <v>194</v>
      </c>
      <c r="T1113" t="str">
        <f>IF(COUNTIF($A$2:A1113,A1113)&gt;1,"Duplicate","Unique")</f>
        <v>Unique</v>
      </c>
    </row>
    <row r="1114" spans="1:20" x14ac:dyDescent="0.45">
      <c r="A1114" t="s">
        <v>383</v>
      </c>
      <c r="B1114" t="s">
        <v>384</v>
      </c>
      <c r="C1114" t="s">
        <v>51</v>
      </c>
      <c r="D1114" t="s">
        <v>2464</v>
      </c>
      <c r="E1114" t="s">
        <v>176</v>
      </c>
      <c r="F1114" t="s">
        <v>82</v>
      </c>
      <c r="G1114" t="s">
        <v>177</v>
      </c>
      <c r="H1114" t="s">
        <v>106</v>
      </c>
      <c r="I1114" t="s">
        <v>107</v>
      </c>
      <c r="J1114" t="s">
        <v>3024</v>
      </c>
      <c r="K1114" t="s">
        <v>170</v>
      </c>
      <c r="L1114" t="s">
        <v>3587</v>
      </c>
      <c r="M1114" t="s">
        <v>171</v>
      </c>
      <c r="N1114" t="s">
        <v>99</v>
      </c>
      <c r="O1114" s="27">
        <v>1168000</v>
      </c>
      <c r="P1114">
        <v>2</v>
      </c>
      <c r="Q1114" t="s">
        <v>172</v>
      </c>
      <c r="R1114">
        <v>13</v>
      </c>
      <c r="S1114" t="s">
        <v>244</v>
      </c>
      <c r="T1114" t="str">
        <f>IF(COUNTIF($A$2:A1114,A1114)&gt;1,"Duplicate","Unique")</f>
        <v>Unique</v>
      </c>
    </row>
    <row r="1115" spans="1:20" x14ac:dyDescent="0.45">
      <c r="A1115" t="s">
        <v>195</v>
      </c>
      <c r="B1115" t="s">
        <v>196</v>
      </c>
      <c r="C1115" t="s">
        <v>51</v>
      </c>
      <c r="D1115" t="s">
        <v>50</v>
      </c>
      <c r="E1115" t="s">
        <v>181</v>
      </c>
      <c r="F1115" t="s">
        <v>81</v>
      </c>
      <c r="G1115" t="s">
        <v>182</v>
      </c>
      <c r="H1115" t="s">
        <v>106</v>
      </c>
      <c r="I1115" t="s">
        <v>107</v>
      </c>
      <c r="J1115" t="s">
        <v>3588</v>
      </c>
      <c r="K1115" t="s">
        <v>162</v>
      </c>
      <c r="M1115" t="s">
        <v>163</v>
      </c>
      <c r="N1115" t="s">
        <v>95</v>
      </c>
      <c r="O1115" s="27">
        <v>696000</v>
      </c>
      <c r="P1115">
        <v>4</v>
      </c>
      <c r="Q1115" t="s">
        <v>172</v>
      </c>
      <c r="R1115">
        <v>31</v>
      </c>
      <c r="S1115" t="s">
        <v>197</v>
      </c>
      <c r="T1115" t="str">
        <f>IF(COUNTIF($A$2:A1115,A1115)&gt;1,"Duplicate","Unique")</f>
        <v>Unique</v>
      </c>
    </row>
    <row r="1116" spans="1:20" x14ac:dyDescent="0.45">
      <c r="A1116" t="s">
        <v>1422</v>
      </c>
      <c r="B1116" t="s">
        <v>1251</v>
      </c>
      <c r="C1116" t="s">
        <v>57</v>
      </c>
      <c r="D1116" t="s">
        <v>56</v>
      </c>
      <c r="E1116" t="s">
        <v>160</v>
      </c>
      <c r="F1116" t="s">
        <v>81</v>
      </c>
      <c r="G1116" t="s">
        <v>161</v>
      </c>
      <c r="H1116" t="s">
        <v>108</v>
      </c>
      <c r="I1116" t="s">
        <v>107</v>
      </c>
      <c r="J1116" t="s">
        <v>3589</v>
      </c>
      <c r="K1116" t="s">
        <v>187</v>
      </c>
      <c r="L1116" t="s">
        <v>2597</v>
      </c>
      <c r="M1116" t="s">
        <v>269</v>
      </c>
      <c r="N1116" t="s">
        <v>97</v>
      </c>
      <c r="O1116" s="27">
        <v>846000</v>
      </c>
      <c r="P1116">
        <v>3</v>
      </c>
      <c r="Q1116" t="s">
        <v>164</v>
      </c>
      <c r="R1116">
        <v>25</v>
      </c>
      <c r="S1116" t="s">
        <v>165</v>
      </c>
      <c r="T1116" t="str">
        <f>IF(COUNTIF($A$2:A1116,A1116)&gt;1,"Duplicate","Unique")</f>
        <v>Unique</v>
      </c>
    </row>
    <row r="1117" spans="1:20" x14ac:dyDescent="0.45">
      <c r="A1117" t="s">
        <v>2190</v>
      </c>
      <c r="B1117" t="s">
        <v>1878</v>
      </c>
      <c r="C1117" t="s">
        <v>53</v>
      </c>
      <c r="D1117" t="s">
        <v>52</v>
      </c>
      <c r="E1117" t="s">
        <v>322</v>
      </c>
      <c r="F1117" t="s">
        <v>81</v>
      </c>
      <c r="G1117" t="s">
        <v>323</v>
      </c>
      <c r="H1117" t="s">
        <v>109</v>
      </c>
      <c r="I1117" t="s">
        <v>110</v>
      </c>
      <c r="J1117" t="s">
        <v>3590</v>
      </c>
      <c r="K1117" t="s">
        <v>162</v>
      </c>
      <c r="M1117" t="s">
        <v>163</v>
      </c>
      <c r="N1117" t="s">
        <v>95</v>
      </c>
      <c r="O1117" s="27">
        <v>651000</v>
      </c>
      <c r="P1117">
        <v>2</v>
      </c>
      <c r="Q1117" t="s">
        <v>172</v>
      </c>
      <c r="R1117">
        <v>13</v>
      </c>
      <c r="S1117" t="s">
        <v>237</v>
      </c>
      <c r="T1117" t="str">
        <f>IF(COUNTIF($A$2:A1117,A1117)&gt;1,"Duplicate","Unique")</f>
        <v>Unique</v>
      </c>
    </row>
    <row r="1118" spans="1:20" x14ac:dyDescent="0.45">
      <c r="A1118" t="s">
        <v>1081</v>
      </c>
      <c r="B1118" t="s">
        <v>1082</v>
      </c>
      <c r="C1118" t="s">
        <v>59</v>
      </c>
      <c r="D1118" t="s">
        <v>58</v>
      </c>
      <c r="E1118" t="s">
        <v>211</v>
      </c>
      <c r="F1118" t="s">
        <v>82</v>
      </c>
      <c r="G1118" t="s">
        <v>212</v>
      </c>
      <c r="H1118" t="s">
        <v>106</v>
      </c>
      <c r="I1118" t="s">
        <v>107</v>
      </c>
      <c r="J1118" t="s">
        <v>3591</v>
      </c>
      <c r="K1118" t="s">
        <v>187</v>
      </c>
      <c r="L1118" t="s">
        <v>3333</v>
      </c>
      <c r="M1118" t="s">
        <v>282</v>
      </c>
      <c r="N1118" t="s">
        <v>98</v>
      </c>
      <c r="O1118" s="27">
        <v>1039000</v>
      </c>
      <c r="P1118">
        <v>5</v>
      </c>
      <c r="Q1118" t="s">
        <v>164</v>
      </c>
      <c r="R1118">
        <v>40</v>
      </c>
      <c r="S1118" t="s">
        <v>214</v>
      </c>
      <c r="T1118" t="str">
        <f>IF(COUNTIF($A$2:A1118,A1118)&gt;1,"Duplicate","Unique")</f>
        <v>Unique</v>
      </c>
    </row>
    <row r="1119" spans="1:20" x14ac:dyDescent="0.45">
      <c r="A1119" t="s">
        <v>935</v>
      </c>
      <c r="B1119" t="s">
        <v>936</v>
      </c>
      <c r="C1119" t="s">
        <v>57</v>
      </c>
      <c r="D1119" t="s">
        <v>56</v>
      </c>
      <c r="E1119" t="s">
        <v>160</v>
      </c>
      <c r="F1119" t="s">
        <v>81</v>
      </c>
      <c r="G1119" t="s">
        <v>161</v>
      </c>
      <c r="H1119" t="s">
        <v>112</v>
      </c>
      <c r="I1119" t="s">
        <v>113</v>
      </c>
      <c r="J1119" t="s">
        <v>3527</v>
      </c>
      <c r="K1119" t="s">
        <v>187</v>
      </c>
      <c r="L1119" t="s">
        <v>2906</v>
      </c>
      <c r="M1119" t="s">
        <v>188</v>
      </c>
      <c r="N1119" t="s">
        <v>96</v>
      </c>
      <c r="O1119" s="27">
        <v>816000</v>
      </c>
      <c r="P1119">
        <v>4</v>
      </c>
      <c r="Q1119" t="s">
        <v>164</v>
      </c>
      <c r="R1119">
        <v>24</v>
      </c>
      <c r="S1119" t="s">
        <v>165</v>
      </c>
      <c r="T1119" t="str">
        <f>IF(COUNTIF($A$2:A1119,A1119)&gt;1,"Duplicate","Unique")</f>
        <v>Unique</v>
      </c>
    </row>
    <row r="1120" spans="1:20" x14ac:dyDescent="0.45">
      <c r="A1120" t="s">
        <v>338</v>
      </c>
      <c r="B1120" t="s">
        <v>339</v>
      </c>
      <c r="C1120" t="s">
        <v>51</v>
      </c>
      <c r="D1120" t="s">
        <v>50</v>
      </c>
      <c r="E1120" t="s">
        <v>176</v>
      </c>
      <c r="F1120" t="s">
        <v>82</v>
      </c>
      <c r="G1120" t="s">
        <v>177</v>
      </c>
      <c r="H1120" t="s">
        <v>108</v>
      </c>
      <c r="I1120" t="s">
        <v>107</v>
      </c>
      <c r="J1120" t="s">
        <v>3592</v>
      </c>
      <c r="K1120" t="s">
        <v>162</v>
      </c>
      <c r="M1120" t="s">
        <v>163</v>
      </c>
      <c r="N1120" t="s">
        <v>99</v>
      </c>
      <c r="O1120" s="27">
        <v>1285000</v>
      </c>
      <c r="P1120">
        <v>3</v>
      </c>
      <c r="Q1120" t="s">
        <v>164</v>
      </c>
      <c r="R1120">
        <v>30</v>
      </c>
      <c r="S1120" t="s">
        <v>197</v>
      </c>
      <c r="T1120" t="str">
        <f>IF(COUNTIF($A$2:A1120,A1120)&gt;1,"Duplicate","Unique")</f>
        <v>Unique</v>
      </c>
    </row>
    <row r="1121" spans="1:20" x14ac:dyDescent="0.45">
      <c r="A1121" t="s">
        <v>1421</v>
      </c>
      <c r="B1121" t="s">
        <v>921</v>
      </c>
      <c r="C1121" t="s">
        <v>51</v>
      </c>
      <c r="D1121" t="s">
        <v>50</v>
      </c>
      <c r="E1121" t="s">
        <v>217</v>
      </c>
      <c r="F1121" t="s">
        <v>83</v>
      </c>
      <c r="G1121" t="s">
        <v>218</v>
      </c>
      <c r="H1121" t="s">
        <v>109</v>
      </c>
      <c r="I1121" t="s">
        <v>110</v>
      </c>
      <c r="J1121" t="s">
        <v>3593</v>
      </c>
      <c r="K1121" t="s">
        <v>162</v>
      </c>
      <c r="M1121" t="s">
        <v>163</v>
      </c>
      <c r="N1121" t="s">
        <v>97</v>
      </c>
      <c r="O1121" s="27">
        <v>1384000</v>
      </c>
      <c r="P1121">
        <v>3</v>
      </c>
      <c r="Q1121" t="s">
        <v>164</v>
      </c>
      <c r="R1121">
        <v>15</v>
      </c>
      <c r="S1121" t="s">
        <v>197</v>
      </c>
      <c r="T1121" t="str">
        <f>IF(COUNTIF($A$2:A1121,A1121)&gt;1,"Duplicate","Unique")</f>
        <v>Unique</v>
      </c>
    </row>
    <row r="1122" spans="1:20" x14ac:dyDescent="0.45">
      <c r="A1122" t="s">
        <v>2291</v>
      </c>
      <c r="B1122" t="s">
        <v>1452</v>
      </c>
      <c r="C1122" t="s">
        <v>57</v>
      </c>
      <c r="D1122" t="s">
        <v>2476</v>
      </c>
      <c r="E1122" t="s">
        <v>160</v>
      </c>
      <c r="F1122" t="s">
        <v>81</v>
      </c>
      <c r="G1122" t="s">
        <v>161</v>
      </c>
      <c r="H1122" t="s">
        <v>106</v>
      </c>
      <c r="I1122" t="s">
        <v>107</v>
      </c>
      <c r="J1122" t="s">
        <v>3257</v>
      </c>
      <c r="K1122" t="s">
        <v>162</v>
      </c>
      <c r="M1122" t="s">
        <v>163</v>
      </c>
      <c r="N1122" t="s">
        <v>96</v>
      </c>
      <c r="O1122" s="27">
        <v>734000</v>
      </c>
      <c r="P1122">
        <v>4</v>
      </c>
      <c r="Q1122" t="s">
        <v>164</v>
      </c>
      <c r="R1122">
        <v>32</v>
      </c>
      <c r="S1122" t="s">
        <v>224</v>
      </c>
      <c r="T1122" t="str">
        <f>IF(COUNTIF($A$2:A1122,A1122)&gt;1,"Duplicate","Unique")</f>
        <v>Unique</v>
      </c>
    </row>
    <row r="1123" spans="1:20" x14ac:dyDescent="0.45">
      <c r="A1123" t="s">
        <v>590</v>
      </c>
      <c r="B1123" t="s">
        <v>243</v>
      </c>
      <c r="C1123" t="s">
        <v>53</v>
      </c>
      <c r="D1123" t="s">
        <v>52</v>
      </c>
      <c r="E1123" t="s">
        <v>322</v>
      </c>
      <c r="F1123" t="s">
        <v>81</v>
      </c>
      <c r="G1123" t="s">
        <v>323</v>
      </c>
      <c r="H1123" t="s">
        <v>106</v>
      </c>
      <c r="I1123" t="s">
        <v>107</v>
      </c>
      <c r="J1123" t="s">
        <v>3594</v>
      </c>
      <c r="K1123" t="s">
        <v>187</v>
      </c>
      <c r="L1123" t="s">
        <v>3431</v>
      </c>
      <c r="M1123" t="s">
        <v>188</v>
      </c>
      <c r="N1123" t="s">
        <v>98</v>
      </c>
      <c r="O1123" s="27">
        <v>638000</v>
      </c>
      <c r="P1123">
        <v>3</v>
      </c>
      <c r="Q1123" t="s">
        <v>164</v>
      </c>
      <c r="R1123">
        <v>38</v>
      </c>
      <c r="S1123" t="s">
        <v>237</v>
      </c>
      <c r="T1123" t="str">
        <f>IF(COUNTIF($A$2:A1123,A1123)&gt;1,"Duplicate","Unique")</f>
        <v>Unique</v>
      </c>
    </row>
    <row r="1124" spans="1:20" x14ac:dyDescent="0.45">
      <c r="A1124" t="s">
        <v>686</v>
      </c>
      <c r="B1124" t="s">
        <v>687</v>
      </c>
      <c r="C1124" t="s">
        <v>51</v>
      </c>
      <c r="D1124" t="s">
        <v>50</v>
      </c>
      <c r="E1124" t="s">
        <v>328</v>
      </c>
      <c r="F1124" t="s">
        <v>85</v>
      </c>
      <c r="G1124" t="s">
        <v>329</v>
      </c>
      <c r="H1124" t="s">
        <v>112</v>
      </c>
      <c r="I1124" t="s">
        <v>113</v>
      </c>
      <c r="J1124" t="s">
        <v>2554</v>
      </c>
      <c r="K1124" t="s">
        <v>162</v>
      </c>
      <c r="M1124" t="s">
        <v>163</v>
      </c>
      <c r="N1124" t="s">
        <v>95</v>
      </c>
      <c r="O1124" s="27">
        <v>3942000</v>
      </c>
      <c r="P1124">
        <v>3</v>
      </c>
      <c r="Q1124" t="s">
        <v>164</v>
      </c>
      <c r="R1124">
        <v>14</v>
      </c>
      <c r="S1124" t="s">
        <v>178</v>
      </c>
      <c r="T1124" t="str">
        <f>IF(COUNTIF($A$2:A1124,A1124)&gt;1,"Duplicate","Unique")</f>
        <v>Unique</v>
      </c>
    </row>
    <row r="1125" spans="1:20" x14ac:dyDescent="0.45">
      <c r="A1125" t="s">
        <v>326</v>
      </c>
      <c r="B1125" t="s">
        <v>327</v>
      </c>
      <c r="C1125" t="s">
        <v>51</v>
      </c>
      <c r="D1125" t="s">
        <v>50</v>
      </c>
      <c r="E1125" t="s">
        <v>328</v>
      </c>
      <c r="F1125" t="s">
        <v>85</v>
      </c>
      <c r="G1125" t="s">
        <v>329</v>
      </c>
      <c r="H1125" t="s">
        <v>2550</v>
      </c>
      <c r="I1125" t="s">
        <v>107</v>
      </c>
      <c r="J1125" t="s">
        <v>3595</v>
      </c>
      <c r="K1125" t="s">
        <v>162</v>
      </c>
      <c r="M1125" t="s">
        <v>163</v>
      </c>
      <c r="N1125" t="s">
        <v>98</v>
      </c>
      <c r="O1125" s="27">
        <v>4373000</v>
      </c>
      <c r="P1125">
        <v>3</v>
      </c>
      <c r="Q1125" t="s">
        <v>164</v>
      </c>
      <c r="R1125">
        <v>27</v>
      </c>
      <c r="S1125" t="s">
        <v>219</v>
      </c>
      <c r="T1125" t="str">
        <f>IF(COUNTIF($A$2:A1125,A1125)&gt;1,"Duplicate","Unique")</f>
        <v>Unique</v>
      </c>
    </row>
    <row r="1126" spans="1:20" x14ac:dyDescent="0.45">
      <c r="A1126" t="s">
        <v>1951</v>
      </c>
      <c r="B1126" t="s">
        <v>1222</v>
      </c>
      <c r="C1126" t="s">
        <v>57</v>
      </c>
      <c r="D1126" t="s">
        <v>2476</v>
      </c>
      <c r="E1126" t="s">
        <v>160</v>
      </c>
      <c r="F1126" t="s">
        <v>81</v>
      </c>
      <c r="G1126" t="s">
        <v>161</v>
      </c>
      <c r="H1126" t="s">
        <v>2550</v>
      </c>
      <c r="I1126" t="s">
        <v>107</v>
      </c>
      <c r="J1126" t="s">
        <v>2477</v>
      </c>
      <c r="K1126" t="s">
        <v>162</v>
      </c>
      <c r="M1126" t="s">
        <v>163</v>
      </c>
      <c r="N1126" t="s">
        <v>95</v>
      </c>
      <c r="O1126" s="27">
        <v>829000</v>
      </c>
      <c r="P1126">
        <v>4</v>
      </c>
      <c r="Q1126" t="s">
        <v>172</v>
      </c>
      <c r="R1126">
        <v>22</v>
      </c>
      <c r="S1126" t="s">
        <v>224</v>
      </c>
      <c r="T1126" t="str">
        <f>IF(COUNTIF($A$2:A1126,A1126)&gt;1,"Duplicate","Unique")</f>
        <v>Unique</v>
      </c>
    </row>
    <row r="1127" spans="1:20" x14ac:dyDescent="0.45">
      <c r="A1127" t="s">
        <v>1357</v>
      </c>
      <c r="B1127" t="s">
        <v>1358</v>
      </c>
      <c r="C1127" t="s">
        <v>57</v>
      </c>
      <c r="D1127" t="s">
        <v>56</v>
      </c>
      <c r="E1127" t="s">
        <v>455</v>
      </c>
      <c r="F1127" t="s">
        <v>84</v>
      </c>
      <c r="G1127" t="s">
        <v>456</v>
      </c>
      <c r="H1127" t="s">
        <v>108</v>
      </c>
      <c r="I1127" t="s">
        <v>107</v>
      </c>
      <c r="J1127" t="s">
        <v>3070</v>
      </c>
      <c r="K1127" t="s">
        <v>162</v>
      </c>
      <c r="M1127" t="s">
        <v>163</v>
      </c>
      <c r="N1127" t="s">
        <v>96</v>
      </c>
      <c r="O1127" s="27">
        <v>3337000</v>
      </c>
      <c r="P1127">
        <v>3</v>
      </c>
      <c r="Q1127" t="s">
        <v>164</v>
      </c>
      <c r="R1127">
        <v>26</v>
      </c>
      <c r="S1127" t="s">
        <v>224</v>
      </c>
      <c r="T1127" t="str">
        <f>IF(COUNTIF($A$2:A1127,A1127)&gt;1,"Duplicate","Unique")</f>
        <v>Unique</v>
      </c>
    </row>
    <row r="1128" spans="1:20" x14ac:dyDescent="0.45">
      <c r="A1128" t="s">
        <v>1038</v>
      </c>
      <c r="B1128" t="s">
        <v>1039</v>
      </c>
      <c r="C1128" t="s">
        <v>51</v>
      </c>
      <c r="D1128" t="s">
        <v>50</v>
      </c>
      <c r="E1128" t="s">
        <v>176</v>
      </c>
      <c r="F1128" t="s">
        <v>82</v>
      </c>
      <c r="G1128" t="s">
        <v>177</v>
      </c>
      <c r="H1128" t="s">
        <v>108</v>
      </c>
      <c r="I1128" t="s">
        <v>107</v>
      </c>
      <c r="J1128" t="s">
        <v>2898</v>
      </c>
      <c r="K1128" t="s">
        <v>162</v>
      </c>
      <c r="M1128" t="s">
        <v>163</v>
      </c>
      <c r="N1128" t="s">
        <v>97</v>
      </c>
      <c r="O1128" s="27">
        <v>1286000</v>
      </c>
      <c r="P1128">
        <v>4</v>
      </c>
      <c r="Q1128" t="s">
        <v>164</v>
      </c>
      <c r="R1128">
        <v>48</v>
      </c>
      <c r="S1128" t="s">
        <v>244</v>
      </c>
      <c r="T1128" t="str">
        <f>IF(COUNTIF($A$2:A1128,A1128)&gt;1,"Duplicate","Unique")</f>
        <v>Unique</v>
      </c>
    </row>
    <row r="1129" spans="1:20" x14ac:dyDescent="0.45">
      <c r="A1129" t="s">
        <v>1613</v>
      </c>
      <c r="B1129" t="s">
        <v>1240</v>
      </c>
      <c r="C1129" t="s">
        <v>57</v>
      </c>
      <c r="D1129" t="s">
        <v>56</v>
      </c>
      <c r="E1129" t="s">
        <v>160</v>
      </c>
      <c r="F1129" t="s">
        <v>81</v>
      </c>
      <c r="G1129" t="s">
        <v>161</v>
      </c>
      <c r="H1129" t="s">
        <v>108</v>
      </c>
      <c r="I1129" t="s">
        <v>107</v>
      </c>
      <c r="J1129" t="s">
        <v>2916</v>
      </c>
      <c r="K1129" t="s">
        <v>162</v>
      </c>
      <c r="M1129" t="s">
        <v>163</v>
      </c>
      <c r="N1129" t="s">
        <v>98</v>
      </c>
      <c r="O1129" s="27">
        <v>768000</v>
      </c>
      <c r="P1129">
        <v>3</v>
      </c>
      <c r="Q1129" t="s">
        <v>164</v>
      </c>
      <c r="R1129">
        <v>53</v>
      </c>
      <c r="S1129" t="s">
        <v>165</v>
      </c>
      <c r="T1129" t="str">
        <f>IF(COUNTIF($A$2:A1129,A1129)&gt;1,"Duplicate","Unique")</f>
        <v>Unique</v>
      </c>
    </row>
    <row r="1130" spans="1:20" x14ac:dyDescent="0.45">
      <c r="A1130" t="s">
        <v>1502</v>
      </c>
      <c r="B1130" t="s">
        <v>1503</v>
      </c>
      <c r="C1130" t="s">
        <v>51</v>
      </c>
      <c r="D1130" t="s">
        <v>50</v>
      </c>
      <c r="E1130" t="s">
        <v>217</v>
      </c>
      <c r="F1130" t="s">
        <v>83</v>
      </c>
      <c r="G1130" t="s">
        <v>218</v>
      </c>
      <c r="H1130" t="s">
        <v>108</v>
      </c>
      <c r="I1130" t="s">
        <v>107</v>
      </c>
      <c r="J1130" t="s">
        <v>3596</v>
      </c>
      <c r="K1130" t="s">
        <v>187</v>
      </c>
      <c r="L1130" t="s">
        <v>3329</v>
      </c>
      <c r="M1130" t="s">
        <v>282</v>
      </c>
      <c r="N1130" t="s">
        <v>96</v>
      </c>
      <c r="O1130" s="27">
        <v>1416000</v>
      </c>
      <c r="P1130">
        <v>4</v>
      </c>
      <c r="Q1130" t="s">
        <v>172</v>
      </c>
      <c r="R1130">
        <v>42</v>
      </c>
      <c r="S1130" t="s">
        <v>219</v>
      </c>
      <c r="T1130" t="str">
        <f>IF(COUNTIF($A$2:A1130,A1130)&gt;1,"Duplicate","Unique")</f>
        <v>Unique</v>
      </c>
    </row>
    <row r="1131" spans="1:20" x14ac:dyDescent="0.45">
      <c r="A1131" t="s">
        <v>459</v>
      </c>
      <c r="B1131" t="s">
        <v>460</v>
      </c>
      <c r="C1131" t="s">
        <v>53</v>
      </c>
      <c r="D1131" t="s">
        <v>52</v>
      </c>
      <c r="E1131" t="s">
        <v>192</v>
      </c>
      <c r="F1131" t="s">
        <v>83</v>
      </c>
      <c r="G1131" t="s">
        <v>193</v>
      </c>
      <c r="H1131" t="s">
        <v>106</v>
      </c>
      <c r="I1131" t="s">
        <v>107</v>
      </c>
      <c r="J1131" t="s">
        <v>2703</v>
      </c>
      <c r="K1131" t="s">
        <v>162</v>
      </c>
      <c r="M1131" t="s">
        <v>163</v>
      </c>
      <c r="N1131" t="s">
        <v>99</v>
      </c>
      <c r="O1131" s="27">
        <v>1635000</v>
      </c>
      <c r="P1131">
        <v>5</v>
      </c>
      <c r="Q1131" t="s">
        <v>172</v>
      </c>
      <c r="R1131">
        <v>49</v>
      </c>
      <c r="S1131" t="s">
        <v>189</v>
      </c>
      <c r="T1131" t="str">
        <f>IF(COUNTIF($A$2:A1131,A1131)&gt;1,"Duplicate","Unique")</f>
        <v>Unique</v>
      </c>
    </row>
    <row r="1132" spans="1:20" x14ac:dyDescent="0.45">
      <c r="A1132" t="s">
        <v>1598</v>
      </c>
      <c r="B1132" t="s">
        <v>1599</v>
      </c>
      <c r="C1132" t="s">
        <v>51</v>
      </c>
      <c r="D1132" t="s">
        <v>50</v>
      </c>
      <c r="E1132" t="s">
        <v>176</v>
      </c>
      <c r="F1132" t="s">
        <v>82</v>
      </c>
      <c r="G1132" t="s">
        <v>177</v>
      </c>
      <c r="H1132" t="s">
        <v>108</v>
      </c>
      <c r="I1132" t="s">
        <v>107</v>
      </c>
      <c r="J1132" t="s">
        <v>3597</v>
      </c>
      <c r="K1132" t="s">
        <v>162</v>
      </c>
      <c r="M1132" t="s">
        <v>163</v>
      </c>
      <c r="N1132" t="s">
        <v>99</v>
      </c>
      <c r="O1132" s="27">
        <v>1033000</v>
      </c>
      <c r="P1132">
        <v>2</v>
      </c>
      <c r="Q1132" t="s">
        <v>172</v>
      </c>
      <c r="R1132">
        <v>38</v>
      </c>
      <c r="S1132" t="s">
        <v>219</v>
      </c>
      <c r="T1132" t="str">
        <f>IF(COUNTIF($A$2:A1132,A1132)&gt;1,"Duplicate","Unique")</f>
        <v>Unique</v>
      </c>
    </row>
    <row r="1133" spans="1:20" x14ac:dyDescent="0.45">
      <c r="A1133" t="s">
        <v>2133</v>
      </c>
      <c r="B1133" t="s">
        <v>228</v>
      </c>
      <c r="C1133" t="s">
        <v>61</v>
      </c>
      <c r="D1133" t="s">
        <v>60</v>
      </c>
      <c r="E1133" t="s">
        <v>356</v>
      </c>
      <c r="F1133" t="s">
        <v>81</v>
      </c>
      <c r="G1133" t="s">
        <v>357</v>
      </c>
      <c r="H1133" t="s">
        <v>111</v>
      </c>
      <c r="I1133" t="s">
        <v>110</v>
      </c>
      <c r="J1133" t="s">
        <v>2439</v>
      </c>
      <c r="K1133" t="s">
        <v>162</v>
      </c>
      <c r="M1133" t="s">
        <v>163</v>
      </c>
      <c r="N1133" t="s">
        <v>95</v>
      </c>
      <c r="O1133" s="27">
        <v>806000</v>
      </c>
      <c r="P1133">
        <v>3</v>
      </c>
      <c r="Q1133" t="s">
        <v>172</v>
      </c>
      <c r="R1133">
        <v>41</v>
      </c>
      <c r="S1133" t="s">
        <v>319</v>
      </c>
      <c r="T1133" t="str">
        <f>IF(COUNTIF($A$2:A1133,A1133)&gt;1,"Duplicate","Unique")</f>
        <v>Unique</v>
      </c>
    </row>
    <row r="1134" spans="1:20" x14ac:dyDescent="0.45">
      <c r="A1134" t="s">
        <v>905</v>
      </c>
      <c r="B1134" t="s">
        <v>266</v>
      </c>
      <c r="C1134" t="s">
        <v>55</v>
      </c>
      <c r="D1134" t="s">
        <v>54</v>
      </c>
      <c r="E1134" t="s">
        <v>168</v>
      </c>
      <c r="F1134" t="s">
        <v>84</v>
      </c>
      <c r="G1134" t="s">
        <v>169</v>
      </c>
      <c r="H1134" t="s">
        <v>111</v>
      </c>
      <c r="I1134" t="s">
        <v>110</v>
      </c>
      <c r="J1134" t="s">
        <v>3598</v>
      </c>
      <c r="K1134" t="s">
        <v>162</v>
      </c>
      <c r="M1134" t="s">
        <v>163</v>
      </c>
      <c r="N1134" t="s">
        <v>99</v>
      </c>
      <c r="O1134" s="27">
        <v>2468000</v>
      </c>
      <c r="P1134">
        <v>3</v>
      </c>
      <c r="Q1134" t="s">
        <v>172</v>
      </c>
      <c r="R1134">
        <v>17</v>
      </c>
      <c r="S1134" t="s">
        <v>173</v>
      </c>
      <c r="T1134" t="str">
        <f>IF(COUNTIF($A$2:A1134,A1134)&gt;1,"Duplicate","Unique")</f>
        <v>Unique</v>
      </c>
    </row>
    <row r="1135" spans="1:20" x14ac:dyDescent="0.45">
      <c r="A1135" t="s">
        <v>731</v>
      </c>
      <c r="B1135" t="s">
        <v>732</v>
      </c>
      <c r="C1135" t="s">
        <v>51</v>
      </c>
      <c r="D1135" t="s">
        <v>50</v>
      </c>
      <c r="E1135" t="s">
        <v>217</v>
      </c>
      <c r="F1135" t="s">
        <v>83</v>
      </c>
      <c r="G1135" t="s">
        <v>218</v>
      </c>
      <c r="H1135" t="s">
        <v>106</v>
      </c>
      <c r="I1135" t="s">
        <v>107</v>
      </c>
      <c r="J1135" t="s">
        <v>3211</v>
      </c>
      <c r="K1135" t="s">
        <v>162</v>
      </c>
      <c r="M1135" t="s">
        <v>163</v>
      </c>
      <c r="N1135" t="s">
        <v>95</v>
      </c>
      <c r="O1135" s="27">
        <v>1443000</v>
      </c>
      <c r="P1135">
        <v>3</v>
      </c>
      <c r="Q1135" t="s">
        <v>164</v>
      </c>
      <c r="R1135">
        <v>26</v>
      </c>
      <c r="S1135" t="s">
        <v>197</v>
      </c>
      <c r="T1135" t="str">
        <f>IF(COUNTIF($A$2:A1135,A1135)&gt;1,"Duplicate","Unique")</f>
        <v>Unique</v>
      </c>
    </row>
    <row r="1136" spans="1:20" x14ac:dyDescent="0.45">
      <c r="A1136" t="s">
        <v>807</v>
      </c>
      <c r="B1136" t="s">
        <v>629</v>
      </c>
      <c r="C1136" t="s">
        <v>51</v>
      </c>
      <c r="D1136" t="s">
        <v>50</v>
      </c>
      <c r="E1136" t="s">
        <v>181</v>
      </c>
      <c r="F1136" t="s">
        <v>81</v>
      </c>
      <c r="G1136" t="s">
        <v>182</v>
      </c>
      <c r="H1136" t="s">
        <v>2580</v>
      </c>
      <c r="I1136" t="s">
        <v>110</v>
      </c>
      <c r="J1136" t="s">
        <v>3356</v>
      </c>
      <c r="K1136" t="s">
        <v>162</v>
      </c>
      <c r="M1136" t="s">
        <v>163</v>
      </c>
      <c r="N1136" t="s">
        <v>96</v>
      </c>
      <c r="O1136" s="27">
        <v>663000</v>
      </c>
      <c r="P1136">
        <v>3</v>
      </c>
      <c r="Q1136" t="s">
        <v>164</v>
      </c>
      <c r="R1136">
        <v>48</v>
      </c>
      <c r="S1136" t="s">
        <v>219</v>
      </c>
      <c r="T1136" t="str">
        <f>IF(COUNTIF($A$2:A1136,A1136)&gt;1,"Duplicate","Unique")</f>
        <v>Unique</v>
      </c>
    </row>
    <row r="1137" spans="1:20" x14ac:dyDescent="0.45">
      <c r="A1137" t="s">
        <v>399</v>
      </c>
      <c r="B1137" t="s">
        <v>400</v>
      </c>
      <c r="C1137" t="s">
        <v>59</v>
      </c>
      <c r="D1137" t="s">
        <v>58</v>
      </c>
      <c r="E1137" t="s">
        <v>211</v>
      </c>
      <c r="F1137" t="s">
        <v>82</v>
      </c>
      <c r="G1137" t="s">
        <v>212</v>
      </c>
      <c r="H1137" t="s">
        <v>109</v>
      </c>
      <c r="I1137" t="s">
        <v>110</v>
      </c>
      <c r="J1137" t="s">
        <v>2830</v>
      </c>
      <c r="K1137" t="s">
        <v>162</v>
      </c>
      <c r="M1137" t="s">
        <v>163</v>
      </c>
      <c r="N1137" t="s">
        <v>96</v>
      </c>
      <c r="O1137" s="27">
        <v>1218000</v>
      </c>
      <c r="P1137">
        <v>3</v>
      </c>
      <c r="Q1137" t="s">
        <v>172</v>
      </c>
      <c r="R1137">
        <v>34</v>
      </c>
      <c r="S1137" t="s">
        <v>208</v>
      </c>
      <c r="T1137" t="str">
        <f>IF(COUNTIF($A$2:A1137,A1137)&gt;1,"Duplicate","Unique")</f>
        <v>Unique</v>
      </c>
    </row>
    <row r="1138" spans="1:20" x14ac:dyDescent="0.45">
      <c r="A1138" t="s">
        <v>1128</v>
      </c>
      <c r="B1138" t="s">
        <v>3599</v>
      </c>
      <c r="C1138" t="s">
        <v>57</v>
      </c>
      <c r="D1138" t="s">
        <v>56</v>
      </c>
      <c r="E1138" t="s">
        <v>391</v>
      </c>
      <c r="F1138" t="s">
        <v>83</v>
      </c>
      <c r="G1138" t="s">
        <v>392</v>
      </c>
      <c r="H1138" t="s">
        <v>108</v>
      </c>
      <c r="I1138" t="s">
        <v>107</v>
      </c>
      <c r="J1138" t="s">
        <v>3600</v>
      </c>
      <c r="K1138" t="s">
        <v>162</v>
      </c>
      <c r="M1138" t="s">
        <v>163</v>
      </c>
      <c r="N1138" t="s">
        <v>95</v>
      </c>
      <c r="O1138" s="27">
        <v>1986000</v>
      </c>
      <c r="P1138">
        <v>3</v>
      </c>
      <c r="Q1138" t="s">
        <v>164</v>
      </c>
      <c r="R1138">
        <v>24</v>
      </c>
      <c r="S1138" t="s">
        <v>165</v>
      </c>
      <c r="T1138" t="str">
        <f>IF(COUNTIF($A$2:A1138,A1138)&gt;1,"Duplicate","Unique")</f>
        <v>Unique</v>
      </c>
    </row>
    <row r="1139" spans="1:20" x14ac:dyDescent="0.45">
      <c r="A1139" t="s">
        <v>1208</v>
      </c>
      <c r="B1139" t="s">
        <v>720</v>
      </c>
      <c r="C1139" t="s">
        <v>59</v>
      </c>
      <c r="D1139" t="s">
        <v>58</v>
      </c>
      <c r="E1139" t="s">
        <v>287</v>
      </c>
      <c r="F1139" t="s">
        <v>83</v>
      </c>
      <c r="G1139" t="s">
        <v>288</v>
      </c>
      <c r="H1139" t="s">
        <v>106</v>
      </c>
      <c r="I1139" t="s">
        <v>107</v>
      </c>
      <c r="J1139" t="s">
        <v>3601</v>
      </c>
      <c r="K1139" t="s">
        <v>162</v>
      </c>
      <c r="M1139" t="s">
        <v>163</v>
      </c>
      <c r="N1139" t="s">
        <v>99</v>
      </c>
      <c r="O1139" s="27">
        <v>1611000</v>
      </c>
      <c r="P1139">
        <v>4</v>
      </c>
      <c r="Q1139" t="s">
        <v>164</v>
      </c>
      <c r="R1139">
        <v>57</v>
      </c>
      <c r="S1139" t="s">
        <v>214</v>
      </c>
      <c r="T1139" t="str">
        <f>IF(COUNTIF($A$2:A1139,A1139)&gt;1,"Duplicate","Unique")</f>
        <v>Unique</v>
      </c>
    </row>
    <row r="1140" spans="1:20" x14ac:dyDescent="0.45">
      <c r="A1140" t="s">
        <v>2198</v>
      </c>
      <c r="B1140" t="s">
        <v>1685</v>
      </c>
      <c r="C1140" t="s">
        <v>51</v>
      </c>
      <c r="D1140" t="s">
        <v>2643</v>
      </c>
      <c r="E1140" t="s">
        <v>176</v>
      </c>
      <c r="F1140" t="s">
        <v>82</v>
      </c>
      <c r="G1140" t="s">
        <v>177</v>
      </c>
      <c r="H1140" t="s">
        <v>111</v>
      </c>
      <c r="I1140" t="s">
        <v>110</v>
      </c>
      <c r="J1140" t="s">
        <v>3602</v>
      </c>
      <c r="K1140" t="s">
        <v>162</v>
      </c>
      <c r="M1140" t="s">
        <v>163</v>
      </c>
      <c r="N1140" t="s">
        <v>99</v>
      </c>
      <c r="O1140" s="27">
        <v>1201000</v>
      </c>
      <c r="P1140">
        <v>5</v>
      </c>
      <c r="Q1140" t="s">
        <v>164</v>
      </c>
      <c r="R1140">
        <v>33</v>
      </c>
      <c r="S1140" t="s">
        <v>197</v>
      </c>
      <c r="T1140" t="str">
        <f>IF(COUNTIF($A$2:A1140,A1140)&gt;1,"Duplicate","Unique")</f>
        <v>Unique</v>
      </c>
    </row>
    <row r="1141" spans="1:20" x14ac:dyDescent="0.45">
      <c r="A1141" t="s">
        <v>888</v>
      </c>
      <c r="B1141" t="s">
        <v>889</v>
      </c>
      <c r="C1141" t="s">
        <v>57</v>
      </c>
      <c r="D1141" t="s">
        <v>2476</v>
      </c>
      <c r="E1141" t="s">
        <v>455</v>
      </c>
      <c r="F1141" t="s">
        <v>84</v>
      </c>
      <c r="G1141" t="s">
        <v>456</v>
      </c>
      <c r="H1141" t="s">
        <v>106</v>
      </c>
      <c r="I1141" t="s">
        <v>107</v>
      </c>
      <c r="J1141" t="s">
        <v>3256</v>
      </c>
      <c r="K1141" t="s">
        <v>162</v>
      </c>
      <c r="M1141" t="s">
        <v>163</v>
      </c>
      <c r="N1141" t="s">
        <v>97</v>
      </c>
      <c r="O1141" s="27">
        <v>3205000</v>
      </c>
      <c r="P1141">
        <v>5</v>
      </c>
      <c r="Q1141" t="s">
        <v>164</v>
      </c>
      <c r="R1141">
        <v>31</v>
      </c>
      <c r="S1141" t="s">
        <v>165</v>
      </c>
      <c r="T1141" t="str">
        <f>IF(COUNTIF($A$2:A1141,A1141)&gt;1,"Duplicate","Unique")</f>
        <v>Unique</v>
      </c>
    </row>
    <row r="1142" spans="1:20" x14ac:dyDescent="0.45">
      <c r="A1142" t="s">
        <v>1653</v>
      </c>
      <c r="B1142" t="s">
        <v>1654</v>
      </c>
      <c r="C1142" t="s">
        <v>51</v>
      </c>
      <c r="D1142" t="s">
        <v>50</v>
      </c>
      <c r="E1142" t="s">
        <v>176</v>
      </c>
      <c r="F1142" t="s">
        <v>82</v>
      </c>
      <c r="G1142" t="s">
        <v>177</v>
      </c>
      <c r="H1142" t="s">
        <v>109</v>
      </c>
      <c r="I1142" t="s">
        <v>110</v>
      </c>
      <c r="J1142" t="s">
        <v>3603</v>
      </c>
      <c r="K1142" t="s">
        <v>162</v>
      </c>
      <c r="M1142" t="s">
        <v>163</v>
      </c>
      <c r="N1142" t="s">
        <v>97</v>
      </c>
      <c r="O1142" s="27">
        <v>1299000</v>
      </c>
      <c r="P1142">
        <v>3</v>
      </c>
      <c r="Q1142" t="s">
        <v>164</v>
      </c>
      <c r="R1142">
        <v>30</v>
      </c>
      <c r="S1142" t="s">
        <v>219</v>
      </c>
      <c r="T1142" t="str">
        <f>IF(COUNTIF($A$2:A1142,A1142)&gt;1,"Duplicate","Unique")</f>
        <v>Unique</v>
      </c>
    </row>
    <row r="1143" spans="1:20" x14ac:dyDescent="0.45">
      <c r="A1143" t="s">
        <v>1389</v>
      </c>
      <c r="B1143" t="s">
        <v>921</v>
      </c>
      <c r="C1143" t="s">
        <v>55</v>
      </c>
      <c r="D1143" t="s">
        <v>54</v>
      </c>
      <c r="E1143" t="s">
        <v>229</v>
      </c>
      <c r="F1143" t="s">
        <v>82</v>
      </c>
      <c r="G1143" t="s">
        <v>230</v>
      </c>
      <c r="H1143" t="s">
        <v>106</v>
      </c>
      <c r="I1143" t="s">
        <v>107</v>
      </c>
      <c r="J1143" t="s">
        <v>3086</v>
      </c>
      <c r="K1143" t="s">
        <v>162</v>
      </c>
      <c r="M1143" t="s">
        <v>163</v>
      </c>
      <c r="N1143" t="s">
        <v>97</v>
      </c>
      <c r="O1143" s="27">
        <v>1189000</v>
      </c>
      <c r="P1143">
        <v>3</v>
      </c>
      <c r="Q1143" t="s">
        <v>164</v>
      </c>
      <c r="R1143">
        <v>44</v>
      </c>
      <c r="S1143" t="s">
        <v>173</v>
      </c>
      <c r="T1143" t="str">
        <f>IF(COUNTIF($A$2:A1143,A1143)&gt;1,"Duplicate","Unique")</f>
        <v>Unique</v>
      </c>
    </row>
    <row r="1144" spans="1:20" x14ac:dyDescent="0.45">
      <c r="A1144" t="s">
        <v>1724</v>
      </c>
      <c r="B1144" t="s">
        <v>1725</v>
      </c>
      <c r="C1144" t="s">
        <v>61</v>
      </c>
      <c r="D1144" t="s">
        <v>60</v>
      </c>
      <c r="E1144" t="s">
        <v>484</v>
      </c>
      <c r="F1144" t="s">
        <v>83</v>
      </c>
      <c r="G1144" t="s">
        <v>485</v>
      </c>
      <c r="H1144" t="s">
        <v>108</v>
      </c>
      <c r="I1144" t="s">
        <v>107</v>
      </c>
      <c r="J1144" t="s">
        <v>3329</v>
      </c>
      <c r="K1144" t="s">
        <v>162</v>
      </c>
      <c r="M1144" t="s">
        <v>163</v>
      </c>
      <c r="N1144" t="s">
        <v>95</v>
      </c>
      <c r="O1144" s="27">
        <v>1392000</v>
      </c>
      <c r="P1144">
        <v>4</v>
      </c>
      <c r="Q1144" t="s">
        <v>172</v>
      </c>
      <c r="R1144">
        <v>16</v>
      </c>
      <c r="S1144" t="s">
        <v>253</v>
      </c>
      <c r="T1144" t="str">
        <f>IF(COUNTIF($A$2:A1144,A1144)&gt;1,"Duplicate","Unique")</f>
        <v>Unique</v>
      </c>
    </row>
    <row r="1145" spans="1:20" x14ac:dyDescent="0.45">
      <c r="A1145" t="s">
        <v>432</v>
      </c>
      <c r="B1145" t="s">
        <v>433</v>
      </c>
      <c r="C1145" t="s">
        <v>51</v>
      </c>
      <c r="D1145" t="s">
        <v>50</v>
      </c>
      <c r="E1145" t="s">
        <v>176</v>
      </c>
      <c r="F1145" t="s">
        <v>82</v>
      </c>
      <c r="G1145" t="s">
        <v>177</v>
      </c>
      <c r="H1145" t="s">
        <v>108</v>
      </c>
      <c r="I1145" t="s">
        <v>107</v>
      </c>
      <c r="J1145" t="s">
        <v>3604</v>
      </c>
      <c r="K1145" t="s">
        <v>162</v>
      </c>
      <c r="M1145" t="s">
        <v>163</v>
      </c>
      <c r="N1145" t="s">
        <v>99</v>
      </c>
      <c r="O1145" s="27">
        <v>1147000</v>
      </c>
      <c r="P1145">
        <v>4</v>
      </c>
      <c r="Q1145" t="s">
        <v>164</v>
      </c>
      <c r="R1145">
        <v>29</v>
      </c>
      <c r="S1145" t="s">
        <v>178</v>
      </c>
      <c r="T1145" t="str">
        <f>IF(COUNTIF($A$2:A1145,A1145)&gt;1,"Duplicate","Unique")</f>
        <v>Unique</v>
      </c>
    </row>
    <row r="1146" spans="1:20" x14ac:dyDescent="0.45">
      <c r="A1146" t="s">
        <v>1442</v>
      </c>
      <c r="B1146" t="s">
        <v>1443</v>
      </c>
      <c r="C1146" t="s">
        <v>51</v>
      </c>
      <c r="D1146" t="s">
        <v>50</v>
      </c>
      <c r="E1146" t="s">
        <v>181</v>
      </c>
      <c r="F1146" t="s">
        <v>81</v>
      </c>
      <c r="G1146" t="s">
        <v>182</v>
      </c>
      <c r="H1146" t="s">
        <v>108</v>
      </c>
      <c r="I1146" t="s">
        <v>107</v>
      </c>
      <c r="J1146" t="s">
        <v>3437</v>
      </c>
      <c r="K1146" t="s">
        <v>162</v>
      </c>
      <c r="M1146" t="s">
        <v>163</v>
      </c>
      <c r="N1146" t="s">
        <v>99</v>
      </c>
      <c r="O1146" s="27">
        <v>641000</v>
      </c>
      <c r="P1146">
        <v>3</v>
      </c>
      <c r="Q1146" t="s">
        <v>164</v>
      </c>
      <c r="R1146">
        <v>56</v>
      </c>
      <c r="S1146" t="s">
        <v>178</v>
      </c>
      <c r="T1146" t="str">
        <f>IF(COUNTIF($A$2:A1146,A1146)&gt;1,"Duplicate","Unique")</f>
        <v>Unique</v>
      </c>
    </row>
    <row r="1147" spans="1:20" x14ac:dyDescent="0.45">
      <c r="A1147" t="s">
        <v>1255</v>
      </c>
      <c r="B1147" t="s">
        <v>1256</v>
      </c>
      <c r="C1147" t="s">
        <v>51</v>
      </c>
      <c r="D1147" t="s">
        <v>2464</v>
      </c>
      <c r="E1147" t="s">
        <v>181</v>
      </c>
      <c r="F1147" t="s">
        <v>81</v>
      </c>
      <c r="G1147" t="s">
        <v>182</v>
      </c>
      <c r="H1147" t="s">
        <v>111</v>
      </c>
      <c r="I1147" t="s">
        <v>110</v>
      </c>
      <c r="J1147" t="s">
        <v>2808</v>
      </c>
      <c r="K1147" t="s">
        <v>162</v>
      </c>
      <c r="M1147" t="s">
        <v>163</v>
      </c>
      <c r="N1147" t="s">
        <v>99</v>
      </c>
      <c r="O1147" s="27">
        <v>665000</v>
      </c>
      <c r="P1147">
        <v>1</v>
      </c>
      <c r="Q1147" t="s">
        <v>2624</v>
      </c>
      <c r="R1147">
        <v>4</v>
      </c>
      <c r="S1147" t="s">
        <v>178</v>
      </c>
      <c r="T1147" t="str">
        <f>IF(COUNTIF($A$2:A1147,A1147)&gt;1,"Duplicate","Unique")</f>
        <v>Unique</v>
      </c>
    </row>
    <row r="1148" spans="1:20" x14ac:dyDescent="0.45">
      <c r="A1148" t="s">
        <v>655</v>
      </c>
      <c r="B1148" t="s">
        <v>3605</v>
      </c>
      <c r="C1148" t="s">
        <v>53</v>
      </c>
      <c r="D1148" t="s">
        <v>2442</v>
      </c>
      <c r="E1148" t="s">
        <v>185</v>
      </c>
      <c r="F1148" t="s">
        <v>82</v>
      </c>
      <c r="G1148" t="s">
        <v>186</v>
      </c>
      <c r="H1148" t="s">
        <v>108</v>
      </c>
      <c r="I1148" t="s">
        <v>107</v>
      </c>
      <c r="J1148" t="s">
        <v>3606</v>
      </c>
      <c r="K1148" t="s">
        <v>162</v>
      </c>
      <c r="M1148" t="s">
        <v>163</v>
      </c>
      <c r="N1148" t="s">
        <v>98</v>
      </c>
      <c r="O1148" s="27">
        <v>1095000</v>
      </c>
      <c r="P1148">
        <v>3</v>
      </c>
      <c r="Q1148" t="s">
        <v>172</v>
      </c>
      <c r="R1148">
        <v>35</v>
      </c>
      <c r="S1148" t="s">
        <v>194</v>
      </c>
      <c r="T1148" t="str">
        <f>IF(COUNTIF($A$2:A1148,A1148)&gt;1,"Duplicate","Unique")</f>
        <v>Unique</v>
      </c>
    </row>
    <row r="1149" spans="1:20" x14ac:dyDescent="0.45">
      <c r="A1149" t="s">
        <v>2035</v>
      </c>
      <c r="B1149" t="s">
        <v>3607</v>
      </c>
      <c r="C1149" t="s">
        <v>51</v>
      </c>
      <c r="D1149" t="s">
        <v>50</v>
      </c>
      <c r="E1149" t="s">
        <v>181</v>
      </c>
      <c r="F1149" t="s">
        <v>81</v>
      </c>
      <c r="G1149" t="s">
        <v>182</v>
      </c>
      <c r="H1149" t="s">
        <v>106</v>
      </c>
      <c r="I1149" t="s">
        <v>107</v>
      </c>
      <c r="J1149" t="s">
        <v>3064</v>
      </c>
      <c r="K1149" t="s">
        <v>162</v>
      </c>
      <c r="M1149" t="s">
        <v>163</v>
      </c>
      <c r="N1149" t="s">
        <v>97</v>
      </c>
      <c r="O1149" s="27">
        <v>694000</v>
      </c>
      <c r="P1149">
        <v>3</v>
      </c>
      <c r="Q1149" t="s">
        <v>164</v>
      </c>
      <c r="R1149">
        <v>22</v>
      </c>
      <c r="S1149" t="s">
        <v>178</v>
      </c>
      <c r="T1149" t="str">
        <f>IF(COUNTIF($A$2:A1149,A1149)&gt;1,"Duplicate","Unique")</f>
        <v>Unique</v>
      </c>
    </row>
    <row r="1150" spans="1:20" x14ac:dyDescent="0.45">
      <c r="A1150" t="s">
        <v>1600</v>
      </c>
      <c r="B1150" t="s">
        <v>1551</v>
      </c>
      <c r="C1150" t="s">
        <v>51</v>
      </c>
      <c r="D1150" t="s">
        <v>50</v>
      </c>
      <c r="E1150" t="s">
        <v>181</v>
      </c>
      <c r="F1150" t="s">
        <v>81</v>
      </c>
      <c r="G1150" t="s">
        <v>182</v>
      </c>
      <c r="H1150" t="s">
        <v>109</v>
      </c>
      <c r="I1150" t="s">
        <v>110</v>
      </c>
      <c r="J1150" t="s">
        <v>2567</v>
      </c>
      <c r="K1150" t="s">
        <v>162</v>
      </c>
      <c r="M1150" t="s">
        <v>163</v>
      </c>
      <c r="N1150" t="s">
        <v>97</v>
      </c>
      <c r="O1150" s="27">
        <v>761000</v>
      </c>
      <c r="P1150">
        <v>3</v>
      </c>
      <c r="Q1150" t="s">
        <v>164</v>
      </c>
      <c r="R1150">
        <v>15</v>
      </c>
      <c r="S1150" t="s">
        <v>219</v>
      </c>
      <c r="T1150" t="str">
        <f>IF(COUNTIF($A$2:A1150,A1150)&gt;1,"Duplicate","Unique")</f>
        <v>Unique</v>
      </c>
    </row>
    <row r="1151" spans="1:20" x14ac:dyDescent="0.45">
      <c r="A1151" t="s">
        <v>1457</v>
      </c>
      <c r="B1151" t="s">
        <v>276</v>
      </c>
      <c r="C1151" t="s">
        <v>51</v>
      </c>
      <c r="D1151" t="s">
        <v>50</v>
      </c>
      <c r="E1151" t="s">
        <v>181</v>
      </c>
      <c r="F1151" t="s">
        <v>81</v>
      </c>
      <c r="G1151" t="s">
        <v>182</v>
      </c>
      <c r="H1151" t="s">
        <v>106</v>
      </c>
      <c r="I1151" t="s">
        <v>107</v>
      </c>
      <c r="J1151" t="s">
        <v>3608</v>
      </c>
      <c r="K1151" t="s">
        <v>187</v>
      </c>
      <c r="L1151" t="s">
        <v>3015</v>
      </c>
      <c r="M1151" t="s">
        <v>213</v>
      </c>
      <c r="N1151" t="s">
        <v>99</v>
      </c>
      <c r="O1151" s="27">
        <v>789000</v>
      </c>
      <c r="P1151">
        <v>3</v>
      </c>
      <c r="Q1151" t="s">
        <v>164</v>
      </c>
      <c r="R1151">
        <v>45</v>
      </c>
      <c r="S1151" t="s">
        <v>197</v>
      </c>
      <c r="T1151" t="str">
        <f>IF(COUNTIF($A$2:A1151,A1151)&gt;1,"Duplicate","Unique")</f>
        <v>Unique</v>
      </c>
    </row>
    <row r="1152" spans="1:20" x14ac:dyDescent="0.45">
      <c r="A1152" t="s">
        <v>1277</v>
      </c>
      <c r="B1152" t="s">
        <v>1116</v>
      </c>
      <c r="C1152" t="s">
        <v>53</v>
      </c>
      <c r="D1152" t="s">
        <v>52</v>
      </c>
      <c r="E1152" t="s">
        <v>185</v>
      </c>
      <c r="F1152" t="s">
        <v>82</v>
      </c>
      <c r="G1152" t="s">
        <v>186</v>
      </c>
      <c r="H1152" t="s">
        <v>112</v>
      </c>
      <c r="I1152" t="s">
        <v>113</v>
      </c>
      <c r="J1152" t="s">
        <v>3609</v>
      </c>
      <c r="K1152" t="s">
        <v>162</v>
      </c>
      <c r="M1152" t="s">
        <v>163</v>
      </c>
      <c r="N1152" t="s">
        <v>95</v>
      </c>
      <c r="O1152" s="27">
        <v>1269000</v>
      </c>
      <c r="P1152">
        <v>3</v>
      </c>
      <c r="Q1152" t="s">
        <v>172</v>
      </c>
      <c r="S1152" t="s">
        <v>237</v>
      </c>
      <c r="T1152" t="str">
        <f>IF(COUNTIF($A$2:A1152,A1152)&gt;1,"Duplicate","Unique")</f>
        <v>Unique</v>
      </c>
    </row>
    <row r="1153" spans="1:20" x14ac:dyDescent="0.45">
      <c r="A1153" t="s">
        <v>254</v>
      </c>
      <c r="B1153" t="s">
        <v>255</v>
      </c>
      <c r="C1153" t="s">
        <v>51</v>
      </c>
      <c r="D1153" t="s">
        <v>50</v>
      </c>
      <c r="E1153" t="s">
        <v>176</v>
      </c>
      <c r="F1153" t="s">
        <v>82</v>
      </c>
      <c r="G1153" t="s">
        <v>177</v>
      </c>
      <c r="H1153" t="s">
        <v>109</v>
      </c>
      <c r="I1153" t="s">
        <v>110</v>
      </c>
      <c r="J1153" t="s">
        <v>3610</v>
      </c>
      <c r="K1153" t="s">
        <v>162</v>
      </c>
      <c r="M1153" t="s">
        <v>163</v>
      </c>
      <c r="N1153" t="s">
        <v>99</v>
      </c>
      <c r="O1153" s="27">
        <v>940000</v>
      </c>
      <c r="P1153">
        <v>4</v>
      </c>
      <c r="Q1153" t="s">
        <v>164</v>
      </c>
      <c r="R1153">
        <v>26</v>
      </c>
      <c r="S1153" t="s">
        <v>178</v>
      </c>
      <c r="T1153" t="str">
        <f>IF(COUNTIF($A$2:A1153,A1153)&gt;1,"Duplicate","Unique")</f>
        <v>Unique</v>
      </c>
    </row>
    <row r="1154" spans="1:20" x14ac:dyDescent="0.45">
      <c r="A1154" t="s">
        <v>2155</v>
      </c>
      <c r="B1154" t="s">
        <v>1454</v>
      </c>
      <c r="C1154" t="s">
        <v>61</v>
      </c>
      <c r="D1154" t="s">
        <v>60</v>
      </c>
      <c r="E1154" t="s">
        <v>356</v>
      </c>
      <c r="F1154" t="s">
        <v>81</v>
      </c>
      <c r="G1154" t="s">
        <v>357</v>
      </c>
      <c r="H1154" t="s">
        <v>109</v>
      </c>
      <c r="I1154" t="s">
        <v>110</v>
      </c>
      <c r="J1154" t="s">
        <v>2846</v>
      </c>
      <c r="K1154" t="s">
        <v>162</v>
      </c>
      <c r="M1154" t="s">
        <v>163</v>
      </c>
      <c r="N1154" t="s">
        <v>99</v>
      </c>
      <c r="O1154" s="27">
        <v>598000</v>
      </c>
      <c r="P1154">
        <v>4</v>
      </c>
      <c r="Q1154" t="s">
        <v>172</v>
      </c>
      <c r="R1154">
        <v>59</v>
      </c>
      <c r="S1154" t="s">
        <v>319</v>
      </c>
      <c r="T1154" t="str">
        <f>IF(COUNTIF($A$2:A1154,A1154)&gt;1,"Duplicate","Unique")</f>
        <v>Unique</v>
      </c>
    </row>
    <row r="1155" spans="1:20" x14ac:dyDescent="0.45">
      <c r="A1155" t="s">
        <v>845</v>
      </c>
      <c r="B1155" t="s">
        <v>767</v>
      </c>
      <c r="C1155" t="s">
        <v>57</v>
      </c>
      <c r="D1155" t="s">
        <v>2476</v>
      </c>
      <c r="E1155" t="s">
        <v>222</v>
      </c>
      <c r="F1155" t="s">
        <v>82</v>
      </c>
      <c r="G1155" t="s">
        <v>223</v>
      </c>
      <c r="H1155" t="s">
        <v>106</v>
      </c>
      <c r="I1155" t="s">
        <v>107</v>
      </c>
      <c r="J1155" t="s">
        <v>3223</v>
      </c>
      <c r="K1155" t="s">
        <v>162</v>
      </c>
      <c r="M1155" t="s">
        <v>163</v>
      </c>
      <c r="N1155" t="s">
        <v>98</v>
      </c>
      <c r="O1155" s="27">
        <v>1122000</v>
      </c>
      <c r="P1155">
        <v>3</v>
      </c>
      <c r="Q1155" t="s">
        <v>164</v>
      </c>
      <c r="R1155">
        <v>39</v>
      </c>
      <c r="S1155" t="s">
        <v>224</v>
      </c>
      <c r="T1155" t="str">
        <f>IF(COUNTIF($A$2:A1155,A1155)&gt;1,"Duplicate","Unique")</f>
        <v>Unique</v>
      </c>
    </row>
    <row r="1156" spans="1:20" x14ac:dyDescent="0.45">
      <c r="A1156" t="s">
        <v>977</v>
      </c>
      <c r="B1156" t="s">
        <v>978</v>
      </c>
      <c r="C1156" t="s">
        <v>61</v>
      </c>
      <c r="D1156" t="s">
        <v>60</v>
      </c>
      <c r="E1156" t="s">
        <v>251</v>
      </c>
      <c r="F1156" t="s">
        <v>82</v>
      </c>
      <c r="G1156" t="s">
        <v>252</v>
      </c>
      <c r="H1156" t="s">
        <v>108</v>
      </c>
      <c r="I1156" t="s">
        <v>107</v>
      </c>
      <c r="J1156" t="s">
        <v>3065</v>
      </c>
      <c r="K1156" t="s">
        <v>162</v>
      </c>
      <c r="M1156" t="s">
        <v>163</v>
      </c>
      <c r="N1156" t="s">
        <v>97</v>
      </c>
      <c r="O1156" s="27">
        <v>997000</v>
      </c>
      <c r="P1156">
        <v>3</v>
      </c>
      <c r="Q1156" t="s">
        <v>164</v>
      </c>
      <c r="R1156">
        <v>42</v>
      </c>
      <c r="S1156" t="s">
        <v>253</v>
      </c>
      <c r="T1156" t="str">
        <f>IF(COUNTIF($A$2:A1156,A1156)&gt;1,"Duplicate","Unique")</f>
        <v>Unique</v>
      </c>
    </row>
    <row r="1157" spans="1:20" x14ac:dyDescent="0.45">
      <c r="A1157" t="s">
        <v>1361</v>
      </c>
      <c r="B1157" t="s">
        <v>3611</v>
      </c>
      <c r="C1157" t="s">
        <v>51</v>
      </c>
      <c r="D1157" t="s">
        <v>50</v>
      </c>
      <c r="E1157" t="s">
        <v>176</v>
      </c>
      <c r="F1157" t="s">
        <v>82</v>
      </c>
      <c r="G1157" t="s">
        <v>177</v>
      </c>
      <c r="H1157" t="s">
        <v>106</v>
      </c>
      <c r="I1157" t="s">
        <v>107</v>
      </c>
      <c r="J1157" t="s">
        <v>2792</v>
      </c>
      <c r="K1157" t="s">
        <v>162</v>
      </c>
      <c r="M1157" t="s">
        <v>163</v>
      </c>
      <c r="N1157" t="s">
        <v>96</v>
      </c>
      <c r="O1157" s="27">
        <v>1343000</v>
      </c>
      <c r="P1157">
        <v>2</v>
      </c>
      <c r="Q1157" t="s">
        <v>164</v>
      </c>
      <c r="R1157">
        <v>13</v>
      </c>
      <c r="S1157" t="s">
        <v>244</v>
      </c>
      <c r="T1157" t="str">
        <f>IF(COUNTIF($A$2:A1157,A1157)&gt;1,"Duplicate","Unique")</f>
        <v>Unique</v>
      </c>
    </row>
    <row r="1158" spans="1:20" x14ac:dyDescent="0.45">
      <c r="A1158" t="s">
        <v>1353</v>
      </c>
      <c r="B1158" t="s">
        <v>973</v>
      </c>
      <c r="C1158" t="s">
        <v>51</v>
      </c>
      <c r="D1158" t="s">
        <v>50</v>
      </c>
      <c r="E1158" t="s">
        <v>176</v>
      </c>
      <c r="F1158" t="s">
        <v>82</v>
      </c>
      <c r="G1158" t="s">
        <v>177</v>
      </c>
      <c r="H1158" t="s">
        <v>108</v>
      </c>
      <c r="I1158" t="s">
        <v>107</v>
      </c>
      <c r="J1158" t="s">
        <v>3612</v>
      </c>
      <c r="K1158" t="s">
        <v>170</v>
      </c>
      <c r="L1158" t="s">
        <v>3206</v>
      </c>
      <c r="M1158" t="s">
        <v>171</v>
      </c>
      <c r="N1158" t="s">
        <v>99</v>
      </c>
      <c r="O1158" s="27">
        <v>872000</v>
      </c>
      <c r="P1158">
        <v>2</v>
      </c>
      <c r="Q1158" t="s">
        <v>164</v>
      </c>
      <c r="R1158">
        <v>34</v>
      </c>
      <c r="S1158" t="s">
        <v>219</v>
      </c>
      <c r="T1158" t="str">
        <f>IF(COUNTIF($A$2:A1158,A1158)&gt;1,"Duplicate","Unique")</f>
        <v>Unique</v>
      </c>
    </row>
    <row r="1159" spans="1:20" x14ac:dyDescent="0.45">
      <c r="A1159" t="s">
        <v>870</v>
      </c>
      <c r="B1159" t="s">
        <v>321</v>
      </c>
      <c r="C1159" t="s">
        <v>51</v>
      </c>
      <c r="D1159" t="s">
        <v>50</v>
      </c>
      <c r="E1159" t="s">
        <v>181</v>
      </c>
      <c r="F1159" t="s">
        <v>81</v>
      </c>
      <c r="G1159" t="s">
        <v>182</v>
      </c>
      <c r="H1159" t="s">
        <v>106</v>
      </c>
      <c r="I1159" t="s">
        <v>107</v>
      </c>
      <c r="J1159" t="s">
        <v>3613</v>
      </c>
      <c r="K1159" t="s">
        <v>187</v>
      </c>
      <c r="L1159" t="s">
        <v>2563</v>
      </c>
      <c r="M1159" t="s">
        <v>213</v>
      </c>
      <c r="N1159" t="s">
        <v>95</v>
      </c>
      <c r="O1159" s="27">
        <v>769000</v>
      </c>
      <c r="P1159">
        <v>3</v>
      </c>
      <c r="Q1159" t="s">
        <v>172</v>
      </c>
      <c r="R1159">
        <v>78</v>
      </c>
      <c r="S1159" t="s">
        <v>219</v>
      </c>
      <c r="T1159" t="str">
        <f>IF(COUNTIF($A$2:A1159,A1159)&gt;1,"Duplicate","Unique")</f>
        <v>Unique</v>
      </c>
    </row>
    <row r="1160" spans="1:20" x14ac:dyDescent="0.45">
      <c r="A1160" t="s">
        <v>800</v>
      </c>
      <c r="B1160" t="s">
        <v>3614</v>
      </c>
      <c r="C1160" t="s">
        <v>57</v>
      </c>
      <c r="D1160" t="s">
        <v>56</v>
      </c>
      <c r="E1160" t="s">
        <v>391</v>
      </c>
      <c r="F1160" t="s">
        <v>83</v>
      </c>
      <c r="G1160" t="s">
        <v>392</v>
      </c>
      <c r="H1160" t="s">
        <v>106</v>
      </c>
      <c r="I1160" t="s">
        <v>107</v>
      </c>
      <c r="J1160" t="s">
        <v>2568</v>
      </c>
      <c r="K1160" t="s">
        <v>162</v>
      </c>
      <c r="M1160" t="s">
        <v>163</v>
      </c>
      <c r="N1160" t="s">
        <v>99</v>
      </c>
      <c r="O1160" s="27">
        <v>1857000</v>
      </c>
      <c r="P1160">
        <v>3</v>
      </c>
      <c r="Q1160" t="s">
        <v>164</v>
      </c>
      <c r="R1160">
        <v>47</v>
      </c>
      <c r="S1160" t="s">
        <v>165</v>
      </c>
      <c r="T1160" t="str">
        <f>IF(COUNTIF($A$2:A1160,A1160)&gt;1,"Duplicate","Unique")</f>
        <v>Unique</v>
      </c>
    </row>
    <row r="1161" spans="1:20" x14ac:dyDescent="0.45">
      <c r="A1161" t="s">
        <v>1019</v>
      </c>
      <c r="B1161" t="s">
        <v>1020</v>
      </c>
      <c r="C1161" t="s">
        <v>51</v>
      </c>
      <c r="D1161" t="s">
        <v>50</v>
      </c>
      <c r="E1161" t="s">
        <v>217</v>
      </c>
      <c r="F1161" t="s">
        <v>83</v>
      </c>
      <c r="G1161" t="s">
        <v>218</v>
      </c>
      <c r="H1161" t="s">
        <v>109</v>
      </c>
      <c r="I1161" t="s">
        <v>110</v>
      </c>
      <c r="J1161" t="s">
        <v>2840</v>
      </c>
      <c r="K1161" t="s">
        <v>162</v>
      </c>
      <c r="M1161" t="s">
        <v>163</v>
      </c>
      <c r="N1161" t="s">
        <v>97</v>
      </c>
      <c r="O1161" s="27">
        <v>2097000</v>
      </c>
      <c r="P1161">
        <v>2</v>
      </c>
      <c r="Q1161" t="s">
        <v>164</v>
      </c>
      <c r="R1161">
        <v>22</v>
      </c>
      <c r="S1161" t="s">
        <v>219</v>
      </c>
      <c r="T1161" t="str">
        <f>IF(COUNTIF($A$2:A1161,A1161)&gt;1,"Duplicate","Unique")</f>
        <v>Unique</v>
      </c>
    </row>
    <row r="1162" spans="1:20" x14ac:dyDescent="0.45">
      <c r="A1162" t="s">
        <v>2239</v>
      </c>
      <c r="B1162" t="s">
        <v>343</v>
      </c>
      <c r="C1162" t="s">
        <v>51</v>
      </c>
      <c r="D1162" t="s">
        <v>2620</v>
      </c>
      <c r="E1162" t="s">
        <v>181</v>
      </c>
      <c r="F1162" t="s">
        <v>81</v>
      </c>
      <c r="G1162" t="s">
        <v>182</v>
      </c>
      <c r="H1162" t="s">
        <v>108</v>
      </c>
      <c r="I1162" t="s">
        <v>107</v>
      </c>
      <c r="J1162" t="s">
        <v>3512</v>
      </c>
      <c r="K1162" t="s">
        <v>162</v>
      </c>
      <c r="M1162" t="s">
        <v>163</v>
      </c>
      <c r="N1162" t="s">
        <v>99</v>
      </c>
      <c r="O1162" s="27">
        <v>848000</v>
      </c>
      <c r="P1162">
        <v>2</v>
      </c>
      <c r="Q1162" t="s">
        <v>172</v>
      </c>
      <c r="R1162">
        <v>13</v>
      </c>
      <c r="S1162" t="s">
        <v>219</v>
      </c>
      <c r="T1162" t="str">
        <f>IF(COUNTIF($A$2:A1162,A1162)&gt;1,"Duplicate","Unique")</f>
        <v>Unique</v>
      </c>
    </row>
    <row r="1163" spans="1:20" x14ac:dyDescent="0.45">
      <c r="A1163" t="s">
        <v>1444</v>
      </c>
      <c r="B1163" t="s">
        <v>1445</v>
      </c>
      <c r="C1163" t="s">
        <v>51</v>
      </c>
      <c r="D1163" t="s">
        <v>50</v>
      </c>
      <c r="E1163" t="s">
        <v>217</v>
      </c>
      <c r="F1163" t="s">
        <v>83</v>
      </c>
      <c r="G1163" t="s">
        <v>218</v>
      </c>
      <c r="H1163" t="s">
        <v>106</v>
      </c>
      <c r="I1163" t="s">
        <v>107</v>
      </c>
      <c r="J1163" t="s">
        <v>3284</v>
      </c>
      <c r="K1163" t="s">
        <v>162</v>
      </c>
      <c r="M1163" t="s">
        <v>163</v>
      </c>
      <c r="N1163" t="s">
        <v>95</v>
      </c>
      <c r="O1163" s="27">
        <v>1432000</v>
      </c>
      <c r="P1163">
        <v>3</v>
      </c>
      <c r="Q1163" t="s">
        <v>172</v>
      </c>
      <c r="R1163">
        <v>49</v>
      </c>
      <c r="S1163" t="s">
        <v>219</v>
      </c>
      <c r="T1163" t="str">
        <f>IF(COUNTIF($A$2:A1163,A1163)&gt;1,"Duplicate","Unique")</f>
        <v>Unique</v>
      </c>
    </row>
    <row r="1164" spans="1:20" x14ac:dyDescent="0.45">
      <c r="A1164" t="s">
        <v>2131</v>
      </c>
      <c r="B1164" t="s">
        <v>1715</v>
      </c>
      <c r="C1164" t="s">
        <v>53</v>
      </c>
      <c r="D1164" t="s">
        <v>52</v>
      </c>
      <c r="E1164" t="s">
        <v>185</v>
      </c>
      <c r="F1164" t="s">
        <v>82</v>
      </c>
      <c r="G1164" t="s">
        <v>186</v>
      </c>
      <c r="H1164" t="s">
        <v>106</v>
      </c>
      <c r="I1164" t="s">
        <v>107</v>
      </c>
      <c r="J1164" t="s">
        <v>2707</v>
      </c>
      <c r="K1164" t="s">
        <v>162</v>
      </c>
      <c r="M1164" t="s">
        <v>163</v>
      </c>
      <c r="N1164" t="s">
        <v>95</v>
      </c>
      <c r="O1164" s="27">
        <v>1239000</v>
      </c>
      <c r="P1164">
        <v>2</v>
      </c>
      <c r="Q1164" t="s">
        <v>164</v>
      </c>
      <c r="R1164">
        <v>27</v>
      </c>
      <c r="S1164" t="s">
        <v>237</v>
      </c>
      <c r="T1164" t="str">
        <f>IF(COUNTIF($A$2:A1164,A1164)&gt;1,"Duplicate","Unique")</f>
        <v>Unique</v>
      </c>
    </row>
    <row r="1165" spans="1:20" x14ac:dyDescent="0.45">
      <c r="A1165" t="s">
        <v>430</v>
      </c>
      <c r="B1165" t="s">
        <v>431</v>
      </c>
      <c r="C1165" t="s">
        <v>53</v>
      </c>
      <c r="D1165" t="s">
        <v>52</v>
      </c>
      <c r="E1165" t="s">
        <v>185</v>
      </c>
      <c r="F1165" t="s">
        <v>82</v>
      </c>
      <c r="G1165" t="s">
        <v>186</v>
      </c>
      <c r="H1165" t="s">
        <v>106</v>
      </c>
      <c r="I1165" t="s">
        <v>107</v>
      </c>
      <c r="J1165" t="s">
        <v>3615</v>
      </c>
      <c r="K1165" t="s">
        <v>162</v>
      </c>
      <c r="M1165" t="s">
        <v>163</v>
      </c>
      <c r="N1165" t="s">
        <v>99</v>
      </c>
      <c r="O1165" s="27">
        <v>961000</v>
      </c>
      <c r="P1165">
        <v>3</v>
      </c>
      <c r="Q1165" t="s">
        <v>164</v>
      </c>
      <c r="R1165">
        <v>27</v>
      </c>
      <c r="S1165" t="s">
        <v>194</v>
      </c>
      <c r="T1165" t="str">
        <f>IF(COUNTIF($A$2:A1165,A1165)&gt;1,"Duplicate","Unique")</f>
        <v>Unique</v>
      </c>
    </row>
    <row r="1166" spans="1:20" x14ac:dyDescent="0.45">
      <c r="A1166" t="s">
        <v>2042</v>
      </c>
      <c r="B1166" t="s">
        <v>435</v>
      </c>
      <c r="C1166" t="s">
        <v>59</v>
      </c>
      <c r="D1166" t="s">
        <v>58</v>
      </c>
      <c r="E1166" t="s">
        <v>206</v>
      </c>
      <c r="F1166" t="s">
        <v>81</v>
      </c>
      <c r="G1166" t="s">
        <v>207</v>
      </c>
      <c r="H1166" t="s">
        <v>108</v>
      </c>
      <c r="I1166" t="s">
        <v>107</v>
      </c>
      <c r="J1166" t="s">
        <v>3085</v>
      </c>
      <c r="K1166" t="s">
        <v>162</v>
      </c>
      <c r="M1166" t="s">
        <v>163</v>
      </c>
      <c r="N1166" t="s">
        <v>96</v>
      </c>
      <c r="O1166" s="27">
        <v>579000</v>
      </c>
      <c r="P1166">
        <v>4</v>
      </c>
      <c r="Q1166" t="s">
        <v>164</v>
      </c>
      <c r="R1166">
        <v>53</v>
      </c>
      <c r="S1166" t="s">
        <v>214</v>
      </c>
      <c r="T1166" t="str">
        <f>IF(COUNTIF($A$2:A1166,A1166)&gt;1,"Duplicate","Unique")</f>
        <v>Unique</v>
      </c>
    </row>
    <row r="1167" spans="1:20" x14ac:dyDescent="0.45">
      <c r="A1167" t="s">
        <v>2014</v>
      </c>
      <c r="B1167" t="s">
        <v>2015</v>
      </c>
      <c r="C1167" t="s">
        <v>51</v>
      </c>
      <c r="D1167" t="s">
        <v>50</v>
      </c>
      <c r="E1167" t="s">
        <v>181</v>
      </c>
      <c r="F1167" t="s">
        <v>81</v>
      </c>
      <c r="G1167" t="s">
        <v>182</v>
      </c>
      <c r="H1167" t="s">
        <v>106</v>
      </c>
      <c r="I1167" t="s">
        <v>107</v>
      </c>
      <c r="J1167" t="s">
        <v>2887</v>
      </c>
      <c r="K1167" t="s">
        <v>162</v>
      </c>
      <c r="M1167" t="s">
        <v>163</v>
      </c>
      <c r="N1167" t="s">
        <v>99</v>
      </c>
      <c r="O1167" s="27">
        <v>601000</v>
      </c>
      <c r="P1167">
        <v>3</v>
      </c>
      <c r="Q1167" t="s">
        <v>164</v>
      </c>
      <c r="R1167">
        <v>30</v>
      </c>
      <c r="S1167" t="s">
        <v>197</v>
      </c>
      <c r="T1167" t="str">
        <f>IF(COUNTIF($A$2:A1167,A1167)&gt;1,"Duplicate","Unique")</f>
        <v>Unique</v>
      </c>
    </row>
    <row r="1168" spans="1:20" x14ac:dyDescent="0.45">
      <c r="A1168" t="s">
        <v>1751</v>
      </c>
      <c r="B1168" t="s">
        <v>755</v>
      </c>
      <c r="C1168" t="s">
        <v>55</v>
      </c>
      <c r="D1168" t="s">
        <v>54</v>
      </c>
      <c r="E1168" t="s">
        <v>229</v>
      </c>
      <c r="F1168" t="s">
        <v>82</v>
      </c>
      <c r="G1168" t="s">
        <v>230</v>
      </c>
      <c r="H1168" t="s">
        <v>108</v>
      </c>
      <c r="I1168" t="s">
        <v>107</v>
      </c>
      <c r="J1168" t="s">
        <v>3616</v>
      </c>
      <c r="K1168" t="s">
        <v>162</v>
      </c>
      <c r="M1168" t="s">
        <v>163</v>
      </c>
      <c r="N1168" t="s">
        <v>99</v>
      </c>
      <c r="O1168" s="27">
        <v>1116000</v>
      </c>
      <c r="P1168">
        <v>3</v>
      </c>
      <c r="Q1168" t="s">
        <v>164</v>
      </c>
      <c r="R1168">
        <v>31</v>
      </c>
      <c r="S1168" t="s">
        <v>173</v>
      </c>
      <c r="T1168" t="str">
        <f>IF(COUNTIF($A$2:A1168,A1168)&gt;1,"Duplicate","Unique")</f>
        <v>Unique</v>
      </c>
    </row>
    <row r="1169" spans="1:20" x14ac:dyDescent="0.45">
      <c r="A1169" t="s">
        <v>1046</v>
      </c>
      <c r="B1169" t="s">
        <v>316</v>
      </c>
      <c r="C1169" t="s">
        <v>55</v>
      </c>
      <c r="D1169" t="s">
        <v>54</v>
      </c>
      <c r="E1169" t="s">
        <v>277</v>
      </c>
      <c r="F1169" t="s">
        <v>81</v>
      </c>
      <c r="G1169" t="s">
        <v>278</v>
      </c>
      <c r="H1169" t="s">
        <v>106</v>
      </c>
      <c r="I1169" t="s">
        <v>107</v>
      </c>
      <c r="J1169" t="s">
        <v>3271</v>
      </c>
      <c r="K1169" t="s">
        <v>187</v>
      </c>
      <c r="L1169" t="s">
        <v>3617</v>
      </c>
      <c r="M1169" t="s">
        <v>269</v>
      </c>
      <c r="N1169" t="s">
        <v>99</v>
      </c>
      <c r="O1169" s="27">
        <v>704000</v>
      </c>
      <c r="P1169">
        <v>3</v>
      </c>
      <c r="Q1169" t="s">
        <v>172</v>
      </c>
      <c r="R1169">
        <v>44</v>
      </c>
      <c r="S1169" t="s">
        <v>274</v>
      </c>
      <c r="T1169" t="str">
        <f>IF(COUNTIF($A$2:A1169,A1169)&gt;1,"Duplicate","Unique")</f>
        <v>Unique</v>
      </c>
    </row>
    <row r="1170" spans="1:20" x14ac:dyDescent="0.45">
      <c r="A1170" t="s">
        <v>1750</v>
      </c>
      <c r="B1170" t="s">
        <v>691</v>
      </c>
      <c r="C1170" t="s">
        <v>53</v>
      </c>
      <c r="D1170" t="s">
        <v>52</v>
      </c>
      <c r="E1170" t="s">
        <v>200</v>
      </c>
      <c r="F1170" t="s">
        <v>84</v>
      </c>
      <c r="G1170" t="s">
        <v>201</v>
      </c>
      <c r="H1170" t="s">
        <v>106</v>
      </c>
      <c r="I1170" t="s">
        <v>107</v>
      </c>
      <c r="J1170" t="s">
        <v>2462</v>
      </c>
      <c r="K1170" t="s">
        <v>162</v>
      </c>
      <c r="M1170" t="s">
        <v>163</v>
      </c>
      <c r="N1170" t="s">
        <v>99</v>
      </c>
      <c r="O1170" s="27">
        <v>3020000</v>
      </c>
      <c r="P1170">
        <v>5</v>
      </c>
      <c r="Q1170" t="s">
        <v>164</v>
      </c>
      <c r="R1170">
        <v>37</v>
      </c>
      <c r="S1170" t="s">
        <v>194</v>
      </c>
      <c r="T1170" t="str">
        <f>IF(COUNTIF($A$2:A1170,A1170)&gt;1,"Duplicate","Unique")</f>
        <v>Unique</v>
      </c>
    </row>
    <row r="1171" spans="1:20" x14ac:dyDescent="0.45">
      <c r="A1171" t="s">
        <v>1838</v>
      </c>
      <c r="B1171" t="s">
        <v>246</v>
      </c>
      <c r="C1171" t="s">
        <v>61</v>
      </c>
      <c r="D1171" t="s">
        <v>60</v>
      </c>
      <c r="E1171" t="s">
        <v>356</v>
      </c>
      <c r="F1171" t="s">
        <v>81</v>
      </c>
      <c r="G1171" t="s">
        <v>357</v>
      </c>
      <c r="H1171" t="s">
        <v>111</v>
      </c>
      <c r="I1171" t="s">
        <v>110</v>
      </c>
      <c r="J1171" t="s">
        <v>3618</v>
      </c>
      <c r="K1171" t="s">
        <v>162</v>
      </c>
      <c r="M1171" t="s">
        <v>163</v>
      </c>
      <c r="N1171" t="s">
        <v>97</v>
      </c>
      <c r="O1171" s="27">
        <v>790000</v>
      </c>
      <c r="P1171">
        <v>5</v>
      </c>
      <c r="Q1171" t="s">
        <v>164</v>
      </c>
      <c r="R1171">
        <v>28</v>
      </c>
      <c r="S1171" t="s">
        <v>253</v>
      </c>
      <c r="T1171" t="str">
        <f>IF(COUNTIF($A$2:A1171,A1171)&gt;1,"Duplicate","Unique")</f>
        <v>Unique</v>
      </c>
    </row>
    <row r="1172" spans="1:20" x14ac:dyDescent="0.45">
      <c r="A1172" t="s">
        <v>1386</v>
      </c>
      <c r="B1172" t="s">
        <v>1387</v>
      </c>
      <c r="C1172" t="s">
        <v>55</v>
      </c>
      <c r="D1172" t="s">
        <v>54</v>
      </c>
      <c r="E1172" t="s">
        <v>229</v>
      </c>
      <c r="F1172" t="s">
        <v>82</v>
      </c>
      <c r="G1172" t="s">
        <v>230</v>
      </c>
      <c r="H1172" t="s">
        <v>106</v>
      </c>
      <c r="I1172" t="s">
        <v>107</v>
      </c>
      <c r="J1172" t="s">
        <v>3357</v>
      </c>
      <c r="K1172" t="s">
        <v>170</v>
      </c>
      <c r="L1172" t="s">
        <v>3178</v>
      </c>
      <c r="M1172" t="s">
        <v>171</v>
      </c>
      <c r="N1172" t="s">
        <v>96</v>
      </c>
      <c r="O1172" s="27">
        <v>1168000</v>
      </c>
      <c r="P1172">
        <v>1</v>
      </c>
      <c r="Q1172" t="s">
        <v>172</v>
      </c>
      <c r="R1172">
        <v>19</v>
      </c>
      <c r="S1172" t="s">
        <v>274</v>
      </c>
      <c r="T1172" t="str">
        <f>IF(COUNTIF($A$2:A1172,A1172)&gt;1,"Duplicate","Unique")</f>
        <v>Unique</v>
      </c>
    </row>
    <row r="1173" spans="1:20" x14ac:dyDescent="0.45">
      <c r="A1173" t="s">
        <v>1438</v>
      </c>
      <c r="B1173" t="s">
        <v>1439</v>
      </c>
      <c r="C1173" t="s">
        <v>51</v>
      </c>
      <c r="D1173" t="s">
        <v>50</v>
      </c>
      <c r="E1173" t="s">
        <v>181</v>
      </c>
      <c r="F1173" t="s">
        <v>81</v>
      </c>
      <c r="G1173" t="s">
        <v>182</v>
      </c>
      <c r="H1173" t="s">
        <v>106</v>
      </c>
      <c r="I1173" t="s">
        <v>107</v>
      </c>
      <c r="J1173" t="s">
        <v>3619</v>
      </c>
      <c r="K1173" t="s">
        <v>162</v>
      </c>
      <c r="M1173" t="s">
        <v>163</v>
      </c>
      <c r="N1173" t="s">
        <v>95</v>
      </c>
      <c r="O1173" s="27">
        <v>575000</v>
      </c>
      <c r="P1173">
        <v>3</v>
      </c>
      <c r="Q1173" t="s">
        <v>164</v>
      </c>
      <c r="R1173">
        <v>59</v>
      </c>
      <c r="S1173" t="s">
        <v>219</v>
      </c>
      <c r="T1173" t="str">
        <f>IF(COUNTIF($A$2:A1173,A1173)&gt;1,"Duplicate","Unique")</f>
        <v>Unique</v>
      </c>
    </row>
    <row r="1174" spans="1:20" x14ac:dyDescent="0.45">
      <c r="A1174" t="s">
        <v>2058</v>
      </c>
      <c r="B1174" t="s">
        <v>546</v>
      </c>
      <c r="C1174" t="s">
        <v>61</v>
      </c>
      <c r="D1174" t="s">
        <v>60</v>
      </c>
      <c r="E1174" t="s">
        <v>484</v>
      </c>
      <c r="F1174" t="s">
        <v>83</v>
      </c>
      <c r="G1174" t="s">
        <v>485</v>
      </c>
      <c r="H1174" t="s">
        <v>108</v>
      </c>
      <c r="I1174" t="s">
        <v>107</v>
      </c>
      <c r="J1174" t="s">
        <v>3513</v>
      </c>
      <c r="K1174" t="s">
        <v>162</v>
      </c>
      <c r="M1174" t="s">
        <v>163</v>
      </c>
      <c r="N1174" t="s">
        <v>97</v>
      </c>
      <c r="O1174" s="27">
        <v>1452000</v>
      </c>
      <c r="P1174">
        <v>3</v>
      </c>
      <c r="Q1174" t="s">
        <v>164</v>
      </c>
      <c r="R1174">
        <v>59</v>
      </c>
      <c r="S1174" t="s">
        <v>253</v>
      </c>
      <c r="T1174" t="str">
        <f>IF(COUNTIF($A$2:A1174,A1174)&gt;1,"Duplicate","Unique")</f>
        <v>Unique</v>
      </c>
    </row>
    <row r="1175" spans="1:20" x14ac:dyDescent="0.45">
      <c r="A1175" t="s">
        <v>198</v>
      </c>
      <c r="B1175" t="s">
        <v>199</v>
      </c>
      <c r="C1175" t="s">
        <v>53</v>
      </c>
      <c r="D1175" t="s">
        <v>52</v>
      </c>
      <c r="E1175" t="s">
        <v>200</v>
      </c>
      <c r="F1175" t="s">
        <v>84</v>
      </c>
      <c r="G1175" t="s">
        <v>201</v>
      </c>
      <c r="H1175" t="s">
        <v>106</v>
      </c>
      <c r="I1175" t="s">
        <v>107</v>
      </c>
      <c r="J1175" t="s">
        <v>3620</v>
      </c>
      <c r="K1175" t="s">
        <v>170</v>
      </c>
      <c r="L1175" t="s">
        <v>3051</v>
      </c>
      <c r="M1175" t="s">
        <v>171</v>
      </c>
      <c r="N1175" t="s">
        <v>95</v>
      </c>
      <c r="O1175" s="27">
        <v>3181000</v>
      </c>
      <c r="P1175">
        <v>5</v>
      </c>
      <c r="Q1175" t="s">
        <v>172</v>
      </c>
      <c r="R1175">
        <v>46</v>
      </c>
      <c r="S1175" t="s">
        <v>189</v>
      </c>
      <c r="T1175" t="str">
        <f>IF(COUNTIF($A$2:A1175,A1175)&gt;1,"Duplicate","Unique")</f>
        <v>Unique</v>
      </c>
    </row>
    <row r="1176" spans="1:20" x14ac:dyDescent="0.45">
      <c r="A1176" t="s">
        <v>1694</v>
      </c>
      <c r="B1176" t="s">
        <v>261</v>
      </c>
      <c r="C1176" t="s">
        <v>51</v>
      </c>
      <c r="D1176" t="s">
        <v>50</v>
      </c>
      <c r="E1176" t="s">
        <v>181</v>
      </c>
      <c r="F1176" t="s">
        <v>81</v>
      </c>
      <c r="G1176" t="s">
        <v>182</v>
      </c>
      <c r="H1176" t="s">
        <v>106</v>
      </c>
      <c r="I1176" t="s">
        <v>107</v>
      </c>
      <c r="J1176" t="s">
        <v>3584</v>
      </c>
      <c r="K1176" t="s">
        <v>162</v>
      </c>
      <c r="M1176" t="s">
        <v>163</v>
      </c>
      <c r="N1176" t="s">
        <v>97</v>
      </c>
      <c r="O1176" s="27">
        <v>752000</v>
      </c>
      <c r="P1176">
        <v>3</v>
      </c>
      <c r="Q1176" t="s">
        <v>164</v>
      </c>
      <c r="R1176">
        <v>35</v>
      </c>
      <c r="S1176" t="s">
        <v>178</v>
      </c>
      <c r="T1176" t="str">
        <f>IF(COUNTIF($A$2:A1176,A1176)&gt;1,"Duplicate","Unique")</f>
        <v>Unique</v>
      </c>
    </row>
    <row r="1177" spans="1:20" x14ac:dyDescent="0.45">
      <c r="A1177" t="s">
        <v>1008</v>
      </c>
      <c r="B1177" t="s">
        <v>1009</v>
      </c>
      <c r="C1177" t="s">
        <v>61</v>
      </c>
      <c r="D1177" t="s">
        <v>60</v>
      </c>
      <c r="E1177" t="s">
        <v>251</v>
      </c>
      <c r="F1177" t="s">
        <v>82</v>
      </c>
      <c r="G1177" t="s">
        <v>252</v>
      </c>
      <c r="H1177" t="s">
        <v>109</v>
      </c>
      <c r="I1177" t="s">
        <v>110</v>
      </c>
      <c r="J1177" t="s">
        <v>2838</v>
      </c>
      <c r="K1177" t="s">
        <v>162</v>
      </c>
      <c r="M1177" t="s">
        <v>163</v>
      </c>
      <c r="N1177" t="s">
        <v>98</v>
      </c>
      <c r="O1177" s="27">
        <v>1107000</v>
      </c>
      <c r="P1177">
        <v>2</v>
      </c>
      <c r="Q1177" t="s">
        <v>164</v>
      </c>
      <c r="R1177">
        <v>21</v>
      </c>
      <c r="S1177" t="s">
        <v>319</v>
      </c>
      <c r="T1177" t="str">
        <f>IF(COUNTIF($A$2:A1177,A1177)&gt;1,"Duplicate","Unique")</f>
        <v>Unique</v>
      </c>
    </row>
    <row r="1178" spans="1:20" x14ac:dyDescent="0.45">
      <c r="A1178" t="s">
        <v>242</v>
      </c>
      <c r="B1178" t="s">
        <v>243</v>
      </c>
      <c r="C1178" t="s">
        <v>51</v>
      </c>
      <c r="D1178" t="s">
        <v>50</v>
      </c>
      <c r="E1178" t="s">
        <v>217</v>
      </c>
      <c r="F1178" t="s">
        <v>83</v>
      </c>
      <c r="G1178" t="s">
        <v>218</v>
      </c>
      <c r="H1178" t="s">
        <v>112</v>
      </c>
      <c r="I1178" t="s">
        <v>113</v>
      </c>
      <c r="J1178" t="s">
        <v>3621</v>
      </c>
      <c r="K1178" t="s">
        <v>162</v>
      </c>
      <c r="M1178" t="s">
        <v>163</v>
      </c>
      <c r="N1178" t="s">
        <v>99</v>
      </c>
      <c r="O1178" s="27">
        <v>1603000</v>
      </c>
      <c r="P1178">
        <v>2</v>
      </c>
      <c r="Q1178" t="s">
        <v>164</v>
      </c>
      <c r="R1178">
        <v>31</v>
      </c>
      <c r="S1178" t="s">
        <v>244</v>
      </c>
      <c r="T1178" t="str">
        <f>IF(COUNTIF($A$2:A1178,A1178)&gt;1,"Duplicate","Unique")</f>
        <v>Unique</v>
      </c>
    </row>
    <row r="1179" spans="1:20" x14ac:dyDescent="0.45">
      <c r="A1179" t="s">
        <v>1880</v>
      </c>
      <c r="B1179" t="s">
        <v>199</v>
      </c>
      <c r="C1179" t="s">
        <v>51</v>
      </c>
      <c r="D1179" t="s">
        <v>50</v>
      </c>
      <c r="E1179" t="s">
        <v>397</v>
      </c>
      <c r="F1179" t="s">
        <v>84</v>
      </c>
      <c r="G1179" t="s">
        <v>398</v>
      </c>
      <c r="H1179" t="s">
        <v>2550</v>
      </c>
      <c r="I1179" t="s">
        <v>107</v>
      </c>
      <c r="J1179" t="s">
        <v>3622</v>
      </c>
      <c r="K1179" t="s">
        <v>162</v>
      </c>
      <c r="M1179" t="s">
        <v>163</v>
      </c>
      <c r="N1179" t="s">
        <v>96</v>
      </c>
      <c r="O1179" s="27">
        <v>2377000</v>
      </c>
      <c r="P1179">
        <v>4</v>
      </c>
      <c r="Q1179" t="s">
        <v>164</v>
      </c>
      <c r="R1179">
        <v>14</v>
      </c>
      <c r="S1179" t="s">
        <v>197</v>
      </c>
      <c r="T1179" t="str">
        <f>IF(COUNTIF($A$2:A1179,A1179)&gt;1,"Duplicate","Unique")</f>
        <v>Unique</v>
      </c>
    </row>
    <row r="1180" spans="1:20" x14ac:dyDescent="0.45">
      <c r="A1180" t="s">
        <v>1543</v>
      </c>
      <c r="B1180" t="s">
        <v>1544</v>
      </c>
      <c r="C1180" t="s">
        <v>55</v>
      </c>
      <c r="D1180" t="s">
        <v>54</v>
      </c>
      <c r="E1180" t="s">
        <v>229</v>
      </c>
      <c r="F1180" t="s">
        <v>82</v>
      </c>
      <c r="G1180" t="s">
        <v>230</v>
      </c>
      <c r="H1180" t="s">
        <v>108</v>
      </c>
      <c r="I1180" t="s">
        <v>107</v>
      </c>
      <c r="J1180" t="s">
        <v>2769</v>
      </c>
      <c r="K1180" t="s">
        <v>162</v>
      </c>
      <c r="M1180" t="s">
        <v>163</v>
      </c>
      <c r="N1180" t="s">
        <v>95</v>
      </c>
      <c r="O1180" s="27">
        <v>1297000</v>
      </c>
      <c r="P1180">
        <v>5</v>
      </c>
      <c r="Q1180" t="s">
        <v>172</v>
      </c>
      <c r="R1180">
        <v>46</v>
      </c>
      <c r="S1180" t="s">
        <v>262</v>
      </c>
      <c r="T1180" t="str">
        <f>IF(COUNTIF($A$2:A1180,A1180)&gt;1,"Duplicate","Unique")</f>
        <v>Unique</v>
      </c>
    </row>
    <row r="1181" spans="1:20" x14ac:dyDescent="0.45">
      <c r="A1181" t="s">
        <v>1552</v>
      </c>
      <c r="B1181" t="s">
        <v>1553</v>
      </c>
      <c r="C1181" t="s">
        <v>61</v>
      </c>
      <c r="D1181" t="s">
        <v>60</v>
      </c>
      <c r="E1181" t="s">
        <v>356</v>
      </c>
      <c r="F1181" t="s">
        <v>81</v>
      </c>
      <c r="G1181" t="s">
        <v>357</v>
      </c>
      <c r="H1181" t="s">
        <v>106</v>
      </c>
      <c r="I1181" t="s">
        <v>107</v>
      </c>
      <c r="J1181" t="s">
        <v>3623</v>
      </c>
      <c r="K1181" t="s">
        <v>162</v>
      </c>
      <c r="M1181" t="s">
        <v>163</v>
      </c>
      <c r="N1181" t="s">
        <v>99</v>
      </c>
      <c r="O1181" s="27">
        <v>649000</v>
      </c>
      <c r="P1181">
        <v>4</v>
      </c>
      <c r="Q1181" t="s">
        <v>164</v>
      </c>
      <c r="R1181">
        <v>44</v>
      </c>
      <c r="S1181" t="s">
        <v>319</v>
      </c>
      <c r="T1181" t="str">
        <f>IF(COUNTIF($A$2:A1181,A1181)&gt;1,"Duplicate","Unique")</f>
        <v>Unique</v>
      </c>
    </row>
    <row r="1182" spans="1:20" x14ac:dyDescent="0.45">
      <c r="A1182" t="s">
        <v>1475</v>
      </c>
      <c r="B1182" t="s">
        <v>558</v>
      </c>
      <c r="C1182" t="s">
        <v>53</v>
      </c>
      <c r="D1182" t="s">
        <v>52</v>
      </c>
      <c r="E1182" t="s">
        <v>185</v>
      </c>
      <c r="F1182" t="s">
        <v>82</v>
      </c>
      <c r="G1182" t="s">
        <v>186</v>
      </c>
      <c r="H1182" t="s">
        <v>108</v>
      </c>
      <c r="I1182" t="s">
        <v>107</v>
      </c>
      <c r="J1182" t="s">
        <v>3268</v>
      </c>
      <c r="K1182" t="s">
        <v>162</v>
      </c>
      <c r="M1182" t="s">
        <v>163</v>
      </c>
      <c r="N1182" t="s">
        <v>97</v>
      </c>
      <c r="O1182" s="27">
        <v>901000</v>
      </c>
      <c r="P1182">
        <v>4</v>
      </c>
      <c r="Q1182" t="s">
        <v>172</v>
      </c>
      <c r="R1182">
        <v>39</v>
      </c>
      <c r="S1182" t="s">
        <v>237</v>
      </c>
      <c r="T1182" t="str">
        <f>IF(COUNTIF($A$2:A1182,A1182)&gt;1,"Duplicate","Unique")</f>
        <v>Unique</v>
      </c>
    </row>
    <row r="1183" spans="1:20" x14ac:dyDescent="0.45">
      <c r="A1183" t="s">
        <v>1050</v>
      </c>
      <c r="B1183" t="s">
        <v>784</v>
      </c>
      <c r="C1183" t="s">
        <v>55</v>
      </c>
      <c r="D1183" t="s">
        <v>2602</v>
      </c>
      <c r="E1183" t="s">
        <v>277</v>
      </c>
      <c r="F1183" t="s">
        <v>81</v>
      </c>
      <c r="G1183" t="s">
        <v>278</v>
      </c>
      <c r="H1183" t="s">
        <v>106</v>
      </c>
      <c r="I1183" t="s">
        <v>107</v>
      </c>
      <c r="J1183" t="s">
        <v>3624</v>
      </c>
      <c r="K1183" t="s">
        <v>187</v>
      </c>
      <c r="L1183" t="s">
        <v>3625</v>
      </c>
      <c r="M1183" t="s">
        <v>213</v>
      </c>
      <c r="N1183" t="s">
        <v>96</v>
      </c>
      <c r="O1183" s="27">
        <v>696000</v>
      </c>
      <c r="P1183">
        <v>3</v>
      </c>
      <c r="Q1183" t="s">
        <v>172</v>
      </c>
      <c r="R1183">
        <v>22</v>
      </c>
      <c r="S1183" t="s">
        <v>274</v>
      </c>
      <c r="T1183" t="str">
        <f>IF(COUNTIF($A$2:A1183,A1183)&gt;1,"Duplicate","Unique")</f>
        <v>Unique</v>
      </c>
    </row>
    <row r="1184" spans="1:20" x14ac:dyDescent="0.45">
      <c r="A1184" t="s">
        <v>2188</v>
      </c>
      <c r="B1184" t="s">
        <v>191</v>
      </c>
      <c r="C1184" t="s">
        <v>55</v>
      </c>
      <c r="D1184" t="s">
        <v>54</v>
      </c>
      <c r="E1184" t="s">
        <v>229</v>
      </c>
      <c r="F1184" t="s">
        <v>82</v>
      </c>
      <c r="G1184" t="s">
        <v>230</v>
      </c>
      <c r="H1184" t="s">
        <v>108</v>
      </c>
      <c r="I1184" t="s">
        <v>107</v>
      </c>
      <c r="J1184" t="s">
        <v>2748</v>
      </c>
      <c r="K1184" t="s">
        <v>162</v>
      </c>
      <c r="M1184" t="s">
        <v>163</v>
      </c>
      <c r="N1184" t="s">
        <v>97</v>
      </c>
      <c r="O1184" s="27">
        <v>941000</v>
      </c>
      <c r="P1184">
        <v>3</v>
      </c>
      <c r="Q1184" t="s">
        <v>172</v>
      </c>
      <c r="R1184">
        <v>31</v>
      </c>
      <c r="S1184" t="s">
        <v>173</v>
      </c>
      <c r="T1184" t="str">
        <f>IF(COUNTIF($A$2:A1184,A1184)&gt;1,"Duplicate","Unique")</f>
        <v>Unique</v>
      </c>
    </row>
    <row r="1185" spans="1:20" x14ac:dyDescent="0.45">
      <c r="A1185" t="s">
        <v>2248</v>
      </c>
      <c r="B1185" t="s">
        <v>464</v>
      </c>
      <c r="C1185" t="s">
        <v>53</v>
      </c>
      <c r="D1185" t="s">
        <v>52</v>
      </c>
      <c r="E1185" t="s">
        <v>192</v>
      </c>
      <c r="F1185" t="s">
        <v>83</v>
      </c>
      <c r="G1185" t="s">
        <v>193</v>
      </c>
      <c r="H1185" t="s">
        <v>111</v>
      </c>
      <c r="I1185" t="s">
        <v>110</v>
      </c>
      <c r="J1185" t="s">
        <v>3112</v>
      </c>
      <c r="K1185" t="s">
        <v>187</v>
      </c>
      <c r="L1185" t="s">
        <v>3626</v>
      </c>
      <c r="M1185" t="s">
        <v>188</v>
      </c>
      <c r="N1185" t="s">
        <v>99</v>
      </c>
      <c r="O1185" s="27">
        <v>1910000</v>
      </c>
      <c r="P1185">
        <v>4</v>
      </c>
      <c r="Q1185" t="s">
        <v>172</v>
      </c>
      <c r="R1185">
        <v>12</v>
      </c>
      <c r="S1185" t="s">
        <v>237</v>
      </c>
      <c r="T1185" t="str">
        <f>IF(COUNTIF($A$2:A1185,A1185)&gt;1,"Duplicate","Unique")</f>
        <v>Unique</v>
      </c>
    </row>
    <row r="1186" spans="1:20" x14ac:dyDescent="0.45">
      <c r="A1186" t="s">
        <v>267</v>
      </c>
      <c r="B1186" t="s">
        <v>268</v>
      </c>
      <c r="C1186" t="s">
        <v>51</v>
      </c>
      <c r="D1186" t="s">
        <v>50</v>
      </c>
      <c r="E1186" t="s">
        <v>176</v>
      </c>
      <c r="F1186" t="s">
        <v>82</v>
      </c>
      <c r="G1186" t="s">
        <v>177</v>
      </c>
      <c r="H1186" t="s">
        <v>106</v>
      </c>
      <c r="I1186" t="s">
        <v>107</v>
      </c>
      <c r="J1186" t="s">
        <v>3627</v>
      </c>
      <c r="K1186" t="s">
        <v>187</v>
      </c>
      <c r="L1186" t="s">
        <v>3628</v>
      </c>
      <c r="M1186" t="s">
        <v>269</v>
      </c>
      <c r="N1186" t="s">
        <v>96</v>
      </c>
      <c r="O1186" s="27">
        <v>1061000</v>
      </c>
      <c r="P1186">
        <v>3</v>
      </c>
      <c r="Q1186" t="s">
        <v>172</v>
      </c>
      <c r="R1186">
        <v>20</v>
      </c>
      <c r="S1186" t="s">
        <v>219</v>
      </c>
      <c r="T1186" t="str">
        <f>IF(COUNTIF($A$2:A1186,A1186)&gt;1,"Duplicate","Unique")</f>
        <v>Unique</v>
      </c>
    </row>
    <row r="1187" spans="1:20" x14ac:dyDescent="0.45">
      <c r="A1187" t="s">
        <v>1601</v>
      </c>
      <c r="B1187" t="s">
        <v>1602</v>
      </c>
      <c r="C1187" t="s">
        <v>61</v>
      </c>
      <c r="D1187" t="s">
        <v>60</v>
      </c>
      <c r="E1187" t="s">
        <v>251</v>
      </c>
      <c r="F1187" t="s">
        <v>82</v>
      </c>
      <c r="G1187" t="s">
        <v>252</v>
      </c>
      <c r="H1187" t="s">
        <v>111</v>
      </c>
      <c r="I1187" t="s">
        <v>110</v>
      </c>
      <c r="J1187" t="s">
        <v>2567</v>
      </c>
      <c r="K1187" t="s">
        <v>162</v>
      </c>
      <c r="M1187" t="s">
        <v>163</v>
      </c>
      <c r="N1187" t="s">
        <v>99</v>
      </c>
      <c r="O1187" s="27">
        <v>1250000</v>
      </c>
      <c r="P1187">
        <v>3</v>
      </c>
      <c r="Q1187" t="s">
        <v>164</v>
      </c>
      <c r="R1187">
        <v>22</v>
      </c>
      <c r="S1187" t="s">
        <v>319</v>
      </c>
      <c r="T1187" t="str">
        <f>IF(COUNTIF($A$2:A1187,A1187)&gt;1,"Duplicate","Unique")</f>
        <v>Unique</v>
      </c>
    </row>
    <row r="1188" spans="1:20" x14ac:dyDescent="0.45">
      <c r="A1188" t="s">
        <v>1827</v>
      </c>
      <c r="B1188" t="s">
        <v>818</v>
      </c>
      <c r="C1188" t="s">
        <v>51</v>
      </c>
      <c r="D1188" t="s">
        <v>50</v>
      </c>
      <c r="E1188" t="s">
        <v>176</v>
      </c>
      <c r="F1188" t="s">
        <v>82</v>
      </c>
      <c r="G1188" t="s">
        <v>177</v>
      </c>
      <c r="H1188" t="s">
        <v>109</v>
      </c>
      <c r="I1188" t="s">
        <v>110</v>
      </c>
      <c r="J1188" t="s">
        <v>2757</v>
      </c>
      <c r="K1188" t="s">
        <v>162</v>
      </c>
      <c r="M1188" t="s">
        <v>163</v>
      </c>
      <c r="N1188" t="s">
        <v>95</v>
      </c>
      <c r="O1188" s="27">
        <v>1246000</v>
      </c>
      <c r="P1188">
        <v>3</v>
      </c>
      <c r="Q1188" t="s">
        <v>164</v>
      </c>
      <c r="R1188">
        <v>17</v>
      </c>
      <c r="S1188" t="s">
        <v>244</v>
      </c>
      <c r="T1188" t="str">
        <f>IF(COUNTIF($A$2:A1188,A1188)&gt;1,"Duplicate","Unique")</f>
        <v>Unique</v>
      </c>
    </row>
    <row r="1189" spans="1:20" x14ac:dyDescent="0.45">
      <c r="A1189" t="s">
        <v>2052</v>
      </c>
      <c r="B1189" t="s">
        <v>1851</v>
      </c>
      <c r="C1189" t="s">
        <v>51</v>
      </c>
      <c r="D1189" t="s">
        <v>50</v>
      </c>
      <c r="E1189" t="s">
        <v>176</v>
      </c>
      <c r="F1189" t="s">
        <v>82</v>
      </c>
      <c r="G1189" t="s">
        <v>177</v>
      </c>
      <c r="H1189" t="s">
        <v>108</v>
      </c>
      <c r="I1189" t="s">
        <v>107</v>
      </c>
      <c r="J1189" t="s">
        <v>3629</v>
      </c>
      <c r="K1189" t="s">
        <v>162</v>
      </c>
      <c r="M1189" t="s">
        <v>163</v>
      </c>
      <c r="N1189" t="s">
        <v>99</v>
      </c>
      <c r="O1189" s="27">
        <v>1265000</v>
      </c>
      <c r="P1189">
        <v>3</v>
      </c>
      <c r="Q1189" t="s">
        <v>172</v>
      </c>
      <c r="R1189">
        <v>43</v>
      </c>
      <c r="S1189" t="s">
        <v>178</v>
      </c>
      <c r="T1189" t="str">
        <f>IF(COUNTIF($A$2:A1189,A1189)&gt;1,"Duplicate","Unique")</f>
        <v>Unique</v>
      </c>
    </row>
    <row r="1190" spans="1:20" x14ac:dyDescent="0.45">
      <c r="A1190" t="s">
        <v>1633</v>
      </c>
      <c r="B1190" t="s">
        <v>1627</v>
      </c>
      <c r="C1190" t="s">
        <v>53</v>
      </c>
      <c r="D1190" t="s">
        <v>52</v>
      </c>
      <c r="E1190" t="s">
        <v>192</v>
      </c>
      <c r="F1190" t="s">
        <v>83</v>
      </c>
      <c r="G1190" t="s">
        <v>193</v>
      </c>
      <c r="H1190" t="s">
        <v>108</v>
      </c>
      <c r="I1190" t="s">
        <v>107</v>
      </c>
      <c r="J1190" t="s">
        <v>3630</v>
      </c>
      <c r="K1190" t="s">
        <v>170</v>
      </c>
      <c r="L1190" t="s">
        <v>3631</v>
      </c>
      <c r="M1190" t="s">
        <v>171</v>
      </c>
      <c r="N1190" t="s">
        <v>95</v>
      </c>
      <c r="O1190" s="27">
        <v>1412000</v>
      </c>
      <c r="P1190">
        <v>1</v>
      </c>
      <c r="Q1190" t="s">
        <v>172</v>
      </c>
      <c r="R1190">
        <v>10</v>
      </c>
      <c r="S1190" t="s">
        <v>189</v>
      </c>
      <c r="T1190" t="str">
        <f>IF(COUNTIF($A$2:A1190,A1190)&gt;1,"Duplicate","Unique")</f>
        <v>Unique</v>
      </c>
    </row>
    <row r="1191" spans="1:20" x14ac:dyDescent="0.45">
      <c r="A1191" t="s">
        <v>1127</v>
      </c>
      <c r="B1191" t="s">
        <v>438</v>
      </c>
      <c r="C1191" t="s">
        <v>61</v>
      </c>
      <c r="D1191" t="s">
        <v>60</v>
      </c>
      <c r="E1191" t="s">
        <v>251</v>
      </c>
      <c r="F1191" t="s">
        <v>82</v>
      </c>
      <c r="G1191" t="s">
        <v>252</v>
      </c>
      <c r="H1191" t="s">
        <v>106</v>
      </c>
      <c r="I1191" t="s">
        <v>107</v>
      </c>
      <c r="J1191" t="s">
        <v>3137</v>
      </c>
      <c r="K1191" t="s">
        <v>170</v>
      </c>
      <c r="L1191" t="s">
        <v>3632</v>
      </c>
      <c r="M1191" t="s">
        <v>171</v>
      </c>
      <c r="N1191" t="s">
        <v>97</v>
      </c>
      <c r="O1191" s="27">
        <v>1260000</v>
      </c>
      <c r="P1191">
        <v>3</v>
      </c>
      <c r="Q1191" t="s">
        <v>172</v>
      </c>
      <c r="R1191">
        <v>53</v>
      </c>
      <c r="S1191" t="s">
        <v>319</v>
      </c>
      <c r="T1191" t="str">
        <f>IF(COUNTIF($A$2:A1191,A1191)&gt;1,"Duplicate","Unique")</f>
        <v>Unique</v>
      </c>
    </row>
    <row r="1192" spans="1:20" x14ac:dyDescent="0.45">
      <c r="A1192" t="s">
        <v>2178</v>
      </c>
      <c r="B1192" t="s">
        <v>694</v>
      </c>
      <c r="C1192" t="s">
        <v>53</v>
      </c>
      <c r="D1192" t="s">
        <v>52</v>
      </c>
      <c r="E1192" t="s">
        <v>322</v>
      </c>
      <c r="F1192" t="s">
        <v>81</v>
      </c>
      <c r="G1192" t="s">
        <v>323</v>
      </c>
      <c r="H1192" t="s">
        <v>112</v>
      </c>
      <c r="I1192" t="s">
        <v>113</v>
      </c>
      <c r="J1192" t="s">
        <v>3633</v>
      </c>
      <c r="K1192" t="s">
        <v>162</v>
      </c>
      <c r="M1192" t="s">
        <v>163</v>
      </c>
      <c r="N1192" t="s">
        <v>97</v>
      </c>
      <c r="O1192" s="27">
        <v>740000</v>
      </c>
      <c r="P1192">
        <v>5</v>
      </c>
      <c r="Q1192" t="s">
        <v>164</v>
      </c>
      <c r="R1192">
        <v>57</v>
      </c>
      <c r="S1192" t="s">
        <v>194</v>
      </c>
      <c r="T1192" t="str">
        <f>IF(COUNTIF($A$2:A1192,A1192)&gt;1,"Duplicate","Unique")</f>
        <v>Unique</v>
      </c>
    </row>
    <row r="1193" spans="1:20" x14ac:dyDescent="0.45">
      <c r="A1193" t="s">
        <v>1531</v>
      </c>
      <c r="B1193" t="s">
        <v>1107</v>
      </c>
      <c r="C1193" t="s">
        <v>53</v>
      </c>
      <c r="D1193" t="s">
        <v>52</v>
      </c>
      <c r="E1193" t="s">
        <v>185</v>
      </c>
      <c r="F1193" t="s">
        <v>82</v>
      </c>
      <c r="G1193" t="s">
        <v>186</v>
      </c>
      <c r="H1193" t="s">
        <v>106</v>
      </c>
      <c r="I1193" t="s">
        <v>107</v>
      </c>
      <c r="J1193" t="s">
        <v>2927</v>
      </c>
      <c r="K1193" t="s">
        <v>162</v>
      </c>
      <c r="M1193" t="s">
        <v>163</v>
      </c>
      <c r="N1193" t="s">
        <v>99</v>
      </c>
      <c r="O1193" s="27">
        <v>1063000</v>
      </c>
      <c r="P1193">
        <v>3</v>
      </c>
      <c r="Q1193" t="s">
        <v>164</v>
      </c>
      <c r="R1193">
        <v>38</v>
      </c>
      <c r="S1193" t="s">
        <v>194</v>
      </c>
      <c r="T1193" t="str">
        <f>IF(COUNTIF($A$2:A1193,A1193)&gt;1,"Duplicate","Unique")</f>
        <v>Unique</v>
      </c>
    </row>
    <row r="1194" spans="1:20" x14ac:dyDescent="0.45">
      <c r="A1194" t="s">
        <v>313</v>
      </c>
      <c r="B1194" t="s">
        <v>314</v>
      </c>
      <c r="C1194" t="s">
        <v>55</v>
      </c>
      <c r="D1194" t="s">
        <v>54</v>
      </c>
      <c r="E1194" t="s">
        <v>277</v>
      </c>
      <c r="F1194" t="s">
        <v>81</v>
      </c>
      <c r="G1194" t="s">
        <v>278</v>
      </c>
      <c r="H1194" t="s">
        <v>106</v>
      </c>
      <c r="I1194" t="s">
        <v>107</v>
      </c>
      <c r="J1194" t="s">
        <v>3634</v>
      </c>
      <c r="K1194" t="s">
        <v>187</v>
      </c>
      <c r="L1194" t="s">
        <v>3635</v>
      </c>
      <c r="M1194" t="s">
        <v>308</v>
      </c>
      <c r="N1194" t="s">
        <v>97</v>
      </c>
      <c r="O1194" s="27">
        <v>740000</v>
      </c>
      <c r="P1194">
        <v>3</v>
      </c>
      <c r="Q1194" t="s">
        <v>172</v>
      </c>
      <c r="R1194">
        <v>20</v>
      </c>
      <c r="S1194" t="s">
        <v>173</v>
      </c>
      <c r="T1194" t="str">
        <f>IF(COUNTIF($A$2:A1194,A1194)&gt;1,"Duplicate","Unique")</f>
        <v>Unique</v>
      </c>
    </row>
    <row r="1195" spans="1:20" x14ac:dyDescent="0.45">
      <c r="A1195" t="s">
        <v>1707</v>
      </c>
      <c r="B1195" t="s">
        <v>3636</v>
      </c>
      <c r="C1195" t="s">
        <v>53</v>
      </c>
      <c r="D1195" t="s">
        <v>52</v>
      </c>
      <c r="E1195" t="s">
        <v>322</v>
      </c>
      <c r="F1195" t="s">
        <v>81</v>
      </c>
      <c r="G1195" t="s">
        <v>323</v>
      </c>
      <c r="H1195" t="s">
        <v>108</v>
      </c>
      <c r="I1195" t="s">
        <v>107</v>
      </c>
      <c r="J1195" t="s">
        <v>3637</v>
      </c>
      <c r="K1195" t="s">
        <v>170</v>
      </c>
      <c r="L1195" t="s">
        <v>3638</v>
      </c>
      <c r="M1195" t="s">
        <v>171</v>
      </c>
      <c r="N1195" t="s">
        <v>99</v>
      </c>
      <c r="O1195" s="27">
        <v>631000</v>
      </c>
      <c r="P1195">
        <v>2</v>
      </c>
      <c r="Q1195" t="s">
        <v>172</v>
      </c>
      <c r="R1195">
        <v>32</v>
      </c>
      <c r="S1195" t="s">
        <v>189</v>
      </c>
      <c r="T1195" t="str">
        <f>IF(COUNTIF($A$2:A1195,A1195)&gt;1,"Duplicate","Unique")</f>
        <v>Unique</v>
      </c>
    </row>
    <row r="1196" spans="1:20" x14ac:dyDescent="0.45">
      <c r="A1196" t="s">
        <v>1819</v>
      </c>
      <c r="B1196" t="s">
        <v>1820</v>
      </c>
      <c r="C1196" t="s">
        <v>53</v>
      </c>
      <c r="D1196" t="s">
        <v>52</v>
      </c>
      <c r="E1196" t="s">
        <v>322</v>
      </c>
      <c r="F1196" t="s">
        <v>81</v>
      </c>
      <c r="G1196" t="s">
        <v>323</v>
      </c>
      <c r="H1196" t="s">
        <v>109</v>
      </c>
      <c r="I1196" t="s">
        <v>110</v>
      </c>
      <c r="J1196" t="s">
        <v>3373</v>
      </c>
      <c r="K1196" t="s">
        <v>162</v>
      </c>
      <c r="M1196" t="s">
        <v>163</v>
      </c>
      <c r="N1196" t="s">
        <v>99</v>
      </c>
      <c r="O1196" s="27">
        <v>748000</v>
      </c>
      <c r="P1196">
        <v>3</v>
      </c>
      <c r="Q1196" t="s">
        <v>172</v>
      </c>
      <c r="R1196">
        <v>29</v>
      </c>
      <c r="S1196" t="s">
        <v>194</v>
      </c>
      <c r="T1196" t="str">
        <f>IF(COUNTIF($A$2:A1196,A1196)&gt;1,"Duplicate","Unique")</f>
        <v>Unique</v>
      </c>
    </row>
    <row r="1197" spans="1:20" x14ac:dyDescent="0.45">
      <c r="A1197" t="s">
        <v>1299</v>
      </c>
      <c r="B1197" t="s">
        <v>689</v>
      </c>
      <c r="C1197" t="s">
        <v>61</v>
      </c>
      <c r="D1197" t="s">
        <v>60</v>
      </c>
      <c r="E1197" t="s">
        <v>251</v>
      </c>
      <c r="F1197" t="s">
        <v>82</v>
      </c>
      <c r="G1197" t="s">
        <v>252</v>
      </c>
      <c r="H1197" t="s">
        <v>106</v>
      </c>
      <c r="I1197" t="s">
        <v>107</v>
      </c>
      <c r="J1197" t="s">
        <v>3398</v>
      </c>
      <c r="K1197" t="s">
        <v>162</v>
      </c>
      <c r="M1197" t="s">
        <v>163</v>
      </c>
      <c r="N1197" t="s">
        <v>97</v>
      </c>
      <c r="O1197" s="27">
        <v>976000</v>
      </c>
      <c r="P1197">
        <v>5</v>
      </c>
      <c r="Q1197" t="s">
        <v>164</v>
      </c>
      <c r="R1197">
        <v>39</v>
      </c>
      <c r="S1197" t="s">
        <v>253</v>
      </c>
      <c r="T1197" t="str">
        <f>IF(COUNTIF($A$2:A1197,A1197)&gt;1,"Duplicate","Unique")</f>
        <v>Unique</v>
      </c>
    </row>
    <row r="1198" spans="1:20" x14ac:dyDescent="0.45">
      <c r="A1198" t="s">
        <v>1456</v>
      </c>
      <c r="B1198" t="s">
        <v>3639</v>
      </c>
      <c r="C1198" t="s">
        <v>51</v>
      </c>
      <c r="D1198" t="s">
        <v>50</v>
      </c>
      <c r="E1198" t="s">
        <v>176</v>
      </c>
      <c r="F1198" t="s">
        <v>82</v>
      </c>
      <c r="G1198" t="s">
        <v>177</v>
      </c>
      <c r="H1198" t="s">
        <v>106</v>
      </c>
      <c r="I1198" t="s">
        <v>107</v>
      </c>
      <c r="J1198" t="s">
        <v>3640</v>
      </c>
      <c r="K1198" t="s">
        <v>162</v>
      </c>
      <c r="M1198" t="s">
        <v>163</v>
      </c>
      <c r="N1198" t="s">
        <v>99</v>
      </c>
      <c r="O1198" s="27">
        <v>1126000</v>
      </c>
      <c r="P1198">
        <v>5</v>
      </c>
      <c r="Q1198" t="s">
        <v>172</v>
      </c>
      <c r="R1198">
        <v>52</v>
      </c>
      <c r="S1198" t="s">
        <v>178</v>
      </c>
      <c r="T1198" t="str">
        <f>IF(COUNTIF($A$2:A1198,A1198)&gt;1,"Duplicate","Unique")</f>
        <v>Unique</v>
      </c>
    </row>
    <row r="1199" spans="1:20" x14ac:dyDescent="0.45">
      <c r="A1199" t="s">
        <v>2218</v>
      </c>
      <c r="B1199" t="s">
        <v>728</v>
      </c>
      <c r="C1199" t="s">
        <v>55</v>
      </c>
      <c r="D1199" t="s">
        <v>54</v>
      </c>
      <c r="E1199" t="s">
        <v>277</v>
      </c>
      <c r="F1199" t="s">
        <v>81</v>
      </c>
      <c r="G1199" t="s">
        <v>278</v>
      </c>
      <c r="H1199" t="s">
        <v>106</v>
      </c>
      <c r="I1199" t="s">
        <v>107</v>
      </c>
      <c r="J1199" t="s">
        <v>3641</v>
      </c>
      <c r="K1199" t="s">
        <v>162</v>
      </c>
      <c r="M1199" t="s">
        <v>163</v>
      </c>
      <c r="N1199" t="s">
        <v>95</v>
      </c>
      <c r="O1199" s="27">
        <v>709000</v>
      </c>
      <c r="P1199">
        <v>4</v>
      </c>
      <c r="Q1199" t="s">
        <v>164</v>
      </c>
      <c r="R1199">
        <v>36</v>
      </c>
      <c r="S1199" t="s">
        <v>274</v>
      </c>
      <c r="T1199" t="str">
        <f>IF(COUNTIF($A$2:A1199,A1199)&gt;1,"Duplicate","Unique")</f>
        <v>Unique</v>
      </c>
    </row>
    <row r="1200" spans="1:20" x14ac:dyDescent="0.45">
      <c r="A1200" t="s">
        <v>2122</v>
      </c>
      <c r="B1200" t="s">
        <v>1466</v>
      </c>
      <c r="C1200" t="s">
        <v>51</v>
      </c>
      <c r="D1200" t="s">
        <v>50</v>
      </c>
      <c r="E1200" t="s">
        <v>181</v>
      </c>
      <c r="F1200" t="s">
        <v>81</v>
      </c>
      <c r="G1200" t="s">
        <v>182</v>
      </c>
      <c r="H1200" t="s">
        <v>106</v>
      </c>
      <c r="I1200" t="s">
        <v>107</v>
      </c>
      <c r="J1200" t="s">
        <v>3381</v>
      </c>
      <c r="K1200" t="s">
        <v>187</v>
      </c>
      <c r="L1200" t="s">
        <v>3346</v>
      </c>
      <c r="M1200" t="s">
        <v>282</v>
      </c>
      <c r="N1200" t="s">
        <v>96</v>
      </c>
      <c r="O1200" s="27">
        <v>773000</v>
      </c>
      <c r="P1200">
        <v>4</v>
      </c>
      <c r="Q1200" t="s">
        <v>172</v>
      </c>
      <c r="R1200">
        <v>37</v>
      </c>
      <c r="S1200" t="s">
        <v>244</v>
      </c>
      <c r="T1200" t="str">
        <f>IF(COUNTIF($A$2:A1200,A1200)&gt;1,"Duplicate","Unique")</f>
        <v>Unique</v>
      </c>
    </row>
    <row r="1201" spans="1:20" x14ac:dyDescent="0.45">
      <c r="A1201" t="s">
        <v>2139</v>
      </c>
      <c r="B1201" t="s">
        <v>487</v>
      </c>
      <c r="C1201" t="s">
        <v>51</v>
      </c>
      <c r="D1201" t="s">
        <v>50</v>
      </c>
      <c r="E1201" t="s">
        <v>176</v>
      </c>
      <c r="F1201" t="s">
        <v>82</v>
      </c>
      <c r="G1201" t="s">
        <v>177</v>
      </c>
      <c r="H1201" t="s">
        <v>106</v>
      </c>
      <c r="I1201" t="s">
        <v>107</v>
      </c>
      <c r="J1201" t="s">
        <v>3642</v>
      </c>
      <c r="K1201" t="s">
        <v>162</v>
      </c>
      <c r="M1201" t="s">
        <v>163</v>
      </c>
      <c r="N1201" t="s">
        <v>97</v>
      </c>
      <c r="O1201" s="27">
        <v>1001000</v>
      </c>
      <c r="P1201">
        <v>4</v>
      </c>
      <c r="Q1201" t="s">
        <v>2624</v>
      </c>
      <c r="R1201">
        <v>6</v>
      </c>
      <c r="S1201" t="s">
        <v>178</v>
      </c>
      <c r="T1201" t="str">
        <f>IF(COUNTIF($A$2:A1201,A1201)&gt;1,"Duplicate","Unique")</f>
        <v>Unique</v>
      </c>
    </row>
    <row r="1202" spans="1:20" x14ac:dyDescent="0.45">
      <c r="A1202" t="s">
        <v>1821</v>
      </c>
      <c r="B1202" t="s">
        <v>1609</v>
      </c>
      <c r="C1202" t="s">
        <v>53</v>
      </c>
      <c r="D1202" t="s">
        <v>2793</v>
      </c>
      <c r="E1202" t="s">
        <v>185</v>
      </c>
      <c r="F1202" t="s">
        <v>82</v>
      </c>
      <c r="G1202" t="s">
        <v>186</v>
      </c>
      <c r="H1202" t="s">
        <v>106</v>
      </c>
      <c r="I1202" t="s">
        <v>107</v>
      </c>
      <c r="J1202" t="s">
        <v>3373</v>
      </c>
      <c r="K1202" t="s">
        <v>162</v>
      </c>
      <c r="M1202" t="s">
        <v>163</v>
      </c>
      <c r="N1202" t="s">
        <v>98</v>
      </c>
      <c r="O1202" s="27">
        <v>1059000</v>
      </c>
      <c r="P1202">
        <v>4</v>
      </c>
      <c r="Q1202" t="s">
        <v>172</v>
      </c>
      <c r="R1202">
        <v>25</v>
      </c>
      <c r="S1202" t="s">
        <v>237</v>
      </c>
      <c r="T1202" t="str">
        <f>IF(COUNTIF($A$2:A1202,A1202)&gt;1,"Duplicate","Unique")</f>
        <v>Unique</v>
      </c>
    </row>
    <row r="1203" spans="1:20" x14ac:dyDescent="0.45">
      <c r="A1203" t="s">
        <v>1245</v>
      </c>
      <c r="B1203" t="s">
        <v>1246</v>
      </c>
      <c r="C1203" t="s">
        <v>53</v>
      </c>
      <c r="D1203" t="s">
        <v>52</v>
      </c>
      <c r="E1203" t="s">
        <v>185</v>
      </c>
      <c r="F1203" t="s">
        <v>82</v>
      </c>
      <c r="G1203" t="s">
        <v>186</v>
      </c>
      <c r="H1203" t="s">
        <v>106</v>
      </c>
      <c r="I1203" t="s">
        <v>107</v>
      </c>
      <c r="J1203" t="s">
        <v>3182</v>
      </c>
      <c r="K1203" t="s">
        <v>170</v>
      </c>
      <c r="L1203" t="s">
        <v>3536</v>
      </c>
      <c r="M1203" t="s">
        <v>171</v>
      </c>
      <c r="N1203" t="s">
        <v>98</v>
      </c>
      <c r="O1203" s="27">
        <v>1305000</v>
      </c>
      <c r="P1203">
        <v>2</v>
      </c>
      <c r="Q1203" t="s">
        <v>164</v>
      </c>
      <c r="R1203">
        <v>29</v>
      </c>
      <c r="S1203" t="s">
        <v>189</v>
      </c>
      <c r="T1203" t="str">
        <f>IF(COUNTIF($A$2:A1203,A1203)&gt;1,"Duplicate","Unique")</f>
        <v>Unique</v>
      </c>
    </row>
    <row r="1204" spans="1:20" x14ac:dyDescent="0.45">
      <c r="A1204" t="s">
        <v>591</v>
      </c>
      <c r="B1204" t="s">
        <v>592</v>
      </c>
      <c r="C1204" t="s">
        <v>57</v>
      </c>
      <c r="D1204" t="s">
        <v>56</v>
      </c>
      <c r="E1204" t="s">
        <v>160</v>
      </c>
      <c r="F1204" t="s">
        <v>81</v>
      </c>
      <c r="G1204" t="s">
        <v>161</v>
      </c>
      <c r="H1204" t="s">
        <v>108</v>
      </c>
      <c r="I1204" t="s">
        <v>107</v>
      </c>
      <c r="J1204" t="s">
        <v>2902</v>
      </c>
      <c r="K1204" t="s">
        <v>187</v>
      </c>
      <c r="L1204" t="s">
        <v>3643</v>
      </c>
      <c r="M1204" t="s">
        <v>308</v>
      </c>
      <c r="N1204" t="s">
        <v>99</v>
      </c>
      <c r="O1204" s="27">
        <v>837000</v>
      </c>
      <c r="P1204">
        <v>3</v>
      </c>
      <c r="Q1204" t="s">
        <v>172</v>
      </c>
      <c r="R1204">
        <v>37</v>
      </c>
      <c r="S1204" t="s">
        <v>165</v>
      </c>
      <c r="T1204" t="str">
        <f>IF(COUNTIF($A$2:A1204,A1204)&gt;1,"Duplicate","Unique")</f>
        <v>Unique</v>
      </c>
    </row>
    <row r="1205" spans="1:20" x14ac:dyDescent="0.45">
      <c r="A1205" t="s">
        <v>1479</v>
      </c>
      <c r="B1205" t="s">
        <v>316</v>
      </c>
      <c r="C1205" t="s">
        <v>51</v>
      </c>
      <c r="D1205" t="s">
        <v>2464</v>
      </c>
      <c r="E1205" t="s">
        <v>181</v>
      </c>
      <c r="F1205" t="s">
        <v>81</v>
      </c>
      <c r="G1205" t="s">
        <v>182</v>
      </c>
      <c r="H1205" t="s">
        <v>111</v>
      </c>
      <c r="I1205" t="s">
        <v>110</v>
      </c>
      <c r="J1205" t="s">
        <v>2979</v>
      </c>
      <c r="K1205" t="s">
        <v>162</v>
      </c>
      <c r="M1205" t="s">
        <v>163</v>
      </c>
      <c r="N1205" t="s">
        <v>99</v>
      </c>
      <c r="O1205" s="27">
        <v>665000</v>
      </c>
      <c r="P1205">
        <v>4</v>
      </c>
      <c r="Q1205" t="s">
        <v>2516</v>
      </c>
      <c r="R1205">
        <v>58</v>
      </c>
      <c r="S1205" t="s">
        <v>178</v>
      </c>
      <c r="T1205" t="str">
        <f>IF(COUNTIF($A$2:A1205,A1205)&gt;1,"Duplicate","Unique")</f>
        <v>Unique</v>
      </c>
    </row>
    <row r="1206" spans="1:20" x14ac:dyDescent="0.45">
      <c r="A1206" t="s">
        <v>465</v>
      </c>
      <c r="B1206" t="s">
        <v>466</v>
      </c>
      <c r="C1206" t="s">
        <v>53</v>
      </c>
      <c r="D1206" t="s">
        <v>52</v>
      </c>
      <c r="E1206" t="s">
        <v>185</v>
      </c>
      <c r="F1206" t="s">
        <v>82</v>
      </c>
      <c r="G1206" t="s">
        <v>186</v>
      </c>
      <c r="H1206" t="s">
        <v>106</v>
      </c>
      <c r="I1206" t="s">
        <v>107</v>
      </c>
      <c r="J1206" t="s">
        <v>3644</v>
      </c>
      <c r="K1206" t="s">
        <v>162</v>
      </c>
      <c r="M1206" t="s">
        <v>163</v>
      </c>
      <c r="N1206" t="s">
        <v>99</v>
      </c>
      <c r="O1206" s="27">
        <v>1136000</v>
      </c>
      <c r="P1206">
        <v>4</v>
      </c>
      <c r="Q1206" t="s">
        <v>172</v>
      </c>
      <c r="R1206">
        <v>44</v>
      </c>
      <c r="S1206" t="s">
        <v>189</v>
      </c>
      <c r="T1206" t="str">
        <f>IF(COUNTIF($A$2:A1206,A1206)&gt;1,"Duplicate","Unique")</f>
        <v>Unique</v>
      </c>
    </row>
    <row r="1207" spans="1:20" x14ac:dyDescent="0.45">
      <c r="A1207" t="s">
        <v>1286</v>
      </c>
      <c r="B1207" t="s">
        <v>1287</v>
      </c>
      <c r="C1207" t="s">
        <v>57</v>
      </c>
      <c r="D1207" t="s">
        <v>56</v>
      </c>
      <c r="E1207" t="s">
        <v>222</v>
      </c>
      <c r="F1207" t="s">
        <v>82</v>
      </c>
      <c r="G1207" t="s">
        <v>223</v>
      </c>
      <c r="H1207" t="s">
        <v>108</v>
      </c>
      <c r="I1207" t="s">
        <v>107</v>
      </c>
      <c r="J1207" t="s">
        <v>3281</v>
      </c>
      <c r="K1207" t="s">
        <v>162</v>
      </c>
      <c r="M1207" t="s">
        <v>163</v>
      </c>
      <c r="N1207" t="s">
        <v>99</v>
      </c>
      <c r="O1207" s="27">
        <v>979000</v>
      </c>
      <c r="P1207">
        <v>3</v>
      </c>
      <c r="Q1207" t="s">
        <v>164</v>
      </c>
      <c r="R1207">
        <v>24</v>
      </c>
      <c r="S1207" t="s">
        <v>165</v>
      </c>
      <c r="T1207" t="str">
        <f>IF(COUNTIF($A$2:A1207,A1207)&gt;1,"Duplicate","Unique")</f>
        <v>Unique</v>
      </c>
    </row>
    <row r="1208" spans="1:20" x14ac:dyDescent="0.45">
      <c r="A1208" t="s">
        <v>2124</v>
      </c>
      <c r="B1208" t="s">
        <v>1595</v>
      </c>
      <c r="C1208" t="s">
        <v>55</v>
      </c>
      <c r="D1208" t="s">
        <v>54</v>
      </c>
      <c r="E1208" t="s">
        <v>537</v>
      </c>
      <c r="F1208" t="s">
        <v>85</v>
      </c>
      <c r="G1208" t="s">
        <v>538</v>
      </c>
      <c r="H1208" t="s">
        <v>2926</v>
      </c>
      <c r="I1208" t="s">
        <v>110</v>
      </c>
      <c r="J1208" t="s">
        <v>2488</v>
      </c>
      <c r="K1208" t="s">
        <v>162</v>
      </c>
      <c r="M1208" t="s">
        <v>163</v>
      </c>
      <c r="N1208" t="s">
        <v>96</v>
      </c>
      <c r="O1208" s="27">
        <v>4360000</v>
      </c>
      <c r="P1208">
        <v>3</v>
      </c>
      <c r="Q1208" t="s">
        <v>172</v>
      </c>
      <c r="R1208">
        <v>44</v>
      </c>
      <c r="S1208" t="s">
        <v>274</v>
      </c>
      <c r="T1208" t="str">
        <f>IF(COUNTIF($A$2:A1208,A1208)&gt;1,"Duplicate","Unique")</f>
        <v>Unique</v>
      </c>
    </row>
    <row r="1209" spans="1:20" x14ac:dyDescent="0.45">
      <c r="A1209" t="s">
        <v>1892</v>
      </c>
      <c r="B1209" t="s">
        <v>3645</v>
      </c>
      <c r="C1209" t="s">
        <v>53</v>
      </c>
      <c r="D1209" t="s">
        <v>52</v>
      </c>
      <c r="E1209" t="s">
        <v>200</v>
      </c>
      <c r="F1209" t="s">
        <v>84</v>
      </c>
      <c r="G1209" t="s">
        <v>201</v>
      </c>
      <c r="H1209" t="s">
        <v>108</v>
      </c>
      <c r="I1209" t="s">
        <v>107</v>
      </c>
      <c r="J1209" t="s">
        <v>3222</v>
      </c>
      <c r="K1209" t="s">
        <v>162</v>
      </c>
      <c r="M1209" t="s">
        <v>163</v>
      </c>
      <c r="N1209" t="s">
        <v>95</v>
      </c>
      <c r="O1209" s="27">
        <v>2935000</v>
      </c>
      <c r="P1209">
        <v>5</v>
      </c>
      <c r="Q1209" t="s">
        <v>164</v>
      </c>
      <c r="R1209">
        <v>39</v>
      </c>
      <c r="S1209" t="s">
        <v>194</v>
      </c>
      <c r="T1209" t="str">
        <f>IF(COUNTIF($A$2:A1209,A1209)&gt;1,"Duplicate","Unique")</f>
        <v>Unique</v>
      </c>
    </row>
    <row r="1210" spans="1:20" x14ac:dyDescent="0.45">
      <c r="A1210" t="s">
        <v>1790</v>
      </c>
      <c r="B1210" t="s">
        <v>390</v>
      </c>
      <c r="C1210" t="s">
        <v>51</v>
      </c>
      <c r="D1210" t="s">
        <v>50</v>
      </c>
      <c r="E1210" t="s">
        <v>217</v>
      </c>
      <c r="F1210" t="s">
        <v>83</v>
      </c>
      <c r="G1210" t="s">
        <v>218</v>
      </c>
      <c r="H1210" t="s">
        <v>108</v>
      </c>
      <c r="I1210" t="s">
        <v>107</v>
      </c>
      <c r="J1210" t="s">
        <v>3646</v>
      </c>
      <c r="K1210" t="s">
        <v>162</v>
      </c>
      <c r="M1210" t="s">
        <v>163</v>
      </c>
      <c r="N1210" t="s">
        <v>99</v>
      </c>
      <c r="O1210" s="27">
        <v>1804000</v>
      </c>
      <c r="P1210">
        <v>3</v>
      </c>
      <c r="Q1210" t="s">
        <v>164</v>
      </c>
      <c r="R1210">
        <v>20</v>
      </c>
      <c r="S1210" t="s">
        <v>178</v>
      </c>
      <c r="T1210" t="str">
        <f>IF(COUNTIF($A$2:A1210,A1210)&gt;1,"Duplicate","Unique")</f>
        <v>Unique</v>
      </c>
    </row>
    <row r="1211" spans="1:20" x14ac:dyDescent="0.45">
      <c r="A1211" t="s">
        <v>2349</v>
      </c>
      <c r="B1211" t="s">
        <v>1782</v>
      </c>
      <c r="C1211" t="s">
        <v>53</v>
      </c>
      <c r="D1211" t="s">
        <v>52</v>
      </c>
      <c r="E1211" t="s">
        <v>185</v>
      </c>
      <c r="F1211" t="s">
        <v>82</v>
      </c>
      <c r="G1211" t="s">
        <v>186</v>
      </c>
      <c r="H1211" t="s">
        <v>108</v>
      </c>
      <c r="I1211" t="s">
        <v>107</v>
      </c>
      <c r="J1211" t="s">
        <v>3647</v>
      </c>
      <c r="K1211" t="s">
        <v>162</v>
      </c>
      <c r="M1211" t="s">
        <v>163</v>
      </c>
      <c r="N1211" t="s">
        <v>97</v>
      </c>
      <c r="O1211" s="27">
        <v>1156000</v>
      </c>
      <c r="P1211">
        <v>3</v>
      </c>
      <c r="Q1211" t="s">
        <v>172</v>
      </c>
      <c r="R1211">
        <v>49</v>
      </c>
      <c r="S1211" t="s">
        <v>189</v>
      </c>
      <c r="T1211" t="str">
        <f>IF(COUNTIF($A$2:A1211,A1211)&gt;1,"Duplicate","Unique")</f>
        <v>Unique</v>
      </c>
    </row>
    <row r="1212" spans="1:20" x14ac:dyDescent="0.45">
      <c r="A1212" t="s">
        <v>1092</v>
      </c>
      <c r="B1212" t="s">
        <v>860</v>
      </c>
      <c r="C1212" t="s">
        <v>59</v>
      </c>
      <c r="D1212" t="s">
        <v>58</v>
      </c>
      <c r="E1212" t="s">
        <v>211</v>
      </c>
      <c r="F1212" t="s">
        <v>82</v>
      </c>
      <c r="G1212" t="s">
        <v>212</v>
      </c>
      <c r="H1212" t="s">
        <v>2465</v>
      </c>
      <c r="I1212" t="s">
        <v>107</v>
      </c>
      <c r="J1212" t="s">
        <v>3141</v>
      </c>
      <c r="K1212" t="s">
        <v>162</v>
      </c>
      <c r="M1212" t="s">
        <v>163</v>
      </c>
      <c r="N1212" t="s">
        <v>99</v>
      </c>
      <c r="O1212" s="27">
        <v>938000</v>
      </c>
      <c r="P1212">
        <v>3</v>
      </c>
      <c r="Q1212" t="s">
        <v>164</v>
      </c>
      <c r="R1212">
        <v>33</v>
      </c>
      <c r="S1212" t="s">
        <v>214</v>
      </c>
      <c r="T1212" t="str">
        <f>IF(COUNTIF($A$2:A1212,A1212)&gt;1,"Duplicate","Unique")</f>
        <v>Unique</v>
      </c>
    </row>
    <row r="1213" spans="1:20" x14ac:dyDescent="0.45">
      <c r="A1213" t="s">
        <v>2317</v>
      </c>
      <c r="B1213" t="s">
        <v>1424</v>
      </c>
      <c r="C1213" t="s">
        <v>51</v>
      </c>
      <c r="D1213" t="s">
        <v>50</v>
      </c>
      <c r="E1213" t="s">
        <v>176</v>
      </c>
      <c r="F1213" t="s">
        <v>82</v>
      </c>
      <c r="G1213" t="s">
        <v>177</v>
      </c>
      <c r="H1213" t="s">
        <v>106</v>
      </c>
      <c r="I1213" t="s">
        <v>107</v>
      </c>
      <c r="J1213" t="s">
        <v>2835</v>
      </c>
      <c r="K1213" t="s">
        <v>162</v>
      </c>
      <c r="M1213" t="s">
        <v>163</v>
      </c>
      <c r="N1213" t="s">
        <v>97</v>
      </c>
      <c r="O1213" s="27">
        <v>979000</v>
      </c>
      <c r="P1213">
        <v>3</v>
      </c>
      <c r="Q1213" t="s">
        <v>164</v>
      </c>
      <c r="R1213">
        <v>73</v>
      </c>
      <c r="S1213" t="s">
        <v>178</v>
      </c>
      <c r="T1213" t="str">
        <f>IF(COUNTIF($A$2:A1213,A1213)&gt;1,"Duplicate","Unique")</f>
        <v>Unique</v>
      </c>
    </row>
    <row r="1214" spans="1:20" x14ac:dyDescent="0.45">
      <c r="A1214" t="s">
        <v>1969</v>
      </c>
      <c r="B1214" t="s">
        <v>1970</v>
      </c>
      <c r="C1214" t="s">
        <v>55</v>
      </c>
      <c r="D1214" t="s">
        <v>54</v>
      </c>
      <c r="E1214" t="s">
        <v>229</v>
      </c>
      <c r="F1214" t="s">
        <v>82</v>
      </c>
      <c r="G1214" t="s">
        <v>230</v>
      </c>
      <c r="H1214" t="s">
        <v>111</v>
      </c>
      <c r="I1214" t="s">
        <v>110</v>
      </c>
      <c r="J1214" t="s">
        <v>2650</v>
      </c>
      <c r="K1214" t="s">
        <v>162</v>
      </c>
      <c r="M1214" t="s">
        <v>163</v>
      </c>
      <c r="N1214" t="s">
        <v>95</v>
      </c>
      <c r="O1214" s="27">
        <v>952000</v>
      </c>
      <c r="P1214">
        <v>3</v>
      </c>
      <c r="Q1214" t="s">
        <v>172</v>
      </c>
      <c r="R1214">
        <v>32</v>
      </c>
      <c r="S1214" t="s">
        <v>262</v>
      </c>
      <c r="T1214" t="str">
        <f>IF(COUNTIF($A$2:A1214,A1214)&gt;1,"Duplicate","Unique")</f>
        <v>Unique</v>
      </c>
    </row>
    <row r="1215" spans="1:20" x14ac:dyDescent="0.45">
      <c r="A1215" t="s">
        <v>263</v>
      </c>
      <c r="B1215" t="s">
        <v>264</v>
      </c>
      <c r="C1215" t="s">
        <v>51</v>
      </c>
      <c r="D1215" t="s">
        <v>50</v>
      </c>
      <c r="E1215" t="s">
        <v>181</v>
      </c>
      <c r="F1215" t="s">
        <v>81</v>
      </c>
      <c r="G1215" t="s">
        <v>182</v>
      </c>
      <c r="H1215" t="s">
        <v>106</v>
      </c>
      <c r="I1215" t="s">
        <v>107</v>
      </c>
      <c r="J1215" t="s">
        <v>3648</v>
      </c>
      <c r="K1215" t="s">
        <v>162</v>
      </c>
      <c r="M1215" t="s">
        <v>163</v>
      </c>
      <c r="N1215" t="s">
        <v>96</v>
      </c>
      <c r="O1215" s="27">
        <v>661000</v>
      </c>
      <c r="P1215">
        <v>2</v>
      </c>
      <c r="Q1215" t="s">
        <v>164</v>
      </c>
      <c r="R1215">
        <v>25</v>
      </c>
      <c r="S1215" t="s">
        <v>244</v>
      </c>
      <c r="T1215" t="str">
        <f>IF(COUNTIF($A$2:A1215,A1215)&gt;1,"Duplicate","Unique")</f>
        <v>Unique</v>
      </c>
    </row>
    <row r="1216" spans="1:20" x14ac:dyDescent="0.45">
      <c r="A1216" t="s">
        <v>1630</v>
      </c>
      <c r="B1216" t="s">
        <v>675</v>
      </c>
      <c r="C1216" t="s">
        <v>51</v>
      </c>
      <c r="D1216" t="s">
        <v>50</v>
      </c>
      <c r="E1216" t="s">
        <v>181</v>
      </c>
      <c r="F1216" t="s">
        <v>81</v>
      </c>
      <c r="G1216" t="s">
        <v>182</v>
      </c>
      <c r="H1216" t="s">
        <v>106</v>
      </c>
      <c r="I1216" t="s">
        <v>107</v>
      </c>
      <c r="J1216" t="s">
        <v>2598</v>
      </c>
      <c r="K1216" t="s">
        <v>162</v>
      </c>
      <c r="M1216" t="s">
        <v>163</v>
      </c>
      <c r="N1216" t="s">
        <v>98</v>
      </c>
      <c r="O1216" s="27">
        <v>603000</v>
      </c>
      <c r="P1216">
        <v>1</v>
      </c>
      <c r="Q1216" t="s">
        <v>164</v>
      </c>
      <c r="R1216">
        <v>4</v>
      </c>
      <c r="S1216" t="s">
        <v>219</v>
      </c>
      <c r="T1216" t="str">
        <f>IF(COUNTIF($A$2:A1216,A1216)&gt;1,"Duplicate","Unique")</f>
        <v>Unique</v>
      </c>
    </row>
    <row r="1217" spans="1:20" x14ac:dyDescent="0.45">
      <c r="A1217" t="s">
        <v>1872</v>
      </c>
      <c r="B1217" t="s">
        <v>1873</v>
      </c>
      <c r="C1217" t="s">
        <v>51</v>
      </c>
      <c r="D1217" t="s">
        <v>50</v>
      </c>
      <c r="E1217" t="s">
        <v>176</v>
      </c>
      <c r="F1217" t="s">
        <v>82</v>
      </c>
      <c r="G1217" t="s">
        <v>177</v>
      </c>
      <c r="H1217" t="s">
        <v>2788</v>
      </c>
      <c r="I1217" t="s">
        <v>110</v>
      </c>
      <c r="J1217" t="s">
        <v>3649</v>
      </c>
      <c r="K1217" t="s">
        <v>162</v>
      </c>
      <c r="M1217" t="s">
        <v>163</v>
      </c>
      <c r="N1217" t="s">
        <v>98</v>
      </c>
      <c r="O1217" s="27">
        <v>1259000</v>
      </c>
      <c r="P1217">
        <v>1</v>
      </c>
      <c r="Q1217" t="s">
        <v>164</v>
      </c>
      <c r="R1217">
        <v>4</v>
      </c>
      <c r="S1217" t="s">
        <v>178</v>
      </c>
      <c r="T1217" t="str">
        <f>IF(COUNTIF($A$2:A1217,A1217)&gt;1,"Duplicate","Unique")</f>
        <v>Unique</v>
      </c>
    </row>
    <row r="1218" spans="1:20" x14ac:dyDescent="0.45">
      <c r="A1218" t="s">
        <v>2135</v>
      </c>
      <c r="B1218" t="s">
        <v>804</v>
      </c>
      <c r="C1218" t="s">
        <v>57</v>
      </c>
      <c r="D1218" t="s">
        <v>56</v>
      </c>
      <c r="E1218" t="s">
        <v>391</v>
      </c>
      <c r="F1218" t="s">
        <v>83</v>
      </c>
      <c r="G1218" t="s">
        <v>392</v>
      </c>
      <c r="H1218" t="s">
        <v>111</v>
      </c>
      <c r="I1218" t="s">
        <v>110</v>
      </c>
      <c r="J1218" t="s">
        <v>3359</v>
      </c>
      <c r="K1218" t="s">
        <v>162</v>
      </c>
      <c r="M1218" t="s">
        <v>163</v>
      </c>
      <c r="N1218" t="s">
        <v>97</v>
      </c>
      <c r="O1218" s="27">
        <v>2032000</v>
      </c>
      <c r="P1218">
        <v>4</v>
      </c>
      <c r="Q1218" t="s">
        <v>172</v>
      </c>
      <c r="R1218">
        <v>44</v>
      </c>
      <c r="S1218" t="s">
        <v>224</v>
      </c>
      <c r="T1218" t="str">
        <f>IF(COUNTIF($A$2:A1218,A1218)&gt;1,"Duplicate","Unique")</f>
        <v>Unique</v>
      </c>
    </row>
    <row r="1219" spans="1:20" x14ac:dyDescent="0.45">
      <c r="A1219" t="s">
        <v>2357</v>
      </c>
      <c r="B1219" t="s">
        <v>1736</v>
      </c>
      <c r="C1219" t="s">
        <v>57</v>
      </c>
      <c r="D1219" t="s">
        <v>56</v>
      </c>
      <c r="E1219" t="s">
        <v>222</v>
      </c>
      <c r="F1219" t="s">
        <v>82</v>
      </c>
      <c r="G1219" t="s">
        <v>223</v>
      </c>
      <c r="H1219" t="s">
        <v>108</v>
      </c>
      <c r="I1219" t="s">
        <v>107</v>
      </c>
      <c r="J1219" t="s">
        <v>2604</v>
      </c>
      <c r="K1219" t="s">
        <v>162</v>
      </c>
      <c r="M1219" t="s">
        <v>163</v>
      </c>
      <c r="N1219" t="s">
        <v>99</v>
      </c>
      <c r="O1219" s="27">
        <v>1039000</v>
      </c>
      <c r="P1219">
        <v>2</v>
      </c>
      <c r="Q1219" t="s">
        <v>164</v>
      </c>
      <c r="R1219">
        <v>43</v>
      </c>
      <c r="S1219" t="s">
        <v>224</v>
      </c>
      <c r="T1219" t="str">
        <f>IF(COUNTIF($A$2:A1219,A1219)&gt;1,"Duplicate","Unique")</f>
        <v>Unique</v>
      </c>
    </row>
    <row r="1220" spans="1:20" x14ac:dyDescent="0.45">
      <c r="A1220" t="s">
        <v>2174</v>
      </c>
      <c r="B1220" t="s">
        <v>1251</v>
      </c>
      <c r="C1220" t="s">
        <v>53</v>
      </c>
      <c r="D1220" t="s">
        <v>52</v>
      </c>
      <c r="E1220" t="s">
        <v>185</v>
      </c>
      <c r="F1220" t="s">
        <v>82</v>
      </c>
      <c r="G1220" t="s">
        <v>186</v>
      </c>
      <c r="H1220" t="s">
        <v>109</v>
      </c>
      <c r="I1220" t="s">
        <v>110</v>
      </c>
      <c r="J1220" t="s">
        <v>3581</v>
      </c>
      <c r="K1220" t="s">
        <v>162</v>
      </c>
      <c r="M1220" t="s">
        <v>163</v>
      </c>
      <c r="N1220" t="s">
        <v>95</v>
      </c>
      <c r="O1220" s="27">
        <v>921000</v>
      </c>
      <c r="P1220">
        <v>5</v>
      </c>
      <c r="Q1220" t="s">
        <v>172</v>
      </c>
      <c r="R1220">
        <v>34</v>
      </c>
      <c r="S1220" t="s">
        <v>194</v>
      </c>
      <c r="T1220" t="str">
        <f>IF(COUNTIF($A$2:A1220,A1220)&gt;1,"Duplicate","Unique")</f>
        <v>Unique</v>
      </c>
    </row>
    <row r="1221" spans="1:20" x14ac:dyDescent="0.45">
      <c r="A1221" t="s">
        <v>2003</v>
      </c>
      <c r="B1221" t="s">
        <v>410</v>
      </c>
      <c r="C1221" t="s">
        <v>51</v>
      </c>
      <c r="D1221" t="s">
        <v>50</v>
      </c>
      <c r="E1221" t="s">
        <v>181</v>
      </c>
      <c r="F1221" t="s">
        <v>81</v>
      </c>
      <c r="G1221" t="s">
        <v>182</v>
      </c>
      <c r="H1221" t="s">
        <v>2963</v>
      </c>
      <c r="I1221" t="s">
        <v>107</v>
      </c>
      <c r="J1221" t="s">
        <v>3650</v>
      </c>
      <c r="K1221" t="s">
        <v>170</v>
      </c>
      <c r="L1221" t="s">
        <v>3651</v>
      </c>
      <c r="M1221" t="s">
        <v>171</v>
      </c>
      <c r="N1221" t="s">
        <v>96</v>
      </c>
      <c r="O1221" s="27">
        <v>806000</v>
      </c>
      <c r="P1221">
        <v>2</v>
      </c>
      <c r="Q1221" t="s">
        <v>2584</v>
      </c>
      <c r="R1221">
        <v>14</v>
      </c>
      <c r="S1221" t="s">
        <v>178</v>
      </c>
      <c r="T1221" t="str">
        <f>IF(COUNTIF($A$2:A1221,A1221)&gt;1,"Duplicate","Unique")</f>
        <v>Unique</v>
      </c>
    </row>
    <row r="1222" spans="1:20" x14ac:dyDescent="0.45">
      <c r="A1222" t="s">
        <v>2211</v>
      </c>
      <c r="B1222" t="s">
        <v>1523</v>
      </c>
      <c r="C1222" t="s">
        <v>55</v>
      </c>
      <c r="D1222" t="s">
        <v>54</v>
      </c>
      <c r="E1222" t="s">
        <v>229</v>
      </c>
      <c r="F1222" t="s">
        <v>82</v>
      </c>
      <c r="G1222" t="s">
        <v>230</v>
      </c>
      <c r="H1222" t="s">
        <v>106</v>
      </c>
      <c r="I1222" t="s">
        <v>107</v>
      </c>
      <c r="J1222" t="s">
        <v>3652</v>
      </c>
      <c r="K1222" t="s">
        <v>162</v>
      </c>
      <c r="M1222" t="s">
        <v>163</v>
      </c>
      <c r="N1222" t="s">
        <v>96</v>
      </c>
      <c r="O1222" s="27">
        <v>878000</v>
      </c>
      <c r="P1222">
        <v>3</v>
      </c>
      <c r="Q1222" t="s">
        <v>172</v>
      </c>
      <c r="R1222">
        <v>32</v>
      </c>
      <c r="S1222" t="s">
        <v>173</v>
      </c>
      <c r="T1222" t="str">
        <f>IF(COUNTIF($A$2:A1222,A1222)&gt;1,"Duplicate","Unique")</f>
        <v>Unique</v>
      </c>
    </row>
    <row r="1223" spans="1:20" x14ac:dyDescent="0.45">
      <c r="A1223" t="s">
        <v>956</v>
      </c>
      <c r="B1223" t="s">
        <v>199</v>
      </c>
      <c r="C1223" t="s">
        <v>59</v>
      </c>
      <c r="D1223" t="s">
        <v>58</v>
      </c>
      <c r="E1223" t="s">
        <v>211</v>
      </c>
      <c r="F1223" t="s">
        <v>82</v>
      </c>
      <c r="G1223" t="s">
        <v>212</v>
      </c>
      <c r="H1223" t="s">
        <v>106</v>
      </c>
      <c r="I1223" t="s">
        <v>107</v>
      </c>
      <c r="J1223" t="s">
        <v>3653</v>
      </c>
      <c r="K1223" t="s">
        <v>162</v>
      </c>
      <c r="M1223" t="s">
        <v>163</v>
      </c>
      <c r="N1223" t="s">
        <v>96</v>
      </c>
      <c r="O1223" s="27">
        <v>901000</v>
      </c>
      <c r="P1223">
        <v>4</v>
      </c>
      <c r="Q1223" t="s">
        <v>164</v>
      </c>
      <c r="R1223">
        <v>46</v>
      </c>
      <c r="S1223" t="s">
        <v>208</v>
      </c>
      <c r="T1223" t="str">
        <f>IF(COUNTIF($A$2:A1223,A1223)&gt;1,"Duplicate","Unique")</f>
        <v>Unique</v>
      </c>
    </row>
    <row r="1224" spans="1:20" x14ac:dyDescent="0.45">
      <c r="A1224" t="s">
        <v>1854</v>
      </c>
      <c r="B1224" t="s">
        <v>1481</v>
      </c>
      <c r="C1224" t="s">
        <v>53</v>
      </c>
      <c r="D1224" t="s">
        <v>52</v>
      </c>
      <c r="E1224" t="s">
        <v>322</v>
      </c>
      <c r="F1224" t="s">
        <v>81</v>
      </c>
      <c r="G1224" t="s">
        <v>323</v>
      </c>
      <c r="H1224" t="s">
        <v>106</v>
      </c>
      <c r="I1224" t="s">
        <v>107</v>
      </c>
      <c r="J1224" t="s">
        <v>3654</v>
      </c>
      <c r="K1224" t="s">
        <v>162</v>
      </c>
      <c r="M1224" t="s">
        <v>163</v>
      </c>
      <c r="N1224" t="s">
        <v>99</v>
      </c>
      <c r="O1224" s="27">
        <v>666000</v>
      </c>
      <c r="P1224">
        <v>3</v>
      </c>
      <c r="Q1224" t="s">
        <v>172</v>
      </c>
      <c r="R1224">
        <v>49</v>
      </c>
      <c r="S1224" t="s">
        <v>194</v>
      </c>
      <c r="T1224" t="str">
        <f>IF(COUNTIF($A$2:A1224,A1224)&gt;1,"Duplicate","Unique")</f>
        <v>Unique</v>
      </c>
    </row>
    <row r="1225" spans="1:20" x14ac:dyDescent="0.45">
      <c r="A1225" t="s">
        <v>1342</v>
      </c>
      <c r="B1225" t="s">
        <v>266</v>
      </c>
      <c r="C1225" t="s">
        <v>59</v>
      </c>
      <c r="D1225" t="s">
        <v>58</v>
      </c>
      <c r="E1225" t="s">
        <v>211</v>
      </c>
      <c r="F1225" t="s">
        <v>82</v>
      </c>
      <c r="G1225" t="s">
        <v>212</v>
      </c>
      <c r="H1225" t="s">
        <v>111</v>
      </c>
      <c r="I1225" t="s">
        <v>110</v>
      </c>
      <c r="J1225" t="s">
        <v>3655</v>
      </c>
      <c r="K1225" t="s">
        <v>162</v>
      </c>
      <c r="M1225" t="s">
        <v>163</v>
      </c>
      <c r="N1225" t="s">
        <v>99</v>
      </c>
      <c r="O1225" s="27">
        <v>906000</v>
      </c>
      <c r="P1225">
        <v>3</v>
      </c>
      <c r="Q1225" t="s">
        <v>2584</v>
      </c>
      <c r="R1225">
        <v>48</v>
      </c>
      <c r="S1225" t="s">
        <v>214</v>
      </c>
      <c r="T1225" t="str">
        <f>IF(COUNTIF($A$2:A1225,A1225)&gt;1,"Duplicate","Unique")</f>
        <v>Unique</v>
      </c>
    </row>
    <row r="1226" spans="1:20" x14ac:dyDescent="0.45">
      <c r="A1226" t="s">
        <v>1113</v>
      </c>
      <c r="B1226" t="s">
        <v>1114</v>
      </c>
      <c r="C1226" t="s">
        <v>51</v>
      </c>
      <c r="D1226" t="s">
        <v>50</v>
      </c>
      <c r="E1226" t="s">
        <v>181</v>
      </c>
      <c r="F1226" t="s">
        <v>81</v>
      </c>
      <c r="G1226" t="s">
        <v>182</v>
      </c>
      <c r="H1226" t="s">
        <v>2535</v>
      </c>
      <c r="I1226" t="s">
        <v>107</v>
      </c>
      <c r="J1226" t="s">
        <v>3656</v>
      </c>
      <c r="K1226" t="s">
        <v>187</v>
      </c>
      <c r="L1226" t="s">
        <v>2792</v>
      </c>
      <c r="M1226" t="s">
        <v>213</v>
      </c>
      <c r="N1226" t="s">
        <v>99</v>
      </c>
      <c r="O1226" s="27">
        <v>650000</v>
      </c>
      <c r="P1226">
        <v>4</v>
      </c>
      <c r="Q1226" t="s">
        <v>172</v>
      </c>
      <c r="R1226">
        <v>22</v>
      </c>
      <c r="S1226" t="s">
        <v>178</v>
      </c>
      <c r="T1226" t="str">
        <f>IF(COUNTIF($A$2:A1226,A1226)&gt;1,"Duplicate","Unique")</f>
        <v>Unique</v>
      </c>
    </row>
    <row r="1227" spans="1:20" x14ac:dyDescent="0.45">
      <c r="A1227" t="s">
        <v>1837</v>
      </c>
      <c r="B1227" t="s">
        <v>732</v>
      </c>
      <c r="C1227" t="s">
        <v>59</v>
      </c>
      <c r="D1227" t="s">
        <v>58</v>
      </c>
      <c r="E1227" t="s">
        <v>206</v>
      </c>
      <c r="F1227" t="s">
        <v>81</v>
      </c>
      <c r="G1227" t="s">
        <v>207</v>
      </c>
      <c r="H1227" t="s">
        <v>108</v>
      </c>
      <c r="I1227" t="s">
        <v>107</v>
      </c>
      <c r="J1227" t="s">
        <v>3657</v>
      </c>
      <c r="K1227" t="s">
        <v>162</v>
      </c>
      <c r="M1227" t="s">
        <v>163</v>
      </c>
      <c r="N1227" t="s">
        <v>99</v>
      </c>
      <c r="O1227" s="27">
        <v>730000</v>
      </c>
      <c r="P1227">
        <v>3</v>
      </c>
      <c r="Q1227" t="s">
        <v>164</v>
      </c>
      <c r="R1227">
        <v>26</v>
      </c>
      <c r="S1227" t="s">
        <v>208</v>
      </c>
      <c r="T1227" t="str">
        <f>IF(COUNTIF($A$2:A1227,A1227)&gt;1,"Duplicate","Unique")</f>
        <v>Unique</v>
      </c>
    </row>
    <row r="1228" spans="1:20" x14ac:dyDescent="0.45">
      <c r="A1228" t="s">
        <v>491</v>
      </c>
      <c r="B1228" t="s">
        <v>419</v>
      </c>
      <c r="C1228" t="s">
        <v>61</v>
      </c>
      <c r="D1228" t="s">
        <v>60</v>
      </c>
      <c r="E1228" t="s">
        <v>356</v>
      </c>
      <c r="F1228" t="s">
        <v>81</v>
      </c>
      <c r="G1228" t="s">
        <v>357</v>
      </c>
      <c r="H1228" t="s">
        <v>106</v>
      </c>
      <c r="I1228" t="s">
        <v>107</v>
      </c>
      <c r="J1228" t="s">
        <v>3658</v>
      </c>
      <c r="K1228" t="s">
        <v>187</v>
      </c>
      <c r="L1228" t="s">
        <v>3659</v>
      </c>
      <c r="M1228" t="s">
        <v>269</v>
      </c>
      <c r="N1228" t="s">
        <v>99</v>
      </c>
      <c r="O1228" s="27">
        <v>700000</v>
      </c>
      <c r="P1228">
        <v>3</v>
      </c>
      <c r="Q1228" t="s">
        <v>172</v>
      </c>
      <c r="R1228">
        <v>38</v>
      </c>
      <c r="S1228" t="s">
        <v>253</v>
      </c>
      <c r="T1228" t="str">
        <f>IF(COUNTIF($A$2:A1228,A1228)&gt;1,"Duplicate","Unique")</f>
        <v>Unique</v>
      </c>
    </row>
    <row r="1229" spans="1:20" x14ac:dyDescent="0.45">
      <c r="A1229" t="s">
        <v>1473</v>
      </c>
      <c r="B1229" t="s">
        <v>442</v>
      </c>
      <c r="C1229" t="s">
        <v>53</v>
      </c>
      <c r="D1229" t="s">
        <v>52</v>
      </c>
      <c r="E1229" t="s">
        <v>185</v>
      </c>
      <c r="F1229" t="s">
        <v>82</v>
      </c>
      <c r="G1229" t="s">
        <v>186</v>
      </c>
      <c r="H1229" t="s">
        <v>106</v>
      </c>
      <c r="I1229" t="s">
        <v>107</v>
      </c>
      <c r="J1229" t="s">
        <v>3326</v>
      </c>
      <c r="K1229" t="s">
        <v>162</v>
      </c>
      <c r="M1229" t="s">
        <v>163</v>
      </c>
      <c r="N1229" t="s">
        <v>99</v>
      </c>
      <c r="O1229" s="27">
        <v>1073000</v>
      </c>
      <c r="P1229">
        <v>1</v>
      </c>
      <c r="Q1229" t="s">
        <v>172</v>
      </c>
      <c r="R1229">
        <v>4</v>
      </c>
      <c r="S1229" t="s">
        <v>237</v>
      </c>
      <c r="T1229" t="str">
        <f>IF(COUNTIF($A$2:A1229,A1229)&gt;1,"Duplicate","Unique")</f>
        <v>Unique</v>
      </c>
    </row>
    <row r="1230" spans="1:20" x14ac:dyDescent="0.45">
      <c r="A1230" t="s">
        <v>553</v>
      </c>
      <c r="B1230" t="s">
        <v>554</v>
      </c>
      <c r="C1230" t="s">
        <v>51</v>
      </c>
      <c r="D1230" t="s">
        <v>50</v>
      </c>
      <c r="E1230" t="s">
        <v>176</v>
      </c>
      <c r="F1230" t="s">
        <v>82</v>
      </c>
      <c r="G1230" t="s">
        <v>177</v>
      </c>
      <c r="H1230" t="s">
        <v>111</v>
      </c>
      <c r="I1230" t="s">
        <v>110</v>
      </c>
      <c r="J1230" t="s">
        <v>3660</v>
      </c>
      <c r="K1230" t="s">
        <v>187</v>
      </c>
      <c r="L1230" t="s">
        <v>3661</v>
      </c>
      <c r="M1230" t="s">
        <v>308</v>
      </c>
      <c r="N1230" t="s">
        <v>98</v>
      </c>
      <c r="O1230" s="27">
        <v>989000</v>
      </c>
      <c r="P1230">
        <v>4</v>
      </c>
      <c r="Q1230" t="s">
        <v>164</v>
      </c>
      <c r="R1230">
        <v>44</v>
      </c>
      <c r="S1230" t="s">
        <v>178</v>
      </c>
      <c r="T1230" t="str">
        <f>IF(COUNTIF($A$2:A1230,A1230)&gt;1,"Duplicate","Unique")</f>
        <v>Unique</v>
      </c>
    </row>
    <row r="1231" spans="1:20" x14ac:dyDescent="0.45">
      <c r="A1231" t="s">
        <v>1639</v>
      </c>
      <c r="B1231" t="s">
        <v>679</v>
      </c>
      <c r="C1231" t="s">
        <v>53</v>
      </c>
      <c r="D1231" t="s">
        <v>52</v>
      </c>
      <c r="E1231" t="s">
        <v>322</v>
      </c>
      <c r="F1231" t="s">
        <v>81</v>
      </c>
      <c r="G1231" t="s">
        <v>323</v>
      </c>
      <c r="H1231" t="s">
        <v>108</v>
      </c>
      <c r="I1231" t="s">
        <v>107</v>
      </c>
      <c r="J1231" t="s">
        <v>2862</v>
      </c>
      <c r="K1231" t="s">
        <v>162</v>
      </c>
      <c r="M1231" t="s">
        <v>163</v>
      </c>
      <c r="N1231" t="s">
        <v>95</v>
      </c>
      <c r="O1231" s="27">
        <v>842000</v>
      </c>
      <c r="P1231">
        <v>3</v>
      </c>
      <c r="Q1231" t="s">
        <v>172</v>
      </c>
      <c r="R1231">
        <v>53</v>
      </c>
      <c r="S1231" t="s">
        <v>189</v>
      </c>
      <c r="T1231" t="str">
        <f>IF(COUNTIF($A$2:A1231,A1231)&gt;1,"Duplicate","Unique")</f>
        <v>Unique</v>
      </c>
    </row>
    <row r="1232" spans="1:20" x14ac:dyDescent="0.45">
      <c r="A1232" t="s">
        <v>2229</v>
      </c>
      <c r="B1232" t="s">
        <v>400</v>
      </c>
      <c r="C1232" t="s">
        <v>57</v>
      </c>
      <c r="D1232" t="s">
        <v>56</v>
      </c>
      <c r="E1232" t="s">
        <v>455</v>
      </c>
      <c r="F1232" t="s">
        <v>84</v>
      </c>
      <c r="G1232" t="s">
        <v>456</v>
      </c>
      <c r="H1232" t="s">
        <v>111</v>
      </c>
      <c r="I1232" t="s">
        <v>110</v>
      </c>
      <c r="J1232" t="s">
        <v>3662</v>
      </c>
      <c r="K1232" t="s">
        <v>162</v>
      </c>
      <c r="M1232" t="s">
        <v>163</v>
      </c>
      <c r="N1232" t="s">
        <v>98</v>
      </c>
      <c r="O1232" s="27">
        <v>2800000</v>
      </c>
      <c r="P1232">
        <v>2</v>
      </c>
      <c r="Q1232" t="s">
        <v>164</v>
      </c>
      <c r="R1232">
        <v>21</v>
      </c>
      <c r="S1232" t="s">
        <v>224</v>
      </c>
      <c r="T1232" t="str">
        <f>IF(COUNTIF($A$2:A1232,A1232)&gt;1,"Duplicate","Unique")</f>
        <v>Unique</v>
      </c>
    </row>
    <row r="1233" spans="1:20" x14ac:dyDescent="0.45">
      <c r="A1233" t="s">
        <v>670</v>
      </c>
      <c r="B1233" t="s">
        <v>671</v>
      </c>
      <c r="C1233" t="s">
        <v>61</v>
      </c>
      <c r="D1233" t="s">
        <v>60</v>
      </c>
      <c r="E1233" t="s">
        <v>251</v>
      </c>
      <c r="F1233" t="s">
        <v>82</v>
      </c>
      <c r="G1233" t="s">
        <v>252</v>
      </c>
      <c r="H1233" t="s">
        <v>109</v>
      </c>
      <c r="I1233" t="s">
        <v>110</v>
      </c>
      <c r="J1233" t="s">
        <v>2692</v>
      </c>
      <c r="K1233" t="s">
        <v>162</v>
      </c>
      <c r="M1233" t="s">
        <v>163</v>
      </c>
      <c r="N1233" t="s">
        <v>97</v>
      </c>
      <c r="O1233" s="27">
        <v>1113000</v>
      </c>
      <c r="P1233">
        <v>4</v>
      </c>
      <c r="Q1233" t="s">
        <v>164</v>
      </c>
      <c r="R1233">
        <v>15</v>
      </c>
      <c r="S1233" t="s">
        <v>253</v>
      </c>
      <c r="T1233" t="str">
        <f>IF(COUNTIF($A$2:A1233,A1233)&gt;1,"Duplicate","Unique")</f>
        <v>Unique</v>
      </c>
    </row>
    <row r="1234" spans="1:20" x14ac:dyDescent="0.45">
      <c r="A1234" t="s">
        <v>1895</v>
      </c>
      <c r="B1234" t="s">
        <v>969</v>
      </c>
      <c r="C1234" t="s">
        <v>51</v>
      </c>
      <c r="D1234" t="s">
        <v>50</v>
      </c>
      <c r="E1234" t="s">
        <v>181</v>
      </c>
      <c r="F1234" t="s">
        <v>81</v>
      </c>
      <c r="G1234" t="s">
        <v>182</v>
      </c>
      <c r="H1234" t="s">
        <v>106</v>
      </c>
      <c r="I1234" t="s">
        <v>107</v>
      </c>
      <c r="J1234" t="s">
        <v>3663</v>
      </c>
      <c r="K1234" t="s">
        <v>162</v>
      </c>
      <c r="M1234" t="s">
        <v>163</v>
      </c>
      <c r="N1234" t="s">
        <v>99</v>
      </c>
      <c r="O1234" s="27">
        <v>805000</v>
      </c>
      <c r="P1234">
        <v>3</v>
      </c>
      <c r="Q1234" t="s">
        <v>172</v>
      </c>
      <c r="R1234">
        <v>25</v>
      </c>
      <c r="S1234" t="s">
        <v>219</v>
      </c>
      <c r="T1234" t="str">
        <f>IF(COUNTIF($A$2:A1234,A1234)&gt;1,"Duplicate","Unique")</f>
        <v>Unique</v>
      </c>
    </row>
    <row r="1235" spans="1:20" x14ac:dyDescent="0.45">
      <c r="A1235" t="s">
        <v>630</v>
      </c>
      <c r="B1235" t="s">
        <v>631</v>
      </c>
      <c r="C1235" t="s">
        <v>61</v>
      </c>
      <c r="D1235" t="s">
        <v>2682</v>
      </c>
      <c r="E1235" t="s">
        <v>356</v>
      </c>
      <c r="F1235" t="s">
        <v>81</v>
      </c>
      <c r="G1235" t="s">
        <v>357</v>
      </c>
      <c r="H1235" t="s">
        <v>108</v>
      </c>
      <c r="I1235" t="s">
        <v>107</v>
      </c>
      <c r="J1235" t="s">
        <v>3664</v>
      </c>
      <c r="K1235" t="s">
        <v>162</v>
      </c>
      <c r="M1235" t="s">
        <v>163</v>
      </c>
      <c r="N1235" t="s">
        <v>98</v>
      </c>
      <c r="O1235" s="27">
        <v>805000</v>
      </c>
      <c r="P1235">
        <v>4</v>
      </c>
      <c r="Q1235" t="s">
        <v>164</v>
      </c>
      <c r="R1235">
        <v>37</v>
      </c>
      <c r="S1235" t="s">
        <v>319</v>
      </c>
      <c r="T1235" t="str">
        <f>IF(COUNTIF($A$2:A1235,A1235)&gt;1,"Duplicate","Unique")</f>
        <v>Unique</v>
      </c>
    </row>
    <row r="1236" spans="1:20" x14ac:dyDescent="0.45">
      <c r="A1236" t="s">
        <v>1849</v>
      </c>
      <c r="B1236" t="s">
        <v>1745</v>
      </c>
      <c r="C1236" t="s">
        <v>55</v>
      </c>
      <c r="D1236" t="s">
        <v>54</v>
      </c>
      <c r="E1236" t="s">
        <v>229</v>
      </c>
      <c r="F1236" t="s">
        <v>82</v>
      </c>
      <c r="G1236" t="s">
        <v>230</v>
      </c>
      <c r="H1236" t="s">
        <v>106</v>
      </c>
      <c r="I1236" t="s">
        <v>107</v>
      </c>
      <c r="J1236" t="s">
        <v>3012</v>
      </c>
      <c r="K1236" t="s">
        <v>162</v>
      </c>
      <c r="M1236" t="s">
        <v>163</v>
      </c>
      <c r="N1236" t="s">
        <v>96</v>
      </c>
      <c r="O1236" s="27">
        <v>1336000</v>
      </c>
      <c r="P1236">
        <v>3</v>
      </c>
      <c r="Q1236" t="s">
        <v>164</v>
      </c>
      <c r="R1236">
        <v>48</v>
      </c>
      <c r="S1236" t="s">
        <v>173</v>
      </c>
      <c r="T1236" t="str">
        <f>IF(COUNTIF($A$2:A1236,A1236)&gt;1,"Duplicate","Unique")</f>
        <v>Unique</v>
      </c>
    </row>
    <row r="1237" spans="1:20" x14ac:dyDescent="0.45">
      <c r="A1237" t="s">
        <v>985</v>
      </c>
      <c r="B1237" t="s">
        <v>986</v>
      </c>
      <c r="C1237" t="s">
        <v>55</v>
      </c>
      <c r="D1237" t="s">
        <v>54</v>
      </c>
      <c r="E1237" t="s">
        <v>240</v>
      </c>
      <c r="F1237" t="s">
        <v>83</v>
      </c>
      <c r="G1237" t="s">
        <v>241</v>
      </c>
      <c r="H1237" t="s">
        <v>108</v>
      </c>
      <c r="I1237" t="s">
        <v>107</v>
      </c>
      <c r="J1237" t="s">
        <v>3665</v>
      </c>
      <c r="K1237" t="s">
        <v>162</v>
      </c>
      <c r="M1237" t="s">
        <v>163</v>
      </c>
      <c r="N1237" t="s">
        <v>98</v>
      </c>
      <c r="O1237" s="27">
        <v>2072000</v>
      </c>
      <c r="P1237">
        <v>3</v>
      </c>
      <c r="Q1237" t="s">
        <v>172</v>
      </c>
      <c r="R1237">
        <v>29</v>
      </c>
      <c r="S1237" t="s">
        <v>262</v>
      </c>
      <c r="T1237" t="str">
        <f>IF(COUNTIF($A$2:A1237,A1237)&gt;1,"Duplicate","Unique")</f>
        <v>Unique</v>
      </c>
    </row>
    <row r="1238" spans="1:20" x14ac:dyDescent="0.45">
      <c r="A1238" t="s">
        <v>1588</v>
      </c>
      <c r="B1238" t="s">
        <v>1589</v>
      </c>
      <c r="C1238" t="s">
        <v>55</v>
      </c>
      <c r="D1238" t="s">
        <v>54</v>
      </c>
      <c r="E1238" t="s">
        <v>537</v>
      </c>
      <c r="F1238" t="s">
        <v>85</v>
      </c>
      <c r="G1238" t="s">
        <v>538</v>
      </c>
      <c r="H1238" t="s">
        <v>106</v>
      </c>
      <c r="I1238" t="s">
        <v>107</v>
      </c>
      <c r="J1238" t="s">
        <v>3338</v>
      </c>
      <c r="K1238" t="s">
        <v>162</v>
      </c>
      <c r="M1238" t="s">
        <v>163</v>
      </c>
      <c r="N1238" t="s">
        <v>99</v>
      </c>
      <c r="O1238" s="27">
        <v>3591000</v>
      </c>
      <c r="P1238">
        <v>3</v>
      </c>
      <c r="Q1238" t="s">
        <v>172</v>
      </c>
      <c r="R1238">
        <v>41</v>
      </c>
      <c r="S1238" t="s">
        <v>274</v>
      </c>
      <c r="T1238" t="str">
        <f>IF(COUNTIF($A$2:A1238,A1238)&gt;1,"Duplicate","Unique")</f>
        <v>Unique</v>
      </c>
    </row>
    <row r="1239" spans="1:20" x14ac:dyDescent="0.45">
      <c r="A1239" t="s">
        <v>1400</v>
      </c>
      <c r="B1239" t="s">
        <v>3666</v>
      </c>
      <c r="C1239" t="s">
        <v>51</v>
      </c>
      <c r="D1239" t="s">
        <v>50</v>
      </c>
      <c r="E1239" t="s">
        <v>328</v>
      </c>
      <c r="F1239" t="s">
        <v>85</v>
      </c>
      <c r="G1239" t="s">
        <v>329</v>
      </c>
      <c r="H1239" t="s">
        <v>109</v>
      </c>
      <c r="I1239" t="s">
        <v>110</v>
      </c>
      <c r="J1239" t="s">
        <v>3667</v>
      </c>
      <c r="K1239" t="s">
        <v>162</v>
      </c>
      <c r="M1239" t="s">
        <v>163</v>
      </c>
      <c r="N1239" t="s">
        <v>96</v>
      </c>
      <c r="O1239" s="27">
        <v>3542000</v>
      </c>
      <c r="P1239">
        <v>4</v>
      </c>
      <c r="Q1239" t="s">
        <v>164</v>
      </c>
      <c r="R1239">
        <v>43</v>
      </c>
      <c r="S1239" t="s">
        <v>219</v>
      </c>
      <c r="T1239" t="str">
        <f>IF(COUNTIF($A$2:A1239,A1239)&gt;1,"Duplicate","Unique")</f>
        <v>Unique</v>
      </c>
    </row>
    <row r="1240" spans="1:20" x14ac:dyDescent="0.45">
      <c r="A1240" t="s">
        <v>447</v>
      </c>
      <c r="B1240" t="s">
        <v>355</v>
      </c>
      <c r="C1240" t="s">
        <v>51</v>
      </c>
      <c r="D1240" t="s">
        <v>2464</v>
      </c>
      <c r="E1240" t="s">
        <v>181</v>
      </c>
      <c r="F1240" t="s">
        <v>81</v>
      </c>
      <c r="G1240" t="s">
        <v>182</v>
      </c>
      <c r="H1240" t="s">
        <v>111</v>
      </c>
      <c r="I1240" t="s">
        <v>110</v>
      </c>
      <c r="J1240" t="s">
        <v>3668</v>
      </c>
      <c r="K1240" t="s">
        <v>162</v>
      </c>
      <c r="M1240" t="s">
        <v>163</v>
      </c>
      <c r="N1240" t="s">
        <v>97</v>
      </c>
      <c r="O1240" s="27">
        <v>774000</v>
      </c>
      <c r="P1240">
        <v>4</v>
      </c>
      <c r="Q1240" t="s">
        <v>164</v>
      </c>
      <c r="R1240">
        <v>32</v>
      </c>
      <c r="S1240" t="s">
        <v>219</v>
      </c>
      <c r="T1240" t="str">
        <f>IF(COUNTIF($A$2:A1240,A1240)&gt;1,"Duplicate","Unique")</f>
        <v>Unique</v>
      </c>
    </row>
    <row r="1241" spans="1:20" x14ac:dyDescent="0.45">
      <c r="A1241" t="s">
        <v>1365</v>
      </c>
      <c r="B1241" t="s">
        <v>1033</v>
      </c>
      <c r="C1241" t="s">
        <v>61</v>
      </c>
      <c r="D1241" t="s">
        <v>60</v>
      </c>
      <c r="E1241" t="s">
        <v>251</v>
      </c>
      <c r="F1241" t="s">
        <v>82</v>
      </c>
      <c r="G1241" t="s">
        <v>252</v>
      </c>
      <c r="H1241" t="s">
        <v>2963</v>
      </c>
      <c r="I1241" t="s">
        <v>107</v>
      </c>
      <c r="J1241" t="s">
        <v>2792</v>
      </c>
      <c r="K1241" t="s">
        <v>170</v>
      </c>
      <c r="L1241" t="s">
        <v>3048</v>
      </c>
      <c r="M1241" t="s">
        <v>171</v>
      </c>
      <c r="N1241" t="s">
        <v>96</v>
      </c>
      <c r="O1241" s="27">
        <v>1172000</v>
      </c>
      <c r="P1241">
        <v>3</v>
      </c>
      <c r="Q1241" t="s">
        <v>2624</v>
      </c>
      <c r="R1241">
        <v>39</v>
      </c>
      <c r="S1241" t="s">
        <v>253</v>
      </c>
      <c r="T1241" t="str">
        <f>IF(COUNTIF($A$2:A1241,A1241)&gt;1,"Duplicate","Unique")</f>
        <v>Unique</v>
      </c>
    </row>
    <row r="1242" spans="1:20" x14ac:dyDescent="0.45">
      <c r="A1242" t="s">
        <v>1667</v>
      </c>
      <c r="B1242" t="s">
        <v>3533</v>
      </c>
      <c r="C1242" t="s">
        <v>53</v>
      </c>
      <c r="D1242" t="s">
        <v>52</v>
      </c>
      <c r="E1242" t="s">
        <v>185</v>
      </c>
      <c r="F1242" t="s">
        <v>82</v>
      </c>
      <c r="G1242" t="s">
        <v>186</v>
      </c>
      <c r="H1242" t="s">
        <v>109</v>
      </c>
      <c r="I1242" t="s">
        <v>110</v>
      </c>
      <c r="J1242" t="s">
        <v>2873</v>
      </c>
      <c r="K1242" t="s">
        <v>162</v>
      </c>
      <c r="M1242" t="s">
        <v>163</v>
      </c>
      <c r="N1242" t="s">
        <v>98</v>
      </c>
      <c r="O1242" s="27">
        <v>1266000</v>
      </c>
      <c r="P1242">
        <v>4</v>
      </c>
      <c r="Q1242" t="s">
        <v>172</v>
      </c>
      <c r="R1242">
        <v>45</v>
      </c>
      <c r="S1242" t="s">
        <v>194</v>
      </c>
      <c r="T1242" t="str">
        <f>IF(COUNTIF($A$2:A1242,A1242)&gt;1,"Duplicate","Unique")</f>
        <v>Unique</v>
      </c>
    </row>
    <row r="1243" spans="1:20" x14ac:dyDescent="0.45">
      <c r="A1243" t="s">
        <v>1118</v>
      </c>
      <c r="B1243" t="s">
        <v>544</v>
      </c>
      <c r="C1243" t="s">
        <v>53</v>
      </c>
      <c r="D1243" t="s">
        <v>52</v>
      </c>
      <c r="E1243" t="s">
        <v>192</v>
      </c>
      <c r="F1243" t="s">
        <v>83</v>
      </c>
      <c r="G1243" t="s">
        <v>193</v>
      </c>
      <c r="H1243" t="s">
        <v>106</v>
      </c>
      <c r="I1243" t="s">
        <v>107</v>
      </c>
      <c r="J1243" t="s">
        <v>3669</v>
      </c>
      <c r="K1243" t="s">
        <v>162</v>
      </c>
      <c r="M1243" t="s">
        <v>163</v>
      </c>
      <c r="N1243" t="s">
        <v>97</v>
      </c>
      <c r="O1243" s="27">
        <v>1882000</v>
      </c>
      <c r="P1243">
        <v>3</v>
      </c>
      <c r="Q1243" t="s">
        <v>164</v>
      </c>
      <c r="R1243">
        <v>23</v>
      </c>
      <c r="S1243" t="s">
        <v>237</v>
      </c>
      <c r="T1243" t="str">
        <f>IF(COUNTIF($A$2:A1243,A1243)&gt;1,"Duplicate","Unique")</f>
        <v>Unique</v>
      </c>
    </row>
    <row r="1244" spans="1:20" x14ac:dyDescent="0.45">
      <c r="A1244" t="s">
        <v>846</v>
      </c>
      <c r="B1244" t="s">
        <v>847</v>
      </c>
      <c r="C1244" t="s">
        <v>53</v>
      </c>
      <c r="D1244" t="s">
        <v>52</v>
      </c>
      <c r="E1244" t="s">
        <v>185</v>
      </c>
      <c r="F1244" t="s">
        <v>82</v>
      </c>
      <c r="G1244" t="s">
        <v>186</v>
      </c>
      <c r="H1244" t="s">
        <v>111</v>
      </c>
      <c r="I1244" t="s">
        <v>110</v>
      </c>
      <c r="J1244" t="s">
        <v>3670</v>
      </c>
      <c r="K1244" t="s">
        <v>187</v>
      </c>
      <c r="L1244" t="s">
        <v>3511</v>
      </c>
      <c r="M1244" t="s">
        <v>188</v>
      </c>
      <c r="N1244" t="s">
        <v>96</v>
      </c>
      <c r="O1244" s="27">
        <v>913000</v>
      </c>
      <c r="P1244">
        <v>3</v>
      </c>
      <c r="Q1244" t="s">
        <v>164</v>
      </c>
      <c r="R1244">
        <v>43</v>
      </c>
      <c r="S1244" t="s">
        <v>194</v>
      </c>
      <c r="T1244" t="str">
        <f>IF(COUNTIF($A$2:A1244,A1244)&gt;1,"Duplicate","Unique")</f>
        <v>Unique</v>
      </c>
    </row>
    <row r="1245" spans="1:20" x14ac:dyDescent="0.45">
      <c r="A1245" t="s">
        <v>393</v>
      </c>
      <c r="B1245" t="s">
        <v>394</v>
      </c>
      <c r="C1245" t="s">
        <v>51</v>
      </c>
      <c r="D1245" t="s">
        <v>50</v>
      </c>
      <c r="E1245" t="s">
        <v>176</v>
      </c>
      <c r="F1245" t="s">
        <v>82</v>
      </c>
      <c r="G1245" t="s">
        <v>177</v>
      </c>
      <c r="H1245" t="s">
        <v>106</v>
      </c>
      <c r="I1245" t="s">
        <v>107</v>
      </c>
      <c r="J1245" t="s">
        <v>3671</v>
      </c>
      <c r="K1245" t="s">
        <v>162</v>
      </c>
      <c r="M1245" t="s">
        <v>163</v>
      </c>
      <c r="N1245" t="s">
        <v>97</v>
      </c>
      <c r="O1245" s="27">
        <v>1176000</v>
      </c>
      <c r="P1245">
        <v>3</v>
      </c>
      <c r="Q1245" t="s">
        <v>164</v>
      </c>
      <c r="R1245">
        <v>36</v>
      </c>
      <c r="S1245" t="s">
        <v>178</v>
      </c>
      <c r="T1245" t="str">
        <f>IF(COUNTIF($A$2:A1245,A1245)&gt;1,"Duplicate","Unique")</f>
        <v>Unique</v>
      </c>
    </row>
    <row r="1246" spans="1:20" x14ac:dyDescent="0.45">
      <c r="A1246" t="s">
        <v>1575</v>
      </c>
      <c r="B1246" t="s">
        <v>755</v>
      </c>
      <c r="C1246" t="s">
        <v>53</v>
      </c>
      <c r="D1246" t="s">
        <v>52</v>
      </c>
      <c r="E1246" t="s">
        <v>322</v>
      </c>
      <c r="F1246" t="s">
        <v>81</v>
      </c>
      <c r="G1246" t="s">
        <v>323</v>
      </c>
      <c r="H1246" t="s">
        <v>109</v>
      </c>
      <c r="I1246" t="s">
        <v>110</v>
      </c>
      <c r="J1246" t="s">
        <v>2745</v>
      </c>
      <c r="K1246" t="s">
        <v>187</v>
      </c>
      <c r="L1246" t="s">
        <v>2537</v>
      </c>
      <c r="M1246" t="s">
        <v>213</v>
      </c>
      <c r="N1246" t="s">
        <v>99</v>
      </c>
      <c r="O1246" s="27">
        <v>631000</v>
      </c>
      <c r="P1246">
        <v>3</v>
      </c>
      <c r="Q1246" t="s">
        <v>172</v>
      </c>
      <c r="R1246">
        <v>32</v>
      </c>
      <c r="S1246" t="s">
        <v>194</v>
      </c>
      <c r="T1246" t="str">
        <f>IF(COUNTIF($A$2:A1246,A1246)&gt;1,"Duplicate","Unique")</f>
        <v>Unique</v>
      </c>
    </row>
    <row r="1247" spans="1:20" x14ac:dyDescent="0.45">
      <c r="A1247" t="s">
        <v>1486</v>
      </c>
      <c r="B1247" t="s">
        <v>824</v>
      </c>
      <c r="C1247" t="s">
        <v>55</v>
      </c>
      <c r="D1247" t="s">
        <v>54</v>
      </c>
      <c r="E1247" t="s">
        <v>277</v>
      </c>
      <c r="F1247" t="s">
        <v>81</v>
      </c>
      <c r="G1247" t="s">
        <v>278</v>
      </c>
      <c r="H1247" t="s">
        <v>108</v>
      </c>
      <c r="I1247" t="s">
        <v>107</v>
      </c>
      <c r="J1247" t="s">
        <v>3672</v>
      </c>
      <c r="K1247" t="s">
        <v>187</v>
      </c>
      <c r="L1247" t="s">
        <v>3673</v>
      </c>
      <c r="M1247" t="s">
        <v>213</v>
      </c>
      <c r="N1247" t="s">
        <v>97</v>
      </c>
      <c r="O1247" s="27">
        <v>614000</v>
      </c>
      <c r="P1247">
        <v>4</v>
      </c>
      <c r="Q1247" t="s">
        <v>172</v>
      </c>
      <c r="R1247">
        <v>21</v>
      </c>
      <c r="S1247" t="s">
        <v>173</v>
      </c>
      <c r="T1247" t="str">
        <f>IF(COUNTIF($A$2:A1247,A1247)&gt;1,"Duplicate","Unique")</f>
        <v>Unique</v>
      </c>
    </row>
    <row r="1248" spans="1:20" x14ac:dyDescent="0.45">
      <c r="A1248" t="s">
        <v>1406</v>
      </c>
      <c r="B1248" t="s">
        <v>1407</v>
      </c>
      <c r="C1248" t="s">
        <v>53</v>
      </c>
      <c r="D1248" t="s">
        <v>52</v>
      </c>
      <c r="E1248" t="s">
        <v>322</v>
      </c>
      <c r="F1248" t="s">
        <v>81</v>
      </c>
      <c r="G1248" t="s">
        <v>323</v>
      </c>
      <c r="H1248" t="s">
        <v>108</v>
      </c>
      <c r="I1248" t="s">
        <v>107</v>
      </c>
      <c r="J1248" t="s">
        <v>3674</v>
      </c>
      <c r="K1248" t="s">
        <v>162</v>
      </c>
      <c r="M1248" t="s">
        <v>163</v>
      </c>
      <c r="N1248" t="s">
        <v>99</v>
      </c>
      <c r="O1248" s="27">
        <v>843000</v>
      </c>
      <c r="P1248">
        <v>3</v>
      </c>
      <c r="Q1248" t="s">
        <v>172</v>
      </c>
      <c r="R1248">
        <v>37</v>
      </c>
      <c r="S1248" t="s">
        <v>237</v>
      </c>
      <c r="T1248" t="str">
        <f>IF(COUNTIF($A$2:A1248,A1248)&gt;1,"Duplicate","Unique")</f>
        <v>Unique</v>
      </c>
    </row>
    <row r="1249" spans="1:20" x14ac:dyDescent="0.45">
      <c r="A1249" t="s">
        <v>628</v>
      </c>
      <c r="B1249" t="s">
        <v>629</v>
      </c>
      <c r="C1249" t="s">
        <v>55</v>
      </c>
      <c r="D1249" t="s">
        <v>54</v>
      </c>
      <c r="E1249" t="s">
        <v>229</v>
      </c>
      <c r="F1249" t="s">
        <v>82</v>
      </c>
      <c r="G1249" t="s">
        <v>230</v>
      </c>
      <c r="H1249" t="s">
        <v>111</v>
      </c>
      <c r="I1249" t="s">
        <v>110</v>
      </c>
      <c r="J1249" t="s">
        <v>3299</v>
      </c>
      <c r="K1249" t="s">
        <v>162</v>
      </c>
      <c r="M1249" t="s">
        <v>163</v>
      </c>
      <c r="N1249" t="s">
        <v>98</v>
      </c>
      <c r="O1249" s="27">
        <v>1004000</v>
      </c>
      <c r="P1249">
        <v>4</v>
      </c>
      <c r="Q1249" t="s">
        <v>172</v>
      </c>
      <c r="R1249">
        <v>45</v>
      </c>
      <c r="S1249" t="s">
        <v>262</v>
      </c>
      <c r="T1249" t="str">
        <f>IF(COUNTIF($A$2:A1249,A1249)&gt;1,"Duplicate","Unique")</f>
        <v>Unique</v>
      </c>
    </row>
    <row r="1250" spans="1:20" x14ac:dyDescent="0.45">
      <c r="A1250" t="s">
        <v>1864</v>
      </c>
      <c r="B1250" t="s">
        <v>3675</v>
      </c>
      <c r="C1250" t="s">
        <v>53</v>
      </c>
      <c r="D1250" t="s">
        <v>52</v>
      </c>
      <c r="E1250" t="s">
        <v>192</v>
      </c>
      <c r="F1250" t="s">
        <v>83</v>
      </c>
      <c r="G1250" t="s">
        <v>193</v>
      </c>
      <c r="H1250" t="s">
        <v>109</v>
      </c>
      <c r="I1250" t="s">
        <v>110</v>
      </c>
      <c r="J1250" t="s">
        <v>3676</v>
      </c>
      <c r="K1250" t="s">
        <v>162</v>
      </c>
      <c r="M1250" t="s">
        <v>163</v>
      </c>
      <c r="N1250" t="s">
        <v>97</v>
      </c>
      <c r="O1250" s="27">
        <v>1894000</v>
      </c>
      <c r="P1250">
        <v>3</v>
      </c>
      <c r="Q1250" t="s">
        <v>164</v>
      </c>
      <c r="R1250">
        <v>23</v>
      </c>
      <c r="S1250" t="s">
        <v>237</v>
      </c>
      <c r="T1250" t="str">
        <f>IF(COUNTIF($A$2:A1250,A1250)&gt;1,"Duplicate","Unique")</f>
        <v>Unique</v>
      </c>
    </row>
    <row r="1251" spans="1:20" x14ac:dyDescent="0.45">
      <c r="A1251" t="s">
        <v>938</v>
      </c>
      <c r="B1251" t="s">
        <v>570</v>
      </c>
      <c r="C1251" t="s">
        <v>59</v>
      </c>
      <c r="D1251" t="s">
        <v>58</v>
      </c>
      <c r="E1251" t="s">
        <v>206</v>
      </c>
      <c r="F1251" t="s">
        <v>81</v>
      </c>
      <c r="G1251" t="s">
        <v>207</v>
      </c>
      <c r="H1251" t="s">
        <v>106</v>
      </c>
      <c r="I1251" t="s">
        <v>107</v>
      </c>
      <c r="J1251" t="s">
        <v>2923</v>
      </c>
      <c r="K1251" t="s">
        <v>170</v>
      </c>
      <c r="L1251" t="s">
        <v>2811</v>
      </c>
      <c r="M1251" t="s">
        <v>171</v>
      </c>
      <c r="N1251" t="s">
        <v>98</v>
      </c>
      <c r="O1251" s="27">
        <v>792000</v>
      </c>
      <c r="P1251">
        <v>2</v>
      </c>
      <c r="Q1251" t="s">
        <v>172</v>
      </c>
      <c r="R1251">
        <v>9</v>
      </c>
      <c r="S1251" t="s">
        <v>214</v>
      </c>
      <c r="T1251" t="str">
        <f>IF(COUNTIF($A$2:A1251,A1251)&gt;1,"Duplicate","Unique")</f>
        <v>Unique</v>
      </c>
    </row>
    <row r="1252" spans="1:20" x14ac:dyDescent="0.45">
      <c r="A1252" t="s">
        <v>1874</v>
      </c>
      <c r="B1252" t="s">
        <v>945</v>
      </c>
      <c r="C1252" t="s">
        <v>53</v>
      </c>
      <c r="D1252" t="s">
        <v>52</v>
      </c>
      <c r="E1252" t="s">
        <v>185</v>
      </c>
      <c r="F1252" t="s">
        <v>82</v>
      </c>
      <c r="G1252" t="s">
        <v>186</v>
      </c>
      <c r="H1252" t="s">
        <v>106</v>
      </c>
      <c r="I1252" t="s">
        <v>107</v>
      </c>
      <c r="J1252" t="s">
        <v>3649</v>
      </c>
      <c r="K1252" t="s">
        <v>162</v>
      </c>
      <c r="M1252" t="s">
        <v>163</v>
      </c>
      <c r="N1252" t="s">
        <v>96</v>
      </c>
      <c r="O1252" s="27">
        <v>1082000</v>
      </c>
      <c r="P1252">
        <v>3</v>
      </c>
      <c r="Q1252" t="s">
        <v>172</v>
      </c>
      <c r="R1252">
        <v>29</v>
      </c>
      <c r="S1252" t="s">
        <v>194</v>
      </c>
      <c r="T1252" t="str">
        <f>IF(COUNTIF($A$2:A1252,A1252)&gt;1,"Duplicate","Unique")</f>
        <v>Unique</v>
      </c>
    </row>
    <row r="1253" spans="1:20" x14ac:dyDescent="0.45">
      <c r="A1253" t="s">
        <v>917</v>
      </c>
      <c r="B1253" t="s">
        <v>918</v>
      </c>
      <c r="C1253" t="s">
        <v>55</v>
      </c>
      <c r="D1253" t="s">
        <v>54</v>
      </c>
      <c r="E1253" t="s">
        <v>277</v>
      </c>
      <c r="F1253" t="s">
        <v>81</v>
      </c>
      <c r="G1253" t="s">
        <v>278</v>
      </c>
      <c r="H1253" t="s">
        <v>106</v>
      </c>
      <c r="I1253" t="s">
        <v>107</v>
      </c>
      <c r="J1253" t="s">
        <v>3275</v>
      </c>
      <c r="K1253" t="s">
        <v>162</v>
      </c>
      <c r="M1253" t="s">
        <v>163</v>
      </c>
      <c r="N1253" t="s">
        <v>96</v>
      </c>
      <c r="O1253" s="27">
        <v>766000</v>
      </c>
      <c r="P1253">
        <v>3</v>
      </c>
      <c r="Q1253" t="s">
        <v>172</v>
      </c>
      <c r="R1253">
        <v>13</v>
      </c>
      <c r="S1253" t="s">
        <v>262</v>
      </c>
      <c r="T1253" t="str">
        <f>IF(COUNTIF($A$2:A1253,A1253)&gt;1,"Duplicate","Unique")</f>
        <v>Unique</v>
      </c>
    </row>
    <row r="1254" spans="1:20" x14ac:dyDescent="0.45">
      <c r="A1254" t="s">
        <v>346</v>
      </c>
      <c r="B1254" t="s">
        <v>347</v>
      </c>
      <c r="C1254" t="s">
        <v>61</v>
      </c>
      <c r="D1254" t="s">
        <v>60</v>
      </c>
      <c r="E1254" t="s">
        <v>251</v>
      </c>
      <c r="F1254" t="s">
        <v>82</v>
      </c>
      <c r="G1254" t="s">
        <v>252</v>
      </c>
      <c r="H1254" t="s">
        <v>106</v>
      </c>
      <c r="I1254" t="s">
        <v>107</v>
      </c>
      <c r="J1254" t="s">
        <v>2969</v>
      </c>
      <c r="K1254" t="s">
        <v>162</v>
      </c>
      <c r="M1254" t="s">
        <v>163</v>
      </c>
      <c r="N1254" t="s">
        <v>98</v>
      </c>
      <c r="O1254" s="27">
        <v>995000</v>
      </c>
      <c r="P1254">
        <v>4</v>
      </c>
      <c r="Q1254" t="s">
        <v>172</v>
      </c>
      <c r="R1254">
        <v>52</v>
      </c>
      <c r="S1254" t="s">
        <v>253</v>
      </c>
      <c r="T1254" t="str">
        <f>IF(COUNTIF($A$2:A1254,A1254)&gt;1,"Duplicate","Unique")</f>
        <v>Unique</v>
      </c>
    </row>
    <row r="1255" spans="1:20" x14ac:dyDescent="0.45">
      <c r="A1255" t="s">
        <v>1078</v>
      </c>
      <c r="B1255" t="s">
        <v>1079</v>
      </c>
      <c r="C1255" t="s">
        <v>57</v>
      </c>
      <c r="D1255" t="s">
        <v>56</v>
      </c>
      <c r="E1255" t="s">
        <v>455</v>
      </c>
      <c r="F1255" t="s">
        <v>84</v>
      </c>
      <c r="G1255" t="s">
        <v>456</v>
      </c>
      <c r="H1255" t="s">
        <v>111</v>
      </c>
      <c r="I1255" t="s">
        <v>110</v>
      </c>
      <c r="J1255" t="s">
        <v>3677</v>
      </c>
      <c r="K1255" t="s">
        <v>162</v>
      </c>
      <c r="M1255" t="s">
        <v>163</v>
      </c>
      <c r="N1255" t="s">
        <v>99</v>
      </c>
      <c r="O1255" s="27">
        <v>2889000</v>
      </c>
      <c r="P1255">
        <v>3</v>
      </c>
      <c r="Q1255" t="s">
        <v>164</v>
      </c>
      <c r="R1255">
        <v>35</v>
      </c>
      <c r="S1255" t="s">
        <v>165</v>
      </c>
      <c r="T1255" t="str">
        <f>IF(COUNTIF($A$2:A1255,A1255)&gt;1,"Duplicate","Unique")</f>
        <v>Unique</v>
      </c>
    </row>
    <row r="1256" spans="1:20" x14ac:dyDescent="0.45">
      <c r="A1256" t="s">
        <v>1773</v>
      </c>
      <c r="B1256" t="s">
        <v>3678</v>
      </c>
      <c r="C1256" t="s">
        <v>55</v>
      </c>
      <c r="D1256" t="s">
        <v>3679</v>
      </c>
      <c r="E1256" t="s">
        <v>240</v>
      </c>
      <c r="F1256" t="s">
        <v>83</v>
      </c>
      <c r="G1256" t="s">
        <v>241</v>
      </c>
      <c r="H1256" t="s">
        <v>106</v>
      </c>
      <c r="I1256" t="s">
        <v>107</v>
      </c>
      <c r="J1256" t="s">
        <v>3680</v>
      </c>
      <c r="K1256" t="s">
        <v>162</v>
      </c>
      <c r="M1256" t="s">
        <v>163</v>
      </c>
      <c r="N1256" t="s">
        <v>96</v>
      </c>
      <c r="O1256" s="27">
        <v>1582000</v>
      </c>
      <c r="P1256">
        <v>5</v>
      </c>
      <c r="Q1256" t="s">
        <v>164</v>
      </c>
      <c r="R1256">
        <v>31</v>
      </c>
      <c r="S1256" t="s">
        <v>262</v>
      </c>
      <c r="T1256" t="str">
        <f>IF(COUNTIF($A$2:A1256,A1256)&gt;1,"Duplicate","Unique")</f>
        <v>Unique</v>
      </c>
    </row>
    <row r="1257" spans="1:20" x14ac:dyDescent="0.45">
      <c r="A1257" t="s">
        <v>1978</v>
      </c>
      <c r="B1257" t="s">
        <v>675</v>
      </c>
      <c r="C1257" t="s">
        <v>51</v>
      </c>
      <c r="D1257" t="s">
        <v>50</v>
      </c>
      <c r="E1257" t="s">
        <v>181</v>
      </c>
      <c r="F1257" t="s">
        <v>81</v>
      </c>
      <c r="G1257" t="s">
        <v>182</v>
      </c>
      <c r="H1257" t="s">
        <v>106</v>
      </c>
      <c r="I1257" t="s">
        <v>107</v>
      </c>
      <c r="J1257" t="s">
        <v>3681</v>
      </c>
      <c r="K1257" t="s">
        <v>187</v>
      </c>
      <c r="L1257" t="s">
        <v>2846</v>
      </c>
      <c r="M1257" t="s">
        <v>269</v>
      </c>
      <c r="N1257" t="s">
        <v>95</v>
      </c>
      <c r="O1257" s="27">
        <v>639000</v>
      </c>
      <c r="P1257">
        <v>4</v>
      </c>
      <c r="Q1257" t="s">
        <v>172</v>
      </c>
      <c r="R1257">
        <v>43</v>
      </c>
      <c r="S1257" t="s">
        <v>178</v>
      </c>
      <c r="T1257" t="str">
        <f>IF(COUNTIF($A$2:A1257,A1257)&gt;1,"Duplicate","Unique")</f>
        <v>Unique</v>
      </c>
    </row>
    <row r="1258" spans="1:20" x14ac:dyDescent="0.45">
      <c r="A1258" t="s">
        <v>1755</v>
      </c>
      <c r="B1258" t="s">
        <v>1439</v>
      </c>
      <c r="C1258" t="s">
        <v>51</v>
      </c>
      <c r="D1258" t="s">
        <v>2464</v>
      </c>
      <c r="E1258" t="s">
        <v>181</v>
      </c>
      <c r="F1258" t="s">
        <v>81</v>
      </c>
      <c r="G1258" t="s">
        <v>182</v>
      </c>
      <c r="H1258" t="s">
        <v>106</v>
      </c>
      <c r="I1258" t="s">
        <v>107</v>
      </c>
      <c r="J1258" t="s">
        <v>3682</v>
      </c>
      <c r="K1258" t="s">
        <v>162</v>
      </c>
      <c r="M1258" t="s">
        <v>163</v>
      </c>
      <c r="N1258" t="s">
        <v>99</v>
      </c>
      <c r="O1258" s="27">
        <v>846000</v>
      </c>
      <c r="P1258">
        <v>2</v>
      </c>
      <c r="Q1258" t="s">
        <v>164</v>
      </c>
      <c r="R1258">
        <v>9</v>
      </c>
      <c r="S1258" t="s">
        <v>219</v>
      </c>
      <c r="T1258" t="str">
        <f>IF(COUNTIF($A$2:A1258,A1258)&gt;1,"Duplicate","Unique")</f>
        <v>Unique</v>
      </c>
    </row>
    <row r="1259" spans="1:20" x14ac:dyDescent="0.45">
      <c r="A1259" t="s">
        <v>2286</v>
      </c>
      <c r="B1259" t="s">
        <v>1186</v>
      </c>
      <c r="C1259" t="s">
        <v>55</v>
      </c>
      <c r="D1259" t="s">
        <v>54</v>
      </c>
      <c r="E1259" t="s">
        <v>229</v>
      </c>
      <c r="F1259" t="s">
        <v>82</v>
      </c>
      <c r="G1259" t="s">
        <v>230</v>
      </c>
      <c r="H1259" t="s">
        <v>108</v>
      </c>
      <c r="I1259" t="s">
        <v>107</v>
      </c>
      <c r="J1259" t="s">
        <v>3257</v>
      </c>
      <c r="K1259" t="s">
        <v>162</v>
      </c>
      <c r="M1259" t="s">
        <v>163</v>
      </c>
      <c r="N1259" t="s">
        <v>99</v>
      </c>
      <c r="O1259" s="27">
        <v>1280000</v>
      </c>
      <c r="P1259">
        <v>3</v>
      </c>
      <c r="Q1259" t="s">
        <v>172</v>
      </c>
      <c r="R1259">
        <v>29</v>
      </c>
      <c r="S1259" t="s">
        <v>262</v>
      </c>
      <c r="T1259" t="str">
        <f>IF(COUNTIF($A$2:A1259,A1259)&gt;1,"Duplicate","Unique")</f>
        <v>Unique</v>
      </c>
    </row>
    <row r="1260" spans="1:20" x14ac:dyDescent="0.45">
      <c r="A1260" t="s">
        <v>1153</v>
      </c>
      <c r="B1260" t="s">
        <v>1154</v>
      </c>
      <c r="C1260" t="s">
        <v>53</v>
      </c>
      <c r="D1260" t="s">
        <v>52</v>
      </c>
      <c r="E1260" t="s">
        <v>185</v>
      </c>
      <c r="F1260" t="s">
        <v>82</v>
      </c>
      <c r="G1260" t="s">
        <v>186</v>
      </c>
      <c r="H1260" t="s">
        <v>108</v>
      </c>
      <c r="I1260" t="s">
        <v>107</v>
      </c>
      <c r="J1260" t="s">
        <v>3683</v>
      </c>
      <c r="K1260" t="s">
        <v>162</v>
      </c>
      <c r="M1260" t="s">
        <v>163</v>
      </c>
      <c r="N1260" t="s">
        <v>96</v>
      </c>
      <c r="O1260" s="27">
        <v>1326000</v>
      </c>
      <c r="P1260">
        <v>3</v>
      </c>
      <c r="Q1260" t="s">
        <v>164</v>
      </c>
      <c r="R1260">
        <v>38</v>
      </c>
      <c r="S1260" t="s">
        <v>189</v>
      </c>
      <c r="T1260" t="str">
        <f>IF(COUNTIF($A$2:A1260,A1260)&gt;1,"Duplicate","Unique")</f>
        <v>Unique</v>
      </c>
    </row>
    <row r="1261" spans="1:20" x14ac:dyDescent="0.45">
      <c r="A1261" t="s">
        <v>489</v>
      </c>
      <c r="B1261" t="s">
        <v>490</v>
      </c>
      <c r="C1261" t="s">
        <v>51</v>
      </c>
      <c r="D1261" t="s">
        <v>50</v>
      </c>
      <c r="E1261" t="s">
        <v>181</v>
      </c>
      <c r="F1261" t="s">
        <v>81</v>
      </c>
      <c r="G1261" t="s">
        <v>182</v>
      </c>
      <c r="H1261" t="s">
        <v>108</v>
      </c>
      <c r="I1261" t="s">
        <v>107</v>
      </c>
      <c r="J1261" t="s">
        <v>3684</v>
      </c>
      <c r="K1261" t="s">
        <v>187</v>
      </c>
      <c r="L1261" t="s">
        <v>3685</v>
      </c>
      <c r="M1261" t="s">
        <v>269</v>
      </c>
      <c r="N1261" t="s">
        <v>95</v>
      </c>
      <c r="O1261" s="27">
        <v>843000</v>
      </c>
      <c r="P1261">
        <v>4</v>
      </c>
      <c r="Q1261" t="s">
        <v>172</v>
      </c>
      <c r="R1261">
        <v>26</v>
      </c>
      <c r="S1261" t="s">
        <v>244</v>
      </c>
      <c r="T1261" t="str">
        <f>IF(COUNTIF($A$2:A1261,A1261)&gt;1,"Duplicate","Unique")</f>
        <v>Unique</v>
      </c>
    </row>
    <row r="1262" spans="1:20" x14ac:dyDescent="0.45">
      <c r="A1262" t="s">
        <v>1004</v>
      </c>
      <c r="B1262" t="s">
        <v>1005</v>
      </c>
      <c r="C1262" t="s">
        <v>51</v>
      </c>
      <c r="D1262" t="s">
        <v>50</v>
      </c>
      <c r="E1262" t="s">
        <v>176</v>
      </c>
      <c r="F1262" t="s">
        <v>82</v>
      </c>
      <c r="G1262" t="s">
        <v>177</v>
      </c>
      <c r="H1262" t="s">
        <v>109</v>
      </c>
      <c r="I1262" t="s">
        <v>110</v>
      </c>
      <c r="J1262" t="s">
        <v>3272</v>
      </c>
      <c r="K1262" t="s">
        <v>162</v>
      </c>
      <c r="M1262" t="s">
        <v>163</v>
      </c>
      <c r="N1262" t="s">
        <v>95</v>
      </c>
      <c r="O1262" s="27">
        <v>1135000</v>
      </c>
      <c r="P1262">
        <v>3</v>
      </c>
      <c r="Q1262" t="s">
        <v>164</v>
      </c>
      <c r="R1262">
        <v>43</v>
      </c>
      <c r="S1262" t="s">
        <v>219</v>
      </c>
      <c r="T1262" t="str">
        <f>IF(COUNTIF($A$2:A1262,A1262)&gt;1,"Duplicate","Unique")</f>
        <v>Unique</v>
      </c>
    </row>
    <row r="1263" spans="1:20" x14ac:dyDescent="0.45">
      <c r="A1263" t="s">
        <v>571</v>
      </c>
      <c r="B1263" t="s">
        <v>572</v>
      </c>
      <c r="C1263" t="s">
        <v>55</v>
      </c>
      <c r="D1263" t="s">
        <v>54</v>
      </c>
      <c r="E1263" t="s">
        <v>277</v>
      </c>
      <c r="F1263" t="s">
        <v>81</v>
      </c>
      <c r="G1263" t="s">
        <v>278</v>
      </c>
      <c r="H1263" t="s">
        <v>108</v>
      </c>
      <c r="I1263" t="s">
        <v>107</v>
      </c>
      <c r="J1263" t="s">
        <v>3562</v>
      </c>
      <c r="K1263" t="s">
        <v>170</v>
      </c>
      <c r="L1263" t="s">
        <v>3686</v>
      </c>
      <c r="M1263" t="s">
        <v>171</v>
      </c>
      <c r="N1263" t="s">
        <v>96</v>
      </c>
      <c r="O1263" s="27">
        <v>691000</v>
      </c>
      <c r="P1263">
        <v>5</v>
      </c>
      <c r="Q1263" t="s">
        <v>172</v>
      </c>
      <c r="R1263">
        <v>37</v>
      </c>
      <c r="S1263" t="s">
        <v>173</v>
      </c>
      <c r="T1263" t="str">
        <f>IF(COUNTIF($A$2:A1263,A1263)&gt;1,"Duplicate","Unique")</f>
        <v>Unique</v>
      </c>
    </row>
    <row r="1264" spans="1:20" x14ac:dyDescent="0.45">
      <c r="A1264" t="s">
        <v>1213</v>
      </c>
      <c r="B1264" t="s">
        <v>1214</v>
      </c>
      <c r="C1264" t="s">
        <v>51</v>
      </c>
      <c r="D1264" t="s">
        <v>50</v>
      </c>
      <c r="E1264" t="s">
        <v>397</v>
      </c>
      <c r="F1264" t="s">
        <v>84</v>
      </c>
      <c r="G1264" t="s">
        <v>398</v>
      </c>
      <c r="H1264" t="s">
        <v>106</v>
      </c>
      <c r="I1264" t="s">
        <v>107</v>
      </c>
      <c r="J1264" t="s">
        <v>3203</v>
      </c>
      <c r="K1264" t="s">
        <v>187</v>
      </c>
      <c r="L1264" t="s">
        <v>3687</v>
      </c>
      <c r="M1264" t="s">
        <v>213</v>
      </c>
      <c r="N1264" t="s">
        <v>96</v>
      </c>
      <c r="O1264" s="27">
        <v>2622000</v>
      </c>
      <c r="P1264">
        <v>3</v>
      </c>
      <c r="Q1264" t="s">
        <v>164</v>
      </c>
      <c r="R1264">
        <v>51</v>
      </c>
      <c r="S1264" t="s">
        <v>178</v>
      </c>
      <c r="T1264" t="str">
        <f>IF(COUNTIF($A$2:A1264,A1264)&gt;1,"Duplicate","Unique")</f>
        <v>Unique</v>
      </c>
    </row>
    <row r="1265" spans="1:20" x14ac:dyDescent="0.45">
      <c r="A1265" t="s">
        <v>1371</v>
      </c>
      <c r="B1265" t="s">
        <v>1224</v>
      </c>
      <c r="C1265" t="s">
        <v>55</v>
      </c>
      <c r="D1265" t="s">
        <v>54</v>
      </c>
      <c r="E1265" t="s">
        <v>277</v>
      </c>
      <c r="F1265" t="s">
        <v>81</v>
      </c>
      <c r="G1265" t="s">
        <v>278</v>
      </c>
      <c r="H1265" t="s">
        <v>106</v>
      </c>
      <c r="I1265" t="s">
        <v>107</v>
      </c>
      <c r="J1265" t="s">
        <v>2719</v>
      </c>
      <c r="K1265" t="s">
        <v>187</v>
      </c>
      <c r="L1265" t="s">
        <v>2577</v>
      </c>
      <c r="M1265" t="s">
        <v>213</v>
      </c>
      <c r="N1265" t="s">
        <v>99</v>
      </c>
      <c r="O1265" s="27">
        <v>686000</v>
      </c>
      <c r="P1265">
        <v>3</v>
      </c>
      <c r="Q1265" t="s">
        <v>172</v>
      </c>
      <c r="R1265">
        <v>43</v>
      </c>
      <c r="S1265" t="s">
        <v>274</v>
      </c>
      <c r="T1265" t="str">
        <f>IF(COUNTIF($A$2:A1265,A1265)&gt;1,"Duplicate","Unique")</f>
        <v>Unique</v>
      </c>
    </row>
    <row r="1266" spans="1:20" x14ac:dyDescent="0.45">
      <c r="A1266" t="s">
        <v>567</v>
      </c>
      <c r="B1266" t="s">
        <v>568</v>
      </c>
      <c r="C1266" t="s">
        <v>51</v>
      </c>
      <c r="D1266" t="s">
        <v>50</v>
      </c>
      <c r="E1266" t="s">
        <v>181</v>
      </c>
      <c r="F1266" t="s">
        <v>81</v>
      </c>
      <c r="G1266" t="s">
        <v>182</v>
      </c>
      <c r="H1266" t="s">
        <v>108</v>
      </c>
      <c r="I1266" t="s">
        <v>107</v>
      </c>
      <c r="J1266" t="s">
        <v>3688</v>
      </c>
      <c r="K1266" t="s">
        <v>162</v>
      </c>
      <c r="M1266" t="s">
        <v>163</v>
      </c>
      <c r="N1266" t="s">
        <v>96</v>
      </c>
      <c r="O1266" s="27">
        <v>831000</v>
      </c>
      <c r="P1266">
        <v>5</v>
      </c>
      <c r="Q1266" t="s">
        <v>164</v>
      </c>
      <c r="R1266">
        <v>45</v>
      </c>
      <c r="S1266" t="s">
        <v>178</v>
      </c>
      <c r="T1266" t="str">
        <f>IF(COUNTIF($A$2:A1266,A1266)&gt;1,"Duplicate","Unique")</f>
        <v>Unique</v>
      </c>
    </row>
    <row r="1267" spans="1:20" x14ac:dyDescent="0.45">
      <c r="A1267" t="s">
        <v>1776</v>
      </c>
      <c r="B1267" t="s">
        <v>243</v>
      </c>
      <c r="C1267" t="s">
        <v>55</v>
      </c>
      <c r="D1267" t="s">
        <v>54</v>
      </c>
      <c r="E1267" t="s">
        <v>240</v>
      </c>
      <c r="F1267" t="s">
        <v>83</v>
      </c>
      <c r="G1267" t="s">
        <v>241</v>
      </c>
      <c r="H1267" t="s">
        <v>106</v>
      </c>
      <c r="I1267" t="s">
        <v>107</v>
      </c>
      <c r="J1267" t="s">
        <v>3132</v>
      </c>
      <c r="K1267" t="s">
        <v>162</v>
      </c>
      <c r="M1267" t="s">
        <v>163</v>
      </c>
      <c r="N1267" t="s">
        <v>99</v>
      </c>
      <c r="O1267" s="27">
        <v>2064000</v>
      </c>
      <c r="P1267">
        <v>3</v>
      </c>
      <c r="Q1267" t="s">
        <v>164</v>
      </c>
      <c r="R1267">
        <v>52</v>
      </c>
      <c r="S1267" t="s">
        <v>262</v>
      </c>
      <c r="T1267" t="str">
        <f>IF(COUNTIF($A$2:A1267,A1267)&gt;1,"Duplicate","Unique")</f>
        <v>Unique</v>
      </c>
    </row>
    <row r="1268" spans="1:20" x14ac:dyDescent="0.45">
      <c r="A1268" t="s">
        <v>993</v>
      </c>
      <c r="B1268" t="s">
        <v>994</v>
      </c>
      <c r="C1268" t="s">
        <v>61</v>
      </c>
      <c r="D1268" t="s">
        <v>60</v>
      </c>
      <c r="E1268" t="s">
        <v>356</v>
      </c>
      <c r="F1268" t="s">
        <v>81</v>
      </c>
      <c r="G1268" t="s">
        <v>357</v>
      </c>
      <c r="H1268" t="s">
        <v>109</v>
      </c>
      <c r="I1268" t="s">
        <v>110</v>
      </c>
      <c r="J1268" t="s">
        <v>3689</v>
      </c>
      <c r="K1268" t="s">
        <v>187</v>
      </c>
      <c r="L1268" t="s">
        <v>2477</v>
      </c>
      <c r="M1268" t="s">
        <v>282</v>
      </c>
      <c r="N1268" t="s">
        <v>95</v>
      </c>
      <c r="O1268" s="27">
        <v>672000</v>
      </c>
      <c r="P1268">
        <v>3</v>
      </c>
      <c r="Q1268" t="s">
        <v>172</v>
      </c>
      <c r="R1268">
        <v>46</v>
      </c>
      <c r="S1268" t="s">
        <v>319</v>
      </c>
      <c r="T1268" t="str">
        <f>IF(COUNTIF($A$2:A1268,A1268)&gt;1,"Duplicate","Unique")</f>
        <v>Unique</v>
      </c>
    </row>
    <row r="1269" spans="1:20" x14ac:dyDescent="0.45">
      <c r="A1269" t="s">
        <v>249</v>
      </c>
      <c r="B1269" t="s">
        <v>250</v>
      </c>
      <c r="C1269" t="s">
        <v>61</v>
      </c>
      <c r="D1269" t="s">
        <v>60</v>
      </c>
      <c r="E1269" t="s">
        <v>251</v>
      </c>
      <c r="F1269" t="s">
        <v>82</v>
      </c>
      <c r="G1269" t="s">
        <v>252</v>
      </c>
      <c r="H1269" t="s">
        <v>2550</v>
      </c>
      <c r="I1269" t="s">
        <v>107</v>
      </c>
      <c r="J1269" t="s">
        <v>3690</v>
      </c>
      <c r="K1269" t="s">
        <v>162</v>
      </c>
      <c r="M1269" t="s">
        <v>163</v>
      </c>
      <c r="N1269" t="s">
        <v>97</v>
      </c>
      <c r="O1269" s="27">
        <v>1297000</v>
      </c>
      <c r="P1269">
        <v>3</v>
      </c>
      <c r="Q1269" t="s">
        <v>172</v>
      </c>
      <c r="R1269">
        <v>39</v>
      </c>
      <c r="S1269" t="s">
        <v>253</v>
      </c>
      <c r="T1269" t="str">
        <f>IF(COUNTIF($A$2:A1269,A1269)&gt;1,"Duplicate","Unique")</f>
        <v>Unique</v>
      </c>
    </row>
    <row r="1270" spans="1:20" x14ac:dyDescent="0.45">
      <c r="A1270" t="s">
        <v>750</v>
      </c>
      <c r="B1270" t="s">
        <v>751</v>
      </c>
      <c r="C1270" t="s">
        <v>53</v>
      </c>
      <c r="D1270" t="s">
        <v>52</v>
      </c>
      <c r="E1270" t="s">
        <v>185</v>
      </c>
      <c r="F1270" t="s">
        <v>82</v>
      </c>
      <c r="G1270" t="s">
        <v>186</v>
      </c>
      <c r="H1270" t="s">
        <v>109</v>
      </c>
      <c r="I1270" t="s">
        <v>110</v>
      </c>
      <c r="J1270" t="s">
        <v>2826</v>
      </c>
      <c r="K1270" t="s">
        <v>162</v>
      </c>
      <c r="M1270" t="s">
        <v>163</v>
      </c>
      <c r="N1270" t="s">
        <v>97</v>
      </c>
      <c r="O1270" s="27">
        <v>1118000</v>
      </c>
      <c r="P1270">
        <v>3</v>
      </c>
      <c r="Q1270" t="s">
        <v>172</v>
      </c>
      <c r="R1270">
        <v>22</v>
      </c>
      <c r="S1270" t="s">
        <v>194</v>
      </c>
      <c r="T1270" t="str">
        <f>IF(COUNTIF($A$2:A1270,A1270)&gt;1,"Duplicate","Unique")</f>
        <v>Unique</v>
      </c>
    </row>
    <row r="1271" spans="1:20" x14ac:dyDescent="0.45">
      <c r="A1271" t="s">
        <v>979</v>
      </c>
      <c r="B1271" t="s">
        <v>980</v>
      </c>
      <c r="C1271" t="s">
        <v>51</v>
      </c>
      <c r="D1271" t="s">
        <v>50</v>
      </c>
      <c r="E1271" t="s">
        <v>397</v>
      </c>
      <c r="F1271" t="s">
        <v>84</v>
      </c>
      <c r="G1271" t="s">
        <v>398</v>
      </c>
      <c r="H1271" t="s">
        <v>109</v>
      </c>
      <c r="I1271" t="s">
        <v>110</v>
      </c>
      <c r="J1271" t="s">
        <v>3691</v>
      </c>
      <c r="K1271" t="s">
        <v>162</v>
      </c>
      <c r="M1271" t="s">
        <v>163</v>
      </c>
      <c r="N1271" t="s">
        <v>97</v>
      </c>
      <c r="O1271" s="27">
        <v>2876000</v>
      </c>
      <c r="P1271">
        <v>3</v>
      </c>
      <c r="Q1271" t="s">
        <v>164</v>
      </c>
      <c r="R1271">
        <v>37</v>
      </c>
      <c r="S1271" t="s">
        <v>244</v>
      </c>
      <c r="T1271" t="str">
        <f>IF(COUNTIF($A$2:A1271,A1271)&gt;1,"Duplicate","Unique")</f>
        <v>Unique</v>
      </c>
    </row>
    <row r="1272" spans="1:20" x14ac:dyDescent="0.45">
      <c r="A1272" t="s">
        <v>1163</v>
      </c>
      <c r="B1272" t="s">
        <v>1164</v>
      </c>
      <c r="C1272" t="s">
        <v>59</v>
      </c>
      <c r="D1272" t="s">
        <v>58</v>
      </c>
      <c r="E1272" t="s">
        <v>211</v>
      </c>
      <c r="F1272" t="s">
        <v>82</v>
      </c>
      <c r="G1272" t="s">
        <v>212</v>
      </c>
      <c r="H1272" t="s">
        <v>106</v>
      </c>
      <c r="I1272" t="s">
        <v>107</v>
      </c>
      <c r="J1272" t="s">
        <v>3481</v>
      </c>
      <c r="K1272" t="s">
        <v>162</v>
      </c>
      <c r="M1272" t="s">
        <v>163</v>
      </c>
      <c r="N1272" t="s">
        <v>98</v>
      </c>
      <c r="O1272" s="27">
        <v>1319000</v>
      </c>
      <c r="P1272">
        <v>3</v>
      </c>
      <c r="Q1272" t="s">
        <v>164</v>
      </c>
      <c r="R1272">
        <v>35</v>
      </c>
      <c r="S1272" t="s">
        <v>208</v>
      </c>
      <c r="T1272" t="str">
        <f>IF(COUNTIF($A$2:A1272,A1272)&gt;1,"Duplicate","Unique")</f>
        <v>Unique</v>
      </c>
    </row>
    <row r="1273" spans="1:20" x14ac:dyDescent="0.45">
      <c r="A1273" t="s">
        <v>1967</v>
      </c>
      <c r="B1273" t="s">
        <v>1968</v>
      </c>
      <c r="C1273" t="s">
        <v>53</v>
      </c>
      <c r="D1273" t="s">
        <v>52</v>
      </c>
      <c r="E1273" t="s">
        <v>322</v>
      </c>
      <c r="F1273" t="s">
        <v>81</v>
      </c>
      <c r="G1273" t="s">
        <v>323</v>
      </c>
      <c r="H1273" t="s">
        <v>106</v>
      </c>
      <c r="I1273" t="s">
        <v>107</v>
      </c>
      <c r="J1273" t="s">
        <v>3692</v>
      </c>
      <c r="K1273" t="s">
        <v>162</v>
      </c>
      <c r="M1273" t="s">
        <v>163</v>
      </c>
      <c r="N1273" t="s">
        <v>97</v>
      </c>
      <c r="O1273" s="27">
        <v>645000</v>
      </c>
      <c r="P1273">
        <v>2</v>
      </c>
      <c r="Q1273" t="s">
        <v>172</v>
      </c>
      <c r="R1273">
        <v>4</v>
      </c>
      <c r="S1273" t="s">
        <v>194</v>
      </c>
      <c r="T1273" t="str">
        <f>IF(COUNTIF($A$2:A1273,A1273)&gt;1,"Duplicate","Unique")</f>
        <v>Unique</v>
      </c>
    </row>
    <row r="1274" spans="1:20" x14ac:dyDescent="0.45">
      <c r="A1274" t="s">
        <v>1659</v>
      </c>
      <c r="B1274" t="s">
        <v>1099</v>
      </c>
      <c r="C1274" t="s">
        <v>51</v>
      </c>
      <c r="D1274" t="s">
        <v>50</v>
      </c>
      <c r="E1274" t="s">
        <v>176</v>
      </c>
      <c r="F1274" t="s">
        <v>82</v>
      </c>
      <c r="G1274" t="s">
        <v>177</v>
      </c>
      <c r="H1274" t="s">
        <v>109</v>
      </c>
      <c r="I1274" t="s">
        <v>110</v>
      </c>
      <c r="J1274" t="s">
        <v>3156</v>
      </c>
      <c r="K1274" t="s">
        <v>162</v>
      </c>
      <c r="M1274" t="s">
        <v>163</v>
      </c>
      <c r="N1274" t="s">
        <v>98</v>
      </c>
      <c r="O1274" s="27">
        <v>1167000</v>
      </c>
      <c r="P1274">
        <v>3</v>
      </c>
      <c r="Q1274" t="s">
        <v>164</v>
      </c>
      <c r="R1274">
        <v>46</v>
      </c>
      <c r="S1274" t="s">
        <v>178</v>
      </c>
      <c r="T1274" t="str">
        <f>IF(COUNTIF($A$2:A1274,A1274)&gt;1,"Duplicate","Unique")</f>
        <v>Unique</v>
      </c>
    </row>
    <row r="1275" spans="1:20" x14ac:dyDescent="0.45">
      <c r="A1275" t="s">
        <v>2173</v>
      </c>
      <c r="B1275" t="s">
        <v>822</v>
      </c>
      <c r="C1275" t="s">
        <v>51</v>
      </c>
      <c r="D1275" t="s">
        <v>50</v>
      </c>
      <c r="E1275" t="s">
        <v>397</v>
      </c>
      <c r="F1275" t="s">
        <v>84</v>
      </c>
      <c r="G1275" t="s">
        <v>398</v>
      </c>
      <c r="H1275" t="s">
        <v>2550</v>
      </c>
      <c r="I1275" t="s">
        <v>107</v>
      </c>
      <c r="J1275" t="s">
        <v>3693</v>
      </c>
      <c r="K1275" t="s">
        <v>162</v>
      </c>
      <c r="M1275" t="s">
        <v>163</v>
      </c>
      <c r="N1275" t="s">
        <v>96</v>
      </c>
      <c r="O1275" s="27">
        <v>2646000</v>
      </c>
      <c r="P1275">
        <v>4</v>
      </c>
      <c r="Q1275" t="s">
        <v>164</v>
      </c>
      <c r="R1275">
        <v>48</v>
      </c>
      <c r="S1275" t="s">
        <v>178</v>
      </c>
      <c r="T1275" t="str">
        <f>IF(COUNTIF($A$2:A1275,A1275)&gt;1,"Duplicate","Unique")</f>
        <v>Unique</v>
      </c>
    </row>
    <row r="1276" spans="1:20" x14ac:dyDescent="0.45">
      <c r="A1276" t="s">
        <v>469</v>
      </c>
      <c r="B1276" t="s">
        <v>470</v>
      </c>
      <c r="C1276" t="s">
        <v>57</v>
      </c>
      <c r="D1276" t="s">
        <v>56</v>
      </c>
      <c r="E1276" t="s">
        <v>222</v>
      </c>
      <c r="F1276" t="s">
        <v>82</v>
      </c>
      <c r="G1276" t="s">
        <v>223</v>
      </c>
      <c r="H1276" t="s">
        <v>106</v>
      </c>
      <c r="I1276" t="s">
        <v>107</v>
      </c>
      <c r="J1276" t="s">
        <v>3694</v>
      </c>
      <c r="K1276" t="s">
        <v>162</v>
      </c>
      <c r="M1276" t="s">
        <v>163</v>
      </c>
      <c r="N1276" t="s">
        <v>99</v>
      </c>
      <c r="O1276" s="27">
        <v>946000</v>
      </c>
      <c r="P1276">
        <v>3</v>
      </c>
      <c r="Q1276" t="s">
        <v>172</v>
      </c>
      <c r="R1276">
        <v>27</v>
      </c>
      <c r="S1276" t="s">
        <v>165</v>
      </c>
      <c r="T1276" t="str">
        <f>IF(COUNTIF($A$2:A1276,A1276)&gt;1,"Duplicate","Unique")</f>
        <v>Unique</v>
      </c>
    </row>
    <row r="1277" spans="1:20" x14ac:dyDescent="0.45">
      <c r="A1277" t="s">
        <v>971</v>
      </c>
      <c r="B1277" t="s">
        <v>558</v>
      </c>
      <c r="C1277" t="s">
        <v>53</v>
      </c>
      <c r="D1277" t="s">
        <v>52</v>
      </c>
      <c r="E1277" t="s">
        <v>185</v>
      </c>
      <c r="F1277" t="s">
        <v>82</v>
      </c>
      <c r="G1277" t="s">
        <v>186</v>
      </c>
      <c r="H1277" t="s">
        <v>111</v>
      </c>
      <c r="I1277" t="s">
        <v>110</v>
      </c>
      <c r="J1277" t="s">
        <v>2970</v>
      </c>
      <c r="K1277" t="s">
        <v>162</v>
      </c>
      <c r="M1277" t="s">
        <v>163</v>
      </c>
      <c r="N1277" t="s">
        <v>97</v>
      </c>
      <c r="O1277" s="27">
        <v>1101000</v>
      </c>
      <c r="P1277">
        <v>2</v>
      </c>
      <c r="Q1277" t="s">
        <v>164</v>
      </c>
      <c r="R1277">
        <v>39</v>
      </c>
      <c r="S1277" t="s">
        <v>189</v>
      </c>
      <c r="T1277" t="str">
        <f>IF(COUNTIF($A$2:A1277,A1277)&gt;1,"Duplicate","Unique")</f>
        <v>Unique</v>
      </c>
    </row>
    <row r="1278" spans="1:20" x14ac:dyDescent="0.45">
      <c r="A1278" t="s">
        <v>777</v>
      </c>
      <c r="B1278" t="s">
        <v>396</v>
      </c>
      <c r="C1278" t="s">
        <v>55</v>
      </c>
      <c r="D1278" t="s">
        <v>54</v>
      </c>
      <c r="E1278" t="s">
        <v>277</v>
      </c>
      <c r="F1278" t="s">
        <v>81</v>
      </c>
      <c r="G1278" t="s">
        <v>278</v>
      </c>
      <c r="H1278" t="s">
        <v>109</v>
      </c>
      <c r="I1278" t="s">
        <v>110</v>
      </c>
      <c r="J1278" t="s">
        <v>2700</v>
      </c>
      <c r="K1278" t="s">
        <v>187</v>
      </c>
      <c r="L1278" t="s">
        <v>3072</v>
      </c>
      <c r="M1278" t="s">
        <v>213</v>
      </c>
      <c r="N1278" t="s">
        <v>99</v>
      </c>
      <c r="O1278" s="27">
        <v>713000</v>
      </c>
      <c r="P1278">
        <v>5</v>
      </c>
      <c r="Q1278" t="s">
        <v>172</v>
      </c>
      <c r="R1278">
        <v>35</v>
      </c>
      <c r="S1278" t="s">
        <v>173</v>
      </c>
      <c r="T1278" t="str">
        <f>IF(COUNTIF($A$2:A1278,A1278)&gt;1,"Duplicate","Unique")</f>
        <v>Unique</v>
      </c>
    </row>
    <row r="1279" spans="1:20" x14ac:dyDescent="0.45">
      <c r="A1279" t="s">
        <v>1143</v>
      </c>
      <c r="B1279" t="s">
        <v>1144</v>
      </c>
      <c r="C1279" t="s">
        <v>53</v>
      </c>
      <c r="D1279" t="s">
        <v>52</v>
      </c>
      <c r="E1279" t="s">
        <v>185</v>
      </c>
      <c r="F1279" t="s">
        <v>82</v>
      </c>
      <c r="G1279" t="s">
        <v>186</v>
      </c>
      <c r="H1279" t="s">
        <v>106</v>
      </c>
      <c r="I1279" t="s">
        <v>107</v>
      </c>
      <c r="J1279" t="s">
        <v>3558</v>
      </c>
      <c r="K1279" t="s">
        <v>162</v>
      </c>
      <c r="M1279" t="s">
        <v>163</v>
      </c>
      <c r="N1279" t="s">
        <v>97</v>
      </c>
      <c r="O1279" s="27">
        <v>931000</v>
      </c>
      <c r="P1279">
        <v>4</v>
      </c>
      <c r="Q1279" t="s">
        <v>164</v>
      </c>
      <c r="R1279">
        <v>31</v>
      </c>
      <c r="S1279" t="s">
        <v>189</v>
      </c>
      <c r="T1279" t="str">
        <f>IF(COUNTIF($A$2:A1279,A1279)&gt;1,"Duplicate","Unique")</f>
        <v>Unique</v>
      </c>
    </row>
    <row r="1280" spans="1:20" x14ac:dyDescent="0.45">
      <c r="A1280" t="s">
        <v>939</v>
      </c>
      <c r="B1280" t="s">
        <v>3695</v>
      </c>
      <c r="C1280" t="s">
        <v>59</v>
      </c>
      <c r="D1280" t="s">
        <v>58</v>
      </c>
      <c r="E1280" t="s">
        <v>211</v>
      </c>
      <c r="F1280" t="s">
        <v>82</v>
      </c>
      <c r="G1280" t="s">
        <v>212</v>
      </c>
      <c r="H1280" t="s">
        <v>108</v>
      </c>
      <c r="I1280" t="s">
        <v>107</v>
      </c>
      <c r="J1280" t="s">
        <v>3546</v>
      </c>
      <c r="K1280" t="s">
        <v>170</v>
      </c>
      <c r="L1280" t="s">
        <v>3199</v>
      </c>
      <c r="M1280" t="s">
        <v>171</v>
      </c>
      <c r="N1280" t="s">
        <v>97</v>
      </c>
      <c r="O1280" s="27">
        <v>1303000</v>
      </c>
      <c r="P1280">
        <v>2</v>
      </c>
      <c r="Q1280" t="s">
        <v>164</v>
      </c>
      <c r="R1280">
        <v>12</v>
      </c>
      <c r="S1280" t="s">
        <v>214</v>
      </c>
      <c r="T1280" t="str">
        <f>IF(COUNTIF($A$2:A1280,A1280)&gt;1,"Duplicate","Unique")</f>
        <v>Unique</v>
      </c>
    </row>
    <row r="1281" spans="1:20" x14ac:dyDescent="0.45">
      <c r="A1281" t="s">
        <v>1929</v>
      </c>
      <c r="B1281" t="s">
        <v>1930</v>
      </c>
      <c r="C1281" t="s">
        <v>55</v>
      </c>
      <c r="D1281" t="s">
        <v>54</v>
      </c>
      <c r="E1281" t="s">
        <v>168</v>
      </c>
      <c r="F1281" t="s">
        <v>84</v>
      </c>
      <c r="G1281" t="s">
        <v>169</v>
      </c>
      <c r="H1281" t="s">
        <v>106</v>
      </c>
      <c r="I1281" t="s">
        <v>107</v>
      </c>
      <c r="J1281" t="s">
        <v>3696</v>
      </c>
      <c r="K1281" t="s">
        <v>162</v>
      </c>
      <c r="M1281" t="s">
        <v>163</v>
      </c>
      <c r="N1281" t="s">
        <v>95</v>
      </c>
      <c r="O1281" s="27">
        <v>3077000</v>
      </c>
      <c r="P1281">
        <v>3</v>
      </c>
      <c r="Q1281" t="s">
        <v>164</v>
      </c>
      <c r="R1281">
        <v>27</v>
      </c>
      <c r="S1281" t="s">
        <v>274</v>
      </c>
      <c r="T1281" t="str">
        <f>IF(COUNTIF($A$2:A1281,A1281)&gt;1,"Duplicate","Unique")</f>
        <v>Unique</v>
      </c>
    </row>
    <row r="1282" spans="1:20" x14ac:dyDescent="0.45">
      <c r="A1282" t="s">
        <v>2053</v>
      </c>
      <c r="B1282" t="s">
        <v>464</v>
      </c>
      <c r="C1282" t="s">
        <v>51</v>
      </c>
      <c r="D1282" t="s">
        <v>50</v>
      </c>
      <c r="E1282" t="s">
        <v>181</v>
      </c>
      <c r="F1282" t="s">
        <v>81</v>
      </c>
      <c r="G1282" t="s">
        <v>182</v>
      </c>
      <c r="H1282" t="s">
        <v>106</v>
      </c>
      <c r="I1282" t="s">
        <v>107</v>
      </c>
      <c r="J1282" t="s">
        <v>3697</v>
      </c>
      <c r="K1282" t="s">
        <v>162</v>
      </c>
      <c r="M1282" t="s">
        <v>163</v>
      </c>
      <c r="N1282" t="s">
        <v>99</v>
      </c>
      <c r="O1282" s="27">
        <v>614000</v>
      </c>
      <c r="P1282">
        <v>2</v>
      </c>
      <c r="Q1282" t="s">
        <v>164</v>
      </c>
      <c r="R1282">
        <v>30</v>
      </c>
      <c r="S1282" t="s">
        <v>178</v>
      </c>
      <c r="T1282" t="str">
        <f>IF(COUNTIF($A$2:A1282,A1282)&gt;1,"Duplicate","Unique")</f>
        <v>Unique</v>
      </c>
    </row>
    <row r="1283" spans="1:20" x14ac:dyDescent="0.45">
      <c r="A1283" t="s">
        <v>719</v>
      </c>
      <c r="B1283" t="s">
        <v>720</v>
      </c>
      <c r="C1283" t="s">
        <v>59</v>
      </c>
      <c r="D1283" t="s">
        <v>58</v>
      </c>
      <c r="E1283" t="s">
        <v>211</v>
      </c>
      <c r="F1283" t="s">
        <v>82</v>
      </c>
      <c r="G1283" t="s">
        <v>212</v>
      </c>
      <c r="H1283" t="s">
        <v>109</v>
      </c>
      <c r="I1283" t="s">
        <v>110</v>
      </c>
      <c r="J1283" t="s">
        <v>3698</v>
      </c>
      <c r="K1283" t="s">
        <v>162</v>
      </c>
      <c r="M1283" t="s">
        <v>163</v>
      </c>
      <c r="N1283" t="s">
        <v>99</v>
      </c>
      <c r="O1283" s="27">
        <v>912000</v>
      </c>
      <c r="P1283">
        <v>3</v>
      </c>
      <c r="Q1283" t="s">
        <v>2584</v>
      </c>
      <c r="R1283">
        <v>24</v>
      </c>
      <c r="S1283" t="s">
        <v>208</v>
      </c>
      <c r="T1283" t="str">
        <f>IF(COUNTIF($A$2:A1283,A1283)&gt;1,"Duplicate","Unique")</f>
        <v>Unique</v>
      </c>
    </row>
    <row r="1284" spans="1:20" x14ac:dyDescent="0.45">
      <c r="A1284" t="s">
        <v>1385</v>
      </c>
      <c r="B1284" t="s">
        <v>1267</v>
      </c>
      <c r="C1284" t="s">
        <v>55</v>
      </c>
      <c r="D1284" t="s">
        <v>54</v>
      </c>
      <c r="E1284" t="s">
        <v>168</v>
      </c>
      <c r="F1284" t="s">
        <v>84</v>
      </c>
      <c r="G1284" t="s">
        <v>169</v>
      </c>
      <c r="H1284" t="s">
        <v>106</v>
      </c>
      <c r="I1284" t="s">
        <v>107</v>
      </c>
      <c r="J1284" t="s">
        <v>2671</v>
      </c>
      <c r="K1284" t="s">
        <v>162</v>
      </c>
      <c r="M1284" t="s">
        <v>163</v>
      </c>
      <c r="N1284" t="s">
        <v>99</v>
      </c>
      <c r="O1284" s="27">
        <v>2110000</v>
      </c>
      <c r="P1284">
        <v>3</v>
      </c>
      <c r="Q1284" t="s">
        <v>164</v>
      </c>
      <c r="R1284">
        <v>38</v>
      </c>
      <c r="S1284" t="s">
        <v>274</v>
      </c>
      <c r="T1284" t="str">
        <f>IF(COUNTIF($A$2:A1284,A1284)&gt;1,"Duplicate","Unique")</f>
        <v>Unique</v>
      </c>
    </row>
    <row r="1285" spans="1:20" x14ac:dyDescent="0.45">
      <c r="A1285" t="s">
        <v>1884</v>
      </c>
      <c r="B1285" t="s">
        <v>462</v>
      </c>
      <c r="C1285" t="s">
        <v>53</v>
      </c>
      <c r="D1285" t="s">
        <v>52</v>
      </c>
      <c r="E1285" t="s">
        <v>322</v>
      </c>
      <c r="F1285" t="s">
        <v>81</v>
      </c>
      <c r="G1285" t="s">
        <v>323</v>
      </c>
      <c r="H1285" t="s">
        <v>106</v>
      </c>
      <c r="I1285" t="s">
        <v>107</v>
      </c>
      <c r="J1285" t="s">
        <v>3007</v>
      </c>
      <c r="K1285" t="s">
        <v>162</v>
      </c>
      <c r="M1285" t="s">
        <v>163</v>
      </c>
      <c r="N1285" t="s">
        <v>99</v>
      </c>
      <c r="O1285" s="27">
        <v>802000</v>
      </c>
      <c r="P1285">
        <v>5</v>
      </c>
      <c r="Q1285" t="s">
        <v>172</v>
      </c>
      <c r="R1285">
        <v>51</v>
      </c>
      <c r="S1285" t="s">
        <v>189</v>
      </c>
      <c r="T1285" t="str">
        <f>IF(COUNTIF($A$2:A1285,A1285)&gt;1,"Duplicate","Unique")</f>
        <v>Unique</v>
      </c>
    </row>
    <row r="1286" spans="1:20" x14ac:dyDescent="0.45">
      <c r="A1286" t="s">
        <v>1581</v>
      </c>
      <c r="B1286" t="s">
        <v>1311</v>
      </c>
      <c r="C1286" t="s">
        <v>53</v>
      </c>
      <c r="D1286" t="s">
        <v>52</v>
      </c>
      <c r="E1286" t="s">
        <v>322</v>
      </c>
      <c r="F1286" t="s">
        <v>81</v>
      </c>
      <c r="G1286" t="s">
        <v>323</v>
      </c>
      <c r="H1286" t="s">
        <v>109</v>
      </c>
      <c r="I1286" t="s">
        <v>110</v>
      </c>
      <c r="J1286" t="s">
        <v>3699</v>
      </c>
      <c r="K1286" t="s">
        <v>170</v>
      </c>
      <c r="L1286" t="s">
        <v>3350</v>
      </c>
      <c r="M1286" t="s">
        <v>171</v>
      </c>
      <c r="N1286" t="s">
        <v>99</v>
      </c>
      <c r="O1286" s="27">
        <v>596000</v>
      </c>
      <c r="P1286">
        <v>3</v>
      </c>
      <c r="Q1286" t="s">
        <v>172</v>
      </c>
      <c r="R1286">
        <v>38</v>
      </c>
      <c r="S1286" t="s">
        <v>194</v>
      </c>
      <c r="T1286" t="str">
        <f>IF(COUNTIF($A$2:A1286,A1286)&gt;1,"Duplicate","Unique")</f>
        <v>Unique</v>
      </c>
    </row>
    <row r="1287" spans="1:20" x14ac:dyDescent="0.45">
      <c r="A1287" t="s">
        <v>1061</v>
      </c>
      <c r="B1287" t="s">
        <v>1062</v>
      </c>
      <c r="C1287" t="s">
        <v>59</v>
      </c>
      <c r="D1287" t="s">
        <v>58</v>
      </c>
      <c r="E1287" t="s">
        <v>206</v>
      </c>
      <c r="F1287" t="s">
        <v>81</v>
      </c>
      <c r="G1287" t="s">
        <v>207</v>
      </c>
      <c r="H1287" t="s">
        <v>109</v>
      </c>
      <c r="I1287" t="s">
        <v>110</v>
      </c>
      <c r="J1287" t="s">
        <v>3298</v>
      </c>
      <c r="K1287" t="s">
        <v>162</v>
      </c>
      <c r="M1287" t="s">
        <v>163</v>
      </c>
      <c r="N1287" t="s">
        <v>98</v>
      </c>
      <c r="O1287" s="27">
        <v>623000</v>
      </c>
      <c r="P1287">
        <v>2</v>
      </c>
      <c r="Q1287" t="s">
        <v>164</v>
      </c>
      <c r="R1287">
        <v>42</v>
      </c>
      <c r="S1287" t="s">
        <v>214</v>
      </c>
      <c r="T1287" t="str">
        <f>IF(COUNTIF($A$2:A1287,A1287)&gt;1,"Duplicate","Unique")</f>
        <v>Unique</v>
      </c>
    </row>
    <row r="1288" spans="1:20" x14ac:dyDescent="0.45">
      <c r="A1288" t="s">
        <v>651</v>
      </c>
      <c r="B1288" t="s">
        <v>3700</v>
      </c>
      <c r="C1288" t="s">
        <v>51</v>
      </c>
      <c r="D1288" t="s">
        <v>50</v>
      </c>
      <c r="E1288" t="s">
        <v>176</v>
      </c>
      <c r="F1288" t="s">
        <v>82</v>
      </c>
      <c r="G1288" t="s">
        <v>177</v>
      </c>
      <c r="H1288" t="s">
        <v>106</v>
      </c>
      <c r="I1288" t="s">
        <v>107</v>
      </c>
      <c r="J1288" t="s">
        <v>3701</v>
      </c>
      <c r="K1288" t="s">
        <v>162</v>
      </c>
      <c r="M1288" t="s">
        <v>163</v>
      </c>
      <c r="N1288" t="s">
        <v>95</v>
      </c>
      <c r="O1288" s="27">
        <v>1065000</v>
      </c>
      <c r="P1288">
        <v>4</v>
      </c>
      <c r="Q1288" t="s">
        <v>164</v>
      </c>
      <c r="R1288">
        <v>25</v>
      </c>
      <c r="S1288" t="s">
        <v>244</v>
      </c>
      <c r="T1288" t="str">
        <f>IF(COUNTIF($A$2:A1288,A1288)&gt;1,"Duplicate","Unique")</f>
        <v>Unique</v>
      </c>
    </row>
    <row r="1289" spans="1:20" x14ac:dyDescent="0.45">
      <c r="A1289" t="s">
        <v>754</v>
      </c>
      <c r="B1289" t="s">
        <v>755</v>
      </c>
      <c r="C1289" t="s">
        <v>53</v>
      </c>
      <c r="D1289" t="s">
        <v>52</v>
      </c>
      <c r="E1289" t="s">
        <v>185</v>
      </c>
      <c r="F1289" t="s">
        <v>82</v>
      </c>
      <c r="G1289" t="s">
        <v>186</v>
      </c>
      <c r="H1289" t="s">
        <v>106</v>
      </c>
      <c r="I1289" t="s">
        <v>107</v>
      </c>
      <c r="J1289" t="s">
        <v>3328</v>
      </c>
      <c r="K1289" t="s">
        <v>162</v>
      </c>
      <c r="M1289" t="s">
        <v>163</v>
      </c>
      <c r="N1289" t="s">
        <v>99</v>
      </c>
      <c r="O1289" s="27">
        <v>965000</v>
      </c>
      <c r="P1289">
        <v>4</v>
      </c>
      <c r="Q1289" t="s">
        <v>172</v>
      </c>
      <c r="R1289">
        <v>27</v>
      </c>
      <c r="S1289" t="s">
        <v>189</v>
      </c>
      <c r="T1289" t="str">
        <f>IF(COUNTIF($A$2:A1289,A1289)&gt;1,"Duplicate","Unique")</f>
        <v>Unique</v>
      </c>
    </row>
    <row r="1290" spans="1:20" x14ac:dyDescent="0.45">
      <c r="A1290" t="s">
        <v>585</v>
      </c>
      <c r="B1290" t="s">
        <v>228</v>
      </c>
      <c r="C1290" t="s">
        <v>59</v>
      </c>
      <c r="D1290" t="s">
        <v>58</v>
      </c>
      <c r="E1290" t="s">
        <v>211</v>
      </c>
      <c r="F1290" t="s">
        <v>82</v>
      </c>
      <c r="G1290" t="s">
        <v>212</v>
      </c>
      <c r="H1290" t="s">
        <v>109</v>
      </c>
      <c r="I1290" t="s">
        <v>110</v>
      </c>
      <c r="J1290" t="s">
        <v>3702</v>
      </c>
      <c r="K1290" t="s">
        <v>162</v>
      </c>
      <c r="M1290" t="s">
        <v>163</v>
      </c>
      <c r="N1290" t="s">
        <v>98</v>
      </c>
      <c r="O1290" s="27">
        <v>1272000</v>
      </c>
      <c r="P1290">
        <v>5</v>
      </c>
      <c r="Q1290" t="s">
        <v>164</v>
      </c>
      <c r="R1290">
        <v>30</v>
      </c>
      <c r="S1290" t="s">
        <v>208</v>
      </c>
      <c r="T1290" t="str">
        <f>IF(COUNTIF($A$2:A1290,A1290)&gt;1,"Duplicate","Unique")</f>
        <v>Unique</v>
      </c>
    </row>
    <row r="1291" spans="1:20" x14ac:dyDescent="0.45">
      <c r="A1291" t="s">
        <v>1145</v>
      </c>
      <c r="B1291" t="s">
        <v>642</v>
      </c>
      <c r="C1291" t="s">
        <v>51</v>
      </c>
      <c r="D1291" t="s">
        <v>50</v>
      </c>
      <c r="E1291" t="s">
        <v>181</v>
      </c>
      <c r="F1291" t="s">
        <v>81</v>
      </c>
      <c r="G1291" t="s">
        <v>182</v>
      </c>
      <c r="H1291" t="s">
        <v>106</v>
      </c>
      <c r="I1291" t="s">
        <v>107</v>
      </c>
      <c r="J1291" t="s">
        <v>3703</v>
      </c>
      <c r="K1291" t="s">
        <v>170</v>
      </c>
      <c r="L1291" t="s">
        <v>3704</v>
      </c>
      <c r="M1291" t="s">
        <v>171</v>
      </c>
      <c r="N1291" t="s">
        <v>98</v>
      </c>
      <c r="O1291" s="27">
        <v>558000</v>
      </c>
      <c r="P1291">
        <v>4</v>
      </c>
      <c r="Q1291" t="s">
        <v>172</v>
      </c>
      <c r="R1291">
        <v>42</v>
      </c>
      <c r="S1291" t="s">
        <v>219</v>
      </c>
      <c r="T1291" t="str">
        <f>IF(COUNTIF($A$2:A1291,A1291)&gt;1,"Duplicate","Unique")</f>
        <v>Unique</v>
      </c>
    </row>
    <row r="1292" spans="1:20" x14ac:dyDescent="0.45">
      <c r="A1292" t="s">
        <v>1664</v>
      </c>
      <c r="B1292" t="s">
        <v>1445</v>
      </c>
      <c r="C1292" t="s">
        <v>55</v>
      </c>
      <c r="D1292" t="s">
        <v>54</v>
      </c>
      <c r="E1292" t="s">
        <v>229</v>
      </c>
      <c r="F1292" t="s">
        <v>82</v>
      </c>
      <c r="G1292" t="s">
        <v>230</v>
      </c>
      <c r="H1292" t="s">
        <v>106</v>
      </c>
      <c r="I1292" t="s">
        <v>107</v>
      </c>
      <c r="J1292" t="s">
        <v>3705</v>
      </c>
      <c r="K1292" t="s">
        <v>162</v>
      </c>
      <c r="M1292" t="s">
        <v>163</v>
      </c>
      <c r="N1292" t="s">
        <v>99</v>
      </c>
      <c r="O1292" s="27">
        <v>863000</v>
      </c>
      <c r="P1292">
        <v>1</v>
      </c>
      <c r="Q1292" t="s">
        <v>2516</v>
      </c>
      <c r="R1292">
        <v>8</v>
      </c>
      <c r="S1292" t="s">
        <v>274</v>
      </c>
      <c r="T1292" t="str">
        <f>IF(COUNTIF($A$2:A1292,A1292)&gt;1,"Duplicate","Unique")</f>
        <v>Unique</v>
      </c>
    </row>
    <row r="1293" spans="1:20" x14ac:dyDescent="0.45">
      <c r="A1293" t="s">
        <v>2172</v>
      </c>
      <c r="B1293" t="s">
        <v>1958</v>
      </c>
      <c r="C1293" t="s">
        <v>55</v>
      </c>
      <c r="D1293" t="s">
        <v>54</v>
      </c>
      <c r="E1293" t="s">
        <v>240</v>
      </c>
      <c r="F1293" t="s">
        <v>83</v>
      </c>
      <c r="G1293" t="s">
        <v>241</v>
      </c>
      <c r="H1293" t="s">
        <v>106</v>
      </c>
      <c r="I1293" t="s">
        <v>107</v>
      </c>
      <c r="J1293" t="s">
        <v>3706</v>
      </c>
      <c r="K1293" t="s">
        <v>162</v>
      </c>
      <c r="M1293" t="s">
        <v>163</v>
      </c>
      <c r="N1293" t="s">
        <v>97</v>
      </c>
      <c r="O1293" s="27">
        <v>1573000</v>
      </c>
      <c r="P1293">
        <v>3</v>
      </c>
      <c r="Q1293" t="s">
        <v>164</v>
      </c>
      <c r="R1293">
        <v>46</v>
      </c>
      <c r="S1293" t="s">
        <v>262</v>
      </c>
      <c r="T1293" t="str">
        <f>IF(COUNTIF($A$2:A1293,A1293)&gt;1,"Duplicate","Unique")</f>
        <v>Unique</v>
      </c>
    </row>
    <row r="1294" spans="1:20" x14ac:dyDescent="0.45">
      <c r="A1294" t="s">
        <v>890</v>
      </c>
      <c r="B1294" t="s">
        <v>891</v>
      </c>
      <c r="C1294" t="s">
        <v>51</v>
      </c>
      <c r="D1294" t="s">
        <v>50</v>
      </c>
      <c r="E1294" t="s">
        <v>176</v>
      </c>
      <c r="F1294" t="s">
        <v>82</v>
      </c>
      <c r="G1294" t="s">
        <v>177</v>
      </c>
      <c r="H1294" t="s">
        <v>109</v>
      </c>
      <c r="I1294" t="s">
        <v>110</v>
      </c>
      <c r="J1294" t="s">
        <v>3707</v>
      </c>
      <c r="K1294" t="s">
        <v>162</v>
      </c>
      <c r="M1294" t="s">
        <v>163</v>
      </c>
      <c r="N1294" t="s">
        <v>99</v>
      </c>
      <c r="O1294" s="27">
        <v>1317000</v>
      </c>
      <c r="P1294">
        <v>3</v>
      </c>
      <c r="Q1294" t="s">
        <v>172</v>
      </c>
      <c r="R1294">
        <v>45</v>
      </c>
      <c r="S1294" t="s">
        <v>197</v>
      </c>
      <c r="T1294" t="str">
        <f>IF(COUNTIF($A$2:A1294,A1294)&gt;1,"Duplicate","Unique")</f>
        <v>Unique</v>
      </c>
    </row>
    <row r="1295" spans="1:20" x14ac:dyDescent="0.45">
      <c r="A1295" t="s">
        <v>821</v>
      </c>
      <c r="B1295" t="s">
        <v>822</v>
      </c>
      <c r="C1295" t="s">
        <v>51</v>
      </c>
      <c r="D1295" t="s">
        <v>50</v>
      </c>
      <c r="E1295" t="s">
        <v>328</v>
      </c>
      <c r="F1295" t="s">
        <v>85</v>
      </c>
      <c r="G1295" t="s">
        <v>329</v>
      </c>
      <c r="H1295" t="s">
        <v>111</v>
      </c>
      <c r="I1295" t="s">
        <v>110</v>
      </c>
      <c r="J1295" t="s">
        <v>3001</v>
      </c>
      <c r="K1295" t="s">
        <v>162</v>
      </c>
      <c r="M1295" t="s">
        <v>163</v>
      </c>
      <c r="N1295" t="s">
        <v>96</v>
      </c>
      <c r="O1295" s="27">
        <v>3655000</v>
      </c>
      <c r="P1295">
        <v>3</v>
      </c>
      <c r="Q1295" t="s">
        <v>172</v>
      </c>
      <c r="R1295">
        <v>37</v>
      </c>
      <c r="S1295" t="s">
        <v>178</v>
      </c>
      <c r="T1295" t="str">
        <f>IF(COUNTIF($A$2:A1295,A1295)&gt;1,"Duplicate","Unique")</f>
        <v>Unique</v>
      </c>
    </row>
    <row r="1296" spans="1:20" x14ac:dyDescent="0.45">
      <c r="A1296" t="s">
        <v>1257</v>
      </c>
      <c r="B1296" t="s">
        <v>929</v>
      </c>
      <c r="C1296" t="s">
        <v>59</v>
      </c>
      <c r="D1296" t="s">
        <v>58</v>
      </c>
      <c r="E1296" t="s">
        <v>1258</v>
      </c>
      <c r="F1296" t="s">
        <v>85</v>
      </c>
      <c r="G1296" t="s">
        <v>1259</v>
      </c>
      <c r="H1296" t="s">
        <v>106</v>
      </c>
      <c r="I1296" t="s">
        <v>107</v>
      </c>
      <c r="J1296" t="s">
        <v>2808</v>
      </c>
      <c r="K1296" t="s">
        <v>162</v>
      </c>
      <c r="M1296" t="s">
        <v>163</v>
      </c>
      <c r="N1296" t="s">
        <v>98</v>
      </c>
      <c r="O1296" s="27">
        <v>4909000</v>
      </c>
      <c r="P1296">
        <v>2</v>
      </c>
      <c r="Q1296" t="s">
        <v>164</v>
      </c>
      <c r="R1296">
        <v>38</v>
      </c>
      <c r="S1296" t="s">
        <v>208</v>
      </c>
      <c r="T1296" t="str">
        <f>IF(COUNTIF($A$2:A1296,A1296)&gt;1,"Duplicate","Unique")</f>
        <v>Unique</v>
      </c>
    </row>
    <row r="1297" spans="1:20" x14ac:dyDescent="0.45">
      <c r="A1297" t="s">
        <v>1450</v>
      </c>
      <c r="B1297" t="s">
        <v>546</v>
      </c>
      <c r="C1297" t="s">
        <v>53</v>
      </c>
      <c r="D1297" t="s">
        <v>52</v>
      </c>
      <c r="E1297" t="s">
        <v>185</v>
      </c>
      <c r="F1297" t="s">
        <v>82</v>
      </c>
      <c r="G1297" t="s">
        <v>186</v>
      </c>
      <c r="H1297" t="s">
        <v>112</v>
      </c>
      <c r="I1297" t="s">
        <v>113</v>
      </c>
      <c r="J1297" t="s">
        <v>3498</v>
      </c>
      <c r="K1297" t="s">
        <v>162</v>
      </c>
      <c r="M1297" t="s">
        <v>163</v>
      </c>
      <c r="N1297" t="s">
        <v>99</v>
      </c>
      <c r="O1297" s="27">
        <v>888000</v>
      </c>
      <c r="P1297">
        <v>3</v>
      </c>
      <c r="Q1297" t="s">
        <v>164</v>
      </c>
      <c r="R1297">
        <v>31</v>
      </c>
      <c r="S1297" t="s">
        <v>189</v>
      </c>
      <c r="T1297" t="str">
        <f>IF(COUNTIF($A$2:A1297,A1297)&gt;1,"Duplicate","Unique")</f>
        <v>Unique</v>
      </c>
    </row>
    <row r="1298" spans="1:20" x14ac:dyDescent="0.45">
      <c r="A1298" t="s">
        <v>1990</v>
      </c>
      <c r="B1298" t="s">
        <v>947</v>
      </c>
      <c r="C1298" t="s">
        <v>53</v>
      </c>
      <c r="D1298" t="s">
        <v>52</v>
      </c>
      <c r="E1298" t="s">
        <v>185</v>
      </c>
      <c r="F1298" t="s">
        <v>82</v>
      </c>
      <c r="G1298" t="s">
        <v>186</v>
      </c>
      <c r="H1298" t="s">
        <v>111</v>
      </c>
      <c r="I1298" t="s">
        <v>110</v>
      </c>
      <c r="J1298" t="s">
        <v>3442</v>
      </c>
      <c r="K1298" t="s">
        <v>162</v>
      </c>
      <c r="M1298" t="s">
        <v>163</v>
      </c>
      <c r="N1298" t="s">
        <v>95</v>
      </c>
      <c r="O1298" s="27">
        <v>999000</v>
      </c>
      <c r="P1298">
        <v>2</v>
      </c>
      <c r="Q1298" t="s">
        <v>172</v>
      </c>
      <c r="R1298">
        <v>22</v>
      </c>
      <c r="S1298" t="s">
        <v>237</v>
      </c>
      <c r="T1298" t="str">
        <f>IF(COUNTIF($A$2:A1298,A1298)&gt;1,"Duplicate","Unique")</f>
        <v>Unique</v>
      </c>
    </row>
    <row r="1299" spans="1:20" x14ac:dyDescent="0.45">
      <c r="A1299" t="s">
        <v>660</v>
      </c>
      <c r="B1299" t="s">
        <v>292</v>
      </c>
      <c r="C1299" t="s">
        <v>51</v>
      </c>
      <c r="D1299" t="s">
        <v>50</v>
      </c>
      <c r="E1299" t="s">
        <v>181</v>
      </c>
      <c r="F1299" t="s">
        <v>81</v>
      </c>
      <c r="G1299" t="s">
        <v>182</v>
      </c>
      <c r="H1299" t="s">
        <v>2963</v>
      </c>
      <c r="I1299" t="s">
        <v>107</v>
      </c>
      <c r="J1299" t="s">
        <v>3708</v>
      </c>
      <c r="K1299" t="s">
        <v>162</v>
      </c>
      <c r="M1299" t="s">
        <v>163</v>
      </c>
      <c r="N1299" t="s">
        <v>97</v>
      </c>
      <c r="O1299" s="27">
        <v>695000</v>
      </c>
      <c r="P1299">
        <v>3</v>
      </c>
      <c r="Q1299" t="s">
        <v>2584</v>
      </c>
      <c r="R1299">
        <v>18</v>
      </c>
      <c r="S1299" t="s">
        <v>178</v>
      </c>
      <c r="T1299" t="str">
        <f>IF(COUNTIF($A$2:A1299,A1299)&gt;1,"Duplicate","Unique")</f>
        <v>Unique</v>
      </c>
    </row>
    <row r="1300" spans="1:20" x14ac:dyDescent="0.45">
      <c r="A1300" t="s">
        <v>2278</v>
      </c>
      <c r="B1300" t="s">
        <v>1682</v>
      </c>
      <c r="C1300" t="s">
        <v>55</v>
      </c>
      <c r="D1300" t="s">
        <v>54</v>
      </c>
      <c r="E1300" t="s">
        <v>168</v>
      </c>
      <c r="F1300" t="s">
        <v>84</v>
      </c>
      <c r="G1300" t="s">
        <v>169</v>
      </c>
      <c r="H1300" t="s">
        <v>108</v>
      </c>
      <c r="I1300" t="s">
        <v>107</v>
      </c>
      <c r="J1300" t="s">
        <v>3557</v>
      </c>
      <c r="K1300" t="s">
        <v>162</v>
      </c>
      <c r="M1300" t="s">
        <v>163</v>
      </c>
      <c r="N1300" t="s">
        <v>99</v>
      </c>
      <c r="O1300" s="27">
        <v>2258000</v>
      </c>
      <c r="Q1300" t="s">
        <v>172</v>
      </c>
      <c r="R1300">
        <v>31</v>
      </c>
      <c r="S1300" t="s">
        <v>262</v>
      </c>
      <c r="T1300" t="str">
        <f>IF(COUNTIF($A$2:A1300,A1300)&gt;1,"Duplicate","Unique")</f>
        <v>Unique</v>
      </c>
    </row>
    <row r="1301" spans="1:20" x14ac:dyDescent="0.45">
      <c r="A1301" t="s">
        <v>1681</v>
      </c>
      <c r="B1301" t="s">
        <v>3709</v>
      </c>
      <c r="C1301" t="s">
        <v>55</v>
      </c>
      <c r="D1301" t="s">
        <v>54</v>
      </c>
      <c r="E1301" t="s">
        <v>229</v>
      </c>
      <c r="F1301" t="s">
        <v>82</v>
      </c>
      <c r="G1301" t="s">
        <v>230</v>
      </c>
      <c r="H1301" t="s">
        <v>109</v>
      </c>
      <c r="I1301" t="s">
        <v>110</v>
      </c>
      <c r="J1301" t="s">
        <v>3497</v>
      </c>
      <c r="K1301" t="s">
        <v>170</v>
      </c>
      <c r="L1301" t="s">
        <v>3710</v>
      </c>
      <c r="M1301" t="s">
        <v>171</v>
      </c>
      <c r="N1301" t="s">
        <v>98</v>
      </c>
      <c r="O1301" s="27">
        <v>1283000</v>
      </c>
      <c r="P1301">
        <v>5</v>
      </c>
      <c r="Q1301" t="s">
        <v>172</v>
      </c>
      <c r="R1301">
        <v>32</v>
      </c>
      <c r="S1301" t="s">
        <v>274</v>
      </c>
      <c r="T1301" t="str">
        <f>IF(COUNTIF($A$2:A1301,A1301)&gt;1,"Duplicate","Unique")</f>
        <v>Unique</v>
      </c>
    </row>
    <row r="1302" spans="1:20" x14ac:dyDescent="0.45">
      <c r="A1302" t="s">
        <v>2348</v>
      </c>
      <c r="B1302" t="s">
        <v>786</v>
      </c>
      <c r="C1302" t="s">
        <v>51</v>
      </c>
      <c r="D1302" t="s">
        <v>50</v>
      </c>
      <c r="E1302" t="s">
        <v>217</v>
      </c>
      <c r="F1302" t="s">
        <v>83</v>
      </c>
      <c r="G1302" t="s">
        <v>218</v>
      </c>
      <c r="H1302" t="s">
        <v>106</v>
      </c>
      <c r="I1302" t="s">
        <v>107</v>
      </c>
      <c r="J1302" t="s">
        <v>3711</v>
      </c>
      <c r="K1302" t="s">
        <v>162</v>
      </c>
      <c r="M1302" t="s">
        <v>163</v>
      </c>
      <c r="N1302" t="s">
        <v>98</v>
      </c>
      <c r="O1302" s="27">
        <v>1711000</v>
      </c>
      <c r="P1302">
        <v>4</v>
      </c>
      <c r="Q1302" t="s">
        <v>172</v>
      </c>
      <c r="R1302">
        <v>24</v>
      </c>
      <c r="S1302" t="s">
        <v>178</v>
      </c>
      <c r="T1302" t="str">
        <f>IF(COUNTIF($A$2:A1302,A1302)&gt;1,"Duplicate","Unique")</f>
        <v>Unique</v>
      </c>
    </row>
    <row r="1303" spans="1:20" x14ac:dyDescent="0.45">
      <c r="A1303" t="s">
        <v>1540</v>
      </c>
      <c r="B1303" t="s">
        <v>1181</v>
      </c>
      <c r="C1303" t="s">
        <v>53</v>
      </c>
      <c r="D1303" t="s">
        <v>52</v>
      </c>
      <c r="E1303" t="s">
        <v>322</v>
      </c>
      <c r="F1303" t="s">
        <v>81</v>
      </c>
      <c r="G1303" t="s">
        <v>323</v>
      </c>
      <c r="H1303" t="s">
        <v>108</v>
      </c>
      <c r="I1303" t="s">
        <v>107</v>
      </c>
      <c r="J1303" t="s">
        <v>3522</v>
      </c>
      <c r="K1303" t="s">
        <v>162</v>
      </c>
      <c r="M1303" t="s">
        <v>163</v>
      </c>
      <c r="N1303" t="s">
        <v>98</v>
      </c>
      <c r="O1303" s="27">
        <v>699000</v>
      </c>
      <c r="P1303">
        <v>3</v>
      </c>
      <c r="Q1303" t="s">
        <v>164</v>
      </c>
      <c r="R1303">
        <v>63</v>
      </c>
      <c r="S1303" t="s">
        <v>237</v>
      </c>
      <c r="T1303" t="str">
        <f>IF(COUNTIF($A$2:A1303,A1303)&gt;1,"Duplicate","Unique")</f>
        <v>Unique</v>
      </c>
    </row>
    <row r="1304" spans="1:20" x14ac:dyDescent="0.45">
      <c r="A1304" t="s">
        <v>1832</v>
      </c>
      <c r="B1304" t="s">
        <v>796</v>
      </c>
      <c r="C1304" t="s">
        <v>53</v>
      </c>
      <c r="D1304" t="s">
        <v>52</v>
      </c>
      <c r="E1304" t="s">
        <v>192</v>
      </c>
      <c r="F1304" t="s">
        <v>83</v>
      </c>
      <c r="G1304" t="s">
        <v>193</v>
      </c>
      <c r="H1304" t="s">
        <v>108</v>
      </c>
      <c r="I1304" t="s">
        <v>107</v>
      </c>
      <c r="J1304" t="s">
        <v>3247</v>
      </c>
      <c r="K1304" t="s">
        <v>162</v>
      </c>
      <c r="M1304" t="s">
        <v>163</v>
      </c>
      <c r="N1304" t="s">
        <v>95</v>
      </c>
      <c r="O1304" s="27">
        <v>2015000</v>
      </c>
      <c r="P1304">
        <v>4</v>
      </c>
      <c r="Q1304" t="s">
        <v>164</v>
      </c>
      <c r="R1304">
        <v>46</v>
      </c>
      <c r="S1304" t="s">
        <v>189</v>
      </c>
      <c r="T1304" t="str">
        <f>IF(COUNTIF($A$2:A1304,A1304)&gt;1,"Duplicate","Unique")</f>
        <v>Unique</v>
      </c>
    </row>
    <row r="1305" spans="1:20" x14ac:dyDescent="0.45">
      <c r="A1305" t="s">
        <v>2156</v>
      </c>
      <c r="B1305" t="s">
        <v>2092</v>
      </c>
      <c r="C1305" t="s">
        <v>51</v>
      </c>
      <c r="D1305" t="s">
        <v>50</v>
      </c>
      <c r="E1305" t="s">
        <v>328</v>
      </c>
      <c r="F1305" t="s">
        <v>85</v>
      </c>
      <c r="G1305" t="s">
        <v>329</v>
      </c>
      <c r="H1305" t="s">
        <v>106</v>
      </c>
      <c r="I1305" t="s">
        <v>107</v>
      </c>
      <c r="J1305" t="s">
        <v>3712</v>
      </c>
      <c r="K1305" t="s">
        <v>162</v>
      </c>
      <c r="M1305" t="s">
        <v>163</v>
      </c>
      <c r="N1305" t="s">
        <v>97</v>
      </c>
      <c r="O1305" s="27">
        <v>4700000</v>
      </c>
      <c r="P1305">
        <v>3</v>
      </c>
      <c r="Q1305" t="s">
        <v>172</v>
      </c>
      <c r="R1305">
        <v>33</v>
      </c>
      <c r="S1305" t="s">
        <v>197</v>
      </c>
      <c r="T1305" t="str">
        <f>IF(COUNTIF($A$2:A1305,A1305)&gt;1,"Duplicate","Unique")</f>
        <v>Unique</v>
      </c>
    </row>
    <row r="1306" spans="1:20" x14ac:dyDescent="0.45">
      <c r="A1306" t="s">
        <v>1158</v>
      </c>
      <c r="B1306" t="s">
        <v>1101</v>
      </c>
      <c r="C1306" t="s">
        <v>59</v>
      </c>
      <c r="D1306" t="s">
        <v>58</v>
      </c>
      <c r="E1306" t="s">
        <v>287</v>
      </c>
      <c r="F1306" t="s">
        <v>83</v>
      </c>
      <c r="G1306" t="s">
        <v>288</v>
      </c>
      <c r="H1306" t="s">
        <v>111</v>
      </c>
      <c r="I1306" t="s">
        <v>110</v>
      </c>
      <c r="J1306" t="s">
        <v>3107</v>
      </c>
      <c r="K1306" t="s">
        <v>187</v>
      </c>
      <c r="L1306" t="s">
        <v>2900</v>
      </c>
      <c r="M1306" t="s">
        <v>308</v>
      </c>
      <c r="N1306" t="s">
        <v>96</v>
      </c>
      <c r="O1306" s="27">
        <v>1637000</v>
      </c>
      <c r="P1306">
        <v>4</v>
      </c>
      <c r="Q1306" t="s">
        <v>172</v>
      </c>
      <c r="R1306">
        <v>33</v>
      </c>
      <c r="S1306" t="s">
        <v>214</v>
      </c>
      <c r="T1306" t="str">
        <f>IF(COUNTIF($A$2:A1306,A1306)&gt;1,"Duplicate","Unique")</f>
        <v>Unique</v>
      </c>
    </row>
    <row r="1307" spans="1:20" x14ac:dyDescent="0.45">
      <c r="A1307" t="s">
        <v>2109</v>
      </c>
      <c r="B1307" t="s">
        <v>3713</v>
      </c>
      <c r="C1307" t="s">
        <v>53</v>
      </c>
      <c r="D1307" t="s">
        <v>52</v>
      </c>
      <c r="E1307" t="s">
        <v>185</v>
      </c>
      <c r="F1307" t="s">
        <v>82</v>
      </c>
      <c r="G1307" t="s">
        <v>186</v>
      </c>
      <c r="H1307" t="s">
        <v>108</v>
      </c>
      <c r="I1307" t="s">
        <v>107</v>
      </c>
      <c r="J1307" t="s">
        <v>2480</v>
      </c>
      <c r="K1307" t="s">
        <v>162</v>
      </c>
      <c r="M1307" t="s">
        <v>163</v>
      </c>
      <c r="N1307" t="s">
        <v>95</v>
      </c>
      <c r="O1307" s="27">
        <v>1055000</v>
      </c>
      <c r="P1307">
        <v>2</v>
      </c>
      <c r="Q1307" t="s">
        <v>172</v>
      </c>
      <c r="R1307">
        <v>10</v>
      </c>
      <c r="S1307" t="s">
        <v>194</v>
      </c>
      <c r="T1307" t="str">
        <f>IF(COUNTIF($A$2:A1307,A1307)&gt;1,"Duplicate","Unique")</f>
        <v>Unique</v>
      </c>
    </row>
    <row r="1308" spans="1:20" x14ac:dyDescent="0.45">
      <c r="A1308" t="s">
        <v>1398</v>
      </c>
      <c r="B1308" t="s">
        <v>1399</v>
      </c>
      <c r="C1308" t="s">
        <v>55</v>
      </c>
      <c r="D1308" t="s">
        <v>54</v>
      </c>
      <c r="E1308" t="s">
        <v>240</v>
      </c>
      <c r="F1308" t="s">
        <v>83</v>
      </c>
      <c r="G1308" t="s">
        <v>241</v>
      </c>
      <c r="H1308" t="s">
        <v>108</v>
      </c>
      <c r="I1308" t="s">
        <v>107</v>
      </c>
      <c r="J1308" t="s">
        <v>3441</v>
      </c>
      <c r="K1308" t="s">
        <v>162</v>
      </c>
      <c r="M1308" t="s">
        <v>163</v>
      </c>
      <c r="N1308" t="s">
        <v>97</v>
      </c>
      <c r="O1308" s="27">
        <v>1592000</v>
      </c>
      <c r="P1308">
        <v>3</v>
      </c>
      <c r="Q1308" t="s">
        <v>2525</v>
      </c>
      <c r="R1308">
        <v>38</v>
      </c>
      <c r="S1308" t="s">
        <v>173</v>
      </c>
      <c r="T1308" t="str">
        <f>IF(COUNTIF($A$2:A1308,A1308)&gt;1,"Duplicate","Unique")</f>
        <v>Unique</v>
      </c>
    </row>
    <row r="1309" spans="1:20" x14ac:dyDescent="0.45">
      <c r="A1309" t="s">
        <v>260</v>
      </c>
      <c r="B1309" t="s">
        <v>261</v>
      </c>
      <c r="C1309" t="s">
        <v>55</v>
      </c>
      <c r="D1309" t="s">
        <v>54</v>
      </c>
      <c r="E1309" t="s">
        <v>168</v>
      </c>
      <c r="F1309" t="s">
        <v>84</v>
      </c>
      <c r="G1309" t="s">
        <v>169</v>
      </c>
      <c r="H1309" t="s">
        <v>109</v>
      </c>
      <c r="I1309" t="s">
        <v>110</v>
      </c>
      <c r="J1309" t="s">
        <v>3714</v>
      </c>
      <c r="K1309" t="s">
        <v>187</v>
      </c>
      <c r="L1309" t="s">
        <v>3715</v>
      </c>
      <c r="M1309" t="s">
        <v>213</v>
      </c>
      <c r="N1309" t="s">
        <v>98</v>
      </c>
      <c r="O1309" s="27">
        <v>2289000</v>
      </c>
      <c r="P1309">
        <v>3</v>
      </c>
      <c r="Q1309" t="s">
        <v>2467</v>
      </c>
      <c r="R1309">
        <v>33</v>
      </c>
      <c r="S1309" t="s">
        <v>262</v>
      </c>
      <c r="T1309" t="str">
        <f>IF(COUNTIF($A$2:A1309,A1309)&gt;1,"Duplicate","Unique")</f>
        <v>Unique</v>
      </c>
    </row>
    <row r="1310" spans="1:20" x14ac:dyDescent="0.45">
      <c r="A1310" t="s">
        <v>885</v>
      </c>
      <c r="B1310" t="s">
        <v>574</v>
      </c>
      <c r="C1310" t="s">
        <v>57</v>
      </c>
      <c r="D1310" t="s">
        <v>56</v>
      </c>
      <c r="E1310" t="s">
        <v>160</v>
      </c>
      <c r="F1310" t="s">
        <v>81</v>
      </c>
      <c r="G1310" t="s">
        <v>161</v>
      </c>
      <c r="H1310" t="s">
        <v>2465</v>
      </c>
      <c r="I1310" t="s">
        <v>107</v>
      </c>
      <c r="J1310" t="s">
        <v>3716</v>
      </c>
      <c r="K1310" t="s">
        <v>187</v>
      </c>
      <c r="L1310" t="s">
        <v>3199</v>
      </c>
      <c r="M1310" t="s">
        <v>213</v>
      </c>
      <c r="N1310" t="s">
        <v>99</v>
      </c>
      <c r="O1310" s="27">
        <v>620000</v>
      </c>
      <c r="P1310">
        <v>3</v>
      </c>
      <c r="Q1310" t="s">
        <v>172</v>
      </c>
      <c r="R1310">
        <v>26</v>
      </c>
      <c r="S1310" t="s">
        <v>165</v>
      </c>
      <c r="T1310" t="str">
        <f>IF(COUNTIF($A$2:A1310,A1310)&gt;1,"Duplicate","Unique")</f>
        <v>Unique</v>
      </c>
    </row>
    <row r="1311" spans="1:20" x14ac:dyDescent="0.45">
      <c r="A1311" t="s">
        <v>1672</v>
      </c>
      <c r="B1311" t="s">
        <v>250</v>
      </c>
      <c r="C1311" t="s">
        <v>53</v>
      </c>
      <c r="D1311" t="s">
        <v>52</v>
      </c>
      <c r="E1311" t="s">
        <v>185</v>
      </c>
      <c r="F1311" t="s">
        <v>82</v>
      </c>
      <c r="G1311" t="s">
        <v>186</v>
      </c>
      <c r="H1311" t="s">
        <v>108</v>
      </c>
      <c r="I1311" t="s">
        <v>107</v>
      </c>
      <c r="J1311" t="s">
        <v>3225</v>
      </c>
      <c r="K1311" t="s">
        <v>162</v>
      </c>
      <c r="M1311" t="s">
        <v>163</v>
      </c>
      <c r="N1311" t="s">
        <v>99</v>
      </c>
      <c r="O1311" s="27">
        <v>1323000</v>
      </c>
      <c r="P1311">
        <v>3</v>
      </c>
      <c r="Q1311" t="s">
        <v>164</v>
      </c>
      <c r="R1311">
        <v>38</v>
      </c>
      <c r="S1311" t="s">
        <v>194</v>
      </c>
      <c r="T1311" t="str">
        <f>IF(COUNTIF($A$2:A1311,A1311)&gt;1,"Duplicate","Unique")</f>
        <v>Unique</v>
      </c>
    </row>
    <row r="1312" spans="1:20" x14ac:dyDescent="0.45">
      <c r="A1312" t="s">
        <v>2064</v>
      </c>
      <c r="B1312" t="s">
        <v>359</v>
      </c>
      <c r="C1312" t="s">
        <v>57</v>
      </c>
      <c r="D1312" t="s">
        <v>56</v>
      </c>
      <c r="E1312" t="s">
        <v>160</v>
      </c>
      <c r="F1312" t="s">
        <v>81</v>
      </c>
      <c r="G1312" t="s">
        <v>161</v>
      </c>
      <c r="H1312" t="s">
        <v>109</v>
      </c>
      <c r="I1312" t="s">
        <v>110</v>
      </c>
      <c r="J1312" t="s">
        <v>2616</v>
      </c>
      <c r="K1312" t="s">
        <v>162</v>
      </c>
      <c r="M1312" t="s">
        <v>163</v>
      </c>
      <c r="N1312" t="s">
        <v>96</v>
      </c>
      <c r="O1312" s="27">
        <v>794000</v>
      </c>
      <c r="P1312">
        <v>3</v>
      </c>
      <c r="Q1312" t="s">
        <v>164</v>
      </c>
      <c r="R1312">
        <v>48</v>
      </c>
      <c r="S1312" t="s">
        <v>165</v>
      </c>
      <c r="T1312" t="str">
        <f>IF(COUNTIF($A$2:A1312,A1312)&gt;1,"Duplicate","Unique")</f>
        <v>Unique</v>
      </c>
    </row>
    <row r="1313" spans="1:20" x14ac:dyDescent="0.45">
      <c r="A1313" t="s">
        <v>404</v>
      </c>
      <c r="B1313" t="s">
        <v>405</v>
      </c>
      <c r="C1313" t="s">
        <v>51</v>
      </c>
      <c r="D1313" t="s">
        <v>50</v>
      </c>
      <c r="E1313" t="s">
        <v>217</v>
      </c>
      <c r="F1313" t="s">
        <v>83</v>
      </c>
      <c r="G1313" t="s">
        <v>218</v>
      </c>
      <c r="H1313" t="s">
        <v>109</v>
      </c>
      <c r="I1313" t="s">
        <v>110</v>
      </c>
      <c r="J1313" t="s">
        <v>3717</v>
      </c>
      <c r="K1313" t="s">
        <v>187</v>
      </c>
      <c r="L1313" t="s">
        <v>3467</v>
      </c>
      <c r="M1313" t="s">
        <v>269</v>
      </c>
      <c r="N1313" t="s">
        <v>98</v>
      </c>
      <c r="O1313" s="27">
        <v>1443000</v>
      </c>
      <c r="P1313">
        <v>4</v>
      </c>
      <c r="Q1313" t="s">
        <v>164</v>
      </c>
      <c r="R1313">
        <v>24</v>
      </c>
      <c r="S1313" t="s">
        <v>244</v>
      </c>
      <c r="T1313" t="str">
        <f>IF(COUNTIF($A$2:A1313,A1313)&gt;1,"Duplicate","Unique")</f>
        <v>Unique</v>
      </c>
    </row>
    <row r="1314" spans="1:20" x14ac:dyDescent="0.45">
      <c r="A1314" t="s">
        <v>478</v>
      </c>
      <c r="B1314" t="s">
        <v>479</v>
      </c>
      <c r="C1314" t="s">
        <v>61</v>
      </c>
      <c r="D1314" t="s">
        <v>60</v>
      </c>
      <c r="E1314" t="s">
        <v>356</v>
      </c>
      <c r="F1314" t="s">
        <v>81</v>
      </c>
      <c r="G1314" t="s">
        <v>357</v>
      </c>
      <c r="H1314" t="s">
        <v>106</v>
      </c>
      <c r="I1314" t="s">
        <v>107</v>
      </c>
      <c r="J1314" t="s">
        <v>3718</v>
      </c>
      <c r="K1314" t="s">
        <v>162</v>
      </c>
      <c r="M1314" t="s">
        <v>163</v>
      </c>
      <c r="N1314" t="s">
        <v>99</v>
      </c>
      <c r="O1314" s="27">
        <v>807000</v>
      </c>
      <c r="P1314">
        <v>3</v>
      </c>
      <c r="Q1314" t="s">
        <v>164</v>
      </c>
      <c r="R1314">
        <v>33</v>
      </c>
      <c r="S1314" t="s">
        <v>319</v>
      </c>
      <c r="T1314" t="str">
        <f>IF(COUNTIF($A$2:A1314,A1314)&gt;1,"Duplicate","Unique")</f>
        <v>Unique</v>
      </c>
    </row>
    <row r="1315" spans="1:20" x14ac:dyDescent="0.45">
      <c r="A1315" t="s">
        <v>1173</v>
      </c>
      <c r="B1315" t="s">
        <v>1174</v>
      </c>
      <c r="C1315" t="s">
        <v>61</v>
      </c>
      <c r="D1315" t="s">
        <v>60</v>
      </c>
      <c r="E1315" t="s">
        <v>356</v>
      </c>
      <c r="F1315" t="s">
        <v>81</v>
      </c>
      <c r="G1315" t="s">
        <v>357</v>
      </c>
      <c r="H1315" t="s">
        <v>106</v>
      </c>
      <c r="I1315" t="s">
        <v>107</v>
      </c>
      <c r="J1315" t="s">
        <v>3719</v>
      </c>
      <c r="K1315" t="s">
        <v>187</v>
      </c>
      <c r="L1315" t="s">
        <v>3720</v>
      </c>
      <c r="M1315" t="s">
        <v>213</v>
      </c>
      <c r="N1315" t="s">
        <v>97</v>
      </c>
      <c r="O1315" s="27">
        <v>825000</v>
      </c>
      <c r="P1315">
        <v>4</v>
      </c>
      <c r="Q1315" t="s">
        <v>164</v>
      </c>
      <c r="R1315">
        <v>44</v>
      </c>
      <c r="S1315" t="s">
        <v>319</v>
      </c>
      <c r="T1315" t="str">
        <f>IF(COUNTIF($A$2:A1315,A1315)&gt;1,"Duplicate","Unique")</f>
        <v>Unique</v>
      </c>
    </row>
    <row r="1316" spans="1:20" x14ac:dyDescent="0.45">
      <c r="A1316" t="s">
        <v>933</v>
      </c>
      <c r="B1316" t="s">
        <v>205</v>
      </c>
      <c r="C1316" t="s">
        <v>55</v>
      </c>
      <c r="D1316" t="s">
        <v>54</v>
      </c>
      <c r="E1316" t="s">
        <v>229</v>
      </c>
      <c r="F1316" t="s">
        <v>82</v>
      </c>
      <c r="G1316" t="s">
        <v>230</v>
      </c>
      <c r="H1316" t="s">
        <v>111</v>
      </c>
      <c r="I1316" t="s">
        <v>110</v>
      </c>
      <c r="J1316" t="s">
        <v>3721</v>
      </c>
      <c r="K1316" t="s">
        <v>170</v>
      </c>
      <c r="L1316" t="s">
        <v>3722</v>
      </c>
      <c r="M1316" t="s">
        <v>171</v>
      </c>
      <c r="N1316" t="s">
        <v>97</v>
      </c>
      <c r="O1316" s="27">
        <v>1227000</v>
      </c>
      <c r="P1316">
        <v>1</v>
      </c>
      <c r="Q1316" t="s">
        <v>172</v>
      </c>
      <c r="R1316">
        <v>4</v>
      </c>
      <c r="S1316" t="s">
        <v>173</v>
      </c>
      <c r="T1316" t="str">
        <f>IF(COUNTIF($A$2:A1316,A1316)&gt;1,"Duplicate","Unique")</f>
        <v>Unique</v>
      </c>
    </row>
    <row r="1317" spans="1:20" x14ac:dyDescent="0.45">
      <c r="A1317" t="s">
        <v>1368</v>
      </c>
      <c r="B1317" t="s">
        <v>698</v>
      </c>
      <c r="C1317" t="s">
        <v>55</v>
      </c>
      <c r="D1317" t="s">
        <v>54</v>
      </c>
      <c r="E1317" t="s">
        <v>229</v>
      </c>
      <c r="F1317" t="s">
        <v>82</v>
      </c>
      <c r="G1317" t="s">
        <v>230</v>
      </c>
      <c r="H1317" t="s">
        <v>108</v>
      </c>
      <c r="I1317" t="s">
        <v>107</v>
      </c>
      <c r="J1317" t="s">
        <v>2437</v>
      </c>
      <c r="K1317" t="s">
        <v>162</v>
      </c>
      <c r="M1317" t="s">
        <v>163</v>
      </c>
      <c r="N1317" t="s">
        <v>97</v>
      </c>
      <c r="O1317" s="27">
        <v>1171000</v>
      </c>
      <c r="P1317">
        <v>5</v>
      </c>
      <c r="Q1317" t="s">
        <v>172</v>
      </c>
      <c r="R1317">
        <v>30</v>
      </c>
      <c r="S1317" t="s">
        <v>173</v>
      </c>
      <c r="T1317" t="str">
        <f>IF(COUNTIF($A$2:A1317,A1317)&gt;1,"Duplicate","Unique")</f>
        <v>Unique</v>
      </c>
    </row>
    <row r="1318" spans="1:20" x14ac:dyDescent="0.45">
      <c r="A1318" t="s">
        <v>624</v>
      </c>
      <c r="B1318" t="s">
        <v>625</v>
      </c>
      <c r="C1318" t="s">
        <v>61</v>
      </c>
      <c r="D1318" t="s">
        <v>60</v>
      </c>
      <c r="E1318" t="s">
        <v>484</v>
      </c>
      <c r="F1318" t="s">
        <v>83</v>
      </c>
      <c r="G1318" t="s">
        <v>485</v>
      </c>
      <c r="H1318" t="s">
        <v>109</v>
      </c>
      <c r="I1318" t="s">
        <v>110</v>
      </c>
      <c r="J1318" t="s">
        <v>3723</v>
      </c>
      <c r="K1318" t="s">
        <v>170</v>
      </c>
      <c r="L1318" t="s">
        <v>3724</v>
      </c>
      <c r="M1318" t="s">
        <v>171</v>
      </c>
      <c r="N1318" t="s">
        <v>97</v>
      </c>
      <c r="O1318" s="27">
        <v>1358000</v>
      </c>
      <c r="P1318">
        <v>1</v>
      </c>
      <c r="Q1318" t="s">
        <v>172</v>
      </c>
      <c r="R1318">
        <v>14</v>
      </c>
      <c r="S1318" t="s">
        <v>319</v>
      </c>
      <c r="T1318" t="str">
        <f>IF(COUNTIF($A$2:A1318,A1318)&gt;1,"Duplicate","Unique")</f>
        <v>Unique</v>
      </c>
    </row>
    <row r="1319" spans="1:20" x14ac:dyDescent="0.45">
      <c r="A1319" t="s">
        <v>302</v>
      </c>
      <c r="B1319" t="s">
        <v>3725</v>
      </c>
      <c r="C1319" t="s">
        <v>55</v>
      </c>
      <c r="D1319" t="s">
        <v>54</v>
      </c>
      <c r="E1319" t="s">
        <v>240</v>
      </c>
      <c r="F1319" t="s">
        <v>83</v>
      </c>
      <c r="G1319" t="s">
        <v>241</v>
      </c>
      <c r="H1319" t="s">
        <v>109</v>
      </c>
      <c r="I1319" t="s">
        <v>110</v>
      </c>
      <c r="J1319" t="s">
        <v>2899</v>
      </c>
      <c r="K1319" t="s">
        <v>162</v>
      </c>
      <c r="M1319" t="s">
        <v>163</v>
      </c>
      <c r="N1319" t="s">
        <v>96</v>
      </c>
      <c r="O1319" s="27">
        <v>2092000</v>
      </c>
      <c r="P1319">
        <v>1</v>
      </c>
      <c r="Q1319" t="s">
        <v>164</v>
      </c>
      <c r="R1319">
        <v>18</v>
      </c>
      <c r="S1319" t="s">
        <v>274</v>
      </c>
      <c r="T1319" t="str">
        <f>IF(COUNTIF($A$2:A1319,A1319)&gt;1,"Duplicate","Unique")</f>
        <v>Unique</v>
      </c>
    </row>
    <row r="1320" spans="1:20" x14ac:dyDescent="0.45">
      <c r="A1320" t="s">
        <v>653</v>
      </c>
      <c r="B1320" t="s">
        <v>3726</v>
      </c>
      <c r="C1320" t="s">
        <v>55</v>
      </c>
      <c r="D1320" t="s">
        <v>54</v>
      </c>
      <c r="E1320" t="s">
        <v>277</v>
      </c>
      <c r="F1320" t="s">
        <v>81</v>
      </c>
      <c r="G1320" t="s">
        <v>278</v>
      </c>
      <c r="H1320" t="s">
        <v>106</v>
      </c>
      <c r="I1320" t="s">
        <v>107</v>
      </c>
      <c r="J1320" t="s">
        <v>3727</v>
      </c>
      <c r="K1320" t="s">
        <v>187</v>
      </c>
      <c r="L1320" t="s">
        <v>3728</v>
      </c>
      <c r="M1320" t="s">
        <v>269</v>
      </c>
      <c r="N1320" t="s">
        <v>99</v>
      </c>
      <c r="O1320" s="27">
        <v>573000</v>
      </c>
      <c r="P1320">
        <v>3</v>
      </c>
      <c r="Q1320" t="s">
        <v>2584</v>
      </c>
      <c r="R1320">
        <v>43</v>
      </c>
      <c r="S1320" t="s">
        <v>262</v>
      </c>
      <c r="T1320" t="str">
        <f>IF(COUNTIF($A$2:A1320,A1320)&gt;1,"Duplicate","Unique")</f>
        <v>Unique</v>
      </c>
    </row>
    <row r="1321" spans="1:20" x14ac:dyDescent="0.45">
      <c r="A1321" t="s">
        <v>1829</v>
      </c>
      <c r="B1321" t="s">
        <v>1358</v>
      </c>
      <c r="C1321" t="s">
        <v>53</v>
      </c>
      <c r="D1321" t="s">
        <v>2793</v>
      </c>
      <c r="E1321" t="s">
        <v>322</v>
      </c>
      <c r="F1321" t="s">
        <v>81</v>
      </c>
      <c r="G1321" t="s">
        <v>323</v>
      </c>
      <c r="H1321" t="s">
        <v>106</v>
      </c>
      <c r="I1321" t="s">
        <v>107</v>
      </c>
      <c r="J1321" t="s">
        <v>3729</v>
      </c>
      <c r="K1321" t="s">
        <v>162</v>
      </c>
      <c r="M1321" t="s">
        <v>163</v>
      </c>
      <c r="N1321" t="s">
        <v>99</v>
      </c>
      <c r="O1321" s="27">
        <v>586000</v>
      </c>
      <c r="P1321">
        <v>4</v>
      </c>
      <c r="Q1321" t="s">
        <v>164</v>
      </c>
      <c r="R1321">
        <v>4</v>
      </c>
      <c r="S1321" t="s">
        <v>237</v>
      </c>
      <c r="T1321" t="str">
        <f>IF(COUNTIF($A$2:A1321,A1321)&gt;1,"Duplicate","Unique")</f>
        <v>Unique</v>
      </c>
    </row>
    <row r="1322" spans="1:20" x14ac:dyDescent="0.45">
      <c r="A1322" t="s">
        <v>1328</v>
      </c>
      <c r="B1322" t="s">
        <v>3730</v>
      </c>
      <c r="C1322" t="s">
        <v>55</v>
      </c>
      <c r="D1322" t="s">
        <v>54</v>
      </c>
      <c r="E1322" t="s">
        <v>277</v>
      </c>
      <c r="F1322" t="s">
        <v>81</v>
      </c>
      <c r="G1322" t="s">
        <v>278</v>
      </c>
      <c r="H1322" t="s">
        <v>108</v>
      </c>
      <c r="I1322" t="s">
        <v>107</v>
      </c>
      <c r="J1322" t="s">
        <v>2589</v>
      </c>
      <c r="K1322" t="s">
        <v>187</v>
      </c>
      <c r="L1322" t="s">
        <v>3731</v>
      </c>
      <c r="M1322" t="s">
        <v>269</v>
      </c>
      <c r="N1322" t="s">
        <v>95</v>
      </c>
      <c r="O1322" s="27">
        <v>707000</v>
      </c>
      <c r="P1322">
        <v>3</v>
      </c>
      <c r="Q1322" t="s">
        <v>2624</v>
      </c>
      <c r="R1322">
        <v>69</v>
      </c>
      <c r="S1322" t="s">
        <v>173</v>
      </c>
      <c r="T1322" t="str">
        <f>IF(COUNTIF($A$2:A1322,A1322)&gt;1,"Duplicate","Unique")</f>
        <v>Unique</v>
      </c>
    </row>
    <row r="1323" spans="1:20" x14ac:dyDescent="0.45">
      <c r="A1323" t="s">
        <v>2158</v>
      </c>
      <c r="B1323" t="s">
        <v>738</v>
      </c>
      <c r="C1323" t="s">
        <v>51</v>
      </c>
      <c r="D1323" t="s">
        <v>50</v>
      </c>
      <c r="E1323" t="s">
        <v>217</v>
      </c>
      <c r="F1323" t="s">
        <v>83</v>
      </c>
      <c r="G1323" t="s">
        <v>218</v>
      </c>
      <c r="H1323" t="s">
        <v>106</v>
      </c>
      <c r="I1323" t="s">
        <v>107</v>
      </c>
      <c r="J1323" t="s">
        <v>3732</v>
      </c>
      <c r="K1323" t="s">
        <v>162</v>
      </c>
      <c r="M1323" t="s">
        <v>163</v>
      </c>
      <c r="N1323" t="s">
        <v>97</v>
      </c>
      <c r="O1323" s="27">
        <v>1572000</v>
      </c>
      <c r="P1323">
        <v>5</v>
      </c>
      <c r="Q1323" t="s">
        <v>172</v>
      </c>
      <c r="R1323">
        <v>31</v>
      </c>
      <c r="S1323" t="s">
        <v>244</v>
      </c>
      <c r="T1323" t="str">
        <f>IF(COUNTIF($A$2:A1323,A1323)&gt;1,"Duplicate","Unique")</f>
        <v>Unique</v>
      </c>
    </row>
    <row r="1324" spans="1:20" x14ac:dyDescent="0.45">
      <c r="A1324" t="s">
        <v>2069</v>
      </c>
      <c r="B1324" t="s">
        <v>2070</v>
      </c>
      <c r="C1324" t="s">
        <v>51</v>
      </c>
      <c r="D1324" t="s">
        <v>50</v>
      </c>
      <c r="E1324" t="s">
        <v>176</v>
      </c>
      <c r="F1324" t="s">
        <v>82</v>
      </c>
      <c r="G1324" t="s">
        <v>177</v>
      </c>
      <c r="H1324" t="s">
        <v>106</v>
      </c>
      <c r="I1324" t="s">
        <v>107</v>
      </c>
      <c r="J1324" t="s">
        <v>2864</v>
      </c>
      <c r="K1324" t="s">
        <v>162</v>
      </c>
      <c r="M1324" t="s">
        <v>163</v>
      </c>
      <c r="N1324" t="s">
        <v>99</v>
      </c>
      <c r="O1324" s="27">
        <v>1097000</v>
      </c>
      <c r="P1324">
        <v>5</v>
      </c>
      <c r="Q1324" t="s">
        <v>172</v>
      </c>
      <c r="S1324" t="s">
        <v>219</v>
      </c>
      <c r="T1324" t="str">
        <f>IF(COUNTIF($A$2:A1324,A1324)&gt;1,"Duplicate","Unique")</f>
        <v>Unique</v>
      </c>
    </row>
    <row r="1325" spans="1:20" x14ac:dyDescent="0.45">
      <c r="A1325" t="s">
        <v>1509</v>
      </c>
      <c r="B1325" t="s">
        <v>3733</v>
      </c>
      <c r="C1325" t="s">
        <v>55</v>
      </c>
      <c r="D1325" t="s">
        <v>54</v>
      </c>
      <c r="E1325" t="s">
        <v>277</v>
      </c>
      <c r="F1325" t="s">
        <v>81</v>
      </c>
      <c r="G1325" t="s">
        <v>278</v>
      </c>
      <c r="H1325" t="s">
        <v>111</v>
      </c>
      <c r="I1325" t="s">
        <v>110</v>
      </c>
      <c r="J1325" t="s">
        <v>3734</v>
      </c>
      <c r="K1325" t="s">
        <v>162</v>
      </c>
      <c r="M1325" t="s">
        <v>163</v>
      </c>
      <c r="N1325" t="s">
        <v>96</v>
      </c>
      <c r="O1325" s="27">
        <v>613000</v>
      </c>
      <c r="P1325">
        <v>3</v>
      </c>
      <c r="Q1325" t="s">
        <v>172</v>
      </c>
      <c r="S1325" t="s">
        <v>173</v>
      </c>
      <c r="T1325" t="str">
        <f>IF(COUNTIF($A$2:A1325,A1325)&gt;1,"Duplicate","Unique")</f>
        <v>Unique</v>
      </c>
    </row>
    <row r="1326" spans="1:20" x14ac:dyDescent="0.45">
      <c r="A1326" t="s">
        <v>1121</v>
      </c>
      <c r="B1326" t="s">
        <v>1122</v>
      </c>
      <c r="C1326" t="s">
        <v>51</v>
      </c>
      <c r="D1326" t="s">
        <v>50</v>
      </c>
      <c r="E1326" t="s">
        <v>181</v>
      </c>
      <c r="F1326" t="s">
        <v>81</v>
      </c>
      <c r="G1326" t="s">
        <v>182</v>
      </c>
      <c r="H1326" t="s">
        <v>2580</v>
      </c>
      <c r="I1326" t="s">
        <v>110</v>
      </c>
      <c r="J1326" t="s">
        <v>3137</v>
      </c>
      <c r="K1326" t="s">
        <v>162</v>
      </c>
      <c r="M1326" t="s">
        <v>163</v>
      </c>
      <c r="N1326" t="s">
        <v>99</v>
      </c>
      <c r="O1326" s="27">
        <v>596000</v>
      </c>
      <c r="P1326">
        <v>3</v>
      </c>
      <c r="Q1326" t="s">
        <v>164</v>
      </c>
      <c r="R1326">
        <v>33</v>
      </c>
      <c r="S1326" t="s">
        <v>197</v>
      </c>
      <c r="T1326" t="str">
        <f>IF(COUNTIF($A$2:A1326,A1326)&gt;1,"Duplicate","Unique")</f>
        <v>Unique</v>
      </c>
    </row>
    <row r="1327" spans="1:20" x14ac:dyDescent="0.45">
      <c r="A1327" t="s">
        <v>785</v>
      </c>
      <c r="B1327" t="s">
        <v>786</v>
      </c>
      <c r="C1327" t="s">
        <v>61</v>
      </c>
      <c r="D1327" t="s">
        <v>60</v>
      </c>
      <c r="E1327" t="s">
        <v>484</v>
      </c>
      <c r="F1327" t="s">
        <v>83</v>
      </c>
      <c r="G1327" t="s">
        <v>485</v>
      </c>
      <c r="H1327" t="s">
        <v>111</v>
      </c>
      <c r="I1327" t="s">
        <v>110</v>
      </c>
      <c r="J1327" t="s">
        <v>3735</v>
      </c>
      <c r="K1327" t="s">
        <v>162</v>
      </c>
      <c r="M1327" t="s">
        <v>163</v>
      </c>
      <c r="N1327" t="s">
        <v>99</v>
      </c>
      <c r="O1327" s="27">
        <v>1735000</v>
      </c>
      <c r="P1327">
        <v>3</v>
      </c>
      <c r="Q1327" t="s">
        <v>164</v>
      </c>
      <c r="R1327">
        <v>37</v>
      </c>
      <c r="S1327" t="s">
        <v>253</v>
      </c>
      <c r="T1327" t="str">
        <f>IF(COUNTIF($A$2:A1327,A1327)&gt;1,"Duplicate","Unique")</f>
        <v>Unique</v>
      </c>
    </row>
    <row r="1328" spans="1:20" x14ac:dyDescent="0.45">
      <c r="A1328" t="s">
        <v>2224</v>
      </c>
      <c r="B1328" t="s">
        <v>804</v>
      </c>
      <c r="C1328" t="s">
        <v>53</v>
      </c>
      <c r="D1328" t="s">
        <v>52</v>
      </c>
      <c r="E1328" t="s">
        <v>322</v>
      </c>
      <c r="F1328" t="s">
        <v>81</v>
      </c>
      <c r="G1328" t="s">
        <v>323</v>
      </c>
      <c r="H1328" t="s">
        <v>108</v>
      </c>
      <c r="I1328" t="s">
        <v>107</v>
      </c>
      <c r="J1328" t="s">
        <v>3736</v>
      </c>
      <c r="K1328" t="s">
        <v>162</v>
      </c>
      <c r="M1328" t="s">
        <v>163</v>
      </c>
      <c r="N1328" t="s">
        <v>99</v>
      </c>
      <c r="O1328" s="27">
        <v>835000</v>
      </c>
      <c r="P1328">
        <v>1</v>
      </c>
      <c r="Q1328" t="s">
        <v>164</v>
      </c>
      <c r="R1328">
        <v>37</v>
      </c>
      <c r="S1328" t="s">
        <v>189</v>
      </c>
      <c r="T1328" t="str">
        <f>IF(COUNTIF($A$2:A1328,A1328)&gt;1,"Duplicate","Unique")</f>
        <v>Unique</v>
      </c>
    </row>
    <row r="1329" spans="1:20" x14ac:dyDescent="0.45">
      <c r="A1329" t="s">
        <v>1022</v>
      </c>
      <c r="B1329" t="s">
        <v>889</v>
      </c>
      <c r="C1329" t="s">
        <v>59</v>
      </c>
      <c r="D1329" t="s">
        <v>58</v>
      </c>
      <c r="E1329" t="s">
        <v>287</v>
      </c>
      <c r="F1329" t="s">
        <v>83</v>
      </c>
      <c r="G1329" t="s">
        <v>288</v>
      </c>
      <c r="H1329" t="s">
        <v>109</v>
      </c>
      <c r="I1329" t="s">
        <v>110</v>
      </c>
      <c r="J1329" t="s">
        <v>3196</v>
      </c>
      <c r="K1329" t="s">
        <v>162</v>
      </c>
      <c r="M1329" t="s">
        <v>163</v>
      </c>
      <c r="N1329" t="s">
        <v>96</v>
      </c>
      <c r="O1329" s="27">
        <v>1362000</v>
      </c>
      <c r="P1329">
        <v>3</v>
      </c>
      <c r="Q1329" t="s">
        <v>172</v>
      </c>
      <c r="R1329">
        <v>44</v>
      </c>
      <c r="S1329" t="s">
        <v>214</v>
      </c>
      <c r="T1329" t="str">
        <f>IF(COUNTIF($A$2:A1329,A1329)&gt;1,"Duplicate","Unique")</f>
        <v>Unique</v>
      </c>
    </row>
    <row r="1330" spans="1:20" x14ac:dyDescent="0.45">
      <c r="A1330" t="s">
        <v>906</v>
      </c>
      <c r="B1330" t="s">
        <v>3737</v>
      </c>
      <c r="C1330" t="s">
        <v>51</v>
      </c>
      <c r="D1330" t="s">
        <v>50</v>
      </c>
      <c r="E1330" t="s">
        <v>181</v>
      </c>
      <c r="F1330" t="s">
        <v>81</v>
      </c>
      <c r="G1330" t="s">
        <v>182</v>
      </c>
      <c r="H1330" t="s">
        <v>106</v>
      </c>
      <c r="I1330" t="s">
        <v>107</v>
      </c>
      <c r="J1330" t="s">
        <v>3738</v>
      </c>
      <c r="K1330" t="s">
        <v>162</v>
      </c>
      <c r="M1330" t="s">
        <v>163</v>
      </c>
      <c r="N1330" t="s">
        <v>97</v>
      </c>
      <c r="O1330" s="27">
        <v>630000</v>
      </c>
      <c r="P1330">
        <v>2</v>
      </c>
      <c r="Q1330" t="s">
        <v>164</v>
      </c>
      <c r="R1330">
        <v>25</v>
      </c>
      <c r="S1330" t="s">
        <v>244</v>
      </c>
      <c r="T1330" t="str">
        <f>IF(COUNTIF($A$2:A1330,A1330)&gt;1,"Duplicate","Unique")</f>
        <v>Unique</v>
      </c>
    </row>
    <row r="1331" spans="1:20" x14ac:dyDescent="0.45">
      <c r="A1331" t="s">
        <v>2161</v>
      </c>
      <c r="B1331" t="s">
        <v>440</v>
      </c>
      <c r="C1331" t="s">
        <v>55</v>
      </c>
      <c r="D1331" t="s">
        <v>54</v>
      </c>
      <c r="E1331" t="s">
        <v>277</v>
      </c>
      <c r="F1331" t="s">
        <v>81</v>
      </c>
      <c r="G1331" t="s">
        <v>278</v>
      </c>
      <c r="H1331" t="s">
        <v>112</v>
      </c>
      <c r="I1331" t="s">
        <v>113</v>
      </c>
      <c r="J1331" t="s">
        <v>3739</v>
      </c>
      <c r="K1331" t="s">
        <v>162</v>
      </c>
      <c r="M1331" t="s">
        <v>163</v>
      </c>
      <c r="N1331" t="s">
        <v>96</v>
      </c>
      <c r="O1331" s="27">
        <v>679000</v>
      </c>
      <c r="P1331">
        <v>3</v>
      </c>
      <c r="Q1331" t="s">
        <v>172</v>
      </c>
      <c r="R1331">
        <v>45</v>
      </c>
      <c r="S1331" t="s">
        <v>173</v>
      </c>
      <c r="T1331" t="str">
        <f>IF(COUNTIF($A$2:A1331,A1331)&gt;1,"Duplicate","Unique")</f>
        <v>Unique</v>
      </c>
    </row>
    <row r="1332" spans="1:20" x14ac:dyDescent="0.45">
      <c r="A1332" t="s">
        <v>426</v>
      </c>
      <c r="B1332" t="s">
        <v>3740</v>
      </c>
      <c r="C1332" t="s">
        <v>53</v>
      </c>
      <c r="D1332" t="s">
        <v>52</v>
      </c>
      <c r="E1332" t="s">
        <v>192</v>
      </c>
      <c r="F1332" t="s">
        <v>83</v>
      </c>
      <c r="G1332" t="s">
        <v>193</v>
      </c>
      <c r="H1332" t="s">
        <v>106</v>
      </c>
      <c r="I1332" t="s">
        <v>107</v>
      </c>
      <c r="J1332" t="s">
        <v>3741</v>
      </c>
      <c r="K1332" t="s">
        <v>162</v>
      </c>
      <c r="M1332" t="s">
        <v>163</v>
      </c>
      <c r="N1332" t="s">
        <v>95</v>
      </c>
      <c r="O1332" s="27">
        <v>1899000</v>
      </c>
      <c r="P1332">
        <v>5</v>
      </c>
      <c r="Q1332" t="s">
        <v>164</v>
      </c>
      <c r="R1332">
        <v>31</v>
      </c>
      <c r="S1332" t="s">
        <v>189</v>
      </c>
      <c r="T1332" t="str">
        <f>IF(COUNTIF($A$2:A1332,A1332)&gt;1,"Duplicate","Unique")</f>
        <v>Unique</v>
      </c>
    </row>
    <row r="1333" spans="1:20" x14ac:dyDescent="0.45">
      <c r="A1333" t="s">
        <v>247</v>
      </c>
      <c r="B1333" t="s">
        <v>248</v>
      </c>
      <c r="C1333" t="s">
        <v>55</v>
      </c>
      <c r="D1333" t="s">
        <v>54</v>
      </c>
      <c r="E1333" t="s">
        <v>240</v>
      </c>
      <c r="F1333" t="s">
        <v>83</v>
      </c>
      <c r="G1333" t="s">
        <v>241</v>
      </c>
      <c r="H1333" t="s">
        <v>108</v>
      </c>
      <c r="I1333" t="s">
        <v>107</v>
      </c>
      <c r="J1333" t="s">
        <v>3742</v>
      </c>
      <c r="K1333" t="s">
        <v>162</v>
      </c>
      <c r="M1333" t="s">
        <v>163</v>
      </c>
      <c r="N1333" t="s">
        <v>99</v>
      </c>
      <c r="O1333" s="27">
        <v>1806000</v>
      </c>
      <c r="P1333">
        <v>4</v>
      </c>
      <c r="Q1333" t="s">
        <v>172</v>
      </c>
      <c r="S1333" t="s">
        <v>173</v>
      </c>
      <c r="T1333" t="str">
        <f>IF(COUNTIF($A$2:A1333,A1333)&gt;1,"Duplicate","Unique")</f>
        <v>Unique</v>
      </c>
    </row>
    <row r="1334" spans="1:20" x14ac:dyDescent="0.45">
      <c r="A1334" t="s">
        <v>997</v>
      </c>
      <c r="B1334" t="s">
        <v>531</v>
      </c>
      <c r="C1334" t="s">
        <v>57</v>
      </c>
      <c r="D1334" t="s">
        <v>56</v>
      </c>
      <c r="E1334" t="s">
        <v>391</v>
      </c>
      <c r="F1334" t="s">
        <v>83</v>
      </c>
      <c r="G1334" t="s">
        <v>392</v>
      </c>
      <c r="H1334" t="s">
        <v>108</v>
      </c>
      <c r="I1334" t="s">
        <v>107</v>
      </c>
      <c r="J1334" t="s">
        <v>3335</v>
      </c>
      <c r="K1334" t="s">
        <v>162</v>
      </c>
      <c r="M1334" t="s">
        <v>163</v>
      </c>
      <c r="N1334" t="s">
        <v>96</v>
      </c>
      <c r="O1334" s="27">
        <v>2021000</v>
      </c>
      <c r="P1334">
        <v>3</v>
      </c>
      <c r="Q1334" t="s">
        <v>172</v>
      </c>
      <c r="R1334">
        <v>4</v>
      </c>
      <c r="S1334" t="s">
        <v>224</v>
      </c>
      <c r="T1334" t="str">
        <f>IF(COUNTIF($A$2:A1334,A1334)&gt;1,"Duplicate","Unique")</f>
        <v>Unique</v>
      </c>
    </row>
    <row r="1335" spans="1:20" x14ac:dyDescent="0.45">
      <c r="A1335" t="s">
        <v>270</v>
      </c>
      <c r="B1335" t="s">
        <v>271</v>
      </c>
      <c r="C1335" t="s">
        <v>59</v>
      </c>
      <c r="D1335" t="s">
        <v>58</v>
      </c>
      <c r="E1335" t="s">
        <v>211</v>
      </c>
      <c r="F1335" t="s">
        <v>82</v>
      </c>
      <c r="G1335" t="s">
        <v>212</v>
      </c>
      <c r="H1335" t="s">
        <v>106</v>
      </c>
      <c r="I1335" t="s">
        <v>107</v>
      </c>
      <c r="J1335" t="s">
        <v>3743</v>
      </c>
      <c r="K1335" t="s">
        <v>162</v>
      </c>
      <c r="M1335" t="s">
        <v>163</v>
      </c>
      <c r="N1335" t="s">
        <v>99</v>
      </c>
      <c r="O1335" s="27">
        <v>1200000</v>
      </c>
      <c r="P1335">
        <v>3</v>
      </c>
      <c r="Q1335" t="s">
        <v>164</v>
      </c>
      <c r="R1335">
        <v>21</v>
      </c>
      <c r="S1335" t="s">
        <v>208</v>
      </c>
      <c r="T1335" t="str">
        <f>IF(COUNTIF($A$2:A1335,A1335)&gt;1,"Duplicate","Unique")</f>
        <v>Unique</v>
      </c>
    </row>
    <row r="1336" spans="1:20" x14ac:dyDescent="0.45">
      <c r="A1336" t="s">
        <v>2091</v>
      </c>
      <c r="B1336" t="s">
        <v>2092</v>
      </c>
      <c r="C1336" t="s">
        <v>51</v>
      </c>
      <c r="D1336" t="s">
        <v>50</v>
      </c>
      <c r="E1336" t="s">
        <v>181</v>
      </c>
      <c r="F1336" t="s">
        <v>81</v>
      </c>
      <c r="G1336" t="s">
        <v>182</v>
      </c>
      <c r="H1336" t="s">
        <v>109</v>
      </c>
      <c r="I1336" t="s">
        <v>110</v>
      </c>
      <c r="J1336" t="s">
        <v>3057</v>
      </c>
      <c r="K1336" t="s">
        <v>162</v>
      </c>
      <c r="M1336" t="s">
        <v>163</v>
      </c>
      <c r="N1336" t="s">
        <v>98</v>
      </c>
      <c r="O1336" s="27">
        <v>630000</v>
      </c>
      <c r="P1336">
        <v>3</v>
      </c>
      <c r="Q1336" t="s">
        <v>164</v>
      </c>
      <c r="R1336">
        <v>42</v>
      </c>
      <c r="S1336" t="s">
        <v>219</v>
      </c>
      <c r="T1336" t="str">
        <f>IF(COUNTIF($A$2:A1336,A1336)&gt;1,"Duplicate","Unique")</f>
        <v>Unique</v>
      </c>
    </row>
    <row r="1337" spans="1:20" x14ac:dyDescent="0.45">
      <c r="A1337" t="s">
        <v>1374</v>
      </c>
      <c r="B1337" t="s">
        <v>1375</v>
      </c>
      <c r="C1337" t="s">
        <v>51</v>
      </c>
      <c r="D1337" t="s">
        <v>50</v>
      </c>
      <c r="E1337" t="s">
        <v>328</v>
      </c>
      <c r="F1337" t="s">
        <v>85</v>
      </c>
      <c r="G1337" t="s">
        <v>329</v>
      </c>
      <c r="H1337" t="s">
        <v>106</v>
      </c>
      <c r="I1337" t="s">
        <v>107</v>
      </c>
      <c r="J1337" t="s">
        <v>2834</v>
      </c>
      <c r="K1337" t="s">
        <v>162</v>
      </c>
      <c r="M1337" t="s">
        <v>163</v>
      </c>
      <c r="N1337" t="s">
        <v>97</v>
      </c>
      <c r="O1337" s="27">
        <v>3406000</v>
      </c>
      <c r="P1337">
        <v>2</v>
      </c>
      <c r="Q1337" t="s">
        <v>164</v>
      </c>
      <c r="S1337" t="s">
        <v>197</v>
      </c>
      <c r="T1337" t="str">
        <f>IF(COUNTIF($A$2:A1337,A1337)&gt;1,"Duplicate","Unique")</f>
        <v>Unique</v>
      </c>
    </row>
    <row r="1338" spans="1:20" x14ac:dyDescent="0.45">
      <c r="A1338" t="s">
        <v>1734</v>
      </c>
      <c r="B1338" t="s">
        <v>1553</v>
      </c>
      <c r="C1338" t="s">
        <v>57</v>
      </c>
      <c r="D1338" t="s">
        <v>56</v>
      </c>
      <c r="E1338" t="s">
        <v>222</v>
      </c>
      <c r="F1338" t="s">
        <v>82</v>
      </c>
      <c r="G1338" t="s">
        <v>223</v>
      </c>
      <c r="H1338" t="s">
        <v>108</v>
      </c>
      <c r="I1338" t="s">
        <v>107</v>
      </c>
      <c r="J1338" t="s">
        <v>3744</v>
      </c>
      <c r="K1338" t="s">
        <v>170</v>
      </c>
      <c r="L1338" t="s">
        <v>3745</v>
      </c>
      <c r="M1338" t="s">
        <v>171</v>
      </c>
      <c r="N1338" t="s">
        <v>95</v>
      </c>
      <c r="O1338" s="27">
        <v>1191000</v>
      </c>
      <c r="P1338">
        <v>1</v>
      </c>
      <c r="Q1338" t="s">
        <v>172</v>
      </c>
      <c r="R1338">
        <v>40</v>
      </c>
      <c r="S1338" t="s">
        <v>165</v>
      </c>
      <c r="T1338" t="str">
        <f>IF(COUNTIF($A$2:A1338,A1338)&gt;1,"Duplicate","Unique")</f>
        <v>Unique</v>
      </c>
    </row>
    <row r="1339" spans="1:20" x14ac:dyDescent="0.45">
      <c r="A1339" t="s">
        <v>1133</v>
      </c>
      <c r="B1339" t="s">
        <v>1134</v>
      </c>
      <c r="C1339" t="s">
        <v>59</v>
      </c>
      <c r="D1339" t="s">
        <v>58</v>
      </c>
      <c r="E1339" t="s">
        <v>206</v>
      </c>
      <c r="F1339" t="s">
        <v>81</v>
      </c>
      <c r="G1339" t="s">
        <v>207</v>
      </c>
      <c r="H1339" t="s">
        <v>106</v>
      </c>
      <c r="I1339" t="s">
        <v>107</v>
      </c>
      <c r="J1339" t="s">
        <v>2975</v>
      </c>
      <c r="K1339" t="s">
        <v>187</v>
      </c>
      <c r="L1339" t="s">
        <v>3488</v>
      </c>
      <c r="M1339" t="s">
        <v>308</v>
      </c>
      <c r="N1339" t="s">
        <v>97</v>
      </c>
      <c r="O1339" s="27">
        <v>629000</v>
      </c>
      <c r="P1339">
        <v>4</v>
      </c>
      <c r="Q1339" t="s">
        <v>172</v>
      </c>
      <c r="R1339">
        <v>45</v>
      </c>
      <c r="S1339" t="s">
        <v>214</v>
      </c>
      <c r="T1339" t="str">
        <f>IF(COUNTIF($A$2:A1339,A1339)&gt;1,"Duplicate","Unique")</f>
        <v>Unique</v>
      </c>
    </row>
    <row r="1340" spans="1:20" x14ac:dyDescent="0.45">
      <c r="A1340" t="s">
        <v>862</v>
      </c>
      <c r="B1340" t="s">
        <v>863</v>
      </c>
      <c r="C1340" t="s">
        <v>53</v>
      </c>
      <c r="D1340" t="s">
        <v>52</v>
      </c>
      <c r="E1340" t="s">
        <v>185</v>
      </c>
      <c r="F1340" t="s">
        <v>82</v>
      </c>
      <c r="G1340" t="s">
        <v>186</v>
      </c>
      <c r="H1340" t="s">
        <v>109</v>
      </c>
      <c r="I1340" t="s">
        <v>110</v>
      </c>
      <c r="J1340" t="s">
        <v>3431</v>
      </c>
      <c r="K1340" t="s">
        <v>187</v>
      </c>
      <c r="L1340" t="s">
        <v>3746</v>
      </c>
      <c r="M1340" t="s">
        <v>282</v>
      </c>
      <c r="N1340" t="s">
        <v>99</v>
      </c>
      <c r="O1340" s="27">
        <v>974000</v>
      </c>
      <c r="P1340">
        <v>5</v>
      </c>
      <c r="Q1340" t="s">
        <v>172</v>
      </c>
      <c r="R1340">
        <v>38</v>
      </c>
      <c r="S1340" t="s">
        <v>189</v>
      </c>
      <c r="T1340" t="str">
        <f>IF(COUNTIF($A$2:A1340,A1340)&gt;1,"Duplicate","Unique")</f>
        <v>Unique</v>
      </c>
    </row>
    <row r="1341" spans="1:20" x14ac:dyDescent="0.45">
      <c r="A1341" t="s">
        <v>1071</v>
      </c>
      <c r="B1341" t="s">
        <v>266</v>
      </c>
      <c r="C1341" t="s">
        <v>59</v>
      </c>
      <c r="D1341" t="s">
        <v>58</v>
      </c>
      <c r="E1341" t="s">
        <v>206</v>
      </c>
      <c r="F1341" t="s">
        <v>81</v>
      </c>
      <c r="G1341" t="s">
        <v>207</v>
      </c>
      <c r="H1341" t="s">
        <v>106</v>
      </c>
      <c r="I1341" t="s">
        <v>107</v>
      </c>
      <c r="J1341" t="s">
        <v>3240</v>
      </c>
      <c r="K1341" t="s">
        <v>162</v>
      </c>
      <c r="M1341" t="s">
        <v>163</v>
      </c>
      <c r="N1341" t="s">
        <v>99</v>
      </c>
      <c r="O1341" s="27">
        <v>641000</v>
      </c>
      <c r="P1341">
        <v>2</v>
      </c>
      <c r="Q1341" t="s">
        <v>172</v>
      </c>
      <c r="R1341">
        <v>22</v>
      </c>
      <c r="S1341" t="s">
        <v>208</v>
      </c>
      <c r="T1341" t="str">
        <f>IF(COUNTIF($A$2:A1341,A1341)&gt;1,"Duplicate","Unique")</f>
        <v>Unique</v>
      </c>
    </row>
    <row r="1342" spans="1:20" x14ac:dyDescent="0.45">
      <c r="A1342" t="s">
        <v>539</v>
      </c>
      <c r="B1342" t="s">
        <v>3747</v>
      </c>
      <c r="C1342" t="s">
        <v>51</v>
      </c>
      <c r="D1342" t="s">
        <v>50</v>
      </c>
      <c r="E1342" t="s">
        <v>181</v>
      </c>
      <c r="F1342" t="s">
        <v>81</v>
      </c>
      <c r="G1342" t="s">
        <v>182</v>
      </c>
      <c r="H1342" t="s">
        <v>109</v>
      </c>
      <c r="I1342" t="s">
        <v>110</v>
      </c>
      <c r="J1342" t="s">
        <v>3748</v>
      </c>
      <c r="K1342" t="s">
        <v>162</v>
      </c>
      <c r="M1342" t="s">
        <v>163</v>
      </c>
      <c r="N1342" t="s">
        <v>99</v>
      </c>
      <c r="O1342" s="27">
        <v>626000</v>
      </c>
      <c r="P1342">
        <v>2</v>
      </c>
      <c r="Q1342" t="s">
        <v>2584</v>
      </c>
      <c r="R1342">
        <v>24</v>
      </c>
      <c r="S1342" t="s">
        <v>197</v>
      </c>
      <c r="T1342" t="str">
        <f>IF(COUNTIF($A$2:A1342,A1342)&gt;1,"Duplicate","Unique")</f>
        <v>Unique</v>
      </c>
    </row>
    <row r="1343" spans="1:20" x14ac:dyDescent="0.45">
      <c r="A1343" t="s">
        <v>2280</v>
      </c>
      <c r="B1343" t="s">
        <v>548</v>
      </c>
      <c r="C1343" t="s">
        <v>51</v>
      </c>
      <c r="D1343" t="s">
        <v>50</v>
      </c>
      <c r="E1343" t="s">
        <v>217</v>
      </c>
      <c r="F1343" t="s">
        <v>83</v>
      </c>
      <c r="G1343" t="s">
        <v>218</v>
      </c>
      <c r="H1343" t="s">
        <v>106</v>
      </c>
      <c r="I1343" t="s">
        <v>107</v>
      </c>
      <c r="J1343" t="s">
        <v>2570</v>
      </c>
      <c r="K1343" t="s">
        <v>162</v>
      </c>
      <c r="M1343" t="s">
        <v>163</v>
      </c>
      <c r="N1343" t="s">
        <v>99</v>
      </c>
      <c r="O1343" s="27">
        <v>1999000</v>
      </c>
      <c r="Q1343" t="s">
        <v>164</v>
      </c>
      <c r="R1343">
        <v>25</v>
      </c>
      <c r="S1343" t="s">
        <v>197</v>
      </c>
      <c r="T1343" t="str">
        <f>IF(COUNTIF($A$2:A1343,A1343)&gt;1,"Duplicate","Unique")</f>
        <v>Unique</v>
      </c>
    </row>
    <row r="1344" spans="1:20" x14ac:dyDescent="0.45">
      <c r="A1344" t="s">
        <v>1716</v>
      </c>
      <c r="B1344" t="s">
        <v>205</v>
      </c>
      <c r="C1344" t="s">
        <v>51</v>
      </c>
      <c r="D1344" t="s">
        <v>50</v>
      </c>
      <c r="E1344" t="s">
        <v>217</v>
      </c>
      <c r="F1344" t="s">
        <v>83</v>
      </c>
      <c r="G1344" t="s">
        <v>218</v>
      </c>
      <c r="H1344" t="s">
        <v>108</v>
      </c>
      <c r="I1344" t="s">
        <v>107</v>
      </c>
      <c r="J1344" t="s">
        <v>3749</v>
      </c>
      <c r="K1344" t="s">
        <v>162</v>
      </c>
      <c r="M1344" t="s">
        <v>163</v>
      </c>
      <c r="N1344" t="s">
        <v>96</v>
      </c>
      <c r="O1344" s="27">
        <v>1366000</v>
      </c>
      <c r="P1344">
        <v>4</v>
      </c>
      <c r="Q1344" t="s">
        <v>164</v>
      </c>
      <c r="R1344">
        <v>27</v>
      </c>
      <c r="S1344" t="s">
        <v>197</v>
      </c>
      <c r="T1344" t="str">
        <f>IF(COUNTIF($A$2:A1344,A1344)&gt;1,"Duplicate","Unique")</f>
        <v>Unique</v>
      </c>
    </row>
    <row r="1345" spans="1:20" x14ac:dyDescent="0.45">
      <c r="A1345" t="s">
        <v>1620</v>
      </c>
      <c r="B1345" t="s">
        <v>1284</v>
      </c>
      <c r="C1345" t="s">
        <v>51</v>
      </c>
      <c r="D1345" t="s">
        <v>50</v>
      </c>
      <c r="E1345" t="s">
        <v>181</v>
      </c>
      <c r="F1345" t="s">
        <v>81</v>
      </c>
      <c r="G1345" t="s">
        <v>182</v>
      </c>
      <c r="H1345" t="s">
        <v>106</v>
      </c>
      <c r="I1345" t="s">
        <v>107</v>
      </c>
      <c r="J1345" t="s">
        <v>3750</v>
      </c>
      <c r="K1345" t="s">
        <v>162</v>
      </c>
      <c r="M1345" t="s">
        <v>163</v>
      </c>
      <c r="N1345" t="s">
        <v>95</v>
      </c>
      <c r="O1345" s="27">
        <v>772000</v>
      </c>
      <c r="P1345">
        <v>3</v>
      </c>
      <c r="Q1345" t="s">
        <v>172</v>
      </c>
      <c r="R1345">
        <v>62</v>
      </c>
      <c r="S1345" t="s">
        <v>197</v>
      </c>
      <c r="T1345" t="str">
        <f>IF(COUNTIF($A$2:A1345,A1345)&gt;1,"Duplicate","Unique")</f>
        <v>Unique</v>
      </c>
    </row>
    <row r="1346" spans="1:20" x14ac:dyDescent="0.45">
      <c r="A1346" t="s">
        <v>1506</v>
      </c>
      <c r="B1346" t="s">
        <v>505</v>
      </c>
      <c r="C1346" t="s">
        <v>51</v>
      </c>
      <c r="D1346" t="s">
        <v>50</v>
      </c>
      <c r="E1346" t="s">
        <v>176</v>
      </c>
      <c r="F1346" t="s">
        <v>82</v>
      </c>
      <c r="G1346" t="s">
        <v>177</v>
      </c>
      <c r="H1346" t="s">
        <v>111</v>
      </c>
      <c r="I1346" t="s">
        <v>110</v>
      </c>
      <c r="J1346" t="s">
        <v>3555</v>
      </c>
      <c r="K1346" t="s">
        <v>162</v>
      </c>
      <c r="M1346" t="s">
        <v>163</v>
      </c>
      <c r="N1346" t="s">
        <v>99</v>
      </c>
      <c r="O1346" s="27">
        <v>1333000</v>
      </c>
      <c r="P1346">
        <v>4</v>
      </c>
      <c r="Q1346" t="s">
        <v>164</v>
      </c>
      <c r="R1346">
        <v>37</v>
      </c>
      <c r="S1346" t="s">
        <v>178</v>
      </c>
      <c r="T1346" t="str">
        <f>IF(COUNTIF($A$2:A1346,A1346)&gt;1,"Duplicate","Unique")</f>
        <v>Unique</v>
      </c>
    </row>
    <row r="1347" spans="1:20" x14ac:dyDescent="0.45">
      <c r="A1347" t="s">
        <v>733</v>
      </c>
      <c r="B1347" t="s">
        <v>734</v>
      </c>
      <c r="C1347" t="s">
        <v>61</v>
      </c>
      <c r="D1347" t="s">
        <v>2510</v>
      </c>
      <c r="E1347" t="s">
        <v>356</v>
      </c>
      <c r="F1347" t="s">
        <v>81</v>
      </c>
      <c r="G1347" t="s">
        <v>357</v>
      </c>
      <c r="H1347" t="s">
        <v>111</v>
      </c>
      <c r="I1347" t="s">
        <v>110</v>
      </c>
      <c r="J1347" t="s">
        <v>3751</v>
      </c>
      <c r="K1347" t="s">
        <v>162</v>
      </c>
      <c r="M1347" t="s">
        <v>163</v>
      </c>
      <c r="N1347" t="s">
        <v>99</v>
      </c>
      <c r="O1347" s="27">
        <v>649000</v>
      </c>
      <c r="P1347">
        <v>2</v>
      </c>
      <c r="Q1347" t="s">
        <v>172</v>
      </c>
      <c r="R1347">
        <v>39</v>
      </c>
      <c r="S1347" t="s">
        <v>319</v>
      </c>
      <c r="T1347" t="str">
        <f>IF(COUNTIF($A$2:A1347,A1347)&gt;1,"Duplicate","Unique")</f>
        <v>Unique</v>
      </c>
    </row>
    <row r="1348" spans="1:20" x14ac:dyDescent="0.45">
      <c r="A1348" t="s">
        <v>2111</v>
      </c>
      <c r="B1348" t="s">
        <v>1179</v>
      </c>
      <c r="C1348" t="s">
        <v>59</v>
      </c>
      <c r="D1348" t="s">
        <v>58</v>
      </c>
      <c r="E1348" t="s">
        <v>211</v>
      </c>
      <c r="F1348" t="s">
        <v>82</v>
      </c>
      <c r="G1348" t="s">
        <v>212</v>
      </c>
      <c r="H1348" t="s">
        <v>106</v>
      </c>
      <c r="I1348" t="s">
        <v>107</v>
      </c>
      <c r="J1348" t="s">
        <v>3752</v>
      </c>
      <c r="K1348" t="s">
        <v>162</v>
      </c>
      <c r="M1348" t="s">
        <v>163</v>
      </c>
      <c r="N1348" t="s">
        <v>99</v>
      </c>
      <c r="O1348" s="27">
        <v>1022000</v>
      </c>
      <c r="P1348">
        <v>4</v>
      </c>
      <c r="Q1348" t="s">
        <v>164</v>
      </c>
      <c r="R1348">
        <v>61</v>
      </c>
      <c r="S1348" t="s">
        <v>208</v>
      </c>
      <c r="T1348" t="str">
        <f>IF(COUNTIF($A$2:A1348,A1348)&gt;1,"Duplicate","Unique")</f>
        <v>Unique</v>
      </c>
    </row>
    <row r="1349" spans="1:20" x14ac:dyDescent="0.45">
      <c r="A1349" t="s">
        <v>1147</v>
      </c>
      <c r="B1349" t="s">
        <v>1148</v>
      </c>
      <c r="C1349" t="s">
        <v>53</v>
      </c>
      <c r="D1349" t="s">
        <v>52</v>
      </c>
      <c r="E1349" t="s">
        <v>322</v>
      </c>
      <c r="F1349" t="s">
        <v>81</v>
      </c>
      <c r="G1349" t="s">
        <v>323</v>
      </c>
      <c r="H1349" t="s">
        <v>111</v>
      </c>
      <c r="I1349" t="s">
        <v>110</v>
      </c>
      <c r="J1349" t="s">
        <v>2690</v>
      </c>
      <c r="K1349" t="s">
        <v>162</v>
      </c>
      <c r="M1349" t="s">
        <v>163</v>
      </c>
      <c r="N1349" t="s">
        <v>97</v>
      </c>
      <c r="O1349" s="27">
        <v>553000</v>
      </c>
      <c r="P1349">
        <v>3</v>
      </c>
      <c r="Q1349" t="s">
        <v>2631</v>
      </c>
      <c r="R1349">
        <v>47</v>
      </c>
      <c r="S1349" t="s">
        <v>237</v>
      </c>
      <c r="T1349" t="str">
        <f>IF(COUNTIF($A$2:A1349,A1349)&gt;1,"Duplicate","Unique")</f>
        <v>Unique</v>
      </c>
    </row>
    <row r="1350" spans="1:20" x14ac:dyDescent="0.45">
      <c r="A1350" t="s">
        <v>1485</v>
      </c>
      <c r="B1350" t="s">
        <v>1001</v>
      </c>
      <c r="C1350" t="s">
        <v>53</v>
      </c>
      <c r="D1350" t="s">
        <v>52</v>
      </c>
      <c r="E1350" t="s">
        <v>185</v>
      </c>
      <c r="F1350" t="s">
        <v>82</v>
      </c>
      <c r="G1350" t="s">
        <v>186</v>
      </c>
      <c r="H1350" t="s">
        <v>108</v>
      </c>
      <c r="I1350" t="s">
        <v>107</v>
      </c>
      <c r="J1350" t="s">
        <v>2597</v>
      </c>
      <c r="K1350" t="s">
        <v>162</v>
      </c>
      <c r="M1350" t="s">
        <v>163</v>
      </c>
      <c r="N1350" t="s">
        <v>97</v>
      </c>
      <c r="O1350" s="27">
        <v>1162000</v>
      </c>
      <c r="P1350">
        <v>3</v>
      </c>
      <c r="Q1350" t="s">
        <v>164</v>
      </c>
      <c r="R1350">
        <v>31</v>
      </c>
      <c r="S1350" t="s">
        <v>237</v>
      </c>
      <c r="T1350" t="str">
        <f>IF(COUNTIF($A$2:A1350,A1350)&gt;1,"Duplicate","Unique")</f>
        <v>Unique</v>
      </c>
    </row>
    <row r="1351" spans="1:20" x14ac:dyDescent="0.45">
      <c r="A1351" t="s">
        <v>1032</v>
      </c>
      <c r="B1351" t="s">
        <v>1033</v>
      </c>
      <c r="C1351" t="s">
        <v>55</v>
      </c>
      <c r="D1351" t="s">
        <v>54</v>
      </c>
      <c r="E1351" t="s">
        <v>229</v>
      </c>
      <c r="F1351" t="s">
        <v>82</v>
      </c>
      <c r="G1351" t="s">
        <v>230</v>
      </c>
      <c r="H1351" t="s">
        <v>109</v>
      </c>
      <c r="I1351" t="s">
        <v>110</v>
      </c>
      <c r="J1351" t="s">
        <v>2898</v>
      </c>
      <c r="K1351" t="s">
        <v>187</v>
      </c>
      <c r="L1351" t="s">
        <v>2437</v>
      </c>
      <c r="M1351" t="s">
        <v>269</v>
      </c>
      <c r="N1351" t="s">
        <v>99</v>
      </c>
      <c r="O1351" s="27">
        <v>1077000</v>
      </c>
      <c r="P1351">
        <v>3</v>
      </c>
      <c r="Q1351" t="s">
        <v>172</v>
      </c>
      <c r="R1351">
        <v>54</v>
      </c>
      <c r="S1351" t="s">
        <v>173</v>
      </c>
      <c r="T1351" t="str">
        <f>IF(COUNTIF($A$2:A1351,A1351)&gt;1,"Duplicate","Unique")</f>
        <v>Unique</v>
      </c>
    </row>
    <row r="1352" spans="1:20" x14ac:dyDescent="0.45">
      <c r="A1352" t="s">
        <v>411</v>
      </c>
      <c r="B1352" t="s">
        <v>405</v>
      </c>
      <c r="C1352" t="s">
        <v>53</v>
      </c>
      <c r="D1352" t="s">
        <v>52</v>
      </c>
      <c r="E1352" t="s">
        <v>192</v>
      </c>
      <c r="F1352" t="s">
        <v>83</v>
      </c>
      <c r="G1352" t="s">
        <v>193</v>
      </c>
      <c r="H1352" t="s">
        <v>111</v>
      </c>
      <c r="I1352" t="s">
        <v>110</v>
      </c>
      <c r="J1352" t="s">
        <v>3308</v>
      </c>
      <c r="K1352" t="s">
        <v>170</v>
      </c>
      <c r="L1352" t="s">
        <v>3309</v>
      </c>
      <c r="M1352" t="s">
        <v>171</v>
      </c>
      <c r="N1352" t="s">
        <v>97</v>
      </c>
      <c r="O1352" s="27">
        <v>1976000</v>
      </c>
      <c r="P1352">
        <v>3</v>
      </c>
      <c r="Q1352" t="s">
        <v>172</v>
      </c>
      <c r="R1352">
        <v>32</v>
      </c>
      <c r="S1352" t="s">
        <v>189</v>
      </c>
      <c r="T1352" t="str">
        <f>IF(COUNTIF($A$2:A1352,A1352)&gt;1,"Duplicate","Unique")</f>
        <v>Unique</v>
      </c>
    </row>
    <row r="1353" spans="1:20" x14ac:dyDescent="0.45">
      <c r="A1353" t="s">
        <v>1458</v>
      </c>
      <c r="B1353" t="s">
        <v>662</v>
      </c>
      <c r="C1353" t="s">
        <v>59</v>
      </c>
      <c r="D1353" t="s">
        <v>58</v>
      </c>
      <c r="E1353" t="s">
        <v>287</v>
      </c>
      <c r="F1353" t="s">
        <v>83</v>
      </c>
      <c r="G1353" t="s">
        <v>288</v>
      </c>
      <c r="H1353" t="s">
        <v>106</v>
      </c>
      <c r="I1353" t="s">
        <v>107</v>
      </c>
      <c r="J1353" t="s">
        <v>3608</v>
      </c>
      <c r="K1353" t="s">
        <v>170</v>
      </c>
      <c r="L1353" t="s">
        <v>3753</v>
      </c>
      <c r="M1353" t="s">
        <v>171</v>
      </c>
      <c r="N1353" t="s">
        <v>99</v>
      </c>
      <c r="O1353" s="27">
        <v>2097000</v>
      </c>
      <c r="P1353">
        <v>2</v>
      </c>
      <c r="Q1353" t="s">
        <v>172</v>
      </c>
      <c r="R1353">
        <v>26</v>
      </c>
      <c r="S1353" t="s">
        <v>208</v>
      </c>
      <c r="T1353" t="str">
        <f>IF(COUNTIF($A$2:A1353,A1353)&gt;1,"Duplicate","Unique")</f>
        <v>Unique</v>
      </c>
    </row>
    <row r="1354" spans="1:20" x14ac:dyDescent="0.45">
      <c r="A1354" t="s">
        <v>810</v>
      </c>
      <c r="B1354" t="s">
        <v>266</v>
      </c>
      <c r="C1354" t="s">
        <v>53</v>
      </c>
      <c r="D1354" t="s">
        <v>52</v>
      </c>
      <c r="E1354" t="s">
        <v>322</v>
      </c>
      <c r="F1354" t="s">
        <v>81</v>
      </c>
      <c r="G1354" t="s">
        <v>323</v>
      </c>
      <c r="H1354" t="s">
        <v>106</v>
      </c>
      <c r="I1354" t="s">
        <v>107</v>
      </c>
      <c r="J1354" t="s">
        <v>3754</v>
      </c>
      <c r="K1354" t="s">
        <v>170</v>
      </c>
      <c r="L1354" t="s">
        <v>3755</v>
      </c>
      <c r="M1354" t="s">
        <v>171</v>
      </c>
      <c r="N1354" t="s">
        <v>98</v>
      </c>
      <c r="O1354" s="27">
        <v>754000</v>
      </c>
      <c r="P1354">
        <v>1</v>
      </c>
      <c r="Q1354" t="s">
        <v>172</v>
      </c>
      <c r="R1354">
        <v>24</v>
      </c>
      <c r="S1354" t="s">
        <v>194</v>
      </c>
      <c r="T1354" t="str">
        <f>IF(COUNTIF($A$2:A1354,A1354)&gt;1,"Duplicate","Unique")</f>
        <v>Unique</v>
      </c>
    </row>
    <row r="1355" spans="1:20" x14ac:dyDescent="0.45">
      <c r="A1355" t="s">
        <v>1843</v>
      </c>
      <c r="B1355" t="s">
        <v>1348</v>
      </c>
      <c r="C1355" t="s">
        <v>53</v>
      </c>
      <c r="D1355" t="s">
        <v>52</v>
      </c>
      <c r="E1355" t="s">
        <v>322</v>
      </c>
      <c r="F1355" t="s">
        <v>81</v>
      </c>
      <c r="G1355" t="s">
        <v>323</v>
      </c>
      <c r="H1355" t="s">
        <v>108</v>
      </c>
      <c r="I1355" t="s">
        <v>107</v>
      </c>
      <c r="J1355" t="s">
        <v>2816</v>
      </c>
      <c r="K1355" t="s">
        <v>162</v>
      </c>
      <c r="M1355" t="s">
        <v>163</v>
      </c>
      <c r="N1355" t="s">
        <v>96</v>
      </c>
      <c r="O1355" s="27">
        <v>813000</v>
      </c>
      <c r="P1355">
        <v>3</v>
      </c>
      <c r="Q1355" t="s">
        <v>2467</v>
      </c>
      <c r="R1355">
        <v>36</v>
      </c>
      <c r="S1355" t="s">
        <v>189</v>
      </c>
      <c r="T1355" t="str">
        <f>IF(COUNTIF($A$2:A1355,A1355)&gt;1,"Duplicate","Unique")</f>
        <v>Unique</v>
      </c>
    </row>
    <row r="1356" spans="1:20" x14ac:dyDescent="0.45">
      <c r="A1356" t="s">
        <v>1836</v>
      </c>
      <c r="B1356" t="s">
        <v>1416</v>
      </c>
      <c r="C1356" t="s">
        <v>51</v>
      </c>
      <c r="D1356" t="s">
        <v>50</v>
      </c>
      <c r="E1356" t="s">
        <v>176</v>
      </c>
      <c r="F1356" t="s">
        <v>82</v>
      </c>
      <c r="G1356" t="s">
        <v>177</v>
      </c>
      <c r="H1356" t="s">
        <v>106</v>
      </c>
      <c r="I1356" t="s">
        <v>107</v>
      </c>
      <c r="J1356" t="s">
        <v>3657</v>
      </c>
      <c r="K1356" t="s">
        <v>187</v>
      </c>
      <c r="L1356" t="s">
        <v>3756</v>
      </c>
      <c r="M1356" t="s">
        <v>269</v>
      </c>
      <c r="N1356" t="s">
        <v>95</v>
      </c>
      <c r="O1356" s="27">
        <v>1001000</v>
      </c>
      <c r="P1356">
        <v>5</v>
      </c>
      <c r="Q1356" t="s">
        <v>164</v>
      </c>
      <c r="R1356">
        <v>57</v>
      </c>
      <c r="S1356" t="s">
        <v>197</v>
      </c>
      <c r="T1356" t="str">
        <f>IF(COUNTIF($A$2:A1356,A1356)&gt;1,"Duplicate","Unique")</f>
        <v>Unique</v>
      </c>
    </row>
    <row r="1357" spans="1:20" x14ac:dyDescent="0.45">
      <c r="A1357" t="s">
        <v>2222</v>
      </c>
      <c r="B1357" t="s">
        <v>3757</v>
      </c>
      <c r="C1357" t="s">
        <v>51</v>
      </c>
      <c r="D1357" t="s">
        <v>50</v>
      </c>
      <c r="E1357" t="s">
        <v>181</v>
      </c>
      <c r="F1357" t="s">
        <v>81</v>
      </c>
      <c r="G1357" t="s">
        <v>182</v>
      </c>
      <c r="H1357" t="s">
        <v>108</v>
      </c>
      <c r="I1357" t="s">
        <v>107</v>
      </c>
      <c r="J1357" t="s">
        <v>3165</v>
      </c>
      <c r="K1357" t="s">
        <v>162</v>
      </c>
      <c r="M1357" t="s">
        <v>163</v>
      </c>
      <c r="N1357" t="s">
        <v>99</v>
      </c>
      <c r="O1357" s="27">
        <v>683000</v>
      </c>
      <c r="Q1357" t="s">
        <v>172</v>
      </c>
      <c r="R1357">
        <v>40</v>
      </c>
      <c r="S1357" t="s">
        <v>244</v>
      </c>
      <c r="T1357" t="str">
        <f>IF(COUNTIF($A$2:A1357,A1357)&gt;1,"Duplicate","Unique")</f>
        <v>Unique</v>
      </c>
    </row>
    <row r="1358" spans="1:20" x14ac:dyDescent="0.45">
      <c r="A1358" t="s">
        <v>1942</v>
      </c>
      <c r="B1358" t="s">
        <v>650</v>
      </c>
      <c r="C1358" t="s">
        <v>59</v>
      </c>
      <c r="D1358" t="s">
        <v>58</v>
      </c>
      <c r="E1358" t="s">
        <v>211</v>
      </c>
      <c r="F1358" t="s">
        <v>82</v>
      </c>
      <c r="G1358" t="s">
        <v>212</v>
      </c>
      <c r="H1358" t="s">
        <v>109</v>
      </c>
      <c r="I1358" t="s">
        <v>110</v>
      </c>
      <c r="J1358" t="s">
        <v>3482</v>
      </c>
      <c r="K1358" t="s">
        <v>187</v>
      </c>
      <c r="L1358" t="s">
        <v>3758</v>
      </c>
      <c r="M1358" t="s">
        <v>282</v>
      </c>
      <c r="N1358" t="s">
        <v>99</v>
      </c>
      <c r="O1358" s="27">
        <v>1055000</v>
      </c>
      <c r="P1358">
        <v>3</v>
      </c>
      <c r="Q1358" t="s">
        <v>164</v>
      </c>
      <c r="R1358">
        <v>18</v>
      </c>
      <c r="S1358" t="s">
        <v>214</v>
      </c>
      <c r="T1358" t="str">
        <f>IF(COUNTIF($A$2:A1358,A1358)&gt;1,"Duplicate","Unique")</f>
        <v>Unique</v>
      </c>
    </row>
    <row r="1359" spans="1:20" x14ac:dyDescent="0.45">
      <c r="A1359" t="s">
        <v>2023</v>
      </c>
      <c r="B1359" t="s">
        <v>2024</v>
      </c>
      <c r="C1359" t="s">
        <v>51</v>
      </c>
      <c r="D1359" t="s">
        <v>50</v>
      </c>
      <c r="E1359" t="s">
        <v>181</v>
      </c>
      <c r="F1359" t="s">
        <v>81</v>
      </c>
      <c r="G1359" t="s">
        <v>182</v>
      </c>
      <c r="H1359" t="s">
        <v>112</v>
      </c>
      <c r="I1359" t="s">
        <v>113</v>
      </c>
      <c r="J1359" t="s">
        <v>3759</v>
      </c>
      <c r="K1359" t="s">
        <v>162</v>
      </c>
      <c r="M1359" t="s">
        <v>163</v>
      </c>
      <c r="N1359" t="s">
        <v>97</v>
      </c>
      <c r="O1359" s="27">
        <v>724000</v>
      </c>
      <c r="P1359">
        <v>5</v>
      </c>
      <c r="Q1359" t="s">
        <v>164</v>
      </c>
      <c r="R1359">
        <v>38</v>
      </c>
      <c r="S1359" t="s">
        <v>219</v>
      </c>
      <c r="T1359" t="str">
        <f>IF(COUNTIF($A$2:A1359,A1359)&gt;1,"Duplicate","Unique")</f>
        <v>Unique</v>
      </c>
    </row>
    <row r="1360" spans="1:20" x14ac:dyDescent="0.45">
      <c r="A1360" t="s">
        <v>987</v>
      </c>
      <c r="B1360" t="s">
        <v>988</v>
      </c>
      <c r="C1360" t="s">
        <v>51</v>
      </c>
      <c r="D1360" t="s">
        <v>50</v>
      </c>
      <c r="E1360" t="s">
        <v>176</v>
      </c>
      <c r="F1360" t="s">
        <v>82</v>
      </c>
      <c r="G1360" t="s">
        <v>177</v>
      </c>
      <c r="H1360" t="s">
        <v>106</v>
      </c>
      <c r="I1360" t="s">
        <v>107</v>
      </c>
      <c r="J1360" t="s">
        <v>3760</v>
      </c>
      <c r="K1360" t="s">
        <v>162</v>
      </c>
      <c r="M1360" t="s">
        <v>163</v>
      </c>
      <c r="N1360" t="s">
        <v>97</v>
      </c>
      <c r="O1360" s="27">
        <v>913000</v>
      </c>
      <c r="P1360">
        <v>5</v>
      </c>
      <c r="Q1360" t="s">
        <v>164</v>
      </c>
      <c r="R1360">
        <v>36</v>
      </c>
      <c r="S1360" t="s">
        <v>197</v>
      </c>
      <c r="T1360" t="str">
        <f>IF(COUNTIF($A$2:A1360,A1360)&gt;1,"Duplicate","Unique")</f>
        <v>Unique</v>
      </c>
    </row>
    <row r="1361" spans="1:20" x14ac:dyDescent="0.45">
      <c r="A1361" t="s">
        <v>1770</v>
      </c>
      <c r="B1361" t="s">
        <v>1771</v>
      </c>
      <c r="C1361" t="s">
        <v>53</v>
      </c>
      <c r="D1361" t="s">
        <v>52</v>
      </c>
      <c r="E1361" t="s">
        <v>192</v>
      </c>
      <c r="F1361" t="s">
        <v>83</v>
      </c>
      <c r="G1361" t="s">
        <v>193</v>
      </c>
      <c r="H1361" t="s">
        <v>106</v>
      </c>
      <c r="I1361" t="s">
        <v>107</v>
      </c>
      <c r="J1361" t="s">
        <v>3125</v>
      </c>
      <c r="K1361" t="s">
        <v>162</v>
      </c>
      <c r="M1361" t="s">
        <v>163</v>
      </c>
      <c r="N1361" t="s">
        <v>98</v>
      </c>
      <c r="O1361" s="27">
        <v>1972000</v>
      </c>
      <c r="P1361">
        <v>4</v>
      </c>
      <c r="Q1361" t="s">
        <v>172</v>
      </c>
      <c r="R1361">
        <v>33</v>
      </c>
      <c r="S1361" t="s">
        <v>189</v>
      </c>
      <c r="T1361" t="str">
        <f>IF(COUNTIF($A$2:A1361,A1361)&gt;1,"Duplicate","Unique")</f>
        <v>Unique</v>
      </c>
    </row>
    <row r="1362" spans="1:20" x14ac:dyDescent="0.45">
      <c r="A1362" t="s">
        <v>1119</v>
      </c>
      <c r="B1362" t="s">
        <v>893</v>
      </c>
      <c r="C1362" t="s">
        <v>57</v>
      </c>
      <c r="D1362" t="s">
        <v>56</v>
      </c>
      <c r="E1362" t="s">
        <v>391</v>
      </c>
      <c r="F1362" t="s">
        <v>83</v>
      </c>
      <c r="G1362" t="s">
        <v>392</v>
      </c>
      <c r="H1362" t="s">
        <v>106</v>
      </c>
      <c r="I1362" t="s">
        <v>107</v>
      </c>
      <c r="J1362" t="s">
        <v>3669</v>
      </c>
      <c r="K1362" t="s">
        <v>170</v>
      </c>
      <c r="L1362" t="s">
        <v>2633</v>
      </c>
      <c r="M1362" t="s">
        <v>171</v>
      </c>
      <c r="N1362" t="s">
        <v>99</v>
      </c>
      <c r="O1362" s="27">
        <v>1598000</v>
      </c>
      <c r="P1362">
        <v>3</v>
      </c>
      <c r="Q1362" t="s">
        <v>164</v>
      </c>
      <c r="R1362">
        <v>9</v>
      </c>
      <c r="S1362" t="s">
        <v>224</v>
      </c>
      <c r="T1362" t="str">
        <f>IF(COUNTIF($A$2:A1362,A1362)&gt;1,"Duplicate","Unique")</f>
        <v>Unique</v>
      </c>
    </row>
    <row r="1363" spans="1:20" x14ac:dyDescent="0.45">
      <c r="A1363" t="s">
        <v>1680</v>
      </c>
      <c r="B1363" t="s">
        <v>526</v>
      </c>
      <c r="C1363" t="s">
        <v>57</v>
      </c>
      <c r="D1363" t="s">
        <v>2476</v>
      </c>
      <c r="E1363" t="s">
        <v>160</v>
      </c>
      <c r="F1363" t="s">
        <v>81</v>
      </c>
      <c r="G1363" t="s">
        <v>161</v>
      </c>
      <c r="H1363" t="s">
        <v>111</v>
      </c>
      <c r="I1363" t="s">
        <v>110</v>
      </c>
      <c r="J1363" t="s">
        <v>3761</v>
      </c>
      <c r="K1363" t="s">
        <v>162</v>
      </c>
      <c r="M1363" t="s">
        <v>163</v>
      </c>
      <c r="N1363" t="s">
        <v>99</v>
      </c>
      <c r="O1363" s="27">
        <v>591000</v>
      </c>
      <c r="P1363">
        <v>4</v>
      </c>
      <c r="Q1363" t="s">
        <v>164</v>
      </c>
      <c r="R1363">
        <v>25</v>
      </c>
      <c r="S1363" t="s">
        <v>224</v>
      </c>
      <c r="T1363" t="str">
        <f>IF(COUNTIF($A$2:A1363,A1363)&gt;1,"Duplicate","Unique")</f>
        <v>Unique</v>
      </c>
    </row>
    <row r="1364" spans="1:20" x14ac:dyDescent="0.45">
      <c r="A1364" t="s">
        <v>2199</v>
      </c>
      <c r="B1364" t="s">
        <v>419</v>
      </c>
      <c r="C1364" t="s">
        <v>53</v>
      </c>
      <c r="D1364" t="s">
        <v>52</v>
      </c>
      <c r="E1364" t="s">
        <v>185</v>
      </c>
      <c r="F1364" t="s">
        <v>82</v>
      </c>
      <c r="G1364" t="s">
        <v>186</v>
      </c>
      <c r="H1364" t="s">
        <v>108</v>
      </c>
      <c r="I1364" t="s">
        <v>107</v>
      </c>
      <c r="J1364" t="s">
        <v>3480</v>
      </c>
      <c r="K1364" t="s">
        <v>162</v>
      </c>
      <c r="M1364" t="s">
        <v>163</v>
      </c>
      <c r="N1364" t="s">
        <v>99</v>
      </c>
      <c r="O1364" s="27">
        <v>853000</v>
      </c>
      <c r="P1364">
        <v>4</v>
      </c>
      <c r="Q1364" t="s">
        <v>164</v>
      </c>
      <c r="R1364">
        <v>25</v>
      </c>
      <c r="S1364" t="s">
        <v>237</v>
      </c>
      <c r="T1364" t="str">
        <f>IF(COUNTIF($A$2:A1364,A1364)&gt;1,"Duplicate","Unique")</f>
        <v>Unique</v>
      </c>
    </row>
    <row r="1365" spans="1:20" x14ac:dyDescent="0.45">
      <c r="A1365" t="s">
        <v>957</v>
      </c>
      <c r="B1365" t="s">
        <v>268</v>
      </c>
      <c r="C1365" t="s">
        <v>55</v>
      </c>
      <c r="D1365" t="s">
        <v>54</v>
      </c>
      <c r="E1365" t="s">
        <v>277</v>
      </c>
      <c r="F1365" t="s">
        <v>81</v>
      </c>
      <c r="G1365" t="s">
        <v>278</v>
      </c>
      <c r="H1365" t="s">
        <v>108</v>
      </c>
      <c r="I1365" t="s">
        <v>107</v>
      </c>
      <c r="J1365" t="s">
        <v>3109</v>
      </c>
      <c r="K1365" t="s">
        <v>187</v>
      </c>
      <c r="L1365" t="s">
        <v>3762</v>
      </c>
      <c r="M1365" t="s">
        <v>282</v>
      </c>
      <c r="N1365" t="s">
        <v>97</v>
      </c>
      <c r="O1365" s="27">
        <v>586000</v>
      </c>
      <c r="P1365">
        <v>4</v>
      </c>
      <c r="Q1365" t="s">
        <v>164</v>
      </c>
      <c r="R1365">
        <v>34</v>
      </c>
      <c r="S1365" t="s">
        <v>262</v>
      </c>
      <c r="T1365" t="str">
        <f>IF(COUNTIF($A$2:A1365,A1365)&gt;1,"Duplicate","Unique")</f>
        <v>Unique</v>
      </c>
    </row>
    <row r="1366" spans="1:20" x14ac:dyDescent="0.45">
      <c r="A1366" t="s">
        <v>1927</v>
      </c>
      <c r="B1366" t="s">
        <v>363</v>
      </c>
      <c r="C1366" t="s">
        <v>57</v>
      </c>
      <c r="D1366" t="s">
        <v>56</v>
      </c>
      <c r="E1366" t="s">
        <v>391</v>
      </c>
      <c r="F1366" t="s">
        <v>83</v>
      </c>
      <c r="G1366" t="s">
        <v>392</v>
      </c>
      <c r="H1366" t="s">
        <v>106</v>
      </c>
      <c r="I1366" t="s">
        <v>107</v>
      </c>
      <c r="J1366" t="s">
        <v>3763</v>
      </c>
      <c r="K1366" t="s">
        <v>162</v>
      </c>
      <c r="M1366" t="s">
        <v>163</v>
      </c>
      <c r="N1366" t="s">
        <v>97</v>
      </c>
      <c r="O1366" s="27">
        <v>1575000</v>
      </c>
      <c r="P1366">
        <v>5</v>
      </c>
      <c r="Q1366" t="s">
        <v>164</v>
      </c>
      <c r="R1366">
        <v>33</v>
      </c>
      <c r="S1366" t="s">
        <v>165</v>
      </c>
      <c r="T1366" t="str">
        <f>IF(COUNTIF($A$2:A1366,A1366)&gt;1,"Duplicate","Unique")</f>
        <v>Unique</v>
      </c>
    </row>
    <row r="1367" spans="1:20" x14ac:dyDescent="0.45">
      <c r="A1367" t="s">
        <v>879</v>
      </c>
      <c r="B1367" t="s">
        <v>633</v>
      </c>
      <c r="C1367" t="s">
        <v>57</v>
      </c>
      <c r="D1367" t="s">
        <v>56</v>
      </c>
      <c r="E1367" t="s">
        <v>160</v>
      </c>
      <c r="F1367" t="s">
        <v>81</v>
      </c>
      <c r="G1367" t="s">
        <v>161</v>
      </c>
      <c r="H1367" t="s">
        <v>3105</v>
      </c>
      <c r="I1367" t="s">
        <v>110</v>
      </c>
      <c r="J1367" t="s">
        <v>3365</v>
      </c>
      <c r="K1367" t="s">
        <v>187</v>
      </c>
      <c r="L1367" t="s">
        <v>2673</v>
      </c>
      <c r="M1367" t="s">
        <v>213</v>
      </c>
      <c r="N1367" t="s">
        <v>96</v>
      </c>
      <c r="O1367" s="27">
        <v>747000</v>
      </c>
      <c r="P1367">
        <v>4</v>
      </c>
      <c r="Q1367" t="s">
        <v>164</v>
      </c>
      <c r="R1367">
        <v>38</v>
      </c>
      <c r="S1367" t="s">
        <v>165</v>
      </c>
      <c r="T1367" t="str">
        <f>IF(COUNTIF($A$2:A1367,A1367)&gt;1,"Duplicate","Unique")</f>
        <v>Unique</v>
      </c>
    </row>
    <row r="1368" spans="1:20" x14ac:dyDescent="0.45">
      <c r="A1368" t="s">
        <v>1839</v>
      </c>
      <c r="B1368" t="s">
        <v>1840</v>
      </c>
      <c r="C1368" t="s">
        <v>57</v>
      </c>
      <c r="D1368" t="s">
        <v>56</v>
      </c>
      <c r="E1368" t="s">
        <v>160</v>
      </c>
      <c r="F1368" t="s">
        <v>81</v>
      </c>
      <c r="G1368" t="s">
        <v>161</v>
      </c>
      <c r="H1368" t="s">
        <v>112</v>
      </c>
      <c r="I1368" t="s">
        <v>113</v>
      </c>
      <c r="J1368" t="s">
        <v>3764</v>
      </c>
      <c r="K1368" t="s">
        <v>162</v>
      </c>
      <c r="M1368" t="s">
        <v>163</v>
      </c>
      <c r="N1368" t="s">
        <v>97</v>
      </c>
      <c r="O1368" s="27">
        <v>714000</v>
      </c>
      <c r="P1368">
        <v>3</v>
      </c>
      <c r="Q1368" t="s">
        <v>164</v>
      </c>
      <c r="R1368">
        <v>17</v>
      </c>
      <c r="S1368" t="s">
        <v>224</v>
      </c>
      <c r="T1368" t="str">
        <f>IF(COUNTIF($A$2:A1368,A1368)&gt;1,"Duplicate","Unique")</f>
        <v>Unique</v>
      </c>
    </row>
    <row r="1369" spans="1:20" x14ac:dyDescent="0.45">
      <c r="A1369" t="s">
        <v>2290</v>
      </c>
      <c r="B1369" t="s">
        <v>1054</v>
      </c>
      <c r="C1369" t="s">
        <v>59</v>
      </c>
      <c r="D1369" t="s">
        <v>58</v>
      </c>
      <c r="E1369" t="s">
        <v>206</v>
      </c>
      <c r="F1369" t="s">
        <v>81</v>
      </c>
      <c r="G1369" t="s">
        <v>207</v>
      </c>
      <c r="H1369" t="s">
        <v>108</v>
      </c>
      <c r="I1369" t="s">
        <v>107</v>
      </c>
      <c r="J1369" t="s">
        <v>3257</v>
      </c>
      <c r="K1369" t="s">
        <v>162</v>
      </c>
      <c r="M1369" t="s">
        <v>163</v>
      </c>
      <c r="N1369" t="s">
        <v>99</v>
      </c>
      <c r="O1369" s="27">
        <v>633000</v>
      </c>
      <c r="P1369">
        <v>1</v>
      </c>
      <c r="Q1369" t="s">
        <v>164</v>
      </c>
      <c r="R1369">
        <v>20</v>
      </c>
      <c r="S1369" t="s">
        <v>208</v>
      </c>
      <c r="T1369" t="str">
        <f>IF(COUNTIF($A$2:A1369,A1369)&gt;1,"Duplicate","Unique")</f>
        <v>Unique</v>
      </c>
    </row>
    <row r="1370" spans="1:20" x14ac:dyDescent="0.45">
      <c r="A1370" t="s">
        <v>1582</v>
      </c>
      <c r="B1370" t="s">
        <v>464</v>
      </c>
      <c r="C1370" t="s">
        <v>51</v>
      </c>
      <c r="D1370" t="s">
        <v>50</v>
      </c>
      <c r="E1370" t="s">
        <v>181</v>
      </c>
      <c r="F1370" t="s">
        <v>81</v>
      </c>
      <c r="G1370" t="s">
        <v>182</v>
      </c>
      <c r="H1370" t="s">
        <v>108</v>
      </c>
      <c r="I1370" t="s">
        <v>107</v>
      </c>
      <c r="J1370" t="s">
        <v>3765</v>
      </c>
      <c r="K1370" t="s">
        <v>162</v>
      </c>
      <c r="M1370" t="s">
        <v>163</v>
      </c>
      <c r="N1370" t="s">
        <v>99</v>
      </c>
      <c r="O1370" s="27">
        <v>687000</v>
      </c>
      <c r="P1370">
        <v>4</v>
      </c>
      <c r="Q1370" t="s">
        <v>172</v>
      </c>
      <c r="R1370">
        <v>43</v>
      </c>
      <c r="S1370" t="s">
        <v>244</v>
      </c>
      <c r="T1370" t="str">
        <f>IF(COUNTIF($A$2:A1370,A1370)&gt;1,"Duplicate","Unique")</f>
        <v>Unique</v>
      </c>
    </row>
    <row r="1371" spans="1:20" x14ac:dyDescent="0.45">
      <c r="A1371" t="s">
        <v>644</v>
      </c>
      <c r="B1371" t="s">
        <v>645</v>
      </c>
      <c r="C1371" t="s">
        <v>51</v>
      </c>
      <c r="D1371" t="s">
        <v>50</v>
      </c>
      <c r="E1371" t="s">
        <v>176</v>
      </c>
      <c r="F1371" t="s">
        <v>82</v>
      </c>
      <c r="G1371" t="s">
        <v>177</v>
      </c>
      <c r="H1371" t="s">
        <v>106</v>
      </c>
      <c r="I1371" t="s">
        <v>107</v>
      </c>
      <c r="J1371" t="s">
        <v>3766</v>
      </c>
      <c r="K1371" t="s">
        <v>162</v>
      </c>
      <c r="M1371" t="s">
        <v>163</v>
      </c>
      <c r="N1371" t="s">
        <v>98</v>
      </c>
      <c r="O1371" s="27">
        <v>1179000</v>
      </c>
      <c r="P1371">
        <v>3</v>
      </c>
      <c r="Q1371" t="s">
        <v>164</v>
      </c>
      <c r="R1371">
        <v>55</v>
      </c>
      <c r="S1371" t="s">
        <v>197</v>
      </c>
      <c r="T1371" t="str">
        <f>IF(COUNTIF($A$2:A1371,A1371)&gt;1,"Duplicate","Unique")</f>
        <v>Unique</v>
      </c>
    </row>
    <row r="1372" spans="1:20" x14ac:dyDescent="0.45">
      <c r="A1372" t="s">
        <v>598</v>
      </c>
      <c r="B1372" t="s">
        <v>599</v>
      </c>
      <c r="C1372" t="s">
        <v>53</v>
      </c>
      <c r="D1372" t="s">
        <v>52</v>
      </c>
      <c r="E1372" t="s">
        <v>192</v>
      </c>
      <c r="F1372" t="s">
        <v>83</v>
      </c>
      <c r="G1372" t="s">
        <v>193</v>
      </c>
      <c r="H1372" t="s">
        <v>106</v>
      </c>
      <c r="I1372" t="s">
        <v>107</v>
      </c>
      <c r="J1372" t="s">
        <v>3767</v>
      </c>
      <c r="K1372" t="s">
        <v>187</v>
      </c>
      <c r="L1372" t="s">
        <v>3768</v>
      </c>
      <c r="M1372" t="s">
        <v>282</v>
      </c>
      <c r="N1372" t="s">
        <v>95</v>
      </c>
      <c r="O1372" s="27">
        <v>2086000</v>
      </c>
      <c r="P1372">
        <v>4</v>
      </c>
      <c r="Q1372" t="s">
        <v>172</v>
      </c>
      <c r="R1372">
        <v>34</v>
      </c>
      <c r="S1372" t="s">
        <v>189</v>
      </c>
      <c r="T1372" t="str">
        <f>IF(COUNTIF($A$2:A1372,A1372)&gt;1,"Duplicate","Unique")</f>
        <v>Unique</v>
      </c>
    </row>
    <row r="1373" spans="1:20" x14ac:dyDescent="0.45">
      <c r="A1373" t="s">
        <v>1991</v>
      </c>
      <c r="B1373" t="s">
        <v>1375</v>
      </c>
      <c r="C1373" t="s">
        <v>57</v>
      </c>
      <c r="D1373" t="s">
        <v>56</v>
      </c>
      <c r="E1373" t="s">
        <v>222</v>
      </c>
      <c r="F1373" t="s">
        <v>82</v>
      </c>
      <c r="G1373" t="s">
        <v>223</v>
      </c>
      <c r="H1373" t="s">
        <v>108</v>
      </c>
      <c r="I1373" t="s">
        <v>107</v>
      </c>
      <c r="J1373" t="s">
        <v>3769</v>
      </c>
      <c r="K1373" t="s">
        <v>162</v>
      </c>
      <c r="M1373" t="s">
        <v>163</v>
      </c>
      <c r="N1373" t="s">
        <v>95</v>
      </c>
      <c r="O1373" s="27">
        <v>926000</v>
      </c>
      <c r="P1373">
        <v>2</v>
      </c>
      <c r="Q1373" t="s">
        <v>172</v>
      </c>
      <c r="R1373">
        <v>32</v>
      </c>
      <c r="S1373" t="s">
        <v>165</v>
      </c>
      <c r="T1373" t="str">
        <f>IF(COUNTIF($A$2:A1373,A1373)&gt;1,"Duplicate","Unique")</f>
        <v>Unique</v>
      </c>
    </row>
    <row r="1374" spans="1:20" x14ac:dyDescent="0.45">
      <c r="A1374" t="s">
        <v>1391</v>
      </c>
      <c r="B1374" t="s">
        <v>1331</v>
      </c>
      <c r="C1374" t="s">
        <v>61</v>
      </c>
      <c r="D1374" t="s">
        <v>60</v>
      </c>
      <c r="E1374" t="s">
        <v>251</v>
      </c>
      <c r="F1374" t="s">
        <v>82</v>
      </c>
      <c r="G1374" t="s">
        <v>252</v>
      </c>
      <c r="H1374" t="s">
        <v>2550</v>
      </c>
      <c r="I1374" t="s">
        <v>107</v>
      </c>
      <c r="J1374" t="s">
        <v>3086</v>
      </c>
      <c r="K1374" t="s">
        <v>162</v>
      </c>
      <c r="M1374" t="s">
        <v>163</v>
      </c>
      <c r="N1374" t="s">
        <v>98</v>
      </c>
      <c r="O1374" s="27">
        <v>989000</v>
      </c>
      <c r="P1374">
        <v>2</v>
      </c>
      <c r="Q1374" t="s">
        <v>2584</v>
      </c>
      <c r="R1374">
        <v>32</v>
      </c>
      <c r="S1374" t="s">
        <v>253</v>
      </c>
      <c r="T1374" t="str">
        <f>IF(COUNTIF($A$2:A1374,A1374)&gt;1,"Duplicate","Unique")</f>
        <v>Unique</v>
      </c>
    </row>
    <row r="1375" spans="1:20" x14ac:dyDescent="0.45">
      <c r="A1375" t="s">
        <v>1333</v>
      </c>
      <c r="B1375" t="s">
        <v>3770</v>
      </c>
      <c r="C1375" t="s">
        <v>57</v>
      </c>
      <c r="D1375" t="s">
        <v>56</v>
      </c>
      <c r="E1375" t="s">
        <v>455</v>
      </c>
      <c r="F1375" t="s">
        <v>84</v>
      </c>
      <c r="G1375" t="s">
        <v>456</v>
      </c>
      <c r="H1375" t="s">
        <v>111</v>
      </c>
      <c r="I1375" t="s">
        <v>110</v>
      </c>
      <c r="J1375" t="s">
        <v>2445</v>
      </c>
      <c r="K1375" t="s">
        <v>162</v>
      </c>
      <c r="M1375" t="s">
        <v>163</v>
      </c>
      <c r="N1375" t="s">
        <v>97</v>
      </c>
      <c r="O1375" s="27">
        <v>2713000</v>
      </c>
      <c r="P1375">
        <v>4</v>
      </c>
      <c r="Q1375" t="s">
        <v>164</v>
      </c>
      <c r="R1375">
        <v>39</v>
      </c>
      <c r="S1375" t="s">
        <v>224</v>
      </c>
      <c r="T1375" t="str">
        <f>IF(COUNTIF($A$2:A1375,A1375)&gt;1,"Duplicate","Unique")</f>
        <v>Unique</v>
      </c>
    </row>
    <row r="1376" spans="1:20" x14ac:dyDescent="0.45">
      <c r="A1376" t="s">
        <v>2270</v>
      </c>
      <c r="B1376" t="s">
        <v>687</v>
      </c>
      <c r="C1376" t="s">
        <v>53</v>
      </c>
      <c r="D1376" t="s">
        <v>52</v>
      </c>
      <c r="E1376" t="s">
        <v>185</v>
      </c>
      <c r="F1376" t="s">
        <v>82</v>
      </c>
      <c r="G1376" t="s">
        <v>186</v>
      </c>
      <c r="H1376" t="s">
        <v>108</v>
      </c>
      <c r="I1376" t="s">
        <v>107</v>
      </c>
      <c r="J1376" t="s">
        <v>2754</v>
      </c>
      <c r="K1376" t="s">
        <v>162</v>
      </c>
      <c r="M1376" t="s">
        <v>163</v>
      </c>
      <c r="N1376" t="s">
        <v>99</v>
      </c>
      <c r="O1376" s="27">
        <v>1012000</v>
      </c>
      <c r="Q1376" t="s">
        <v>172</v>
      </c>
      <c r="R1376">
        <v>37</v>
      </c>
      <c r="S1376" t="s">
        <v>237</v>
      </c>
      <c r="T1376" t="str">
        <f>IF(COUNTIF($A$2:A1376,A1376)&gt;1,"Duplicate","Unique")</f>
        <v>Unique</v>
      </c>
    </row>
    <row r="1377" spans="1:20" x14ac:dyDescent="0.45">
      <c r="A1377" t="s">
        <v>1928</v>
      </c>
      <c r="B1377" t="s">
        <v>310</v>
      </c>
      <c r="C1377" t="s">
        <v>53</v>
      </c>
      <c r="D1377" t="s">
        <v>52</v>
      </c>
      <c r="E1377" t="s">
        <v>322</v>
      </c>
      <c r="F1377" t="s">
        <v>81</v>
      </c>
      <c r="G1377" t="s">
        <v>323</v>
      </c>
      <c r="H1377" t="s">
        <v>108</v>
      </c>
      <c r="I1377" t="s">
        <v>107</v>
      </c>
      <c r="J1377" t="s">
        <v>2574</v>
      </c>
      <c r="K1377" t="s">
        <v>187</v>
      </c>
      <c r="L1377" t="s">
        <v>3771</v>
      </c>
      <c r="M1377" t="s">
        <v>269</v>
      </c>
      <c r="N1377" t="s">
        <v>98</v>
      </c>
      <c r="O1377" s="27">
        <v>806000</v>
      </c>
      <c r="P1377">
        <v>4</v>
      </c>
      <c r="Q1377" t="s">
        <v>172</v>
      </c>
      <c r="R1377">
        <v>35</v>
      </c>
      <c r="S1377" t="s">
        <v>237</v>
      </c>
      <c r="T1377" t="str">
        <f>IF(COUNTIF($A$2:A1377,A1377)&gt;1,"Duplicate","Unique")</f>
        <v>Unique</v>
      </c>
    </row>
    <row r="1378" spans="1:20" x14ac:dyDescent="0.45">
      <c r="A1378" t="s">
        <v>476</v>
      </c>
      <c r="B1378" t="s">
        <v>477</v>
      </c>
      <c r="C1378" t="s">
        <v>51</v>
      </c>
      <c r="D1378" t="s">
        <v>50</v>
      </c>
      <c r="E1378" t="s">
        <v>217</v>
      </c>
      <c r="F1378" t="s">
        <v>83</v>
      </c>
      <c r="G1378" t="s">
        <v>218</v>
      </c>
      <c r="H1378" t="s">
        <v>111</v>
      </c>
      <c r="I1378" t="s">
        <v>110</v>
      </c>
      <c r="J1378" t="s">
        <v>3772</v>
      </c>
      <c r="K1378" t="s">
        <v>162</v>
      </c>
      <c r="M1378" t="s">
        <v>163</v>
      </c>
      <c r="N1378" t="s">
        <v>97</v>
      </c>
      <c r="O1378" s="27">
        <v>1899000</v>
      </c>
      <c r="P1378">
        <v>5</v>
      </c>
      <c r="Q1378" t="s">
        <v>164</v>
      </c>
      <c r="R1378">
        <v>37</v>
      </c>
      <c r="S1378" t="s">
        <v>197</v>
      </c>
      <c r="T1378" t="str">
        <f>IF(COUNTIF($A$2:A1378,A1378)&gt;1,"Duplicate","Unique")</f>
        <v>Unique</v>
      </c>
    </row>
    <row r="1379" spans="1:20" x14ac:dyDescent="0.45">
      <c r="A1379" t="s">
        <v>1430</v>
      </c>
      <c r="B1379" t="s">
        <v>1256</v>
      </c>
      <c r="C1379" t="s">
        <v>55</v>
      </c>
      <c r="D1379" t="s">
        <v>54</v>
      </c>
      <c r="E1379" t="s">
        <v>229</v>
      </c>
      <c r="F1379" t="s">
        <v>82</v>
      </c>
      <c r="G1379" t="s">
        <v>230</v>
      </c>
      <c r="H1379" t="s">
        <v>106</v>
      </c>
      <c r="I1379" t="s">
        <v>107</v>
      </c>
      <c r="J1379" t="s">
        <v>2752</v>
      </c>
      <c r="K1379" t="s">
        <v>162</v>
      </c>
      <c r="M1379" t="s">
        <v>163</v>
      </c>
      <c r="N1379" t="s">
        <v>98</v>
      </c>
      <c r="O1379" s="27">
        <v>907000</v>
      </c>
      <c r="P1379">
        <v>3</v>
      </c>
      <c r="Q1379" t="s">
        <v>164</v>
      </c>
      <c r="R1379">
        <v>47</v>
      </c>
      <c r="S1379" t="s">
        <v>173</v>
      </c>
      <c r="T1379" t="str">
        <f>IF(COUNTIF($A$2:A1379,A1379)&gt;1,"Duplicate","Unique")</f>
        <v>Unique</v>
      </c>
    </row>
    <row r="1380" spans="1:20" x14ac:dyDescent="0.45">
      <c r="A1380" t="s">
        <v>876</v>
      </c>
      <c r="B1380" t="s">
        <v>877</v>
      </c>
      <c r="C1380" t="s">
        <v>53</v>
      </c>
      <c r="D1380" t="s">
        <v>52</v>
      </c>
      <c r="E1380" t="s">
        <v>185</v>
      </c>
      <c r="F1380" t="s">
        <v>82</v>
      </c>
      <c r="G1380" t="s">
        <v>186</v>
      </c>
      <c r="H1380" t="s">
        <v>106</v>
      </c>
      <c r="I1380" t="s">
        <v>107</v>
      </c>
      <c r="J1380" t="s">
        <v>2532</v>
      </c>
      <c r="K1380" t="s">
        <v>187</v>
      </c>
      <c r="L1380" t="s">
        <v>2929</v>
      </c>
      <c r="M1380" t="s">
        <v>269</v>
      </c>
      <c r="N1380" t="s">
        <v>99</v>
      </c>
      <c r="O1380" s="27">
        <v>1312000</v>
      </c>
      <c r="P1380">
        <v>3</v>
      </c>
      <c r="Q1380" t="s">
        <v>164</v>
      </c>
      <c r="R1380">
        <v>43</v>
      </c>
      <c r="S1380" t="s">
        <v>189</v>
      </c>
      <c r="T1380" t="str">
        <f>IF(COUNTIF($A$2:A1380,A1380)&gt;1,"Duplicate","Unique")</f>
        <v>Unique</v>
      </c>
    </row>
    <row r="1381" spans="1:20" x14ac:dyDescent="0.45">
      <c r="A1381" t="s">
        <v>706</v>
      </c>
      <c r="B1381" t="s">
        <v>707</v>
      </c>
      <c r="C1381" t="s">
        <v>51</v>
      </c>
      <c r="D1381" t="s">
        <v>50</v>
      </c>
      <c r="E1381" t="s">
        <v>217</v>
      </c>
      <c r="F1381" t="s">
        <v>83</v>
      </c>
      <c r="G1381" t="s">
        <v>218</v>
      </c>
      <c r="H1381" t="s">
        <v>109</v>
      </c>
      <c r="I1381" t="s">
        <v>110</v>
      </c>
      <c r="J1381" t="s">
        <v>2653</v>
      </c>
      <c r="K1381" t="s">
        <v>162</v>
      </c>
      <c r="M1381" t="s">
        <v>163</v>
      </c>
      <c r="N1381" t="s">
        <v>99</v>
      </c>
      <c r="O1381" s="27">
        <v>1859000</v>
      </c>
      <c r="P1381">
        <v>5</v>
      </c>
      <c r="Q1381" t="s">
        <v>164</v>
      </c>
      <c r="R1381">
        <v>17</v>
      </c>
      <c r="S1381" t="s">
        <v>219</v>
      </c>
      <c r="T1381" t="str">
        <f>IF(COUNTIF($A$2:A1381,A1381)&gt;1,"Duplicate","Unique")</f>
        <v>Unique</v>
      </c>
    </row>
    <row r="1382" spans="1:20" x14ac:dyDescent="0.45">
      <c r="A1382" t="s">
        <v>1455</v>
      </c>
      <c r="B1382" t="s">
        <v>3773</v>
      </c>
      <c r="C1382" t="s">
        <v>61</v>
      </c>
      <c r="D1382" t="s">
        <v>60</v>
      </c>
      <c r="E1382" t="s">
        <v>251</v>
      </c>
      <c r="F1382" t="s">
        <v>82</v>
      </c>
      <c r="G1382" t="s">
        <v>252</v>
      </c>
      <c r="H1382" t="s">
        <v>2465</v>
      </c>
      <c r="I1382" t="s">
        <v>107</v>
      </c>
      <c r="J1382" t="s">
        <v>3774</v>
      </c>
      <c r="K1382" t="s">
        <v>187</v>
      </c>
      <c r="L1382" t="s">
        <v>3775</v>
      </c>
      <c r="M1382" t="s">
        <v>282</v>
      </c>
      <c r="N1382" t="s">
        <v>99</v>
      </c>
      <c r="O1382" s="27">
        <v>1330000</v>
      </c>
      <c r="P1382">
        <v>3</v>
      </c>
      <c r="Q1382" t="s">
        <v>172</v>
      </c>
      <c r="S1382" t="s">
        <v>319</v>
      </c>
      <c r="T1382" t="str">
        <f>IF(COUNTIF($A$2:A1382,A1382)&gt;1,"Duplicate","Unique")</f>
        <v>Unique</v>
      </c>
    </row>
    <row r="1383" spans="1:20" x14ac:dyDescent="0.45">
      <c r="A1383" t="s">
        <v>557</v>
      </c>
      <c r="B1383" t="s">
        <v>558</v>
      </c>
      <c r="C1383" t="s">
        <v>59</v>
      </c>
      <c r="D1383" t="s">
        <v>58</v>
      </c>
      <c r="E1383" t="s">
        <v>287</v>
      </c>
      <c r="F1383" t="s">
        <v>83</v>
      </c>
      <c r="G1383" t="s">
        <v>288</v>
      </c>
      <c r="H1383" t="s">
        <v>106</v>
      </c>
      <c r="I1383" t="s">
        <v>107</v>
      </c>
      <c r="J1383" t="s">
        <v>3776</v>
      </c>
      <c r="K1383" t="s">
        <v>162</v>
      </c>
      <c r="M1383" t="s">
        <v>163</v>
      </c>
      <c r="N1383" t="s">
        <v>96</v>
      </c>
      <c r="O1383" s="27">
        <v>1606000</v>
      </c>
      <c r="P1383">
        <v>4</v>
      </c>
      <c r="Q1383" t="s">
        <v>164</v>
      </c>
      <c r="R1383">
        <v>22</v>
      </c>
      <c r="S1383" t="s">
        <v>214</v>
      </c>
      <c r="T1383" t="str">
        <f>IF(COUNTIF($A$2:A1383,A1383)&gt;1,"Duplicate","Unique")</f>
        <v>Unique</v>
      </c>
    </row>
    <row r="1384" spans="1:20" x14ac:dyDescent="0.45">
      <c r="A1384" t="s">
        <v>2170</v>
      </c>
      <c r="B1384" t="s">
        <v>3777</v>
      </c>
      <c r="C1384" t="s">
        <v>51</v>
      </c>
      <c r="D1384" t="s">
        <v>50</v>
      </c>
      <c r="E1384" t="s">
        <v>181</v>
      </c>
      <c r="F1384" t="s">
        <v>81</v>
      </c>
      <c r="G1384" t="s">
        <v>182</v>
      </c>
      <c r="H1384" t="s">
        <v>108</v>
      </c>
      <c r="I1384" t="s">
        <v>107</v>
      </c>
      <c r="J1384" t="s">
        <v>2641</v>
      </c>
      <c r="K1384" t="s">
        <v>162</v>
      </c>
      <c r="M1384" t="s">
        <v>163</v>
      </c>
      <c r="N1384" t="s">
        <v>99</v>
      </c>
      <c r="O1384" s="27">
        <v>700000</v>
      </c>
      <c r="P1384">
        <v>3</v>
      </c>
      <c r="Q1384" t="s">
        <v>164</v>
      </c>
      <c r="R1384">
        <v>36</v>
      </c>
      <c r="S1384" t="s">
        <v>219</v>
      </c>
      <c r="T1384" t="str">
        <f>IF(COUNTIF($A$2:A1384,A1384)&gt;1,"Duplicate","Unique")</f>
        <v>Unique</v>
      </c>
    </row>
    <row r="1385" spans="1:20" x14ac:dyDescent="0.45">
      <c r="A1385" t="s">
        <v>2253</v>
      </c>
      <c r="B1385" t="s">
        <v>1395</v>
      </c>
      <c r="C1385" t="s">
        <v>53</v>
      </c>
      <c r="D1385" t="s">
        <v>52</v>
      </c>
      <c r="E1385" t="s">
        <v>322</v>
      </c>
      <c r="F1385" t="s">
        <v>81</v>
      </c>
      <c r="G1385" t="s">
        <v>323</v>
      </c>
      <c r="H1385" t="s">
        <v>109</v>
      </c>
      <c r="I1385" t="s">
        <v>110</v>
      </c>
      <c r="J1385" t="s">
        <v>3150</v>
      </c>
      <c r="K1385" t="s">
        <v>162</v>
      </c>
      <c r="M1385" t="s">
        <v>163</v>
      </c>
      <c r="N1385" t="s">
        <v>98</v>
      </c>
      <c r="O1385" s="27">
        <v>812000</v>
      </c>
      <c r="P1385">
        <v>5</v>
      </c>
      <c r="Q1385" t="s">
        <v>164</v>
      </c>
      <c r="R1385">
        <v>13</v>
      </c>
      <c r="S1385" t="s">
        <v>194</v>
      </c>
      <c r="T1385" t="str">
        <f>IF(COUNTIF($A$2:A1385,A1385)&gt;1,"Duplicate","Unique")</f>
        <v>Unique</v>
      </c>
    </row>
    <row r="1386" spans="1:20" x14ac:dyDescent="0.45">
      <c r="A1386" t="s">
        <v>992</v>
      </c>
      <c r="B1386" t="s">
        <v>228</v>
      </c>
      <c r="C1386" t="s">
        <v>51</v>
      </c>
      <c r="D1386" t="s">
        <v>50</v>
      </c>
      <c r="E1386" t="s">
        <v>176</v>
      </c>
      <c r="F1386" t="s">
        <v>82</v>
      </c>
      <c r="G1386" t="s">
        <v>177</v>
      </c>
      <c r="H1386" t="s">
        <v>2550</v>
      </c>
      <c r="I1386" t="s">
        <v>107</v>
      </c>
      <c r="J1386" t="s">
        <v>3778</v>
      </c>
      <c r="K1386" t="s">
        <v>162</v>
      </c>
      <c r="M1386" t="s">
        <v>163</v>
      </c>
      <c r="N1386" t="s">
        <v>95</v>
      </c>
      <c r="O1386" s="27">
        <v>876000</v>
      </c>
      <c r="P1386">
        <v>5</v>
      </c>
      <c r="Q1386" t="s">
        <v>164</v>
      </c>
      <c r="R1386">
        <v>33</v>
      </c>
      <c r="S1386" t="s">
        <v>197</v>
      </c>
      <c r="T1386" t="str">
        <f>IF(COUNTIF($A$2:A1386,A1386)&gt;1,"Duplicate","Unique")</f>
        <v>Unique</v>
      </c>
    </row>
    <row r="1387" spans="1:20" x14ac:dyDescent="0.45">
      <c r="A1387" t="s">
        <v>1539</v>
      </c>
      <c r="B1387" t="s">
        <v>824</v>
      </c>
      <c r="C1387" t="s">
        <v>51</v>
      </c>
      <c r="D1387" t="s">
        <v>2620</v>
      </c>
      <c r="E1387" t="s">
        <v>181</v>
      </c>
      <c r="F1387" t="s">
        <v>81</v>
      </c>
      <c r="G1387" t="s">
        <v>182</v>
      </c>
      <c r="H1387" t="s">
        <v>106</v>
      </c>
      <c r="I1387" t="s">
        <v>107</v>
      </c>
      <c r="J1387" t="s">
        <v>3779</v>
      </c>
      <c r="K1387" t="s">
        <v>162</v>
      </c>
      <c r="M1387" t="s">
        <v>163</v>
      </c>
      <c r="N1387" t="s">
        <v>95</v>
      </c>
      <c r="O1387" s="27">
        <v>570000</v>
      </c>
      <c r="P1387">
        <v>3</v>
      </c>
      <c r="Q1387" t="s">
        <v>164</v>
      </c>
      <c r="R1387">
        <v>52</v>
      </c>
      <c r="S1387" t="s">
        <v>197</v>
      </c>
      <c r="T1387" t="str">
        <f>IF(COUNTIF($A$2:A1387,A1387)&gt;1,"Duplicate","Unique")</f>
        <v>Unique</v>
      </c>
    </row>
    <row r="1388" spans="1:20" x14ac:dyDescent="0.45">
      <c r="A1388" t="s">
        <v>1280</v>
      </c>
      <c r="B1388" t="s">
        <v>1281</v>
      </c>
      <c r="C1388" t="s">
        <v>57</v>
      </c>
      <c r="D1388" t="s">
        <v>56</v>
      </c>
      <c r="E1388" t="s">
        <v>455</v>
      </c>
      <c r="F1388" t="s">
        <v>84</v>
      </c>
      <c r="G1388" t="s">
        <v>456</v>
      </c>
      <c r="H1388" t="s">
        <v>106</v>
      </c>
      <c r="I1388" t="s">
        <v>107</v>
      </c>
      <c r="J1388" t="s">
        <v>3231</v>
      </c>
      <c r="K1388" t="s">
        <v>170</v>
      </c>
      <c r="L1388" t="s">
        <v>3780</v>
      </c>
      <c r="M1388" t="s">
        <v>171</v>
      </c>
      <c r="N1388" t="s">
        <v>99</v>
      </c>
      <c r="O1388" s="27">
        <v>2619000</v>
      </c>
      <c r="P1388">
        <v>3</v>
      </c>
      <c r="Q1388" t="s">
        <v>164</v>
      </c>
      <c r="R1388">
        <v>37</v>
      </c>
      <c r="S1388" t="s">
        <v>224</v>
      </c>
      <c r="T1388" t="str">
        <f>IF(COUNTIF($A$2:A1388,A1388)&gt;1,"Duplicate","Unique")</f>
        <v>Unique</v>
      </c>
    </row>
    <row r="1389" spans="1:20" x14ac:dyDescent="0.45">
      <c r="A1389" t="s">
        <v>1319</v>
      </c>
      <c r="B1389" t="s">
        <v>722</v>
      </c>
      <c r="C1389" t="s">
        <v>61</v>
      </c>
      <c r="D1389" t="s">
        <v>60</v>
      </c>
      <c r="E1389" t="s">
        <v>484</v>
      </c>
      <c r="F1389" t="s">
        <v>83</v>
      </c>
      <c r="G1389" t="s">
        <v>485</v>
      </c>
      <c r="H1389" t="s">
        <v>106</v>
      </c>
      <c r="I1389" t="s">
        <v>107</v>
      </c>
      <c r="J1389" t="s">
        <v>2843</v>
      </c>
      <c r="K1389" t="s">
        <v>170</v>
      </c>
      <c r="L1389" t="s">
        <v>3390</v>
      </c>
      <c r="M1389" t="s">
        <v>171</v>
      </c>
      <c r="N1389" t="s">
        <v>98</v>
      </c>
      <c r="O1389" s="27">
        <v>1666000</v>
      </c>
      <c r="P1389">
        <v>3</v>
      </c>
      <c r="Q1389" t="s">
        <v>172</v>
      </c>
      <c r="R1389">
        <v>53</v>
      </c>
      <c r="S1389" t="s">
        <v>253</v>
      </c>
      <c r="T1389" t="str">
        <f>IF(COUNTIF($A$2:A1389,A1389)&gt;1,"Duplicate","Unique")</f>
        <v>Unique</v>
      </c>
    </row>
    <row r="1390" spans="1:20" x14ac:dyDescent="0.45">
      <c r="A1390" t="s">
        <v>2080</v>
      </c>
      <c r="B1390" t="s">
        <v>3781</v>
      </c>
      <c r="C1390" t="s">
        <v>53</v>
      </c>
      <c r="D1390" t="s">
        <v>52</v>
      </c>
      <c r="E1390" t="s">
        <v>322</v>
      </c>
      <c r="F1390" t="s">
        <v>81</v>
      </c>
      <c r="G1390" t="s">
        <v>323</v>
      </c>
      <c r="H1390" t="s">
        <v>106</v>
      </c>
      <c r="I1390" t="s">
        <v>107</v>
      </c>
      <c r="J1390" t="s">
        <v>3782</v>
      </c>
      <c r="K1390" t="s">
        <v>162</v>
      </c>
      <c r="M1390" t="s">
        <v>163</v>
      </c>
      <c r="N1390" t="s">
        <v>98</v>
      </c>
      <c r="O1390" s="27">
        <v>749000</v>
      </c>
      <c r="P1390">
        <v>3</v>
      </c>
      <c r="Q1390" t="s">
        <v>164</v>
      </c>
      <c r="R1390">
        <v>18</v>
      </c>
      <c r="S1390" t="s">
        <v>237</v>
      </c>
      <c r="T1390" t="str">
        <f>IF(COUNTIF($A$2:A1390,A1390)&gt;1,"Duplicate","Unique")</f>
        <v>Unique</v>
      </c>
    </row>
    <row r="1391" spans="1:20" x14ac:dyDescent="0.45">
      <c r="A1391" t="s">
        <v>1700</v>
      </c>
      <c r="B1391" t="s">
        <v>601</v>
      </c>
      <c r="C1391" t="s">
        <v>51</v>
      </c>
      <c r="D1391" t="s">
        <v>50</v>
      </c>
      <c r="E1391" t="s">
        <v>181</v>
      </c>
      <c r="F1391" t="s">
        <v>81</v>
      </c>
      <c r="G1391" t="s">
        <v>182</v>
      </c>
      <c r="H1391" t="s">
        <v>106</v>
      </c>
      <c r="I1391" t="s">
        <v>107</v>
      </c>
      <c r="J1391" t="s">
        <v>3783</v>
      </c>
      <c r="K1391" t="s">
        <v>170</v>
      </c>
      <c r="L1391" t="s">
        <v>3784</v>
      </c>
      <c r="M1391" t="s">
        <v>171</v>
      </c>
      <c r="N1391" t="s">
        <v>97</v>
      </c>
      <c r="O1391" s="27">
        <v>780000</v>
      </c>
      <c r="P1391">
        <v>2</v>
      </c>
      <c r="Q1391" t="s">
        <v>164</v>
      </c>
      <c r="R1391">
        <v>34</v>
      </c>
      <c r="S1391" t="s">
        <v>178</v>
      </c>
      <c r="T1391" t="str">
        <f>IF(COUNTIF($A$2:A1391,A1391)&gt;1,"Duplicate","Unique")</f>
        <v>Unique</v>
      </c>
    </row>
    <row r="1392" spans="1:20" x14ac:dyDescent="0.45">
      <c r="A1392" t="s">
        <v>365</v>
      </c>
      <c r="B1392" t="s">
        <v>366</v>
      </c>
      <c r="C1392" t="s">
        <v>55</v>
      </c>
      <c r="D1392" t="s">
        <v>54</v>
      </c>
      <c r="E1392" t="s">
        <v>277</v>
      </c>
      <c r="F1392" t="s">
        <v>81</v>
      </c>
      <c r="G1392" t="s">
        <v>278</v>
      </c>
      <c r="H1392" t="s">
        <v>106</v>
      </c>
      <c r="I1392" t="s">
        <v>107</v>
      </c>
      <c r="J1392" t="s">
        <v>3785</v>
      </c>
      <c r="K1392" t="s">
        <v>187</v>
      </c>
      <c r="L1392" t="s">
        <v>3786</v>
      </c>
      <c r="M1392" t="s">
        <v>282</v>
      </c>
      <c r="N1392" t="s">
        <v>97</v>
      </c>
      <c r="O1392" s="27">
        <v>631000</v>
      </c>
      <c r="P1392">
        <v>4</v>
      </c>
      <c r="Q1392" t="s">
        <v>164</v>
      </c>
      <c r="R1392">
        <v>48</v>
      </c>
      <c r="S1392" t="s">
        <v>262</v>
      </c>
      <c r="T1392" t="str">
        <f>IF(COUNTIF($A$2:A1392,A1392)&gt;1,"Duplicate","Unique")</f>
        <v>Unique</v>
      </c>
    </row>
    <row r="1393" spans="1:20" x14ac:dyDescent="0.45">
      <c r="A1393" t="s">
        <v>523</v>
      </c>
      <c r="B1393" t="s">
        <v>524</v>
      </c>
      <c r="C1393" t="s">
        <v>53</v>
      </c>
      <c r="D1393" t="s">
        <v>52</v>
      </c>
      <c r="E1393" t="s">
        <v>185</v>
      </c>
      <c r="F1393" t="s">
        <v>82</v>
      </c>
      <c r="G1393" t="s">
        <v>186</v>
      </c>
      <c r="H1393" t="s">
        <v>109</v>
      </c>
      <c r="I1393" t="s">
        <v>110</v>
      </c>
      <c r="J1393" t="s">
        <v>3787</v>
      </c>
      <c r="K1393" t="s">
        <v>187</v>
      </c>
      <c r="L1393" t="s">
        <v>3788</v>
      </c>
      <c r="M1393" t="s">
        <v>282</v>
      </c>
      <c r="N1393" t="s">
        <v>99</v>
      </c>
      <c r="O1393" s="27">
        <v>1288000</v>
      </c>
      <c r="P1393">
        <v>3</v>
      </c>
      <c r="Q1393" t="s">
        <v>164</v>
      </c>
      <c r="R1393">
        <v>28</v>
      </c>
      <c r="S1393" t="s">
        <v>189</v>
      </c>
      <c r="T1393" t="str">
        <f>IF(COUNTIF($A$2:A1393,A1393)&gt;1,"Duplicate","Unique")</f>
        <v>Unique</v>
      </c>
    </row>
    <row r="1394" spans="1:20" x14ac:dyDescent="0.45">
      <c r="A1394" t="s">
        <v>1608</v>
      </c>
      <c r="B1394" t="s">
        <v>1609</v>
      </c>
      <c r="C1394" t="s">
        <v>53</v>
      </c>
      <c r="D1394" t="s">
        <v>52</v>
      </c>
      <c r="E1394" t="s">
        <v>185</v>
      </c>
      <c r="F1394" t="s">
        <v>82</v>
      </c>
      <c r="G1394" t="s">
        <v>186</v>
      </c>
      <c r="H1394" t="s">
        <v>108</v>
      </c>
      <c r="I1394" t="s">
        <v>107</v>
      </c>
      <c r="J1394" t="s">
        <v>2798</v>
      </c>
      <c r="K1394" t="s">
        <v>162</v>
      </c>
      <c r="M1394" t="s">
        <v>163</v>
      </c>
      <c r="N1394" t="s">
        <v>95</v>
      </c>
      <c r="O1394" s="27">
        <v>859000</v>
      </c>
      <c r="P1394">
        <v>4</v>
      </c>
      <c r="Q1394" t="s">
        <v>164</v>
      </c>
      <c r="R1394">
        <v>39</v>
      </c>
      <c r="S1394" t="s">
        <v>237</v>
      </c>
      <c r="T1394" t="str">
        <f>IF(COUNTIF($A$2:A1394,A1394)&gt;1,"Duplicate","Unique")</f>
        <v>Unique</v>
      </c>
    </row>
    <row r="1395" spans="1:20" x14ac:dyDescent="0.45">
      <c r="A1395" t="s">
        <v>1835</v>
      </c>
      <c r="B1395" t="s">
        <v>1017</v>
      </c>
      <c r="C1395" t="s">
        <v>55</v>
      </c>
      <c r="D1395" t="s">
        <v>54</v>
      </c>
      <c r="E1395" t="s">
        <v>240</v>
      </c>
      <c r="F1395" t="s">
        <v>83</v>
      </c>
      <c r="G1395" t="s">
        <v>241</v>
      </c>
      <c r="H1395" t="s">
        <v>108</v>
      </c>
      <c r="I1395" t="s">
        <v>107</v>
      </c>
      <c r="J1395" t="s">
        <v>3657</v>
      </c>
      <c r="K1395" t="s">
        <v>187</v>
      </c>
      <c r="L1395" t="s">
        <v>3789</v>
      </c>
      <c r="M1395" t="s">
        <v>213</v>
      </c>
      <c r="N1395" t="s">
        <v>99</v>
      </c>
      <c r="O1395" s="27">
        <v>1762000</v>
      </c>
      <c r="P1395">
        <v>3</v>
      </c>
      <c r="Q1395" t="s">
        <v>164</v>
      </c>
      <c r="R1395">
        <v>58</v>
      </c>
      <c r="S1395" t="s">
        <v>274</v>
      </c>
      <c r="T1395" t="str">
        <f>IF(COUNTIF($A$2:A1395,A1395)&gt;1,"Duplicate","Unique")</f>
        <v>Unique</v>
      </c>
    </row>
    <row r="1396" spans="1:20" x14ac:dyDescent="0.45">
      <c r="A1396" t="s">
        <v>2210</v>
      </c>
      <c r="B1396" t="s">
        <v>1323</v>
      </c>
      <c r="C1396" t="s">
        <v>57</v>
      </c>
      <c r="D1396" t="s">
        <v>56</v>
      </c>
      <c r="E1396" t="s">
        <v>160</v>
      </c>
      <c r="F1396" t="s">
        <v>81</v>
      </c>
      <c r="G1396" t="s">
        <v>161</v>
      </c>
      <c r="H1396" t="s">
        <v>109</v>
      </c>
      <c r="I1396" t="s">
        <v>110</v>
      </c>
      <c r="J1396" t="s">
        <v>3790</v>
      </c>
      <c r="K1396" t="s">
        <v>170</v>
      </c>
      <c r="L1396" t="s">
        <v>3791</v>
      </c>
      <c r="M1396" t="s">
        <v>171</v>
      </c>
      <c r="N1396" t="s">
        <v>98</v>
      </c>
      <c r="O1396" s="27">
        <v>621000</v>
      </c>
      <c r="P1396">
        <v>2</v>
      </c>
      <c r="Q1396" t="s">
        <v>164</v>
      </c>
      <c r="R1396">
        <v>4</v>
      </c>
      <c r="S1396" t="s">
        <v>224</v>
      </c>
      <c r="T1396" t="str">
        <f>IF(COUNTIF($A$2:A1396,A1396)&gt;1,"Duplicate","Unique")</f>
        <v>Unique</v>
      </c>
    </row>
    <row r="1397" spans="1:20" x14ac:dyDescent="0.45">
      <c r="A1397" t="s">
        <v>1423</v>
      </c>
      <c r="B1397" t="s">
        <v>1424</v>
      </c>
      <c r="C1397" t="s">
        <v>51</v>
      </c>
      <c r="D1397" t="s">
        <v>2643</v>
      </c>
      <c r="E1397" t="s">
        <v>176</v>
      </c>
      <c r="F1397" t="s">
        <v>82</v>
      </c>
      <c r="G1397" t="s">
        <v>177</v>
      </c>
      <c r="H1397" t="s">
        <v>108</v>
      </c>
      <c r="I1397" t="s">
        <v>107</v>
      </c>
      <c r="J1397" t="s">
        <v>3792</v>
      </c>
      <c r="K1397" t="s">
        <v>187</v>
      </c>
      <c r="L1397" t="s">
        <v>2691</v>
      </c>
      <c r="M1397" t="s">
        <v>269</v>
      </c>
      <c r="N1397" t="s">
        <v>97</v>
      </c>
      <c r="O1397" s="27">
        <v>1256000</v>
      </c>
      <c r="P1397">
        <v>4</v>
      </c>
      <c r="Q1397" t="s">
        <v>164</v>
      </c>
      <c r="R1397">
        <v>58</v>
      </c>
      <c r="S1397" t="s">
        <v>178</v>
      </c>
      <c r="T1397" t="str">
        <f>IF(COUNTIF($A$2:A1397,A1397)&gt;1,"Duplicate","Unique")</f>
        <v>Unique</v>
      </c>
    </row>
    <row r="1398" spans="1:20" x14ac:dyDescent="0.45">
      <c r="A1398" t="s">
        <v>1159</v>
      </c>
      <c r="B1398" t="s">
        <v>1160</v>
      </c>
      <c r="C1398" t="s">
        <v>57</v>
      </c>
      <c r="D1398" t="s">
        <v>56</v>
      </c>
      <c r="E1398" t="s">
        <v>222</v>
      </c>
      <c r="F1398" t="s">
        <v>82</v>
      </c>
      <c r="G1398" t="s">
        <v>223</v>
      </c>
      <c r="H1398" t="s">
        <v>112</v>
      </c>
      <c r="I1398" t="s">
        <v>113</v>
      </c>
      <c r="J1398" t="s">
        <v>3107</v>
      </c>
      <c r="K1398" t="s">
        <v>170</v>
      </c>
      <c r="L1398" t="s">
        <v>3739</v>
      </c>
      <c r="M1398" t="s">
        <v>171</v>
      </c>
      <c r="N1398" t="s">
        <v>96</v>
      </c>
      <c r="O1398" s="27">
        <v>972000</v>
      </c>
      <c r="P1398">
        <v>2</v>
      </c>
      <c r="Q1398" t="s">
        <v>164</v>
      </c>
      <c r="R1398">
        <v>4</v>
      </c>
      <c r="S1398" t="s">
        <v>165</v>
      </c>
      <c r="T1398" t="str">
        <f>IF(COUNTIF($A$2:A1398,A1398)&gt;1,"Duplicate","Unique")</f>
        <v>Unique</v>
      </c>
    </row>
    <row r="1399" spans="1:20" x14ac:dyDescent="0.45">
      <c r="A1399" t="s">
        <v>2192</v>
      </c>
      <c r="B1399" t="s">
        <v>799</v>
      </c>
      <c r="C1399" t="s">
        <v>55</v>
      </c>
      <c r="D1399" t="s">
        <v>54</v>
      </c>
      <c r="E1399" t="s">
        <v>240</v>
      </c>
      <c r="F1399" t="s">
        <v>83</v>
      </c>
      <c r="G1399" t="s">
        <v>241</v>
      </c>
      <c r="H1399" t="s">
        <v>108</v>
      </c>
      <c r="I1399" t="s">
        <v>107</v>
      </c>
      <c r="J1399" t="s">
        <v>3793</v>
      </c>
      <c r="K1399" t="s">
        <v>162</v>
      </c>
      <c r="M1399" t="s">
        <v>163</v>
      </c>
      <c r="N1399" t="s">
        <v>97</v>
      </c>
      <c r="O1399" s="27">
        <v>1879000</v>
      </c>
      <c r="P1399">
        <v>3</v>
      </c>
      <c r="Q1399" t="s">
        <v>172</v>
      </c>
      <c r="R1399">
        <v>20</v>
      </c>
      <c r="S1399" t="s">
        <v>262</v>
      </c>
      <c r="T1399" t="str">
        <f>IF(COUNTIF($A$2:A1399,A1399)&gt;1,"Duplicate","Unique")</f>
        <v>Unique</v>
      </c>
    </row>
    <row r="1400" spans="1:20" x14ac:dyDescent="0.45">
      <c r="A1400" t="s">
        <v>763</v>
      </c>
      <c r="B1400" t="s">
        <v>284</v>
      </c>
      <c r="C1400" t="s">
        <v>57</v>
      </c>
      <c r="D1400" t="s">
        <v>56</v>
      </c>
      <c r="E1400" t="s">
        <v>160</v>
      </c>
      <c r="F1400" t="s">
        <v>81</v>
      </c>
      <c r="G1400" t="s">
        <v>161</v>
      </c>
      <c r="H1400" t="s">
        <v>112</v>
      </c>
      <c r="I1400" t="s">
        <v>113</v>
      </c>
      <c r="J1400" t="s">
        <v>2454</v>
      </c>
      <c r="K1400" t="s">
        <v>170</v>
      </c>
      <c r="L1400" t="s">
        <v>2659</v>
      </c>
      <c r="M1400" t="s">
        <v>171</v>
      </c>
      <c r="N1400" t="s">
        <v>97</v>
      </c>
      <c r="O1400" s="27">
        <v>811000</v>
      </c>
      <c r="P1400">
        <v>2</v>
      </c>
      <c r="Q1400" t="s">
        <v>164</v>
      </c>
      <c r="R1400">
        <v>31</v>
      </c>
      <c r="S1400" t="s">
        <v>165</v>
      </c>
      <c r="T1400" t="str">
        <f>IF(COUNTIF($A$2:A1400,A1400)&gt;1,"Duplicate","Unique")</f>
        <v>Unique</v>
      </c>
    </row>
    <row r="1401" spans="1:20" x14ac:dyDescent="0.45">
      <c r="A1401" t="s">
        <v>972</v>
      </c>
      <c r="B1401" t="s">
        <v>973</v>
      </c>
      <c r="C1401" t="s">
        <v>57</v>
      </c>
      <c r="D1401" t="s">
        <v>2484</v>
      </c>
      <c r="E1401" t="s">
        <v>222</v>
      </c>
      <c r="F1401" t="s">
        <v>82</v>
      </c>
      <c r="G1401" t="s">
        <v>223</v>
      </c>
      <c r="H1401" t="s">
        <v>108</v>
      </c>
      <c r="I1401" t="s">
        <v>107</v>
      </c>
      <c r="J1401" t="s">
        <v>3794</v>
      </c>
      <c r="K1401" t="s">
        <v>162</v>
      </c>
      <c r="M1401" t="s">
        <v>163</v>
      </c>
      <c r="N1401" t="s">
        <v>96</v>
      </c>
      <c r="O1401" s="27">
        <v>1203000</v>
      </c>
      <c r="P1401">
        <v>3</v>
      </c>
      <c r="Q1401" t="s">
        <v>164</v>
      </c>
      <c r="R1401">
        <v>41</v>
      </c>
      <c r="S1401" t="s">
        <v>224</v>
      </c>
      <c r="T1401" t="str">
        <f>IF(COUNTIF($A$2:A1401,A1401)&gt;1,"Duplicate","Unique")</f>
        <v>Unique</v>
      </c>
    </row>
    <row r="1402" spans="1:20" x14ac:dyDescent="0.45">
      <c r="A1402" t="s">
        <v>454</v>
      </c>
      <c r="B1402" t="s">
        <v>196</v>
      </c>
      <c r="C1402" t="s">
        <v>57</v>
      </c>
      <c r="D1402" t="s">
        <v>2476</v>
      </c>
      <c r="E1402" t="s">
        <v>455</v>
      </c>
      <c r="F1402" t="s">
        <v>84</v>
      </c>
      <c r="G1402" t="s">
        <v>456</v>
      </c>
      <c r="H1402" t="s">
        <v>112</v>
      </c>
      <c r="I1402" t="s">
        <v>113</v>
      </c>
      <c r="J1402" t="s">
        <v>3486</v>
      </c>
      <c r="K1402" t="s">
        <v>162</v>
      </c>
      <c r="M1402" t="s">
        <v>163</v>
      </c>
      <c r="N1402" t="s">
        <v>96</v>
      </c>
      <c r="O1402" s="27">
        <v>2400000</v>
      </c>
      <c r="P1402">
        <v>4</v>
      </c>
      <c r="Q1402" t="s">
        <v>164</v>
      </c>
      <c r="R1402">
        <v>37</v>
      </c>
      <c r="S1402" t="s">
        <v>224</v>
      </c>
      <c r="T1402" t="str">
        <f>IF(COUNTIF($A$2:A1402,A1402)&gt;1,"Duplicate","Unique")</f>
        <v>Unique</v>
      </c>
    </row>
    <row r="1403" spans="1:20" x14ac:dyDescent="0.45">
      <c r="A1403" t="s">
        <v>614</v>
      </c>
      <c r="B1403" t="s">
        <v>615</v>
      </c>
      <c r="C1403" t="s">
        <v>53</v>
      </c>
      <c r="D1403" t="s">
        <v>52</v>
      </c>
      <c r="E1403" t="s">
        <v>185</v>
      </c>
      <c r="F1403" t="s">
        <v>82</v>
      </c>
      <c r="G1403" t="s">
        <v>186</v>
      </c>
      <c r="H1403" t="s">
        <v>108</v>
      </c>
      <c r="I1403" t="s">
        <v>107</v>
      </c>
      <c r="J1403" t="s">
        <v>2822</v>
      </c>
      <c r="K1403" t="s">
        <v>187</v>
      </c>
      <c r="L1403" t="s">
        <v>3518</v>
      </c>
      <c r="M1403" t="s">
        <v>269</v>
      </c>
      <c r="N1403" t="s">
        <v>99</v>
      </c>
      <c r="O1403" s="27">
        <v>868000</v>
      </c>
      <c r="P1403">
        <v>4</v>
      </c>
      <c r="Q1403" t="s">
        <v>164</v>
      </c>
      <c r="S1403" t="s">
        <v>189</v>
      </c>
      <c r="T1403" t="str">
        <f>IF(COUNTIF($A$2:A1403,A1403)&gt;1,"Duplicate","Unique")</f>
        <v>Unique</v>
      </c>
    </row>
    <row r="1404" spans="1:20" x14ac:dyDescent="0.45">
      <c r="A1404" t="s">
        <v>829</v>
      </c>
      <c r="B1404" t="s">
        <v>830</v>
      </c>
      <c r="C1404" t="s">
        <v>51</v>
      </c>
      <c r="D1404" t="s">
        <v>50</v>
      </c>
      <c r="E1404" t="s">
        <v>217</v>
      </c>
      <c r="F1404" t="s">
        <v>83</v>
      </c>
      <c r="G1404" t="s">
        <v>218</v>
      </c>
      <c r="H1404" t="s">
        <v>108</v>
      </c>
      <c r="I1404" t="s">
        <v>107</v>
      </c>
      <c r="J1404" t="s">
        <v>3795</v>
      </c>
      <c r="K1404" t="s">
        <v>162</v>
      </c>
      <c r="M1404" t="s">
        <v>163</v>
      </c>
      <c r="N1404" t="s">
        <v>99</v>
      </c>
      <c r="O1404" s="27">
        <v>1558000</v>
      </c>
      <c r="P1404">
        <v>4</v>
      </c>
      <c r="Q1404" t="s">
        <v>172</v>
      </c>
      <c r="R1404">
        <v>41</v>
      </c>
      <c r="S1404" t="s">
        <v>178</v>
      </c>
      <c r="T1404" t="str">
        <f>IF(COUNTIF($A$2:A1404,A1404)&gt;1,"Duplicate","Unique")</f>
        <v>Unique</v>
      </c>
    </row>
    <row r="1405" spans="1:20" x14ac:dyDescent="0.45">
      <c r="A1405" t="s">
        <v>871</v>
      </c>
      <c r="B1405" t="s">
        <v>314</v>
      </c>
      <c r="C1405" t="s">
        <v>55</v>
      </c>
      <c r="D1405" t="s">
        <v>54</v>
      </c>
      <c r="E1405" t="s">
        <v>277</v>
      </c>
      <c r="F1405" t="s">
        <v>81</v>
      </c>
      <c r="G1405" t="s">
        <v>278</v>
      </c>
      <c r="H1405" t="s">
        <v>108</v>
      </c>
      <c r="I1405" t="s">
        <v>107</v>
      </c>
      <c r="J1405" t="s">
        <v>3796</v>
      </c>
      <c r="K1405" t="s">
        <v>170</v>
      </c>
      <c r="L1405" t="s">
        <v>2949</v>
      </c>
      <c r="M1405" t="s">
        <v>171</v>
      </c>
      <c r="N1405" t="s">
        <v>97</v>
      </c>
      <c r="O1405" s="27">
        <v>809000</v>
      </c>
      <c r="P1405">
        <v>4</v>
      </c>
      <c r="Q1405" t="s">
        <v>172</v>
      </c>
      <c r="R1405">
        <v>57</v>
      </c>
      <c r="S1405" t="s">
        <v>173</v>
      </c>
      <c r="T1405" t="str">
        <f>IF(COUNTIF($A$2:A1405,A1405)&gt;1,"Duplicate","Unique")</f>
        <v>Unique</v>
      </c>
    </row>
    <row r="1406" spans="1:20" x14ac:dyDescent="0.45">
      <c r="A1406" t="s">
        <v>1945</v>
      </c>
      <c r="B1406" t="s">
        <v>755</v>
      </c>
      <c r="C1406" t="s">
        <v>53</v>
      </c>
      <c r="D1406" t="s">
        <v>52</v>
      </c>
      <c r="E1406" t="s">
        <v>322</v>
      </c>
      <c r="F1406" t="s">
        <v>81</v>
      </c>
      <c r="G1406" t="s">
        <v>323</v>
      </c>
      <c r="H1406" t="s">
        <v>108</v>
      </c>
      <c r="I1406" t="s">
        <v>107</v>
      </c>
      <c r="J1406" t="s">
        <v>3244</v>
      </c>
      <c r="K1406" t="s">
        <v>162</v>
      </c>
      <c r="M1406" t="s">
        <v>163</v>
      </c>
      <c r="N1406" t="s">
        <v>96</v>
      </c>
      <c r="O1406" s="27">
        <v>642000</v>
      </c>
      <c r="P1406">
        <v>4</v>
      </c>
      <c r="Q1406" t="s">
        <v>172</v>
      </c>
      <c r="R1406">
        <v>55</v>
      </c>
      <c r="S1406" t="s">
        <v>237</v>
      </c>
      <c r="T1406" t="str">
        <f>IF(COUNTIF($A$2:A1406,A1406)&gt;1,"Duplicate","Unique")</f>
        <v>Unique</v>
      </c>
    </row>
    <row r="1407" spans="1:20" x14ac:dyDescent="0.45">
      <c r="A1407" t="s">
        <v>2201</v>
      </c>
      <c r="B1407" t="s">
        <v>1045</v>
      </c>
      <c r="C1407" t="s">
        <v>51</v>
      </c>
      <c r="D1407" t="s">
        <v>50</v>
      </c>
      <c r="E1407" t="s">
        <v>181</v>
      </c>
      <c r="F1407" t="s">
        <v>81</v>
      </c>
      <c r="G1407" t="s">
        <v>182</v>
      </c>
      <c r="H1407" t="s">
        <v>106</v>
      </c>
      <c r="I1407" t="s">
        <v>107</v>
      </c>
      <c r="J1407" t="s">
        <v>3797</v>
      </c>
      <c r="K1407" t="s">
        <v>170</v>
      </c>
      <c r="L1407" t="s">
        <v>3798</v>
      </c>
      <c r="M1407" t="s">
        <v>171</v>
      </c>
      <c r="N1407" t="s">
        <v>99</v>
      </c>
      <c r="O1407" s="27">
        <v>615000</v>
      </c>
      <c r="P1407">
        <v>4</v>
      </c>
      <c r="Q1407" t="s">
        <v>164</v>
      </c>
      <c r="R1407">
        <v>38</v>
      </c>
      <c r="S1407" t="s">
        <v>197</v>
      </c>
      <c r="T1407" t="str">
        <f>IF(COUNTIF($A$2:A1407,A1407)&gt;1,"Duplicate","Unique")</f>
        <v>Unique</v>
      </c>
    </row>
    <row r="1408" spans="1:20" x14ac:dyDescent="0.45">
      <c r="A1408" t="s">
        <v>2140</v>
      </c>
      <c r="B1408" t="s">
        <v>349</v>
      </c>
      <c r="C1408" t="s">
        <v>51</v>
      </c>
      <c r="D1408" t="s">
        <v>50</v>
      </c>
      <c r="E1408" t="s">
        <v>181</v>
      </c>
      <c r="F1408" t="s">
        <v>81</v>
      </c>
      <c r="G1408" t="s">
        <v>182</v>
      </c>
      <c r="H1408" t="s">
        <v>106</v>
      </c>
      <c r="I1408" t="s">
        <v>107</v>
      </c>
      <c r="J1408" t="s">
        <v>3642</v>
      </c>
      <c r="K1408" t="s">
        <v>162</v>
      </c>
      <c r="M1408" t="s">
        <v>163</v>
      </c>
      <c r="N1408" t="s">
        <v>95</v>
      </c>
      <c r="O1408" s="27">
        <v>766000</v>
      </c>
      <c r="P1408">
        <v>5</v>
      </c>
      <c r="Q1408" t="s">
        <v>164</v>
      </c>
      <c r="R1408">
        <v>47</v>
      </c>
      <c r="S1408" t="s">
        <v>178</v>
      </c>
      <c r="T1408" t="str">
        <f>IF(COUNTIF($A$2:A1408,A1408)&gt;1,"Duplicate","Unique")</f>
        <v>Unique</v>
      </c>
    </row>
    <row r="1409" spans="1:20" x14ac:dyDescent="0.45">
      <c r="A1409" t="s">
        <v>2039</v>
      </c>
      <c r="B1409" t="s">
        <v>734</v>
      </c>
      <c r="C1409" t="s">
        <v>55</v>
      </c>
      <c r="D1409" t="s">
        <v>54</v>
      </c>
      <c r="E1409" t="s">
        <v>277</v>
      </c>
      <c r="F1409" t="s">
        <v>81</v>
      </c>
      <c r="G1409" t="s">
        <v>278</v>
      </c>
      <c r="H1409" t="s">
        <v>2535</v>
      </c>
      <c r="I1409" t="s">
        <v>107</v>
      </c>
      <c r="J1409" t="s">
        <v>3799</v>
      </c>
      <c r="K1409" t="s">
        <v>162</v>
      </c>
      <c r="M1409" t="s">
        <v>163</v>
      </c>
      <c r="N1409" t="s">
        <v>95</v>
      </c>
      <c r="O1409" s="27">
        <v>706000</v>
      </c>
      <c r="P1409">
        <v>3</v>
      </c>
      <c r="Q1409" t="s">
        <v>164</v>
      </c>
      <c r="R1409">
        <v>41</v>
      </c>
      <c r="S1409" t="s">
        <v>173</v>
      </c>
      <c r="T1409" t="str">
        <f>IF(COUNTIF($A$2:A1409,A1409)&gt;1,"Duplicate","Unique")</f>
        <v>Unique</v>
      </c>
    </row>
    <row r="1410" spans="1:20" x14ac:dyDescent="0.45">
      <c r="A1410" t="s">
        <v>1858</v>
      </c>
      <c r="B1410" t="s">
        <v>402</v>
      </c>
      <c r="C1410" t="s">
        <v>53</v>
      </c>
      <c r="D1410" t="s">
        <v>52</v>
      </c>
      <c r="E1410" t="s">
        <v>322</v>
      </c>
      <c r="F1410" t="s">
        <v>81</v>
      </c>
      <c r="G1410" t="s">
        <v>323</v>
      </c>
      <c r="H1410" t="s">
        <v>112</v>
      </c>
      <c r="I1410" t="s">
        <v>113</v>
      </c>
      <c r="J1410" t="s">
        <v>3800</v>
      </c>
      <c r="K1410" t="s">
        <v>162</v>
      </c>
      <c r="M1410" t="s">
        <v>163</v>
      </c>
      <c r="N1410" t="s">
        <v>99</v>
      </c>
      <c r="O1410" s="27">
        <v>634000</v>
      </c>
      <c r="P1410">
        <v>4</v>
      </c>
      <c r="Q1410" t="s">
        <v>164</v>
      </c>
      <c r="R1410">
        <v>41</v>
      </c>
      <c r="S1410" t="s">
        <v>237</v>
      </c>
      <c r="T1410" t="str">
        <f>IF(COUNTIF($A$2:A1410,A1410)&gt;1,"Duplicate","Unique")</f>
        <v>Unique</v>
      </c>
    </row>
    <row r="1411" spans="1:20" x14ac:dyDescent="0.45">
      <c r="A1411" t="s">
        <v>541</v>
      </c>
      <c r="B1411" t="s">
        <v>196</v>
      </c>
      <c r="C1411" t="s">
        <v>57</v>
      </c>
      <c r="D1411" t="s">
        <v>56</v>
      </c>
      <c r="E1411" t="s">
        <v>222</v>
      </c>
      <c r="F1411" t="s">
        <v>82</v>
      </c>
      <c r="G1411" t="s">
        <v>223</v>
      </c>
      <c r="H1411" t="s">
        <v>111</v>
      </c>
      <c r="I1411" t="s">
        <v>110</v>
      </c>
      <c r="J1411" t="s">
        <v>3801</v>
      </c>
      <c r="K1411" t="s">
        <v>162</v>
      </c>
      <c r="M1411" t="s">
        <v>163</v>
      </c>
      <c r="N1411" t="s">
        <v>97</v>
      </c>
      <c r="O1411" s="27">
        <v>1047000</v>
      </c>
      <c r="P1411">
        <v>4</v>
      </c>
      <c r="Q1411" t="s">
        <v>172</v>
      </c>
      <c r="R1411">
        <v>16</v>
      </c>
      <c r="S1411" t="s">
        <v>224</v>
      </c>
      <c r="T1411" t="str">
        <f>IF(COUNTIF($A$2:A1411,A1411)&gt;1,"Duplicate","Unique")</f>
        <v>Unique</v>
      </c>
    </row>
    <row r="1412" spans="1:20" x14ac:dyDescent="0.45">
      <c r="A1412" t="s">
        <v>2066</v>
      </c>
      <c r="B1412" t="s">
        <v>832</v>
      </c>
      <c r="C1412" t="s">
        <v>61</v>
      </c>
      <c r="D1412" t="s">
        <v>60</v>
      </c>
      <c r="E1412" t="s">
        <v>923</v>
      </c>
      <c r="F1412" t="s">
        <v>85</v>
      </c>
      <c r="G1412" t="s">
        <v>924</v>
      </c>
      <c r="H1412" t="s">
        <v>109</v>
      </c>
      <c r="I1412" t="s">
        <v>110</v>
      </c>
      <c r="J1412" t="s">
        <v>3560</v>
      </c>
      <c r="K1412" t="s">
        <v>162</v>
      </c>
      <c r="M1412" t="s">
        <v>163</v>
      </c>
      <c r="N1412" t="s">
        <v>96</v>
      </c>
      <c r="O1412" s="27">
        <v>3422000</v>
      </c>
      <c r="P1412">
        <v>4</v>
      </c>
      <c r="Q1412" t="s">
        <v>164</v>
      </c>
      <c r="R1412">
        <v>12</v>
      </c>
      <c r="S1412" t="s">
        <v>253</v>
      </c>
      <c r="T1412" t="str">
        <f>IF(COUNTIF($A$2:A1412,A1412)&gt;1,"Duplicate","Unique")</f>
        <v>Unique</v>
      </c>
    </row>
    <row r="1413" spans="1:20" x14ac:dyDescent="0.45">
      <c r="A1413" t="s">
        <v>1642</v>
      </c>
      <c r="B1413" t="s">
        <v>1643</v>
      </c>
      <c r="C1413" t="s">
        <v>57</v>
      </c>
      <c r="D1413" t="s">
        <v>56</v>
      </c>
      <c r="E1413" t="s">
        <v>222</v>
      </c>
      <c r="F1413" t="s">
        <v>82</v>
      </c>
      <c r="G1413" t="s">
        <v>223</v>
      </c>
      <c r="H1413" t="s">
        <v>108</v>
      </c>
      <c r="I1413" t="s">
        <v>107</v>
      </c>
      <c r="J1413" t="s">
        <v>3556</v>
      </c>
      <c r="K1413" t="s">
        <v>187</v>
      </c>
      <c r="L1413" t="s">
        <v>3802</v>
      </c>
      <c r="M1413" t="s">
        <v>213</v>
      </c>
      <c r="N1413" t="s">
        <v>99</v>
      </c>
      <c r="O1413" s="27">
        <v>854000</v>
      </c>
      <c r="P1413">
        <v>3</v>
      </c>
      <c r="Q1413" t="s">
        <v>172</v>
      </c>
      <c r="R1413">
        <v>49</v>
      </c>
      <c r="S1413" t="s">
        <v>224</v>
      </c>
      <c r="T1413" t="str">
        <f>IF(COUNTIF($A$2:A1413,A1413)&gt;1,"Duplicate","Unique")</f>
        <v>Unique</v>
      </c>
    </row>
    <row r="1414" spans="1:20" x14ac:dyDescent="0.45">
      <c r="A1414" t="s">
        <v>367</v>
      </c>
      <c r="B1414" t="s">
        <v>368</v>
      </c>
      <c r="C1414" t="s">
        <v>57</v>
      </c>
      <c r="D1414" t="s">
        <v>56</v>
      </c>
      <c r="E1414" t="s">
        <v>222</v>
      </c>
      <c r="F1414" t="s">
        <v>82</v>
      </c>
      <c r="G1414" t="s">
        <v>223</v>
      </c>
      <c r="H1414" t="s">
        <v>108</v>
      </c>
      <c r="I1414" t="s">
        <v>107</v>
      </c>
      <c r="J1414" t="s">
        <v>3803</v>
      </c>
      <c r="K1414" t="s">
        <v>187</v>
      </c>
      <c r="L1414" t="s">
        <v>3804</v>
      </c>
      <c r="M1414" t="s">
        <v>308</v>
      </c>
      <c r="N1414" t="s">
        <v>97</v>
      </c>
      <c r="O1414" s="27">
        <v>1155000</v>
      </c>
      <c r="P1414">
        <v>3</v>
      </c>
      <c r="Q1414" t="s">
        <v>172</v>
      </c>
      <c r="R1414">
        <v>29</v>
      </c>
      <c r="S1414" t="s">
        <v>224</v>
      </c>
      <c r="T1414" t="str">
        <f>IF(COUNTIF($A$2:A1414,A1414)&gt;1,"Duplicate","Unique")</f>
        <v>Unique</v>
      </c>
    </row>
    <row r="1415" spans="1:20" x14ac:dyDescent="0.45">
      <c r="A1415" t="s">
        <v>1965</v>
      </c>
      <c r="B1415" t="s">
        <v>1966</v>
      </c>
      <c r="C1415" t="s">
        <v>51</v>
      </c>
      <c r="D1415" t="s">
        <v>50</v>
      </c>
      <c r="E1415" t="s">
        <v>181</v>
      </c>
      <c r="F1415" t="s">
        <v>81</v>
      </c>
      <c r="G1415" t="s">
        <v>182</v>
      </c>
      <c r="H1415" t="s">
        <v>2611</v>
      </c>
      <c r="I1415" t="s">
        <v>107</v>
      </c>
      <c r="J1415" t="s">
        <v>3692</v>
      </c>
      <c r="K1415" t="s">
        <v>162</v>
      </c>
      <c r="M1415" t="s">
        <v>163</v>
      </c>
      <c r="N1415" t="s">
        <v>97</v>
      </c>
      <c r="O1415" s="27">
        <v>602000</v>
      </c>
      <c r="P1415">
        <v>4</v>
      </c>
      <c r="Q1415" t="s">
        <v>172</v>
      </c>
      <c r="R1415">
        <v>39</v>
      </c>
      <c r="S1415" t="s">
        <v>197</v>
      </c>
      <c r="T1415" t="str">
        <f>IF(COUNTIF($A$2:A1415,A1415)&gt;1,"Duplicate","Unique")</f>
        <v>Unique</v>
      </c>
    </row>
    <row r="1416" spans="1:20" x14ac:dyDescent="0.45">
      <c r="A1416" t="s">
        <v>2299</v>
      </c>
      <c r="B1416" t="s">
        <v>758</v>
      </c>
      <c r="C1416" t="s">
        <v>55</v>
      </c>
      <c r="D1416" t="s">
        <v>54</v>
      </c>
      <c r="E1416" t="s">
        <v>277</v>
      </c>
      <c r="F1416" t="s">
        <v>81</v>
      </c>
      <c r="G1416" t="s">
        <v>278</v>
      </c>
      <c r="H1416" t="s">
        <v>2465</v>
      </c>
      <c r="I1416" t="s">
        <v>107</v>
      </c>
      <c r="J1416" t="s">
        <v>3805</v>
      </c>
      <c r="K1416" t="s">
        <v>162</v>
      </c>
      <c r="M1416" t="s">
        <v>163</v>
      </c>
      <c r="N1416" t="s">
        <v>99</v>
      </c>
      <c r="O1416" s="27">
        <v>702000</v>
      </c>
      <c r="Q1416" t="s">
        <v>172</v>
      </c>
      <c r="R1416">
        <v>30</v>
      </c>
      <c r="S1416" t="s">
        <v>262</v>
      </c>
      <c r="T1416" t="str">
        <f>IF(COUNTIF($A$2:A1416,A1416)&gt;1,"Duplicate","Unique")</f>
        <v>Unique</v>
      </c>
    </row>
    <row r="1417" spans="1:20" x14ac:dyDescent="0.45">
      <c r="A1417" t="s">
        <v>648</v>
      </c>
      <c r="B1417" t="s">
        <v>425</v>
      </c>
      <c r="C1417" t="s">
        <v>51</v>
      </c>
      <c r="D1417" t="s">
        <v>50</v>
      </c>
      <c r="E1417" t="s">
        <v>176</v>
      </c>
      <c r="F1417" t="s">
        <v>82</v>
      </c>
      <c r="G1417" t="s">
        <v>177</v>
      </c>
      <c r="H1417" t="s">
        <v>106</v>
      </c>
      <c r="I1417" t="s">
        <v>107</v>
      </c>
      <c r="J1417" t="s">
        <v>3186</v>
      </c>
      <c r="K1417" t="s">
        <v>187</v>
      </c>
      <c r="L1417" t="s">
        <v>2774</v>
      </c>
      <c r="M1417" t="s">
        <v>213</v>
      </c>
      <c r="N1417" t="s">
        <v>98</v>
      </c>
      <c r="O1417" s="27">
        <v>1338000</v>
      </c>
      <c r="P1417">
        <v>4</v>
      </c>
      <c r="Q1417" t="s">
        <v>164</v>
      </c>
      <c r="R1417">
        <v>55</v>
      </c>
      <c r="S1417" t="s">
        <v>219</v>
      </c>
      <c r="T1417" t="str">
        <f>IF(COUNTIF($A$2:A1417,A1417)&gt;1,"Duplicate","Unique")</f>
        <v>Unique</v>
      </c>
    </row>
    <row r="1418" spans="1:20" x14ac:dyDescent="0.45">
      <c r="A1418" t="s">
        <v>2284</v>
      </c>
      <c r="B1418" t="s">
        <v>1181</v>
      </c>
      <c r="C1418" t="s">
        <v>57</v>
      </c>
      <c r="D1418" t="s">
        <v>2484</v>
      </c>
      <c r="E1418" t="s">
        <v>160</v>
      </c>
      <c r="F1418" t="s">
        <v>81</v>
      </c>
      <c r="G1418" t="s">
        <v>161</v>
      </c>
      <c r="H1418" t="s">
        <v>111</v>
      </c>
      <c r="I1418" t="s">
        <v>110</v>
      </c>
      <c r="J1418" t="s">
        <v>3806</v>
      </c>
      <c r="K1418" t="s">
        <v>162</v>
      </c>
      <c r="M1418" t="s">
        <v>163</v>
      </c>
      <c r="N1418" t="s">
        <v>98</v>
      </c>
      <c r="O1418" s="27">
        <v>573000</v>
      </c>
      <c r="P1418">
        <v>3</v>
      </c>
      <c r="Q1418" t="s">
        <v>172</v>
      </c>
      <c r="R1418">
        <v>26</v>
      </c>
      <c r="S1418" t="s">
        <v>224</v>
      </c>
      <c r="T1418" t="str">
        <f>IF(COUNTIF($A$2:A1418,A1418)&gt;1,"Duplicate","Unique")</f>
        <v>Unique</v>
      </c>
    </row>
    <row r="1419" spans="1:20" x14ac:dyDescent="0.45">
      <c r="A1419" t="s">
        <v>467</v>
      </c>
      <c r="B1419" t="s">
        <v>3807</v>
      </c>
      <c r="C1419" t="s">
        <v>51</v>
      </c>
      <c r="D1419" t="s">
        <v>50</v>
      </c>
      <c r="E1419" t="s">
        <v>176</v>
      </c>
      <c r="F1419" t="s">
        <v>82</v>
      </c>
      <c r="G1419" t="s">
        <v>177</v>
      </c>
      <c r="H1419" t="s">
        <v>106</v>
      </c>
      <c r="I1419" t="s">
        <v>107</v>
      </c>
      <c r="J1419" t="s">
        <v>3808</v>
      </c>
      <c r="K1419" t="s">
        <v>162</v>
      </c>
      <c r="M1419" t="s">
        <v>163</v>
      </c>
      <c r="N1419" t="s">
        <v>96</v>
      </c>
      <c r="O1419" s="27">
        <v>1265000</v>
      </c>
      <c r="P1419">
        <v>3</v>
      </c>
      <c r="Q1419" t="s">
        <v>164</v>
      </c>
      <c r="R1419">
        <v>52</v>
      </c>
      <c r="S1419" t="s">
        <v>219</v>
      </c>
      <c r="T1419" t="str">
        <f>IF(COUNTIF($A$2:A1419,A1419)&gt;1,"Duplicate","Unique")</f>
        <v>Unique</v>
      </c>
    </row>
    <row r="1420" spans="1:20" x14ac:dyDescent="0.45">
      <c r="A1420" t="s">
        <v>1461</v>
      </c>
      <c r="B1420" t="s">
        <v>3809</v>
      </c>
      <c r="C1420" t="s">
        <v>55</v>
      </c>
      <c r="D1420" t="s">
        <v>54</v>
      </c>
      <c r="E1420" t="s">
        <v>229</v>
      </c>
      <c r="F1420" t="s">
        <v>82</v>
      </c>
      <c r="G1420" t="s">
        <v>230</v>
      </c>
      <c r="H1420" t="s">
        <v>109</v>
      </c>
      <c r="I1420" t="s">
        <v>110</v>
      </c>
      <c r="J1420" t="s">
        <v>3810</v>
      </c>
      <c r="K1420" t="s">
        <v>187</v>
      </c>
      <c r="L1420" t="s">
        <v>3811</v>
      </c>
      <c r="M1420" t="s">
        <v>213</v>
      </c>
      <c r="N1420" t="s">
        <v>97</v>
      </c>
      <c r="O1420" s="27">
        <v>1244000</v>
      </c>
      <c r="P1420">
        <v>3</v>
      </c>
      <c r="Q1420" t="s">
        <v>172</v>
      </c>
      <c r="R1420">
        <v>25</v>
      </c>
      <c r="S1420" t="s">
        <v>173</v>
      </c>
      <c r="T1420" t="str">
        <f>IF(COUNTIF($A$2:A1420,A1420)&gt;1,"Duplicate","Unique")</f>
        <v>Unique</v>
      </c>
    </row>
    <row r="1421" spans="1:20" x14ac:dyDescent="0.45">
      <c r="A1421" t="s">
        <v>2151</v>
      </c>
      <c r="B1421" t="s">
        <v>1794</v>
      </c>
      <c r="C1421" t="s">
        <v>51</v>
      </c>
      <c r="D1421" t="s">
        <v>50</v>
      </c>
      <c r="E1421" t="s">
        <v>176</v>
      </c>
      <c r="F1421" t="s">
        <v>82</v>
      </c>
      <c r="G1421" t="s">
        <v>177</v>
      </c>
      <c r="H1421" t="s">
        <v>106</v>
      </c>
      <c r="I1421" t="s">
        <v>107</v>
      </c>
      <c r="J1421" t="s">
        <v>3812</v>
      </c>
      <c r="K1421" t="s">
        <v>162</v>
      </c>
      <c r="M1421" t="s">
        <v>163</v>
      </c>
      <c r="N1421" t="s">
        <v>99</v>
      </c>
      <c r="O1421" s="27">
        <v>1315000</v>
      </c>
      <c r="P1421">
        <v>4</v>
      </c>
      <c r="Q1421" t="s">
        <v>172</v>
      </c>
      <c r="R1421">
        <v>28</v>
      </c>
      <c r="S1421" t="s">
        <v>178</v>
      </c>
      <c r="T1421" t="str">
        <f>IF(COUNTIF($A$2:A1421,A1421)&gt;1,"Duplicate","Unique")</f>
        <v>Unique</v>
      </c>
    </row>
    <row r="1422" spans="1:20" x14ac:dyDescent="0.45">
      <c r="A1422" t="s">
        <v>1524</v>
      </c>
      <c r="B1422" t="s">
        <v>1014</v>
      </c>
      <c r="C1422" t="s">
        <v>53</v>
      </c>
      <c r="D1422" t="s">
        <v>52</v>
      </c>
      <c r="E1422" t="s">
        <v>322</v>
      </c>
      <c r="F1422" t="s">
        <v>81</v>
      </c>
      <c r="G1422" t="s">
        <v>323</v>
      </c>
      <c r="H1422" t="s">
        <v>2963</v>
      </c>
      <c r="I1422" t="s">
        <v>107</v>
      </c>
      <c r="J1422" t="s">
        <v>2446</v>
      </c>
      <c r="K1422" t="s">
        <v>162</v>
      </c>
      <c r="M1422" t="s">
        <v>163</v>
      </c>
      <c r="N1422" t="s">
        <v>97</v>
      </c>
      <c r="O1422" s="27">
        <v>765000</v>
      </c>
      <c r="P1422">
        <v>3</v>
      </c>
      <c r="Q1422" t="s">
        <v>2631</v>
      </c>
      <c r="R1422">
        <v>41</v>
      </c>
      <c r="S1422" t="s">
        <v>237</v>
      </c>
      <c r="T1422" t="str">
        <f>IF(COUNTIF($A$2:A1422,A1422)&gt;1,"Duplicate","Unique")</f>
        <v>Unique</v>
      </c>
    </row>
    <row r="1423" spans="1:20" x14ac:dyDescent="0.45">
      <c r="A1423" t="s">
        <v>1216</v>
      </c>
      <c r="B1423" t="s">
        <v>962</v>
      </c>
      <c r="C1423" t="s">
        <v>55</v>
      </c>
      <c r="D1423" t="s">
        <v>54</v>
      </c>
      <c r="E1423" t="s">
        <v>277</v>
      </c>
      <c r="F1423" t="s">
        <v>81</v>
      </c>
      <c r="G1423" t="s">
        <v>278</v>
      </c>
      <c r="H1423" t="s">
        <v>106</v>
      </c>
      <c r="I1423" t="s">
        <v>107</v>
      </c>
      <c r="J1423" t="s">
        <v>2794</v>
      </c>
      <c r="K1423" t="s">
        <v>187</v>
      </c>
      <c r="L1423" t="s">
        <v>3485</v>
      </c>
      <c r="M1423" t="s">
        <v>213</v>
      </c>
      <c r="N1423" t="s">
        <v>98</v>
      </c>
      <c r="O1423" s="27">
        <v>747000</v>
      </c>
      <c r="P1423">
        <v>3</v>
      </c>
      <c r="Q1423" t="s">
        <v>164</v>
      </c>
      <c r="R1423">
        <v>43</v>
      </c>
      <c r="S1423" t="s">
        <v>262</v>
      </c>
      <c r="T1423" t="str">
        <f>IF(COUNTIF($A$2:A1423,A1423)&gt;1,"Duplicate","Unique")</f>
        <v>Unique</v>
      </c>
    </row>
    <row r="1424" spans="1:20" x14ac:dyDescent="0.45">
      <c r="A1424" t="s">
        <v>1288</v>
      </c>
      <c r="B1424" t="s">
        <v>1289</v>
      </c>
      <c r="C1424" t="s">
        <v>51</v>
      </c>
      <c r="D1424" t="s">
        <v>50</v>
      </c>
      <c r="E1424" t="s">
        <v>217</v>
      </c>
      <c r="F1424" t="s">
        <v>83</v>
      </c>
      <c r="G1424" t="s">
        <v>218</v>
      </c>
      <c r="H1424" t="s">
        <v>106</v>
      </c>
      <c r="I1424" t="s">
        <v>107</v>
      </c>
      <c r="J1424" t="s">
        <v>3371</v>
      </c>
      <c r="K1424" t="s">
        <v>162</v>
      </c>
      <c r="M1424" t="s">
        <v>163</v>
      </c>
      <c r="N1424" t="s">
        <v>95</v>
      </c>
      <c r="O1424" s="27">
        <v>2009000</v>
      </c>
      <c r="P1424">
        <v>3</v>
      </c>
      <c r="Q1424" t="s">
        <v>172</v>
      </c>
      <c r="R1424">
        <v>32</v>
      </c>
      <c r="S1424" t="s">
        <v>244</v>
      </c>
      <c r="T1424" t="str">
        <f>IF(COUNTIF($A$2:A1424,A1424)&gt;1,"Duplicate","Unique")</f>
        <v>Unique</v>
      </c>
    </row>
    <row r="1425" spans="1:20" x14ac:dyDescent="0.45">
      <c r="A1425" t="s">
        <v>852</v>
      </c>
      <c r="B1425" t="s">
        <v>853</v>
      </c>
      <c r="C1425" t="s">
        <v>53</v>
      </c>
      <c r="D1425" t="s">
        <v>52</v>
      </c>
      <c r="E1425" t="s">
        <v>185</v>
      </c>
      <c r="F1425" t="s">
        <v>82</v>
      </c>
      <c r="G1425" t="s">
        <v>186</v>
      </c>
      <c r="H1425" t="s">
        <v>108</v>
      </c>
      <c r="I1425" t="s">
        <v>107</v>
      </c>
      <c r="J1425" t="s">
        <v>3043</v>
      </c>
      <c r="K1425" t="s">
        <v>162</v>
      </c>
      <c r="M1425" t="s">
        <v>163</v>
      </c>
      <c r="N1425" t="s">
        <v>95</v>
      </c>
      <c r="O1425" s="27">
        <v>985000</v>
      </c>
      <c r="P1425">
        <v>3</v>
      </c>
      <c r="Q1425" t="s">
        <v>172</v>
      </c>
      <c r="R1425">
        <v>35</v>
      </c>
      <c r="S1425" t="s">
        <v>237</v>
      </c>
      <c r="T1425" t="str">
        <f>IF(COUNTIF($A$2:A1425,A1425)&gt;1,"Duplicate","Unique")</f>
        <v>Unique</v>
      </c>
    </row>
    <row r="1426" spans="1:20" x14ac:dyDescent="0.45">
      <c r="A1426" t="s">
        <v>265</v>
      </c>
      <c r="B1426" t="s">
        <v>266</v>
      </c>
      <c r="C1426" t="s">
        <v>51</v>
      </c>
      <c r="D1426" t="s">
        <v>2620</v>
      </c>
      <c r="E1426" t="s">
        <v>217</v>
      </c>
      <c r="F1426" t="s">
        <v>83</v>
      </c>
      <c r="G1426" t="s">
        <v>218</v>
      </c>
      <c r="H1426" t="s">
        <v>106</v>
      </c>
      <c r="I1426" t="s">
        <v>107</v>
      </c>
      <c r="J1426" t="s">
        <v>3813</v>
      </c>
      <c r="K1426" t="s">
        <v>162</v>
      </c>
      <c r="M1426" t="s">
        <v>163</v>
      </c>
      <c r="N1426" t="s">
        <v>98</v>
      </c>
      <c r="O1426" s="27">
        <v>1621000</v>
      </c>
      <c r="P1426">
        <v>3</v>
      </c>
      <c r="Q1426" t="s">
        <v>164</v>
      </c>
      <c r="R1426">
        <v>24</v>
      </c>
      <c r="S1426" t="s">
        <v>197</v>
      </c>
      <c r="T1426" t="str">
        <f>IF(COUNTIF($A$2:A1426,A1426)&gt;1,"Duplicate","Unique")</f>
        <v>Unique</v>
      </c>
    </row>
    <row r="1427" spans="1:20" x14ac:dyDescent="0.45">
      <c r="A1427" t="s">
        <v>1367</v>
      </c>
      <c r="B1427" t="s">
        <v>1114</v>
      </c>
      <c r="C1427" t="s">
        <v>59</v>
      </c>
      <c r="D1427" t="s">
        <v>58</v>
      </c>
      <c r="E1427" t="s">
        <v>211</v>
      </c>
      <c r="F1427" t="s">
        <v>82</v>
      </c>
      <c r="G1427" t="s">
        <v>212</v>
      </c>
      <c r="H1427" t="s">
        <v>108</v>
      </c>
      <c r="I1427" t="s">
        <v>107</v>
      </c>
      <c r="J1427" t="s">
        <v>3814</v>
      </c>
      <c r="K1427" t="s">
        <v>162</v>
      </c>
      <c r="M1427" t="s">
        <v>163</v>
      </c>
      <c r="N1427" t="s">
        <v>99</v>
      </c>
      <c r="O1427" s="27">
        <v>1026000</v>
      </c>
      <c r="P1427">
        <v>3</v>
      </c>
      <c r="Q1427" t="s">
        <v>164</v>
      </c>
      <c r="R1427">
        <v>44</v>
      </c>
      <c r="S1427" t="s">
        <v>214</v>
      </c>
      <c r="T1427" t="str">
        <f>IF(COUNTIF($A$2:A1427,A1427)&gt;1,"Duplicate","Unique")</f>
        <v>Unique</v>
      </c>
    </row>
    <row r="1428" spans="1:20" x14ac:dyDescent="0.45">
      <c r="A1428" t="s">
        <v>715</v>
      </c>
      <c r="B1428" t="s">
        <v>716</v>
      </c>
      <c r="C1428" t="s">
        <v>53</v>
      </c>
      <c r="D1428" t="s">
        <v>52</v>
      </c>
      <c r="E1428" t="s">
        <v>185</v>
      </c>
      <c r="F1428" t="s">
        <v>82</v>
      </c>
      <c r="G1428" t="s">
        <v>186</v>
      </c>
      <c r="H1428" t="s">
        <v>108</v>
      </c>
      <c r="I1428" t="s">
        <v>107</v>
      </c>
      <c r="J1428" t="s">
        <v>3815</v>
      </c>
      <c r="K1428" t="s">
        <v>162</v>
      </c>
      <c r="M1428" t="s">
        <v>163</v>
      </c>
      <c r="N1428" t="s">
        <v>97</v>
      </c>
      <c r="O1428" s="27">
        <v>965000</v>
      </c>
      <c r="P1428">
        <v>1</v>
      </c>
      <c r="Q1428" t="s">
        <v>164</v>
      </c>
      <c r="R1428">
        <v>34</v>
      </c>
      <c r="S1428" t="s">
        <v>237</v>
      </c>
      <c r="T1428" t="str">
        <f>IF(COUNTIF($A$2:A1428,A1428)&gt;1,"Duplicate","Unique")</f>
        <v>Unique</v>
      </c>
    </row>
    <row r="1429" spans="1:20" x14ac:dyDescent="0.45">
      <c r="A1429" t="s">
        <v>2236</v>
      </c>
      <c r="B1429" t="s">
        <v>1039</v>
      </c>
      <c r="C1429" t="s">
        <v>59</v>
      </c>
      <c r="D1429" t="s">
        <v>58</v>
      </c>
      <c r="E1429" t="s">
        <v>206</v>
      </c>
      <c r="F1429" t="s">
        <v>81</v>
      </c>
      <c r="G1429" t="s">
        <v>207</v>
      </c>
      <c r="H1429" t="s">
        <v>113</v>
      </c>
      <c r="I1429" t="s">
        <v>113</v>
      </c>
      <c r="J1429" t="s">
        <v>2805</v>
      </c>
      <c r="K1429" t="s">
        <v>162</v>
      </c>
      <c r="M1429" t="s">
        <v>163</v>
      </c>
      <c r="N1429" t="s">
        <v>99</v>
      </c>
      <c r="O1429" s="27">
        <v>591000</v>
      </c>
      <c r="P1429">
        <v>4</v>
      </c>
      <c r="Q1429" t="s">
        <v>164</v>
      </c>
      <c r="R1429">
        <v>25</v>
      </c>
      <c r="S1429" t="s">
        <v>208</v>
      </c>
      <c r="T1429" t="str">
        <f>IF(COUNTIF($A$2:A1429,A1429)&gt;1,"Duplicate","Unique")</f>
        <v>Unique</v>
      </c>
    </row>
    <row r="1430" spans="1:20" x14ac:dyDescent="0.45">
      <c r="A1430" t="s">
        <v>1798</v>
      </c>
      <c r="B1430" t="s">
        <v>1799</v>
      </c>
      <c r="C1430" t="s">
        <v>59</v>
      </c>
      <c r="D1430" t="s">
        <v>58</v>
      </c>
      <c r="E1430" t="s">
        <v>206</v>
      </c>
      <c r="F1430" t="s">
        <v>81</v>
      </c>
      <c r="G1430" t="s">
        <v>207</v>
      </c>
      <c r="H1430" t="s">
        <v>106</v>
      </c>
      <c r="I1430" t="s">
        <v>107</v>
      </c>
      <c r="J1430" t="s">
        <v>2496</v>
      </c>
      <c r="K1430" t="s">
        <v>162</v>
      </c>
      <c r="M1430" t="s">
        <v>163</v>
      </c>
      <c r="N1430" t="s">
        <v>97</v>
      </c>
      <c r="O1430" s="27">
        <v>702000</v>
      </c>
      <c r="P1430">
        <v>3</v>
      </c>
      <c r="Q1430" t="s">
        <v>164</v>
      </c>
      <c r="R1430">
        <v>28</v>
      </c>
      <c r="S1430" t="s">
        <v>214</v>
      </c>
      <c r="T1430" t="str">
        <f>IF(COUNTIF($A$2:A1430,A1430)&gt;1,"Duplicate","Unique")</f>
        <v>Unique</v>
      </c>
    </row>
    <row r="1431" spans="1:20" x14ac:dyDescent="0.45">
      <c r="A1431" t="s">
        <v>1223</v>
      </c>
      <c r="B1431" t="s">
        <v>3816</v>
      </c>
      <c r="C1431" t="s">
        <v>61</v>
      </c>
      <c r="D1431" t="s">
        <v>60</v>
      </c>
      <c r="E1431" t="s">
        <v>356</v>
      </c>
      <c r="F1431" t="s">
        <v>81</v>
      </c>
      <c r="G1431" t="s">
        <v>357</v>
      </c>
      <c r="H1431" t="s">
        <v>106</v>
      </c>
      <c r="I1431" t="s">
        <v>107</v>
      </c>
      <c r="J1431" t="s">
        <v>2541</v>
      </c>
      <c r="K1431" t="s">
        <v>162</v>
      </c>
      <c r="M1431" t="s">
        <v>163</v>
      </c>
      <c r="N1431" t="s">
        <v>99</v>
      </c>
      <c r="O1431" s="27">
        <v>676000</v>
      </c>
      <c r="P1431">
        <v>3</v>
      </c>
      <c r="Q1431" t="s">
        <v>172</v>
      </c>
      <c r="R1431">
        <v>49</v>
      </c>
      <c r="S1431" t="s">
        <v>319</v>
      </c>
      <c r="T1431" t="str">
        <f>IF(COUNTIF($A$2:A1431,A1431)&gt;1,"Duplicate","Unique")</f>
        <v>Unique</v>
      </c>
    </row>
    <row r="1432" spans="1:20" x14ac:dyDescent="0.45">
      <c r="A1432" t="s">
        <v>204</v>
      </c>
      <c r="B1432" t="s">
        <v>205</v>
      </c>
      <c r="C1432" t="s">
        <v>59</v>
      </c>
      <c r="D1432" t="s">
        <v>58</v>
      </c>
      <c r="E1432" t="s">
        <v>206</v>
      </c>
      <c r="F1432" t="s">
        <v>81</v>
      </c>
      <c r="G1432" t="s">
        <v>207</v>
      </c>
      <c r="H1432" t="s">
        <v>106</v>
      </c>
      <c r="I1432" t="s">
        <v>107</v>
      </c>
      <c r="J1432" t="s">
        <v>3817</v>
      </c>
      <c r="K1432" t="s">
        <v>162</v>
      </c>
      <c r="M1432" t="s">
        <v>163</v>
      </c>
      <c r="N1432" t="s">
        <v>96</v>
      </c>
      <c r="O1432" s="27">
        <v>757000</v>
      </c>
      <c r="P1432">
        <v>5</v>
      </c>
      <c r="Q1432" t="s">
        <v>2584</v>
      </c>
      <c r="R1432">
        <v>25</v>
      </c>
      <c r="S1432" t="s">
        <v>208</v>
      </c>
      <c r="T1432" t="str">
        <f>IF(COUNTIF($A$2:A1432,A1432)&gt;1,"Duplicate","Unique")</f>
        <v>Unique</v>
      </c>
    </row>
    <row r="1433" spans="1:20" x14ac:dyDescent="0.45">
      <c r="A1433" t="s">
        <v>516</v>
      </c>
      <c r="B1433" t="s">
        <v>228</v>
      </c>
      <c r="C1433" t="s">
        <v>59</v>
      </c>
      <c r="D1433" t="s">
        <v>58</v>
      </c>
      <c r="E1433" t="s">
        <v>211</v>
      </c>
      <c r="F1433" t="s">
        <v>82</v>
      </c>
      <c r="G1433" t="s">
        <v>212</v>
      </c>
      <c r="H1433" t="s">
        <v>108</v>
      </c>
      <c r="I1433" t="s">
        <v>107</v>
      </c>
      <c r="J1433" t="s">
        <v>3309</v>
      </c>
      <c r="K1433" t="s">
        <v>187</v>
      </c>
      <c r="L1433" t="s">
        <v>3606</v>
      </c>
      <c r="M1433" t="s">
        <v>269</v>
      </c>
      <c r="N1433" t="s">
        <v>98</v>
      </c>
      <c r="O1433" s="27">
        <v>1198000</v>
      </c>
      <c r="P1433">
        <v>4</v>
      </c>
      <c r="Q1433" t="s">
        <v>172</v>
      </c>
      <c r="R1433">
        <v>18</v>
      </c>
      <c r="S1433" t="s">
        <v>214</v>
      </c>
      <c r="T1433" t="str">
        <f>IF(COUNTIF($A$2:A1433,A1433)&gt;1,"Duplicate","Unique")</f>
        <v>Unique</v>
      </c>
    </row>
    <row r="1434" spans="1:20" x14ac:dyDescent="0.45">
      <c r="A1434" t="s">
        <v>1295</v>
      </c>
      <c r="B1434" t="s">
        <v>1296</v>
      </c>
      <c r="C1434" t="s">
        <v>55</v>
      </c>
      <c r="D1434" t="s">
        <v>54</v>
      </c>
      <c r="E1434" t="s">
        <v>240</v>
      </c>
      <c r="F1434" t="s">
        <v>83</v>
      </c>
      <c r="G1434" t="s">
        <v>241</v>
      </c>
      <c r="H1434" t="s">
        <v>109</v>
      </c>
      <c r="I1434" t="s">
        <v>110</v>
      </c>
      <c r="J1434" t="s">
        <v>3398</v>
      </c>
      <c r="K1434" t="s">
        <v>162</v>
      </c>
      <c r="M1434" t="s">
        <v>163</v>
      </c>
      <c r="N1434" t="s">
        <v>97</v>
      </c>
      <c r="O1434" s="27">
        <v>1384000</v>
      </c>
      <c r="P1434">
        <v>3</v>
      </c>
      <c r="Q1434" t="s">
        <v>164</v>
      </c>
      <c r="R1434">
        <v>40</v>
      </c>
      <c r="S1434" t="s">
        <v>274</v>
      </c>
      <c r="T1434" t="str">
        <f>IF(COUNTIF($A$2:A1434,A1434)&gt;1,"Duplicate","Unique")</f>
        <v>Unique</v>
      </c>
    </row>
    <row r="1435" spans="1:20" x14ac:dyDescent="0.45">
      <c r="A1435" t="s">
        <v>1712</v>
      </c>
      <c r="B1435" t="s">
        <v>650</v>
      </c>
      <c r="C1435" t="s">
        <v>53</v>
      </c>
      <c r="D1435" t="s">
        <v>52</v>
      </c>
      <c r="E1435" t="s">
        <v>322</v>
      </c>
      <c r="F1435" t="s">
        <v>81</v>
      </c>
      <c r="G1435" t="s">
        <v>323</v>
      </c>
      <c r="H1435" t="s">
        <v>111</v>
      </c>
      <c r="I1435" t="s">
        <v>110</v>
      </c>
      <c r="J1435" t="s">
        <v>3318</v>
      </c>
      <c r="K1435" t="s">
        <v>162</v>
      </c>
      <c r="M1435" t="s">
        <v>163</v>
      </c>
      <c r="N1435" t="s">
        <v>96</v>
      </c>
      <c r="O1435" s="27">
        <v>681000</v>
      </c>
      <c r="P1435">
        <v>3</v>
      </c>
      <c r="Q1435" t="s">
        <v>164</v>
      </c>
      <c r="R1435">
        <v>27</v>
      </c>
      <c r="S1435" t="s">
        <v>189</v>
      </c>
      <c r="T1435" t="str">
        <f>IF(COUNTIF($A$2:A1435,A1435)&gt;1,"Duplicate","Unique")</f>
        <v>Unique</v>
      </c>
    </row>
    <row r="1436" spans="1:20" x14ac:dyDescent="0.45">
      <c r="A1436" t="s">
        <v>2143</v>
      </c>
      <c r="B1436" t="s">
        <v>2144</v>
      </c>
      <c r="C1436" t="s">
        <v>51</v>
      </c>
      <c r="D1436" t="s">
        <v>50</v>
      </c>
      <c r="E1436" t="s">
        <v>181</v>
      </c>
      <c r="F1436" t="s">
        <v>81</v>
      </c>
      <c r="G1436" t="s">
        <v>182</v>
      </c>
      <c r="H1436" t="s">
        <v>106</v>
      </c>
      <c r="I1436" t="s">
        <v>107</v>
      </c>
      <c r="J1436" t="s">
        <v>3818</v>
      </c>
      <c r="K1436" t="s">
        <v>162</v>
      </c>
      <c r="M1436" t="s">
        <v>163</v>
      </c>
      <c r="N1436" t="s">
        <v>99</v>
      </c>
      <c r="O1436" s="27">
        <v>661000</v>
      </c>
      <c r="P1436">
        <v>3</v>
      </c>
      <c r="Q1436" t="s">
        <v>164</v>
      </c>
      <c r="R1436">
        <v>39</v>
      </c>
      <c r="S1436" t="s">
        <v>178</v>
      </c>
      <c r="T1436" t="str">
        <f>IF(COUNTIF($A$2:A1436,A1436)&gt;1,"Duplicate","Unique")</f>
        <v>Unique</v>
      </c>
    </row>
    <row r="1437" spans="1:20" x14ac:dyDescent="0.45">
      <c r="A1437" t="s">
        <v>1055</v>
      </c>
      <c r="B1437" t="s">
        <v>947</v>
      </c>
      <c r="C1437" t="s">
        <v>53</v>
      </c>
      <c r="D1437" t="s">
        <v>52</v>
      </c>
      <c r="E1437" t="s">
        <v>192</v>
      </c>
      <c r="F1437" t="s">
        <v>83</v>
      </c>
      <c r="G1437" t="s">
        <v>193</v>
      </c>
      <c r="H1437" t="s">
        <v>108</v>
      </c>
      <c r="I1437" t="s">
        <v>107</v>
      </c>
      <c r="J1437" t="s">
        <v>2771</v>
      </c>
      <c r="K1437" t="s">
        <v>162</v>
      </c>
      <c r="M1437" t="s">
        <v>163</v>
      </c>
      <c r="N1437" t="s">
        <v>96</v>
      </c>
      <c r="O1437" s="27">
        <v>1559000</v>
      </c>
      <c r="P1437">
        <v>2</v>
      </c>
      <c r="Q1437" t="s">
        <v>164</v>
      </c>
      <c r="R1437">
        <v>31</v>
      </c>
      <c r="S1437" t="s">
        <v>189</v>
      </c>
      <c r="T1437" t="str">
        <f>IF(COUNTIF($A$2:A1437,A1437)&gt;1,"Duplicate","Unique")</f>
        <v>Unique</v>
      </c>
    </row>
    <row r="1438" spans="1:20" x14ac:dyDescent="0.45">
      <c r="A1438" t="s">
        <v>289</v>
      </c>
      <c r="B1438" t="s">
        <v>290</v>
      </c>
      <c r="C1438" t="s">
        <v>61</v>
      </c>
      <c r="D1438" t="s">
        <v>60</v>
      </c>
      <c r="E1438" t="s">
        <v>251</v>
      </c>
      <c r="F1438" t="s">
        <v>82</v>
      </c>
      <c r="G1438" t="s">
        <v>252</v>
      </c>
      <c r="H1438" t="s">
        <v>111</v>
      </c>
      <c r="I1438" t="s">
        <v>110</v>
      </c>
      <c r="J1438" t="s">
        <v>3819</v>
      </c>
      <c r="K1438" t="s">
        <v>162</v>
      </c>
      <c r="M1438" t="s">
        <v>163</v>
      </c>
      <c r="N1438" t="s">
        <v>96</v>
      </c>
      <c r="O1438" s="27">
        <v>1299000</v>
      </c>
      <c r="P1438">
        <v>3</v>
      </c>
      <c r="Q1438" t="s">
        <v>164</v>
      </c>
      <c r="R1438">
        <v>53</v>
      </c>
      <c r="S1438" t="s">
        <v>253</v>
      </c>
      <c r="T1438" t="str">
        <f>IF(COUNTIF($A$2:A1438,A1438)&gt;1,"Duplicate","Unique")</f>
        <v>Unique</v>
      </c>
    </row>
    <row r="1439" spans="1:20" x14ac:dyDescent="0.45">
      <c r="A1439" t="s">
        <v>514</v>
      </c>
      <c r="B1439" t="s">
        <v>3820</v>
      </c>
      <c r="C1439" t="s">
        <v>59</v>
      </c>
      <c r="D1439" t="s">
        <v>58</v>
      </c>
      <c r="E1439" t="s">
        <v>206</v>
      </c>
      <c r="F1439" t="s">
        <v>81</v>
      </c>
      <c r="G1439" t="s">
        <v>207</v>
      </c>
      <c r="H1439" t="s">
        <v>108</v>
      </c>
      <c r="I1439" t="s">
        <v>107</v>
      </c>
      <c r="J1439" t="s">
        <v>3821</v>
      </c>
      <c r="K1439" t="s">
        <v>187</v>
      </c>
      <c r="L1439" t="s">
        <v>2456</v>
      </c>
      <c r="M1439" t="s">
        <v>269</v>
      </c>
      <c r="N1439" t="s">
        <v>98</v>
      </c>
      <c r="O1439" s="27">
        <v>836000</v>
      </c>
      <c r="P1439">
        <v>4</v>
      </c>
      <c r="Q1439" t="s">
        <v>2584</v>
      </c>
      <c r="R1439">
        <v>18</v>
      </c>
      <c r="S1439" t="s">
        <v>214</v>
      </c>
      <c r="T1439" t="str">
        <f>IF(COUNTIF($A$2:A1439,A1439)&gt;1,"Duplicate","Unique")</f>
        <v>Unique</v>
      </c>
    </row>
    <row r="1440" spans="1:20" x14ac:dyDescent="0.45">
      <c r="A1440" t="s">
        <v>560</v>
      </c>
      <c r="B1440" t="s">
        <v>368</v>
      </c>
      <c r="C1440" t="s">
        <v>57</v>
      </c>
      <c r="D1440" t="s">
        <v>56</v>
      </c>
      <c r="E1440" t="s">
        <v>160</v>
      </c>
      <c r="F1440" t="s">
        <v>81</v>
      </c>
      <c r="G1440" t="s">
        <v>161</v>
      </c>
      <c r="H1440" t="s">
        <v>2611</v>
      </c>
      <c r="I1440" t="s">
        <v>107</v>
      </c>
      <c r="J1440" t="s">
        <v>2817</v>
      </c>
      <c r="K1440" t="s">
        <v>170</v>
      </c>
      <c r="L1440" t="s">
        <v>3822</v>
      </c>
      <c r="M1440" t="s">
        <v>171</v>
      </c>
      <c r="N1440" t="s">
        <v>99</v>
      </c>
      <c r="O1440" s="27">
        <v>654000</v>
      </c>
      <c r="P1440">
        <v>5</v>
      </c>
      <c r="Q1440" t="s">
        <v>172</v>
      </c>
      <c r="R1440">
        <v>8</v>
      </c>
      <c r="S1440" t="s">
        <v>165</v>
      </c>
      <c r="T1440" t="str">
        <f>IF(COUNTIF($A$2:A1440,A1440)&gt;1,"Duplicate","Unique")</f>
        <v>Unique</v>
      </c>
    </row>
    <row r="1441" spans="1:20" x14ac:dyDescent="0.45">
      <c r="A1441" t="s">
        <v>1110</v>
      </c>
      <c r="B1441" t="s">
        <v>1111</v>
      </c>
      <c r="C1441" t="s">
        <v>55</v>
      </c>
      <c r="D1441" t="s">
        <v>54</v>
      </c>
      <c r="E1441" t="s">
        <v>229</v>
      </c>
      <c r="F1441" t="s">
        <v>82</v>
      </c>
      <c r="G1441" t="s">
        <v>230</v>
      </c>
      <c r="H1441" t="s">
        <v>106</v>
      </c>
      <c r="I1441" t="s">
        <v>107</v>
      </c>
      <c r="J1441" t="s">
        <v>3823</v>
      </c>
      <c r="K1441" t="s">
        <v>162</v>
      </c>
      <c r="M1441" t="s">
        <v>163</v>
      </c>
      <c r="N1441" t="s">
        <v>96</v>
      </c>
      <c r="O1441" s="27">
        <v>1227000</v>
      </c>
      <c r="P1441">
        <v>3</v>
      </c>
      <c r="Q1441" t="s">
        <v>164</v>
      </c>
      <c r="R1441">
        <v>41</v>
      </c>
      <c r="S1441" t="s">
        <v>262</v>
      </c>
      <c r="T1441" t="str">
        <f>IF(COUNTIF($A$2:A1441,A1441)&gt;1,"Duplicate","Unique")</f>
        <v>Unique</v>
      </c>
    </row>
    <row r="1442" spans="1:20" x14ac:dyDescent="0.45">
      <c r="A1442" t="s">
        <v>475</v>
      </c>
      <c r="B1442" t="s">
        <v>429</v>
      </c>
      <c r="C1442" t="s">
        <v>55</v>
      </c>
      <c r="D1442" t="s">
        <v>54</v>
      </c>
      <c r="E1442" t="s">
        <v>277</v>
      </c>
      <c r="F1442" t="s">
        <v>81</v>
      </c>
      <c r="G1442" t="s">
        <v>278</v>
      </c>
      <c r="H1442" t="s">
        <v>111</v>
      </c>
      <c r="I1442" t="s">
        <v>110</v>
      </c>
      <c r="J1442" t="s">
        <v>3824</v>
      </c>
      <c r="K1442" t="s">
        <v>187</v>
      </c>
      <c r="L1442" t="s">
        <v>3463</v>
      </c>
      <c r="M1442" t="s">
        <v>269</v>
      </c>
      <c r="N1442" t="s">
        <v>99</v>
      </c>
      <c r="O1442" s="27">
        <v>776000</v>
      </c>
      <c r="P1442">
        <v>3</v>
      </c>
      <c r="Q1442" t="s">
        <v>164</v>
      </c>
      <c r="R1442">
        <v>40</v>
      </c>
      <c r="S1442" t="s">
        <v>262</v>
      </c>
      <c r="T1442" t="str">
        <f>IF(COUNTIF($A$2:A1442,A1442)&gt;1,"Duplicate","Unique")</f>
        <v>Unique</v>
      </c>
    </row>
    <row r="1443" spans="1:20" x14ac:dyDescent="0.45">
      <c r="A1443" t="s">
        <v>2104</v>
      </c>
      <c r="B1443" t="s">
        <v>180</v>
      </c>
      <c r="C1443" t="s">
        <v>51</v>
      </c>
      <c r="D1443" t="s">
        <v>50</v>
      </c>
      <c r="E1443" t="s">
        <v>181</v>
      </c>
      <c r="F1443" t="s">
        <v>81</v>
      </c>
      <c r="G1443" t="s">
        <v>182</v>
      </c>
      <c r="H1443" t="s">
        <v>109</v>
      </c>
      <c r="I1443" t="s">
        <v>110</v>
      </c>
      <c r="J1443" t="s">
        <v>2688</v>
      </c>
      <c r="K1443" t="s">
        <v>162</v>
      </c>
      <c r="M1443" t="s">
        <v>163</v>
      </c>
      <c r="N1443" t="s">
        <v>97</v>
      </c>
      <c r="O1443" s="27">
        <v>558000</v>
      </c>
      <c r="P1443">
        <v>2</v>
      </c>
      <c r="Q1443" t="s">
        <v>164</v>
      </c>
      <c r="R1443">
        <v>52</v>
      </c>
      <c r="S1443" t="s">
        <v>219</v>
      </c>
      <c r="T1443" t="str">
        <f>IF(COUNTIF($A$2:A1443,A1443)&gt;1,"Duplicate","Unique")</f>
        <v>Unique</v>
      </c>
    </row>
    <row r="1444" spans="1:20" x14ac:dyDescent="0.45">
      <c r="A1444" t="s">
        <v>354</v>
      </c>
      <c r="B1444" t="s">
        <v>355</v>
      </c>
      <c r="C1444" t="s">
        <v>61</v>
      </c>
      <c r="D1444" t="s">
        <v>60</v>
      </c>
      <c r="E1444" t="s">
        <v>356</v>
      </c>
      <c r="F1444" t="s">
        <v>81</v>
      </c>
      <c r="G1444" t="s">
        <v>357</v>
      </c>
      <c r="H1444" t="s">
        <v>108</v>
      </c>
      <c r="I1444" t="s">
        <v>107</v>
      </c>
      <c r="J1444" t="s">
        <v>2492</v>
      </c>
      <c r="K1444" t="s">
        <v>187</v>
      </c>
      <c r="L1444" t="s">
        <v>3294</v>
      </c>
      <c r="M1444" t="s">
        <v>282</v>
      </c>
      <c r="N1444" t="s">
        <v>97</v>
      </c>
      <c r="O1444" s="27">
        <v>638000</v>
      </c>
      <c r="P1444">
        <v>3</v>
      </c>
      <c r="Q1444" t="s">
        <v>164</v>
      </c>
      <c r="R1444">
        <v>31</v>
      </c>
      <c r="S1444" t="s">
        <v>253</v>
      </c>
      <c r="T1444" t="str">
        <f>IF(COUNTIF($A$2:A1444,A1444)&gt;1,"Duplicate","Unique")</f>
        <v>Unique</v>
      </c>
    </row>
    <row r="1445" spans="1:20" x14ac:dyDescent="0.45">
      <c r="A1445" t="s">
        <v>1100</v>
      </c>
      <c r="B1445" t="s">
        <v>1101</v>
      </c>
      <c r="C1445" t="s">
        <v>55</v>
      </c>
      <c r="D1445" t="s">
        <v>54</v>
      </c>
      <c r="E1445" t="s">
        <v>240</v>
      </c>
      <c r="F1445" t="s">
        <v>83</v>
      </c>
      <c r="G1445" t="s">
        <v>241</v>
      </c>
      <c r="H1445" t="s">
        <v>109</v>
      </c>
      <c r="I1445" t="s">
        <v>110</v>
      </c>
      <c r="J1445" t="s">
        <v>3825</v>
      </c>
      <c r="K1445" t="s">
        <v>162</v>
      </c>
      <c r="M1445" t="s">
        <v>163</v>
      </c>
      <c r="N1445" t="s">
        <v>95</v>
      </c>
      <c r="O1445" s="27">
        <v>2095000</v>
      </c>
      <c r="P1445">
        <v>3</v>
      </c>
      <c r="Q1445" t="s">
        <v>164</v>
      </c>
      <c r="R1445">
        <v>26</v>
      </c>
      <c r="S1445" t="s">
        <v>173</v>
      </c>
      <c r="T1445" t="str">
        <f>IF(COUNTIF($A$2:A1445,A1445)&gt;1,"Duplicate","Unique")</f>
        <v>Unique</v>
      </c>
    </row>
    <row r="1446" spans="1:20" x14ac:dyDescent="0.45">
      <c r="A1446" t="s">
        <v>1758</v>
      </c>
      <c r="B1446" t="s">
        <v>1759</v>
      </c>
      <c r="C1446" t="s">
        <v>53</v>
      </c>
      <c r="D1446" t="s">
        <v>52</v>
      </c>
      <c r="E1446" t="s">
        <v>192</v>
      </c>
      <c r="F1446" t="s">
        <v>83</v>
      </c>
      <c r="G1446" t="s">
        <v>193</v>
      </c>
      <c r="H1446" t="s">
        <v>106</v>
      </c>
      <c r="I1446" t="s">
        <v>107</v>
      </c>
      <c r="J1446" t="s">
        <v>2503</v>
      </c>
      <c r="K1446" t="s">
        <v>187</v>
      </c>
      <c r="L1446" t="s">
        <v>3826</v>
      </c>
      <c r="M1446" t="s">
        <v>213</v>
      </c>
      <c r="N1446" t="s">
        <v>97</v>
      </c>
      <c r="O1446" s="27">
        <v>1406000</v>
      </c>
      <c r="P1446">
        <v>3</v>
      </c>
      <c r="Q1446" t="s">
        <v>172</v>
      </c>
      <c r="R1446">
        <v>65</v>
      </c>
      <c r="S1446" t="s">
        <v>194</v>
      </c>
      <c r="T1446" t="str">
        <f>IF(COUNTIF($A$2:A1446,A1446)&gt;1,"Duplicate","Unique")</f>
        <v>Unique</v>
      </c>
    </row>
    <row r="1447" spans="1:20" x14ac:dyDescent="0.45">
      <c r="A1447" t="s">
        <v>1787</v>
      </c>
      <c r="B1447" t="s">
        <v>468</v>
      </c>
      <c r="C1447" t="s">
        <v>59</v>
      </c>
      <c r="D1447" t="s">
        <v>58</v>
      </c>
      <c r="E1447" t="s">
        <v>211</v>
      </c>
      <c r="F1447" t="s">
        <v>82</v>
      </c>
      <c r="G1447" t="s">
        <v>212</v>
      </c>
      <c r="H1447" t="s">
        <v>106</v>
      </c>
      <c r="I1447" t="s">
        <v>107</v>
      </c>
      <c r="J1447" t="s">
        <v>3827</v>
      </c>
      <c r="K1447" t="s">
        <v>162</v>
      </c>
      <c r="M1447" t="s">
        <v>163</v>
      </c>
      <c r="N1447" t="s">
        <v>97</v>
      </c>
      <c r="O1447" s="27">
        <v>1203000</v>
      </c>
      <c r="P1447">
        <v>3</v>
      </c>
      <c r="Q1447" t="s">
        <v>172</v>
      </c>
      <c r="R1447">
        <v>34</v>
      </c>
      <c r="S1447" t="s">
        <v>214</v>
      </c>
      <c r="T1447" t="str">
        <f>IF(COUNTIF($A$2:A1447,A1447)&gt;1,"Duplicate","Unique")</f>
        <v>Unique</v>
      </c>
    </row>
    <row r="1448" spans="1:20" x14ac:dyDescent="0.45">
      <c r="A1448" t="s">
        <v>2332</v>
      </c>
      <c r="B1448" t="s">
        <v>1609</v>
      </c>
      <c r="C1448" t="s">
        <v>61</v>
      </c>
      <c r="D1448" t="s">
        <v>60</v>
      </c>
      <c r="E1448" t="s">
        <v>251</v>
      </c>
      <c r="F1448" t="s">
        <v>82</v>
      </c>
      <c r="G1448" t="s">
        <v>252</v>
      </c>
      <c r="H1448" t="s">
        <v>108</v>
      </c>
      <c r="I1448" t="s">
        <v>107</v>
      </c>
      <c r="J1448" t="s">
        <v>3505</v>
      </c>
      <c r="K1448" t="s">
        <v>162</v>
      </c>
      <c r="M1448" t="s">
        <v>163</v>
      </c>
      <c r="N1448" t="s">
        <v>96</v>
      </c>
      <c r="O1448" s="27">
        <v>918000</v>
      </c>
      <c r="P1448">
        <v>3</v>
      </c>
      <c r="Q1448" t="s">
        <v>172</v>
      </c>
      <c r="R1448">
        <v>43</v>
      </c>
      <c r="S1448" t="s">
        <v>319</v>
      </c>
      <c r="T1448" t="str">
        <f>IF(COUNTIF($A$2:A1448,A1448)&gt;1,"Duplicate","Unique")</f>
        <v>Unique</v>
      </c>
    </row>
    <row r="1449" spans="1:20" x14ac:dyDescent="0.45">
      <c r="A1449" t="s">
        <v>330</v>
      </c>
      <c r="B1449" t="s">
        <v>331</v>
      </c>
      <c r="C1449" t="s">
        <v>53</v>
      </c>
      <c r="D1449" t="s">
        <v>52</v>
      </c>
      <c r="E1449" t="s">
        <v>322</v>
      </c>
      <c r="F1449" t="s">
        <v>81</v>
      </c>
      <c r="G1449" t="s">
        <v>323</v>
      </c>
      <c r="H1449" t="s">
        <v>111</v>
      </c>
      <c r="I1449" t="s">
        <v>110</v>
      </c>
      <c r="J1449" t="s">
        <v>3828</v>
      </c>
      <c r="K1449" t="s">
        <v>170</v>
      </c>
      <c r="L1449" t="s">
        <v>3829</v>
      </c>
      <c r="M1449" t="s">
        <v>171</v>
      </c>
      <c r="N1449" t="s">
        <v>97</v>
      </c>
      <c r="O1449" s="27">
        <v>606000</v>
      </c>
      <c r="P1449">
        <v>1</v>
      </c>
      <c r="Q1449" t="s">
        <v>172</v>
      </c>
      <c r="R1449">
        <v>13</v>
      </c>
      <c r="S1449" t="s">
        <v>189</v>
      </c>
      <c r="T1449" t="str">
        <f>IF(COUNTIF($A$2:A1449,A1449)&gt;1,"Duplicate","Unique")</f>
        <v>Unique</v>
      </c>
    </row>
    <row r="1450" spans="1:20" x14ac:dyDescent="0.45">
      <c r="A1450" t="s">
        <v>1175</v>
      </c>
      <c r="B1450" t="s">
        <v>250</v>
      </c>
      <c r="C1450" t="s">
        <v>55</v>
      </c>
      <c r="D1450" t="s">
        <v>54</v>
      </c>
      <c r="E1450" t="s">
        <v>229</v>
      </c>
      <c r="F1450" t="s">
        <v>82</v>
      </c>
      <c r="G1450" t="s">
        <v>230</v>
      </c>
      <c r="H1450" t="s">
        <v>106</v>
      </c>
      <c r="I1450" t="s">
        <v>107</v>
      </c>
      <c r="J1450" t="s">
        <v>3830</v>
      </c>
      <c r="K1450" t="s">
        <v>162</v>
      </c>
      <c r="M1450" t="s">
        <v>163</v>
      </c>
      <c r="N1450" t="s">
        <v>99</v>
      </c>
      <c r="O1450" s="27">
        <v>1156000</v>
      </c>
      <c r="P1450">
        <v>4</v>
      </c>
      <c r="Q1450" t="s">
        <v>172</v>
      </c>
      <c r="R1450">
        <v>42</v>
      </c>
      <c r="S1450" t="s">
        <v>262</v>
      </c>
      <c r="T1450" t="str">
        <f>IF(COUNTIF($A$2:A1450,A1450)&gt;1,"Duplicate","Unique")</f>
        <v>Unique</v>
      </c>
    </row>
    <row r="1451" spans="1:20" x14ac:dyDescent="0.45">
      <c r="A1451" t="s">
        <v>1304</v>
      </c>
      <c r="B1451" t="s">
        <v>1305</v>
      </c>
      <c r="C1451" t="s">
        <v>51</v>
      </c>
      <c r="D1451" t="s">
        <v>50</v>
      </c>
      <c r="E1451" t="s">
        <v>181</v>
      </c>
      <c r="F1451" t="s">
        <v>81</v>
      </c>
      <c r="G1451" t="s">
        <v>182</v>
      </c>
      <c r="H1451" t="s">
        <v>111</v>
      </c>
      <c r="I1451" t="s">
        <v>110</v>
      </c>
      <c r="J1451" t="s">
        <v>3831</v>
      </c>
      <c r="K1451" t="s">
        <v>162</v>
      </c>
      <c r="M1451" t="s">
        <v>163</v>
      </c>
      <c r="N1451" t="s">
        <v>96</v>
      </c>
      <c r="O1451" s="27">
        <v>620000</v>
      </c>
      <c r="P1451">
        <v>4</v>
      </c>
      <c r="Q1451" t="s">
        <v>164</v>
      </c>
      <c r="R1451">
        <v>28</v>
      </c>
      <c r="S1451" t="s">
        <v>197</v>
      </c>
      <c r="T1451" t="str">
        <f>IF(COUNTIF($A$2:A1451,A1451)&gt;1,"Duplicate","Unique")</f>
        <v>Unique</v>
      </c>
    </row>
    <row r="1452" spans="1:20" x14ac:dyDescent="0.45">
      <c r="A1452" t="s">
        <v>1100</v>
      </c>
      <c r="B1452" t="s">
        <v>1101</v>
      </c>
      <c r="C1452" t="s">
        <v>55</v>
      </c>
      <c r="D1452" t="s">
        <v>54</v>
      </c>
      <c r="E1452" t="s">
        <v>240</v>
      </c>
      <c r="F1452" t="s">
        <v>83</v>
      </c>
      <c r="G1452" t="s">
        <v>241</v>
      </c>
      <c r="H1452" t="s">
        <v>109</v>
      </c>
      <c r="I1452" t="s">
        <v>110</v>
      </c>
      <c r="J1452" t="s">
        <v>3825</v>
      </c>
      <c r="K1452" t="s">
        <v>162</v>
      </c>
      <c r="M1452" t="s">
        <v>163</v>
      </c>
      <c r="N1452" t="s">
        <v>95</v>
      </c>
      <c r="O1452" s="27">
        <v>2095000</v>
      </c>
      <c r="P1452">
        <v>3</v>
      </c>
      <c r="Q1452" t="s">
        <v>164</v>
      </c>
      <c r="R1452">
        <v>26</v>
      </c>
      <c r="S1452" t="s">
        <v>173</v>
      </c>
      <c r="T1452" t="str">
        <f>IF(COUNTIF($A$2:A1452,A1452)&gt;1,"Duplicate","Unique")</f>
        <v>Duplicate</v>
      </c>
    </row>
    <row r="1453" spans="1:20" x14ac:dyDescent="0.45">
      <c r="A1453" t="s">
        <v>1146</v>
      </c>
      <c r="B1453" t="s">
        <v>544</v>
      </c>
      <c r="C1453" t="s">
        <v>53</v>
      </c>
      <c r="D1453" t="s">
        <v>52</v>
      </c>
      <c r="E1453" t="s">
        <v>322</v>
      </c>
      <c r="F1453" t="s">
        <v>81</v>
      </c>
      <c r="G1453" t="s">
        <v>323</v>
      </c>
      <c r="H1453" t="s">
        <v>106</v>
      </c>
      <c r="I1453" t="s">
        <v>107</v>
      </c>
      <c r="J1453" t="s">
        <v>2690</v>
      </c>
      <c r="K1453" t="s">
        <v>187</v>
      </c>
      <c r="L1453" t="s">
        <v>2825</v>
      </c>
      <c r="M1453" t="s">
        <v>188</v>
      </c>
      <c r="N1453" t="s">
        <v>97</v>
      </c>
      <c r="O1453" s="27">
        <v>704000</v>
      </c>
      <c r="P1453">
        <v>3</v>
      </c>
      <c r="Q1453" t="s">
        <v>172</v>
      </c>
      <c r="R1453">
        <v>19</v>
      </c>
      <c r="S1453" t="s">
        <v>237</v>
      </c>
      <c r="T1453" t="str">
        <f>IF(COUNTIF($A$2:A1453,A1453)&gt;1,"Duplicate","Unique")</f>
        <v>Duplicate</v>
      </c>
    </row>
    <row r="1454" spans="1:20" x14ac:dyDescent="0.45">
      <c r="A1454" t="s">
        <v>609</v>
      </c>
      <c r="B1454" t="s">
        <v>610</v>
      </c>
      <c r="C1454" t="s">
        <v>55</v>
      </c>
      <c r="D1454" t="s">
        <v>54</v>
      </c>
      <c r="E1454" t="s">
        <v>277</v>
      </c>
      <c r="F1454" t="s">
        <v>81</v>
      </c>
      <c r="G1454" t="s">
        <v>278</v>
      </c>
      <c r="H1454" t="s">
        <v>111</v>
      </c>
      <c r="I1454" t="s">
        <v>110</v>
      </c>
      <c r="J1454" t="s">
        <v>2645</v>
      </c>
      <c r="K1454" t="s">
        <v>187</v>
      </c>
      <c r="L1454" t="s">
        <v>2646</v>
      </c>
      <c r="M1454" t="s">
        <v>282</v>
      </c>
      <c r="N1454" t="s">
        <v>99</v>
      </c>
      <c r="O1454" s="27">
        <v>748000</v>
      </c>
      <c r="P1454">
        <v>4</v>
      </c>
      <c r="Q1454" t="s">
        <v>164</v>
      </c>
      <c r="R1454">
        <v>42</v>
      </c>
      <c r="S1454" t="s">
        <v>262</v>
      </c>
      <c r="T1454" t="str">
        <f>IF(COUNTIF($A$2:A1454,A1454)&gt;1,"Duplicate","Unique")</f>
        <v>Duplicate</v>
      </c>
    </row>
    <row r="1455" spans="1:20" x14ac:dyDescent="0.45">
      <c r="A1455" t="s">
        <v>1042</v>
      </c>
      <c r="B1455" t="s">
        <v>1043</v>
      </c>
      <c r="C1455" t="s">
        <v>53</v>
      </c>
      <c r="D1455" t="s">
        <v>52</v>
      </c>
      <c r="E1455" t="s">
        <v>192</v>
      </c>
      <c r="F1455" t="s">
        <v>83</v>
      </c>
      <c r="G1455" t="s">
        <v>193</v>
      </c>
      <c r="H1455" t="s">
        <v>109</v>
      </c>
      <c r="I1455" t="s">
        <v>110</v>
      </c>
      <c r="J1455" t="s">
        <v>2949</v>
      </c>
      <c r="K1455" t="s">
        <v>162</v>
      </c>
      <c r="M1455" t="s">
        <v>163</v>
      </c>
      <c r="N1455" t="s">
        <v>97</v>
      </c>
      <c r="O1455" s="27">
        <v>1644000</v>
      </c>
      <c r="P1455">
        <v>4</v>
      </c>
      <c r="Q1455" t="s">
        <v>172</v>
      </c>
      <c r="R1455">
        <v>48</v>
      </c>
      <c r="S1455" t="s">
        <v>194</v>
      </c>
      <c r="T1455" t="str">
        <f>IF(COUNTIF($A$2:A1455,A1455)&gt;1,"Duplicate","Unique")</f>
        <v>Duplicate</v>
      </c>
    </row>
    <row r="1456" spans="1:20" x14ac:dyDescent="0.45">
      <c r="A1456" t="s">
        <v>1925</v>
      </c>
      <c r="B1456" t="s">
        <v>1926</v>
      </c>
      <c r="C1456" t="s">
        <v>53</v>
      </c>
      <c r="D1456" t="s">
        <v>52</v>
      </c>
      <c r="E1456" t="s">
        <v>185</v>
      </c>
      <c r="F1456" t="s">
        <v>82</v>
      </c>
      <c r="G1456" t="s">
        <v>186</v>
      </c>
      <c r="H1456" t="s">
        <v>106</v>
      </c>
      <c r="I1456" t="s">
        <v>107</v>
      </c>
      <c r="J1456" t="s">
        <v>3029</v>
      </c>
      <c r="K1456" t="s">
        <v>170</v>
      </c>
      <c r="L1456" t="s">
        <v>3030</v>
      </c>
      <c r="M1456" t="s">
        <v>171</v>
      </c>
      <c r="N1456" t="s">
        <v>97</v>
      </c>
      <c r="O1456" s="27">
        <v>1214000</v>
      </c>
      <c r="P1456">
        <v>2</v>
      </c>
      <c r="Q1456" t="s">
        <v>172</v>
      </c>
      <c r="R1456">
        <v>32</v>
      </c>
      <c r="S1456" t="s">
        <v>194</v>
      </c>
      <c r="T1456" t="str">
        <f>IF(COUNTIF($A$2:A1456,A1456)&gt;1,"Duplicate","Unique")</f>
        <v>Duplicate</v>
      </c>
    </row>
    <row r="1457" spans="1:20" x14ac:dyDescent="0.45">
      <c r="A1457" t="s">
        <v>603</v>
      </c>
      <c r="B1457" t="s">
        <v>310</v>
      </c>
      <c r="C1457" t="s">
        <v>53</v>
      </c>
      <c r="D1457" t="s">
        <v>52</v>
      </c>
      <c r="E1457" t="s">
        <v>185</v>
      </c>
      <c r="F1457" t="s">
        <v>82</v>
      </c>
      <c r="G1457" t="s">
        <v>186</v>
      </c>
      <c r="H1457" t="s">
        <v>111</v>
      </c>
      <c r="I1457" t="s">
        <v>110</v>
      </c>
      <c r="J1457" t="s">
        <v>3120</v>
      </c>
      <c r="K1457" t="s">
        <v>187</v>
      </c>
      <c r="L1457" t="s">
        <v>3121</v>
      </c>
      <c r="M1457" t="s">
        <v>188</v>
      </c>
      <c r="N1457" t="s">
        <v>99</v>
      </c>
      <c r="O1457" s="27">
        <v>917000</v>
      </c>
      <c r="P1457">
        <v>3</v>
      </c>
      <c r="Q1457" t="s">
        <v>172</v>
      </c>
      <c r="R1457">
        <v>55</v>
      </c>
      <c r="S1457" t="s">
        <v>237</v>
      </c>
      <c r="T1457" t="str">
        <f>IF(COUNTIF($A$2:A1457,A1457)&gt;1,"Duplicate","Unique")</f>
        <v>Duplicate</v>
      </c>
    </row>
    <row r="1458" spans="1:20" x14ac:dyDescent="0.45">
      <c r="A1458" t="s">
        <v>869</v>
      </c>
      <c r="B1458" t="s">
        <v>405</v>
      </c>
      <c r="C1458" t="s">
        <v>59</v>
      </c>
      <c r="D1458" t="s">
        <v>58</v>
      </c>
      <c r="E1458" t="s">
        <v>211</v>
      </c>
      <c r="F1458" t="s">
        <v>82</v>
      </c>
      <c r="G1458" t="s">
        <v>212</v>
      </c>
      <c r="H1458" t="s">
        <v>106</v>
      </c>
      <c r="I1458" t="s">
        <v>107</v>
      </c>
      <c r="J1458" t="s">
        <v>2954</v>
      </c>
      <c r="K1458" t="s">
        <v>162</v>
      </c>
      <c r="M1458" t="s">
        <v>163</v>
      </c>
      <c r="N1458" t="s">
        <v>99</v>
      </c>
      <c r="O1458" s="27">
        <v>900000</v>
      </c>
      <c r="P1458">
        <v>3</v>
      </c>
      <c r="Q1458" t="s">
        <v>164</v>
      </c>
      <c r="R1458">
        <v>24</v>
      </c>
      <c r="S1458" t="s">
        <v>214</v>
      </c>
      <c r="T1458" t="str">
        <f>IF(COUNTIF($A$2:A1458,A1458)&gt;1,"Duplicate","Unique")</f>
        <v>Duplicate</v>
      </c>
    </row>
    <row r="1459" spans="1:20" x14ac:dyDescent="0.45">
      <c r="A1459" t="s">
        <v>489</v>
      </c>
      <c r="B1459" t="s">
        <v>490</v>
      </c>
      <c r="C1459" t="s">
        <v>51</v>
      </c>
      <c r="D1459" t="s">
        <v>50</v>
      </c>
      <c r="E1459" t="s">
        <v>181</v>
      </c>
      <c r="F1459" t="s">
        <v>81</v>
      </c>
      <c r="G1459" t="s">
        <v>182</v>
      </c>
      <c r="H1459" t="s">
        <v>108</v>
      </c>
      <c r="I1459" t="s">
        <v>107</v>
      </c>
      <c r="J1459" t="s">
        <v>3684</v>
      </c>
      <c r="K1459" t="s">
        <v>187</v>
      </c>
      <c r="L1459" t="s">
        <v>3685</v>
      </c>
      <c r="M1459" t="s">
        <v>269</v>
      </c>
      <c r="N1459" t="s">
        <v>95</v>
      </c>
      <c r="O1459" s="27">
        <v>843000</v>
      </c>
      <c r="P1459">
        <v>4</v>
      </c>
      <c r="Q1459" t="s">
        <v>172</v>
      </c>
      <c r="R1459">
        <v>26</v>
      </c>
      <c r="S1459" t="s">
        <v>244</v>
      </c>
      <c r="T1459" t="str">
        <f>IF(COUNTIF($A$2:A1459,A1459)&gt;1,"Duplicate","Unique")</f>
        <v>Duplicate</v>
      </c>
    </row>
    <row r="1460" spans="1:20" x14ac:dyDescent="0.45">
      <c r="A1460" t="s">
        <v>878</v>
      </c>
      <c r="B1460" t="s">
        <v>689</v>
      </c>
      <c r="C1460" t="s">
        <v>59</v>
      </c>
      <c r="D1460" t="s">
        <v>58</v>
      </c>
      <c r="E1460" t="s">
        <v>579</v>
      </c>
      <c r="F1460" t="s">
        <v>84</v>
      </c>
      <c r="G1460" t="s">
        <v>580</v>
      </c>
      <c r="H1460" t="s">
        <v>109</v>
      </c>
      <c r="I1460" t="s">
        <v>110</v>
      </c>
      <c r="J1460" t="s">
        <v>3365</v>
      </c>
      <c r="K1460" t="s">
        <v>162</v>
      </c>
      <c r="M1460" t="s">
        <v>163</v>
      </c>
      <c r="N1460" t="s">
        <v>97</v>
      </c>
      <c r="O1460" s="27">
        <v>2835000</v>
      </c>
      <c r="P1460">
        <v>4</v>
      </c>
      <c r="Q1460" t="s">
        <v>172</v>
      </c>
      <c r="R1460">
        <v>52</v>
      </c>
      <c r="S1460" t="s">
        <v>214</v>
      </c>
      <c r="T1460" t="str">
        <f>IF(COUNTIF($A$2:A1460,A1460)&gt;1,"Duplicate","Unique")</f>
        <v>Duplicate</v>
      </c>
    </row>
    <row r="1461" spans="1:20" x14ac:dyDescent="0.45">
      <c r="A1461" t="s">
        <v>1468</v>
      </c>
      <c r="B1461" t="s">
        <v>1469</v>
      </c>
      <c r="C1461" t="s">
        <v>53</v>
      </c>
      <c r="D1461" t="s">
        <v>52</v>
      </c>
      <c r="E1461" t="s">
        <v>322</v>
      </c>
      <c r="F1461" t="s">
        <v>81</v>
      </c>
      <c r="G1461" t="s">
        <v>323</v>
      </c>
      <c r="H1461" t="s">
        <v>106</v>
      </c>
      <c r="I1461" t="s">
        <v>107</v>
      </c>
      <c r="J1461" t="s">
        <v>3586</v>
      </c>
      <c r="K1461" t="s">
        <v>162</v>
      </c>
      <c r="M1461" t="s">
        <v>163</v>
      </c>
      <c r="N1461" t="s">
        <v>98</v>
      </c>
      <c r="O1461" s="27">
        <v>605000</v>
      </c>
      <c r="P1461">
        <v>4</v>
      </c>
      <c r="Q1461" t="s">
        <v>172</v>
      </c>
      <c r="R1461">
        <v>35</v>
      </c>
      <c r="S1461" t="s">
        <v>194</v>
      </c>
      <c r="T1461" t="str">
        <f>IF(COUNTIF($A$2:A1461,A1461)&gt;1,"Duplicate","Unique")</f>
        <v>Duplicate</v>
      </c>
    </row>
    <row r="1462" spans="1:20" x14ac:dyDescent="0.45">
      <c r="A1462" t="s">
        <v>886</v>
      </c>
      <c r="B1462" t="s">
        <v>751</v>
      </c>
      <c r="C1462" t="s">
        <v>51</v>
      </c>
      <c r="D1462" t="s">
        <v>50</v>
      </c>
      <c r="E1462" t="s">
        <v>181</v>
      </c>
      <c r="F1462" t="s">
        <v>81</v>
      </c>
      <c r="G1462" t="s">
        <v>182</v>
      </c>
      <c r="H1462" t="s">
        <v>109</v>
      </c>
      <c r="I1462" t="s">
        <v>110</v>
      </c>
      <c r="J1462" t="s">
        <v>3218</v>
      </c>
      <c r="K1462" t="s">
        <v>187</v>
      </c>
      <c r="L1462" t="s">
        <v>3219</v>
      </c>
      <c r="M1462" t="s">
        <v>269</v>
      </c>
      <c r="N1462" t="s">
        <v>99</v>
      </c>
      <c r="O1462" s="27">
        <v>683000</v>
      </c>
      <c r="P1462">
        <v>5</v>
      </c>
      <c r="Q1462" t="s">
        <v>164</v>
      </c>
      <c r="R1462">
        <v>55</v>
      </c>
      <c r="S1462" t="s">
        <v>197</v>
      </c>
      <c r="T1462" t="str">
        <f>IF(COUNTIF($A$2:A1462,A1462)&gt;1,"Duplicate","Unique")</f>
        <v>Duplicate</v>
      </c>
    </row>
    <row r="1463" spans="1:20" x14ac:dyDescent="0.45">
      <c r="A1463" t="s">
        <v>1603</v>
      </c>
      <c r="B1463" t="s">
        <v>1604</v>
      </c>
      <c r="C1463" t="s">
        <v>55</v>
      </c>
      <c r="D1463" t="s">
        <v>54</v>
      </c>
      <c r="E1463" t="s">
        <v>229</v>
      </c>
      <c r="F1463" t="s">
        <v>82</v>
      </c>
      <c r="G1463" t="s">
        <v>230</v>
      </c>
      <c r="H1463" t="s">
        <v>108</v>
      </c>
      <c r="I1463" t="s">
        <v>107</v>
      </c>
      <c r="J1463" t="s">
        <v>3286</v>
      </c>
      <c r="K1463" t="s">
        <v>162</v>
      </c>
      <c r="M1463" t="s">
        <v>163</v>
      </c>
      <c r="N1463" t="s">
        <v>97</v>
      </c>
      <c r="O1463" s="27">
        <v>948000</v>
      </c>
      <c r="P1463">
        <v>2</v>
      </c>
      <c r="Q1463" t="s">
        <v>164</v>
      </c>
      <c r="R1463">
        <v>4</v>
      </c>
      <c r="S1463" t="s">
        <v>173</v>
      </c>
      <c r="T1463" t="str">
        <f>IF(COUNTIF($A$2:A1463,A1463)&gt;1,"Duplicate","Unique")</f>
        <v>Duplicate</v>
      </c>
    </row>
    <row r="1464" spans="1:20" x14ac:dyDescent="0.45">
      <c r="A1464" t="s">
        <v>1127</v>
      </c>
      <c r="B1464" t="s">
        <v>438</v>
      </c>
      <c r="C1464" t="s">
        <v>61</v>
      </c>
      <c r="D1464" t="s">
        <v>60</v>
      </c>
      <c r="E1464" t="s">
        <v>251</v>
      </c>
      <c r="F1464" t="s">
        <v>82</v>
      </c>
      <c r="G1464" t="s">
        <v>252</v>
      </c>
      <c r="H1464" t="s">
        <v>106</v>
      </c>
      <c r="I1464" t="s">
        <v>107</v>
      </c>
      <c r="J1464" t="s">
        <v>3137</v>
      </c>
      <c r="K1464" t="s">
        <v>170</v>
      </c>
      <c r="L1464" t="s">
        <v>3632</v>
      </c>
      <c r="M1464" t="s">
        <v>171</v>
      </c>
      <c r="N1464" t="s">
        <v>97</v>
      </c>
      <c r="O1464" s="27">
        <v>1260000</v>
      </c>
      <c r="P1464">
        <v>3</v>
      </c>
      <c r="Q1464" t="s">
        <v>172</v>
      </c>
      <c r="R1464">
        <v>53</v>
      </c>
      <c r="S1464" t="s">
        <v>319</v>
      </c>
      <c r="T1464" t="str">
        <f>IF(COUNTIF($A$2:A1464,A1464)&gt;1,"Duplicate","Unique")</f>
        <v>Duplicate</v>
      </c>
    </row>
    <row r="1465" spans="1:20" x14ac:dyDescent="0.45">
      <c r="A1465" t="s">
        <v>297</v>
      </c>
      <c r="B1465" t="s">
        <v>298</v>
      </c>
      <c r="C1465" t="s">
        <v>59</v>
      </c>
      <c r="D1465" t="s">
        <v>58</v>
      </c>
      <c r="E1465" t="s">
        <v>211</v>
      </c>
      <c r="F1465" t="s">
        <v>82</v>
      </c>
      <c r="G1465" t="s">
        <v>212</v>
      </c>
      <c r="H1465" t="s">
        <v>112</v>
      </c>
      <c r="I1465" t="s">
        <v>113</v>
      </c>
      <c r="J1465" t="s">
        <v>2799</v>
      </c>
      <c r="K1465" t="s">
        <v>162</v>
      </c>
      <c r="M1465" t="s">
        <v>163</v>
      </c>
      <c r="N1465" t="s">
        <v>97</v>
      </c>
      <c r="O1465" s="27">
        <v>1329000</v>
      </c>
      <c r="P1465">
        <v>3</v>
      </c>
      <c r="Q1465" t="s">
        <v>172</v>
      </c>
      <c r="R1465">
        <v>25</v>
      </c>
      <c r="S1465" t="s">
        <v>214</v>
      </c>
      <c r="T1465" t="str">
        <f>IF(COUNTIF($A$2:A1465,A1465)&gt;1,"Duplicate","Unique")</f>
        <v>Duplicate</v>
      </c>
    </row>
    <row r="1466" spans="1:20" x14ac:dyDescent="0.45">
      <c r="A1466" t="s">
        <v>1541</v>
      </c>
      <c r="B1466" t="s">
        <v>1542</v>
      </c>
      <c r="C1466" t="s">
        <v>51</v>
      </c>
      <c r="D1466" t="s">
        <v>50</v>
      </c>
      <c r="E1466" t="s">
        <v>181</v>
      </c>
      <c r="F1466" t="s">
        <v>81</v>
      </c>
      <c r="G1466" t="s">
        <v>182</v>
      </c>
      <c r="H1466" t="s">
        <v>3374</v>
      </c>
      <c r="I1466" t="s">
        <v>110</v>
      </c>
      <c r="J1466" t="s">
        <v>3375</v>
      </c>
      <c r="K1466" t="s">
        <v>187</v>
      </c>
      <c r="L1466" t="s">
        <v>3376</v>
      </c>
      <c r="M1466" t="s">
        <v>213</v>
      </c>
      <c r="N1466" t="s">
        <v>98</v>
      </c>
      <c r="O1466" s="27">
        <v>573000</v>
      </c>
      <c r="P1466">
        <v>3</v>
      </c>
      <c r="Q1466" t="s">
        <v>164</v>
      </c>
      <c r="R1466">
        <v>39</v>
      </c>
      <c r="S1466" t="s">
        <v>197</v>
      </c>
      <c r="T1466" t="str">
        <f>IF(COUNTIF($A$2:A1466,A1466)&gt;1,"Duplicate","Unique")</f>
        <v>Duplicate</v>
      </c>
    </row>
    <row r="1467" spans="1:20" x14ac:dyDescent="0.45">
      <c r="A1467" t="s">
        <v>494</v>
      </c>
      <c r="B1467" t="s">
        <v>495</v>
      </c>
      <c r="C1467" t="s">
        <v>57</v>
      </c>
      <c r="D1467" t="s">
        <v>56</v>
      </c>
      <c r="E1467" t="s">
        <v>160</v>
      </c>
      <c r="F1467" t="s">
        <v>81</v>
      </c>
      <c r="G1467" t="s">
        <v>161</v>
      </c>
      <c r="H1467" t="s">
        <v>108</v>
      </c>
      <c r="I1467" t="s">
        <v>107</v>
      </c>
      <c r="J1467" t="s">
        <v>3101</v>
      </c>
      <c r="K1467" t="s">
        <v>162</v>
      </c>
      <c r="M1467" t="s">
        <v>163</v>
      </c>
      <c r="N1467" t="s">
        <v>97</v>
      </c>
      <c r="O1467" s="27">
        <v>782000</v>
      </c>
      <c r="P1467">
        <v>3</v>
      </c>
      <c r="Q1467" t="s">
        <v>172</v>
      </c>
      <c r="R1467">
        <v>10</v>
      </c>
      <c r="S1467" t="s">
        <v>224</v>
      </c>
      <c r="T1467" t="str">
        <f>IF(COUNTIF($A$2:A1467,A1467)&gt;1,"Duplicate","Unique")</f>
        <v>Duplicate</v>
      </c>
    </row>
    <row r="1468" spans="1:20" x14ac:dyDescent="0.45">
      <c r="A1468" t="s">
        <v>1913</v>
      </c>
      <c r="B1468" t="s">
        <v>1914</v>
      </c>
      <c r="C1468" t="s">
        <v>51</v>
      </c>
      <c r="D1468" t="s">
        <v>50</v>
      </c>
      <c r="E1468" t="s">
        <v>176</v>
      </c>
      <c r="F1468" t="s">
        <v>82</v>
      </c>
      <c r="G1468" t="s">
        <v>177</v>
      </c>
      <c r="H1468" t="s">
        <v>106</v>
      </c>
      <c r="I1468" t="s">
        <v>107</v>
      </c>
      <c r="J1468" t="s">
        <v>3031</v>
      </c>
      <c r="K1468" t="s">
        <v>162</v>
      </c>
      <c r="M1468" t="s">
        <v>163</v>
      </c>
      <c r="N1468" t="s">
        <v>95</v>
      </c>
      <c r="O1468" s="27">
        <v>869000</v>
      </c>
      <c r="P1468">
        <v>2</v>
      </c>
      <c r="Q1468" t="s">
        <v>164</v>
      </c>
      <c r="R1468">
        <v>17</v>
      </c>
      <c r="S1468" t="s">
        <v>178</v>
      </c>
      <c r="T1468" t="str">
        <f>IF(COUNTIF($A$2:A1468,A1468)&gt;1,"Duplicate","Unique")</f>
        <v>Duplicate</v>
      </c>
    </row>
    <row r="1469" spans="1:20" x14ac:dyDescent="0.45">
      <c r="A1469" t="s">
        <v>1080</v>
      </c>
      <c r="B1469" t="s">
        <v>765</v>
      </c>
      <c r="C1469" t="s">
        <v>53</v>
      </c>
      <c r="D1469" t="s">
        <v>52</v>
      </c>
      <c r="E1469" t="s">
        <v>185</v>
      </c>
      <c r="F1469" t="s">
        <v>82</v>
      </c>
      <c r="G1469" t="s">
        <v>186</v>
      </c>
      <c r="H1469" t="s">
        <v>109</v>
      </c>
      <c r="I1469" t="s">
        <v>110</v>
      </c>
      <c r="J1469" t="s">
        <v>3072</v>
      </c>
      <c r="K1469" t="s">
        <v>170</v>
      </c>
      <c r="L1469" t="s">
        <v>2619</v>
      </c>
      <c r="M1469" t="s">
        <v>171</v>
      </c>
      <c r="N1469" t="s">
        <v>97</v>
      </c>
      <c r="O1469" s="27">
        <v>1342000</v>
      </c>
      <c r="P1469">
        <v>3</v>
      </c>
      <c r="Q1469" t="s">
        <v>172</v>
      </c>
      <c r="R1469">
        <v>26</v>
      </c>
      <c r="S1469" t="s">
        <v>237</v>
      </c>
      <c r="T1469" t="str">
        <f>IF(COUNTIF($A$2:A1469,A1469)&gt;1,"Duplicate","Unique")</f>
        <v>Duplicate</v>
      </c>
    </row>
    <row r="1470" spans="1:20" x14ac:dyDescent="0.45">
      <c r="A1470" t="s">
        <v>979</v>
      </c>
      <c r="B1470" t="s">
        <v>980</v>
      </c>
      <c r="C1470" t="s">
        <v>51</v>
      </c>
      <c r="D1470" t="s">
        <v>50</v>
      </c>
      <c r="E1470" t="s">
        <v>397</v>
      </c>
      <c r="F1470" t="s">
        <v>84</v>
      </c>
      <c r="G1470" t="s">
        <v>398</v>
      </c>
      <c r="H1470" t="s">
        <v>109</v>
      </c>
      <c r="I1470" t="s">
        <v>110</v>
      </c>
      <c r="J1470" t="s">
        <v>3691</v>
      </c>
      <c r="K1470" t="s">
        <v>162</v>
      </c>
      <c r="M1470" t="s">
        <v>163</v>
      </c>
      <c r="N1470" t="s">
        <v>97</v>
      </c>
      <c r="O1470" s="27">
        <v>2876000</v>
      </c>
      <c r="P1470">
        <v>3</v>
      </c>
      <c r="Q1470" t="s">
        <v>164</v>
      </c>
      <c r="R1470">
        <v>37</v>
      </c>
      <c r="S1470" t="s">
        <v>244</v>
      </c>
      <c r="T1470" t="str">
        <f>IF(COUNTIF($A$2:A1470,A1470)&gt;1,"Duplicate","Unique")</f>
        <v>Duplicate</v>
      </c>
    </row>
    <row r="1471" spans="1:20" x14ac:dyDescent="0.45">
      <c r="A1471" t="s">
        <v>1446</v>
      </c>
      <c r="B1471" t="s">
        <v>246</v>
      </c>
      <c r="C1471" t="s">
        <v>51</v>
      </c>
      <c r="D1471" t="s">
        <v>50</v>
      </c>
      <c r="E1471" t="s">
        <v>176</v>
      </c>
      <c r="F1471" t="s">
        <v>82</v>
      </c>
      <c r="G1471" t="s">
        <v>177</v>
      </c>
      <c r="H1471" t="s">
        <v>112</v>
      </c>
      <c r="I1471" t="s">
        <v>113</v>
      </c>
      <c r="J1471" t="s">
        <v>3485</v>
      </c>
      <c r="K1471" t="s">
        <v>162</v>
      </c>
      <c r="M1471" t="s">
        <v>163</v>
      </c>
      <c r="N1471" t="s">
        <v>97</v>
      </c>
      <c r="O1471" s="27">
        <v>870000</v>
      </c>
      <c r="P1471">
        <v>3</v>
      </c>
      <c r="Q1471" t="s">
        <v>164</v>
      </c>
      <c r="R1471">
        <v>53</v>
      </c>
      <c r="S1471" t="s">
        <v>178</v>
      </c>
      <c r="T1471" t="str">
        <f>IF(COUNTIF($A$2:A1471,A1471)&gt;1,"Duplicate","Unique")</f>
        <v>Duplicate</v>
      </c>
    </row>
    <row r="1472" spans="1:20" x14ac:dyDescent="0.45">
      <c r="A1472" t="s">
        <v>1777</v>
      </c>
      <c r="B1472" t="s">
        <v>1129</v>
      </c>
      <c r="C1472" t="s">
        <v>57</v>
      </c>
      <c r="D1472" t="s">
        <v>56</v>
      </c>
      <c r="E1472" t="s">
        <v>160</v>
      </c>
      <c r="F1472" t="s">
        <v>81</v>
      </c>
      <c r="G1472" t="s">
        <v>161</v>
      </c>
      <c r="H1472" t="s">
        <v>112</v>
      </c>
      <c r="I1472" t="s">
        <v>113</v>
      </c>
      <c r="J1472" t="s">
        <v>3132</v>
      </c>
      <c r="K1472" t="s">
        <v>162</v>
      </c>
      <c r="M1472" t="s">
        <v>163</v>
      </c>
      <c r="N1472" t="s">
        <v>97</v>
      </c>
      <c r="O1472" s="27">
        <v>829000</v>
      </c>
      <c r="P1472">
        <v>3</v>
      </c>
      <c r="Q1472" t="s">
        <v>164</v>
      </c>
      <c r="R1472">
        <v>33</v>
      </c>
      <c r="S1472" t="s">
        <v>165</v>
      </c>
      <c r="T1472" t="str">
        <f>IF(COUNTIF($A$2:A1472,A1472)&gt;1,"Duplicate","Unique")</f>
        <v>Duplicate</v>
      </c>
    </row>
    <row r="1473" spans="1:20" x14ac:dyDescent="0.45">
      <c r="A1473" t="s">
        <v>727</v>
      </c>
      <c r="B1473" t="s">
        <v>728</v>
      </c>
      <c r="C1473" t="s">
        <v>51</v>
      </c>
      <c r="D1473" t="s">
        <v>50</v>
      </c>
      <c r="E1473" t="s">
        <v>181</v>
      </c>
      <c r="F1473" t="s">
        <v>81</v>
      </c>
      <c r="G1473" t="s">
        <v>182</v>
      </c>
      <c r="H1473" t="s">
        <v>106</v>
      </c>
      <c r="I1473" t="s">
        <v>107</v>
      </c>
      <c r="J1473" t="s">
        <v>2560</v>
      </c>
      <c r="K1473" t="s">
        <v>187</v>
      </c>
      <c r="L1473" t="s">
        <v>2561</v>
      </c>
      <c r="M1473" t="s">
        <v>282</v>
      </c>
      <c r="N1473" t="s">
        <v>99</v>
      </c>
      <c r="O1473" s="27">
        <v>586000</v>
      </c>
      <c r="P1473">
        <v>4</v>
      </c>
      <c r="Q1473" t="s">
        <v>172</v>
      </c>
      <c r="R1473">
        <v>36</v>
      </c>
      <c r="S1473" t="s">
        <v>244</v>
      </c>
      <c r="T1473" t="str">
        <f>IF(COUNTIF($A$2:A1473,A1473)&gt;1,"Duplicate","Unique")</f>
        <v>Duplicate</v>
      </c>
    </row>
    <row r="1474" spans="1:20" x14ac:dyDescent="0.45">
      <c r="A1474" t="s">
        <v>311</v>
      </c>
      <c r="B1474" t="s">
        <v>312</v>
      </c>
      <c r="C1474" t="s">
        <v>57</v>
      </c>
      <c r="D1474" t="s">
        <v>56</v>
      </c>
      <c r="E1474" t="s">
        <v>222</v>
      </c>
      <c r="F1474" t="s">
        <v>82</v>
      </c>
      <c r="G1474" t="s">
        <v>223</v>
      </c>
      <c r="H1474" t="s">
        <v>108</v>
      </c>
      <c r="I1474" t="s">
        <v>107</v>
      </c>
      <c r="J1474" t="s">
        <v>3519</v>
      </c>
      <c r="K1474" t="s">
        <v>170</v>
      </c>
      <c r="L1474" t="s">
        <v>2436</v>
      </c>
      <c r="M1474" t="s">
        <v>171</v>
      </c>
      <c r="N1474" t="s">
        <v>97</v>
      </c>
      <c r="O1474" s="27">
        <v>1226000</v>
      </c>
      <c r="P1474">
        <v>4</v>
      </c>
      <c r="Q1474" t="s">
        <v>172</v>
      </c>
      <c r="R1474">
        <v>25</v>
      </c>
      <c r="S1474" t="s">
        <v>165</v>
      </c>
      <c r="T1474" t="str">
        <f>IF(COUNTIF($A$2:A1474,A1474)&gt;1,"Duplicate","Unique")</f>
        <v>Duplicate</v>
      </c>
    </row>
    <row r="1475" spans="1:20" x14ac:dyDescent="0.45">
      <c r="A1475" t="s">
        <v>1353</v>
      </c>
      <c r="B1475" t="s">
        <v>973</v>
      </c>
      <c r="C1475" t="s">
        <v>51</v>
      </c>
      <c r="D1475" t="s">
        <v>50</v>
      </c>
      <c r="E1475" t="s">
        <v>176</v>
      </c>
      <c r="F1475" t="s">
        <v>82</v>
      </c>
      <c r="G1475" t="s">
        <v>177</v>
      </c>
      <c r="H1475" t="s">
        <v>108</v>
      </c>
      <c r="I1475" t="s">
        <v>107</v>
      </c>
      <c r="J1475" t="s">
        <v>3612</v>
      </c>
      <c r="K1475" t="s">
        <v>170</v>
      </c>
      <c r="L1475" t="s">
        <v>3206</v>
      </c>
      <c r="M1475" t="s">
        <v>171</v>
      </c>
      <c r="N1475" t="s">
        <v>99</v>
      </c>
      <c r="O1475" s="27">
        <v>872000</v>
      </c>
      <c r="P1475">
        <v>2</v>
      </c>
      <c r="Q1475" t="s">
        <v>164</v>
      </c>
      <c r="R1475">
        <v>34</v>
      </c>
      <c r="S1475" t="s">
        <v>219</v>
      </c>
      <c r="T1475" t="str">
        <f>IF(COUNTIF($A$2:A1475,A1475)&gt;1,"Duplicate","Unique")</f>
        <v>Duplicate</v>
      </c>
    </row>
    <row r="1476" spans="1:20" x14ac:dyDescent="0.45">
      <c r="A1476" t="s">
        <v>1850</v>
      </c>
      <c r="B1476" t="s">
        <v>1851</v>
      </c>
      <c r="C1476" t="s">
        <v>51</v>
      </c>
      <c r="D1476" t="s">
        <v>50</v>
      </c>
      <c r="E1476" t="s">
        <v>328</v>
      </c>
      <c r="F1476" t="s">
        <v>85</v>
      </c>
      <c r="G1476" t="s">
        <v>329</v>
      </c>
      <c r="H1476" t="s">
        <v>112</v>
      </c>
      <c r="I1476" t="s">
        <v>113</v>
      </c>
      <c r="J1476" t="s">
        <v>3012</v>
      </c>
      <c r="K1476" t="s">
        <v>162</v>
      </c>
      <c r="M1476" t="s">
        <v>163</v>
      </c>
      <c r="N1476" t="s">
        <v>95</v>
      </c>
      <c r="O1476" s="27">
        <v>4405000</v>
      </c>
      <c r="P1476">
        <v>4</v>
      </c>
      <c r="Q1476" t="s">
        <v>2584</v>
      </c>
      <c r="R1476">
        <v>10</v>
      </c>
      <c r="S1476" t="s">
        <v>197</v>
      </c>
      <c r="T1476" t="str">
        <f>IF(COUNTIF($A$2:A1476,A1476)&gt;1,"Duplicate","Unique")</f>
        <v>Duplicate</v>
      </c>
    </row>
    <row r="1477" spans="1:20" x14ac:dyDescent="0.45">
      <c r="A1477" t="s">
        <v>1189</v>
      </c>
      <c r="B1477" t="s">
        <v>949</v>
      </c>
      <c r="C1477" t="s">
        <v>53</v>
      </c>
      <c r="D1477" t="s">
        <v>52</v>
      </c>
      <c r="E1477" t="s">
        <v>322</v>
      </c>
      <c r="F1477" t="s">
        <v>81</v>
      </c>
      <c r="G1477" t="s">
        <v>323</v>
      </c>
      <c r="H1477" t="s">
        <v>106</v>
      </c>
      <c r="I1477" t="s">
        <v>107</v>
      </c>
      <c r="J1477" t="s">
        <v>2614</v>
      </c>
      <c r="K1477" t="s">
        <v>162</v>
      </c>
      <c r="M1477" t="s">
        <v>163</v>
      </c>
      <c r="N1477" t="s">
        <v>98</v>
      </c>
      <c r="O1477" s="27">
        <v>810000</v>
      </c>
      <c r="P1477">
        <v>3</v>
      </c>
      <c r="Q1477" t="s">
        <v>172</v>
      </c>
      <c r="R1477">
        <v>60</v>
      </c>
      <c r="S1477" t="s">
        <v>237</v>
      </c>
      <c r="T1477" t="str">
        <f>IF(COUNTIF($A$2:A1477,A1477)&gt;1,"Duplicate","Unique")</f>
        <v>Duplicate</v>
      </c>
    </row>
    <row r="1478" spans="1:20" x14ac:dyDescent="0.45">
      <c r="A1478" t="s">
        <v>1625</v>
      </c>
      <c r="B1478" t="s">
        <v>472</v>
      </c>
      <c r="C1478" t="s">
        <v>51</v>
      </c>
      <c r="D1478" t="s">
        <v>2464</v>
      </c>
      <c r="E1478" t="s">
        <v>176</v>
      </c>
      <c r="F1478" t="s">
        <v>82</v>
      </c>
      <c r="G1478" t="s">
        <v>177</v>
      </c>
      <c r="H1478" t="s">
        <v>106</v>
      </c>
      <c r="I1478" t="s">
        <v>107</v>
      </c>
      <c r="J1478" t="s">
        <v>3313</v>
      </c>
      <c r="K1478" t="s">
        <v>170</v>
      </c>
      <c r="L1478" t="s">
        <v>3314</v>
      </c>
      <c r="M1478" t="s">
        <v>171</v>
      </c>
      <c r="N1478" t="s">
        <v>99</v>
      </c>
      <c r="O1478" s="27">
        <v>850000</v>
      </c>
      <c r="P1478">
        <v>2</v>
      </c>
      <c r="Q1478" t="s">
        <v>164</v>
      </c>
      <c r="S1478" t="s">
        <v>178</v>
      </c>
      <c r="T1478" t="str">
        <f>IF(COUNTIF($A$2:A1478,A1478)&gt;1,"Duplicate","Unique")</f>
        <v>Duplicate</v>
      </c>
    </row>
    <row r="1479" spans="1:20" x14ac:dyDescent="0.45">
      <c r="A1479" t="s">
        <v>1634</v>
      </c>
      <c r="B1479" t="s">
        <v>1635</v>
      </c>
      <c r="C1479" t="s">
        <v>55</v>
      </c>
      <c r="D1479" t="s">
        <v>54</v>
      </c>
      <c r="E1479" t="s">
        <v>229</v>
      </c>
      <c r="F1479" t="s">
        <v>82</v>
      </c>
      <c r="G1479" t="s">
        <v>230</v>
      </c>
      <c r="H1479" t="s">
        <v>111</v>
      </c>
      <c r="I1479" t="s">
        <v>110</v>
      </c>
      <c r="J1479" t="s">
        <v>2897</v>
      </c>
      <c r="K1479" t="s">
        <v>162</v>
      </c>
      <c r="M1479" t="s">
        <v>163</v>
      </c>
      <c r="N1479" t="s">
        <v>97</v>
      </c>
      <c r="O1479" s="27">
        <v>1284000</v>
      </c>
      <c r="P1479">
        <v>3</v>
      </c>
      <c r="Q1479" t="s">
        <v>164</v>
      </c>
      <c r="R1479">
        <v>41</v>
      </c>
      <c r="S1479" t="s">
        <v>173</v>
      </c>
      <c r="T1479" t="str">
        <f>IF(COUNTIF($A$2:A1479,A1479)&gt;1,"Duplicate","Unique")</f>
        <v>Duplicate</v>
      </c>
    </row>
    <row r="1480" spans="1:20" x14ac:dyDescent="0.45">
      <c r="A1480" t="s">
        <v>861</v>
      </c>
      <c r="B1480" t="s">
        <v>619</v>
      </c>
      <c r="C1480" t="s">
        <v>51</v>
      </c>
      <c r="D1480" t="s">
        <v>50</v>
      </c>
      <c r="E1480" t="s">
        <v>176</v>
      </c>
      <c r="F1480" t="s">
        <v>82</v>
      </c>
      <c r="G1480" t="s">
        <v>177</v>
      </c>
      <c r="H1480" t="s">
        <v>108</v>
      </c>
      <c r="I1480" t="s">
        <v>107</v>
      </c>
      <c r="J1480" t="s">
        <v>3083</v>
      </c>
      <c r="K1480" t="s">
        <v>162</v>
      </c>
      <c r="M1480" t="s">
        <v>163</v>
      </c>
      <c r="N1480" t="s">
        <v>97</v>
      </c>
      <c r="O1480" s="27">
        <v>1338000</v>
      </c>
      <c r="P1480">
        <v>1</v>
      </c>
      <c r="Q1480" t="s">
        <v>164</v>
      </c>
      <c r="R1480">
        <v>17</v>
      </c>
      <c r="S1480" t="s">
        <v>219</v>
      </c>
      <c r="T1480" t="str">
        <f>IF(COUNTIF($A$2:A1480,A1480)&gt;1,"Duplicate","Unique")</f>
        <v>Duplicate</v>
      </c>
    </row>
    <row r="1481" spans="1:20" x14ac:dyDescent="0.45">
      <c r="A1481" t="s">
        <v>2234</v>
      </c>
      <c r="B1481" t="s">
        <v>1363</v>
      </c>
      <c r="C1481" t="s">
        <v>51</v>
      </c>
      <c r="D1481" t="s">
        <v>50</v>
      </c>
      <c r="E1481" t="s">
        <v>181</v>
      </c>
      <c r="F1481" t="s">
        <v>81</v>
      </c>
      <c r="G1481" t="s">
        <v>182</v>
      </c>
      <c r="H1481" t="s">
        <v>108</v>
      </c>
      <c r="I1481" t="s">
        <v>107</v>
      </c>
      <c r="J1481" t="s">
        <v>2727</v>
      </c>
      <c r="K1481" t="s">
        <v>162</v>
      </c>
      <c r="M1481" t="s">
        <v>163</v>
      </c>
      <c r="N1481" t="s">
        <v>97</v>
      </c>
      <c r="O1481" s="27">
        <v>628000</v>
      </c>
      <c r="P1481">
        <v>5</v>
      </c>
      <c r="Q1481" t="s">
        <v>164</v>
      </c>
      <c r="R1481">
        <v>31</v>
      </c>
      <c r="S1481" t="s">
        <v>178</v>
      </c>
      <c r="T1481" t="str">
        <f>IF(COUNTIF($A$2:A1481,A1481)&gt;1,"Duplicate","Unique")</f>
        <v>Duplicate</v>
      </c>
    </row>
    <row r="1482" spans="1:20" x14ac:dyDescent="0.45">
      <c r="A1482" t="s">
        <v>1406</v>
      </c>
      <c r="B1482" t="s">
        <v>1407</v>
      </c>
      <c r="C1482" t="s">
        <v>53</v>
      </c>
      <c r="D1482" t="s">
        <v>52</v>
      </c>
      <c r="E1482" t="s">
        <v>322</v>
      </c>
      <c r="F1482" t="s">
        <v>81</v>
      </c>
      <c r="G1482" t="s">
        <v>323</v>
      </c>
      <c r="H1482" t="s">
        <v>108</v>
      </c>
      <c r="I1482" t="s">
        <v>107</v>
      </c>
      <c r="J1482" t="s">
        <v>3674</v>
      </c>
      <c r="K1482" t="s">
        <v>162</v>
      </c>
      <c r="M1482" t="s">
        <v>163</v>
      </c>
      <c r="N1482" t="s">
        <v>99</v>
      </c>
      <c r="O1482" s="27">
        <v>843000</v>
      </c>
      <c r="P1482">
        <v>3</v>
      </c>
      <c r="Q1482" t="s">
        <v>172</v>
      </c>
      <c r="R1482">
        <v>37</v>
      </c>
      <c r="S1482" t="s">
        <v>237</v>
      </c>
      <c r="T1482" t="str">
        <f>IF(COUNTIF($A$2:A1482,A1482)&gt;1,"Duplicate","Unique")</f>
        <v>Duplicate</v>
      </c>
    </row>
    <row r="1483" spans="1:20" x14ac:dyDescent="0.45">
      <c r="A1483" t="s">
        <v>404</v>
      </c>
      <c r="B1483" t="s">
        <v>405</v>
      </c>
      <c r="C1483" t="s">
        <v>51</v>
      </c>
      <c r="D1483" t="s">
        <v>50</v>
      </c>
      <c r="E1483" t="s">
        <v>217</v>
      </c>
      <c r="F1483" t="s">
        <v>83</v>
      </c>
      <c r="G1483" t="s">
        <v>218</v>
      </c>
      <c r="H1483" t="s">
        <v>109</v>
      </c>
      <c r="I1483" t="s">
        <v>110</v>
      </c>
      <c r="J1483" t="s">
        <v>3717</v>
      </c>
      <c r="K1483" t="s">
        <v>187</v>
      </c>
      <c r="L1483" t="s">
        <v>3467</v>
      </c>
      <c r="M1483" t="s">
        <v>269</v>
      </c>
      <c r="N1483" t="s">
        <v>98</v>
      </c>
      <c r="O1483" s="27">
        <v>1443000</v>
      </c>
      <c r="P1483">
        <v>4</v>
      </c>
      <c r="Q1483" t="s">
        <v>164</v>
      </c>
      <c r="R1483">
        <v>24</v>
      </c>
      <c r="S1483" t="s">
        <v>244</v>
      </c>
      <c r="T1483" t="str">
        <f>IF(COUNTIF($A$2:A1483,A1483)&gt;1,"Duplicate","Unique")</f>
        <v>Duplicate</v>
      </c>
    </row>
    <row r="1484" spans="1:20" x14ac:dyDescent="0.45">
      <c r="A1484" t="s">
        <v>2038</v>
      </c>
      <c r="B1484" t="s">
        <v>1249</v>
      </c>
      <c r="C1484" t="s">
        <v>51</v>
      </c>
      <c r="D1484" t="s">
        <v>50</v>
      </c>
      <c r="E1484" t="s">
        <v>176</v>
      </c>
      <c r="F1484" t="s">
        <v>82</v>
      </c>
      <c r="G1484" t="s">
        <v>177</v>
      </c>
      <c r="H1484" t="s">
        <v>108</v>
      </c>
      <c r="I1484" t="s">
        <v>107</v>
      </c>
      <c r="J1484" t="s">
        <v>2731</v>
      </c>
      <c r="K1484" t="s">
        <v>187</v>
      </c>
      <c r="L1484" t="s">
        <v>2732</v>
      </c>
      <c r="M1484" t="s">
        <v>282</v>
      </c>
      <c r="N1484" t="s">
        <v>99</v>
      </c>
      <c r="O1484" s="27">
        <v>867000</v>
      </c>
      <c r="P1484">
        <v>4</v>
      </c>
      <c r="Q1484" t="s">
        <v>164</v>
      </c>
      <c r="R1484">
        <v>39</v>
      </c>
      <c r="S1484" t="s">
        <v>219</v>
      </c>
      <c r="T1484" t="str">
        <f>IF(COUNTIF($A$2:A1484,A1484)&gt;1,"Duplicate","Unique")</f>
        <v>Duplicate</v>
      </c>
    </row>
    <row r="1485" spans="1:20" x14ac:dyDescent="0.45">
      <c r="A1485" t="s">
        <v>569</v>
      </c>
      <c r="B1485" t="s">
        <v>570</v>
      </c>
      <c r="C1485" t="s">
        <v>55</v>
      </c>
      <c r="D1485" t="s">
        <v>54</v>
      </c>
      <c r="E1485" t="s">
        <v>229</v>
      </c>
      <c r="F1485" t="s">
        <v>82</v>
      </c>
      <c r="G1485" t="s">
        <v>230</v>
      </c>
      <c r="H1485" t="s">
        <v>108</v>
      </c>
      <c r="I1485" t="s">
        <v>107</v>
      </c>
      <c r="J1485" t="s">
        <v>3149</v>
      </c>
      <c r="K1485" t="s">
        <v>187</v>
      </c>
      <c r="L1485" t="s">
        <v>2684</v>
      </c>
      <c r="M1485" t="s">
        <v>282</v>
      </c>
      <c r="N1485" t="s">
        <v>96</v>
      </c>
      <c r="O1485" s="27">
        <v>1124000</v>
      </c>
      <c r="P1485">
        <v>4</v>
      </c>
      <c r="Q1485" t="s">
        <v>172</v>
      </c>
      <c r="R1485">
        <v>41</v>
      </c>
      <c r="S1485" t="s">
        <v>173</v>
      </c>
      <c r="T1485" t="str">
        <f>IF(COUNTIF($A$2:A1485,A1485)&gt;1,"Duplicate","Unique")</f>
        <v>Duplicate</v>
      </c>
    </row>
    <row r="1486" spans="1:20" x14ac:dyDescent="0.45">
      <c r="A1486" t="s">
        <v>2146</v>
      </c>
      <c r="B1486" t="s">
        <v>597</v>
      </c>
      <c r="C1486" t="s">
        <v>55</v>
      </c>
      <c r="D1486" t="s">
        <v>54</v>
      </c>
      <c r="E1486" t="s">
        <v>277</v>
      </c>
      <c r="F1486" t="s">
        <v>81</v>
      </c>
      <c r="G1486" t="s">
        <v>278</v>
      </c>
      <c r="H1486" t="s">
        <v>106</v>
      </c>
      <c r="I1486" t="s">
        <v>107</v>
      </c>
      <c r="J1486" t="s">
        <v>3469</v>
      </c>
      <c r="K1486" t="s">
        <v>162</v>
      </c>
      <c r="M1486" t="s">
        <v>163</v>
      </c>
      <c r="N1486" t="s">
        <v>95</v>
      </c>
      <c r="O1486" s="27">
        <v>682000</v>
      </c>
      <c r="P1486">
        <v>2</v>
      </c>
      <c r="Q1486" t="s">
        <v>164</v>
      </c>
      <c r="R1486">
        <v>26</v>
      </c>
      <c r="S1486" t="s">
        <v>173</v>
      </c>
      <c r="T1486" t="str">
        <f>IF(COUNTIF($A$2:A1486,A1486)&gt;1,"Duplicate","Unique")</f>
        <v>Duplicate</v>
      </c>
    </row>
  </sheetData>
  <autoFilter ref="A1:T1486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zoomScale="90" zoomScaleNormal="90" workbookViewId="0">
      <selection activeCell="BQ6" sqref="BQ6"/>
    </sheetView>
  </sheetViews>
  <sheetFormatPr defaultColWidth="8.6640625" defaultRowHeight="14.25" customHeight="1" x14ac:dyDescent="0.45"/>
  <cols>
    <col min="1" max="1" width="14" customWidth="1"/>
    <col min="2" max="2" width="24" customWidth="1"/>
    <col min="3" max="4" width="16" customWidth="1"/>
    <col min="5" max="5" width="48" customWidth="1"/>
    <col min="6" max="6" width="52" customWidth="1"/>
  </cols>
  <sheetData>
    <row r="1" spans="1:6" ht="16.5" customHeight="1" x14ac:dyDescent="0.5">
      <c r="A1" s="14" t="s">
        <v>3832</v>
      </c>
    </row>
    <row r="3" spans="1:6" x14ac:dyDescent="0.45">
      <c r="A3" s="16" t="s">
        <v>3833</v>
      </c>
      <c r="B3" s="16" t="s">
        <v>3834</v>
      </c>
      <c r="C3" s="16" t="s">
        <v>3835</v>
      </c>
      <c r="D3" s="16" t="s">
        <v>3836</v>
      </c>
      <c r="E3" s="16" t="s">
        <v>3837</v>
      </c>
      <c r="F3" s="16" t="s">
        <v>3838</v>
      </c>
    </row>
    <row r="4" spans="1:6" x14ac:dyDescent="0.45">
      <c r="A4" s="5" t="s">
        <v>3839</v>
      </c>
      <c r="B4" s="5" t="s">
        <v>132</v>
      </c>
      <c r="C4" s="5" t="s">
        <v>3840</v>
      </c>
      <c r="D4" s="5" t="s">
        <v>3841</v>
      </c>
      <c r="E4" s="5" t="s">
        <v>3842</v>
      </c>
      <c r="F4" s="5" t="s">
        <v>3843</v>
      </c>
    </row>
    <row r="5" spans="1:6" x14ac:dyDescent="0.45">
      <c r="A5" s="8" t="s">
        <v>3844</v>
      </c>
      <c r="B5" s="8" t="s">
        <v>133</v>
      </c>
      <c r="C5" s="8" t="s">
        <v>3840</v>
      </c>
      <c r="D5" s="8" t="s">
        <v>3845</v>
      </c>
      <c r="E5" s="8" t="s">
        <v>3846</v>
      </c>
      <c r="F5" s="8" t="s">
        <v>3847</v>
      </c>
    </row>
    <row r="6" spans="1:6" x14ac:dyDescent="0.45">
      <c r="A6" s="5" t="s">
        <v>3848</v>
      </c>
      <c r="B6" s="5" t="s">
        <v>33</v>
      </c>
      <c r="C6" s="5" t="s">
        <v>3840</v>
      </c>
      <c r="D6" s="5" t="s">
        <v>3849</v>
      </c>
      <c r="E6" s="5" t="s">
        <v>3850</v>
      </c>
      <c r="F6" s="5" t="s">
        <v>3851</v>
      </c>
    </row>
    <row r="7" spans="1:6" x14ac:dyDescent="0.45">
      <c r="A7" s="8" t="s">
        <v>3852</v>
      </c>
      <c r="B7" s="8" t="s">
        <v>14</v>
      </c>
      <c r="C7" s="8" t="s">
        <v>3840</v>
      </c>
      <c r="D7" s="8" t="s">
        <v>3845</v>
      </c>
      <c r="E7" s="8" t="s">
        <v>3853</v>
      </c>
      <c r="F7" s="8" t="s">
        <v>3854</v>
      </c>
    </row>
    <row r="8" spans="1:6" x14ac:dyDescent="0.45">
      <c r="A8" s="5" t="s">
        <v>3855</v>
      </c>
      <c r="B8" s="5" t="s">
        <v>134</v>
      </c>
      <c r="C8" s="5" t="s">
        <v>3840</v>
      </c>
      <c r="D8" s="5" t="s">
        <v>3845</v>
      </c>
      <c r="E8" s="5" t="s">
        <v>3856</v>
      </c>
      <c r="F8" s="5" t="s">
        <v>3857</v>
      </c>
    </row>
    <row r="9" spans="1:6" x14ac:dyDescent="0.45">
      <c r="A9" s="8" t="s">
        <v>3858</v>
      </c>
      <c r="B9" s="8" t="s">
        <v>74</v>
      </c>
      <c r="C9" s="8" t="s">
        <v>3840</v>
      </c>
      <c r="D9" s="8" t="s">
        <v>3849</v>
      </c>
      <c r="E9" s="8" t="s">
        <v>3859</v>
      </c>
      <c r="F9" s="8" t="s">
        <v>3860</v>
      </c>
    </row>
    <row r="10" spans="1:6" x14ac:dyDescent="0.45">
      <c r="A10" s="5" t="s">
        <v>3861</v>
      </c>
      <c r="B10" s="5" t="s">
        <v>135</v>
      </c>
      <c r="C10" s="5" t="s">
        <v>3840</v>
      </c>
      <c r="D10" s="5" t="s">
        <v>3845</v>
      </c>
      <c r="E10" s="5" t="s">
        <v>3862</v>
      </c>
      <c r="F10" s="5" t="s">
        <v>3863</v>
      </c>
    </row>
    <row r="11" spans="1:6" x14ac:dyDescent="0.45">
      <c r="A11" s="8" t="s">
        <v>3864</v>
      </c>
      <c r="B11" s="8" t="s">
        <v>102</v>
      </c>
      <c r="C11" s="8" t="s">
        <v>3840</v>
      </c>
      <c r="D11" s="8" t="s">
        <v>3845</v>
      </c>
      <c r="E11" s="8" t="s">
        <v>3865</v>
      </c>
      <c r="F11" s="8" t="s">
        <v>3866</v>
      </c>
    </row>
    <row r="12" spans="1:6" x14ac:dyDescent="0.45">
      <c r="A12" s="5" t="s">
        <v>3867</v>
      </c>
      <c r="B12" s="5" t="s">
        <v>103</v>
      </c>
      <c r="C12" s="5" t="s">
        <v>3840</v>
      </c>
      <c r="D12" s="5" t="s">
        <v>3845</v>
      </c>
      <c r="E12" s="5" t="s">
        <v>3868</v>
      </c>
      <c r="F12" s="5" t="s">
        <v>3869</v>
      </c>
    </row>
    <row r="13" spans="1:6" x14ac:dyDescent="0.45">
      <c r="A13" s="8" t="s">
        <v>3870</v>
      </c>
      <c r="B13" s="8" t="s">
        <v>136</v>
      </c>
      <c r="C13" s="8" t="s">
        <v>3840</v>
      </c>
      <c r="D13" s="8" t="s">
        <v>3871</v>
      </c>
      <c r="E13" s="8" t="s">
        <v>3872</v>
      </c>
      <c r="F13" s="8" t="s">
        <v>3873</v>
      </c>
    </row>
    <row r="14" spans="1:6" x14ac:dyDescent="0.45">
      <c r="A14" s="5" t="s">
        <v>3874</v>
      </c>
      <c r="B14" s="5" t="s">
        <v>137</v>
      </c>
      <c r="C14" s="5" t="s">
        <v>3840</v>
      </c>
      <c r="D14" s="5" t="s">
        <v>3845</v>
      </c>
      <c r="E14" s="5" t="s">
        <v>3875</v>
      </c>
      <c r="F14" s="5" t="s">
        <v>3863</v>
      </c>
    </row>
    <row r="15" spans="1:6" x14ac:dyDescent="0.45">
      <c r="A15" s="8" t="s">
        <v>3876</v>
      </c>
      <c r="B15" s="8" t="s">
        <v>138</v>
      </c>
      <c r="C15" s="8" t="s">
        <v>3840</v>
      </c>
      <c r="D15" s="8" t="s">
        <v>3877</v>
      </c>
      <c r="E15" s="8" t="s">
        <v>3878</v>
      </c>
      <c r="F15" s="8" t="s">
        <v>3879</v>
      </c>
    </row>
    <row r="16" spans="1:6" x14ac:dyDescent="0.45">
      <c r="A16" s="5" t="s">
        <v>3880</v>
      </c>
      <c r="B16" s="5" t="s">
        <v>139</v>
      </c>
      <c r="C16" s="5" t="s">
        <v>3840</v>
      </c>
      <c r="D16" s="5" t="s">
        <v>3845</v>
      </c>
      <c r="E16" s="5" t="s">
        <v>3881</v>
      </c>
      <c r="F16" s="5" t="s">
        <v>3882</v>
      </c>
    </row>
    <row r="17" spans="1:6" x14ac:dyDescent="0.45">
      <c r="A17" s="8" t="s">
        <v>2516</v>
      </c>
      <c r="B17" s="8" t="s">
        <v>87</v>
      </c>
      <c r="C17" s="8" t="s">
        <v>3840</v>
      </c>
      <c r="D17" s="8" t="s">
        <v>3845</v>
      </c>
      <c r="E17" s="8" t="s">
        <v>3883</v>
      </c>
      <c r="F17" s="8" t="s">
        <v>3863</v>
      </c>
    </row>
    <row r="18" spans="1:6" x14ac:dyDescent="0.45">
      <c r="A18" s="5" t="s">
        <v>3884</v>
      </c>
      <c r="B18" s="5" t="s">
        <v>140</v>
      </c>
      <c r="C18" s="5" t="s">
        <v>3840</v>
      </c>
      <c r="D18" s="5" t="s">
        <v>3885</v>
      </c>
      <c r="E18" s="5" t="s">
        <v>3886</v>
      </c>
      <c r="F18" s="5" t="s">
        <v>3887</v>
      </c>
    </row>
    <row r="19" spans="1:6" x14ac:dyDescent="0.45">
      <c r="A19" s="8" t="s">
        <v>3888</v>
      </c>
      <c r="B19" s="8" t="s">
        <v>141</v>
      </c>
      <c r="C19" s="8" t="s">
        <v>3840</v>
      </c>
      <c r="D19" s="8" t="s">
        <v>3889</v>
      </c>
      <c r="E19" s="8" t="s">
        <v>3890</v>
      </c>
      <c r="F19" s="8" t="s">
        <v>3891</v>
      </c>
    </row>
    <row r="20" spans="1:6" x14ac:dyDescent="0.45">
      <c r="A20" s="5" t="s">
        <v>3892</v>
      </c>
      <c r="B20" s="5" t="s">
        <v>142</v>
      </c>
      <c r="C20" s="5" t="s">
        <v>3840</v>
      </c>
      <c r="D20" s="5" t="s">
        <v>3893</v>
      </c>
      <c r="E20" s="5" t="s">
        <v>3894</v>
      </c>
      <c r="F20" s="5" t="s">
        <v>3895</v>
      </c>
    </row>
    <row r="21" spans="1:6" x14ac:dyDescent="0.45">
      <c r="A21" s="8" t="s">
        <v>3896</v>
      </c>
      <c r="B21" s="8" t="s">
        <v>143</v>
      </c>
      <c r="C21" s="8" t="s">
        <v>3840</v>
      </c>
      <c r="D21" s="8" t="s">
        <v>3897</v>
      </c>
      <c r="E21" s="8" t="s">
        <v>3898</v>
      </c>
      <c r="F21" s="8" t="s">
        <v>3899</v>
      </c>
    </row>
    <row r="22" spans="1:6" x14ac:dyDescent="0.45">
      <c r="A22" s="5" t="s">
        <v>3900</v>
      </c>
      <c r="B22" s="5" t="s">
        <v>144</v>
      </c>
      <c r="C22" s="5" t="s">
        <v>3840</v>
      </c>
      <c r="D22" s="5" t="s">
        <v>3849</v>
      </c>
      <c r="E22" s="5" t="s">
        <v>3901</v>
      </c>
      <c r="F22" s="5" t="s">
        <v>3902</v>
      </c>
    </row>
    <row r="23" spans="1:6" x14ac:dyDescent="0.45">
      <c r="A23" s="8" t="s">
        <v>3903</v>
      </c>
      <c r="B23" s="8" t="s">
        <v>3904</v>
      </c>
      <c r="C23" s="8" t="s">
        <v>3905</v>
      </c>
      <c r="D23" s="8" t="s">
        <v>3906</v>
      </c>
      <c r="E23" s="8" t="s">
        <v>3907</v>
      </c>
      <c r="F23" s="8" t="s">
        <v>3908</v>
      </c>
    </row>
    <row r="24" spans="1:6" x14ac:dyDescent="0.45">
      <c r="A24" s="5" t="s">
        <v>3909</v>
      </c>
      <c r="B24" s="5" t="s">
        <v>3910</v>
      </c>
      <c r="C24" s="5" t="s">
        <v>3905</v>
      </c>
      <c r="D24" s="5" t="s">
        <v>3906</v>
      </c>
      <c r="E24" s="5" t="s">
        <v>3911</v>
      </c>
      <c r="F24" s="5" t="s">
        <v>3912</v>
      </c>
    </row>
    <row r="25" spans="1:6" x14ac:dyDescent="0.45">
      <c r="A25" s="8" t="s">
        <v>3913</v>
      </c>
      <c r="B25" s="8" t="s">
        <v>3914</v>
      </c>
      <c r="C25" s="8" t="s">
        <v>3905</v>
      </c>
      <c r="D25" s="8" t="s">
        <v>3906</v>
      </c>
      <c r="E25" s="8" t="s">
        <v>3915</v>
      </c>
      <c r="F25" s="8" t="s">
        <v>3916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zoomScaleNormal="100" workbookViewId="0"/>
  </sheetViews>
  <sheetFormatPr defaultColWidth="8.6640625" defaultRowHeight="14.25" customHeight="1" x14ac:dyDescent="0.45"/>
  <cols>
    <col min="1" max="1" width="22" customWidth="1"/>
    <col min="2" max="2" width="34" customWidth="1"/>
    <col min="3" max="3" width="95" customWidth="1"/>
  </cols>
  <sheetData>
    <row r="1" spans="1:3" ht="16.5" customHeight="1" x14ac:dyDescent="0.5">
      <c r="A1" s="14" t="s">
        <v>3917</v>
      </c>
    </row>
    <row r="3" spans="1:3" x14ac:dyDescent="0.45">
      <c r="A3" s="32" t="s">
        <v>3918</v>
      </c>
      <c r="B3" s="32" t="s">
        <v>3919</v>
      </c>
      <c r="C3" s="32" t="s">
        <v>3920</v>
      </c>
    </row>
    <row r="4" spans="1:3" ht="36" customHeight="1" x14ac:dyDescent="0.45">
      <c r="A4" s="33" t="s">
        <v>3921</v>
      </c>
      <c r="B4" s="33" t="s">
        <v>3922</v>
      </c>
      <c r="C4" s="33" t="s">
        <v>3923</v>
      </c>
    </row>
    <row r="5" spans="1:3" ht="36" customHeight="1" x14ac:dyDescent="0.45">
      <c r="A5" s="34" t="s">
        <v>3921</v>
      </c>
      <c r="B5" s="34" t="s">
        <v>3924</v>
      </c>
      <c r="C5" s="34" t="s">
        <v>3925</v>
      </c>
    </row>
    <row r="6" spans="1:3" ht="36" customHeight="1" x14ac:dyDescent="0.45">
      <c r="A6" s="33" t="s">
        <v>3926</v>
      </c>
      <c r="B6" s="33" t="s">
        <v>3927</v>
      </c>
      <c r="C6" s="33" t="s">
        <v>3928</v>
      </c>
    </row>
    <row r="7" spans="1:3" ht="36" customHeight="1" x14ac:dyDescent="0.45">
      <c r="A7" s="34" t="s">
        <v>3929</v>
      </c>
      <c r="B7" s="34" t="s">
        <v>3930</v>
      </c>
      <c r="C7" s="34" t="s">
        <v>3931</v>
      </c>
    </row>
    <row r="8" spans="1:3" ht="36" customHeight="1" x14ac:dyDescent="0.45">
      <c r="A8" s="33" t="s">
        <v>3932</v>
      </c>
      <c r="B8" s="33" t="s">
        <v>3933</v>
      </c>
      <c r="C8" s="33" t="s">
        <v>3934</v>
      </c>
    </row>
    <row r="9" spans="1:3" ht="36" customHeight="1" x14ac:dyDescent="0.45">
      <c r="A9" s="34" t="s">
        <v>3935</v>
      </c>
      <c r="B9" s="34" t="s">
        <v>3936</v>
      </c>
      <c r="C9" s="34" t="s">
        <v>3937</v>
      </c>
    </row>
    <row r="10" spans="1:3" ht="36" customHeight="1" x14ac:dyDescent="0.45">
      <c r="A10" s="33" t="s">
        <v>3938</v>
      </c>
      <c r="B10" s="33" t="s">
        <v>3939</v>
      </c>
      <c r="C10" s="33" t="s">
        <v>3940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Dashboard</vt:lpstr>
      <vt:lpstr>KPI_Calculations</vt:lpstr>
      <vt:lpstr>Pivot_Analysis</vt:lpstr>
      <vt:lpstr>Cleaned_Data</vt:lpstr>
      <vt:lpstr>Employee_Lookups</vt:lpstr>
      <vt:lpstr>Raw_Data</vt:lpstr>
      <vt:lpstr>Data_Dictionary</vt:lpstr>
      <vt:lpstr>Methodology_QA</vt:lpstr>
      <vt:lpstr>DepartmentFilterList</vt:lpstr>
      <vt:lpstr>Dashboard!Print_Area</vt:lpstr>
      <vt:lpstr>ReportingYearList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jaykar</cp:lastModifiedBy>
  <dcterms:modified xsi:type="dcterms:W3CDTF">2026-10-20T03:46:47Z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2026-10-19T11:38:19Z</dcterms:created>
  <dc:creator>openpyxl</dc:creator>
  <dc:description/>
  <dc:language>en-US</dc:language>
  <cp:lastModifiedBy>sarthak jaykar</cp:lastModifiedBy>
  <dcterms:modified xsi:type="dcterms:W3CDTF">2026-10-20T03:02:27Z</dcterms:modified>
  <cp:revision>0</cp:revision>
  <dc:subject/>
  <dc:title/>
</cp:coreProperties>
</file>